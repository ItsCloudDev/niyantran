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3eac15927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6 State Tender Aggregator (St" sheetId="1" r:id="Rc0f63a5eff79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548235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548235"/>
      </x:patternFill>
    </x:fill>
  </x:fills>
  <x:borders count="3">
    <x:border/>
    <x:border>
      <x:bottom style="medium">
        <x:color rgb="FF54823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84fc6190442db" /><Relationship Type="http://schemas.openxmlformats.org/officeDocument/2006/relationships/theme" Target="/xl/theme/theme1.xml" Id="Rd9dece7e6bf54460" /><Relationship Type="http://schemas.openxmlformats.org/officeDocument/2006/relationships/sharedStrings" Target="/xl/sharedStrings.xml" Id="R9bdcb546301c4fc0" /><Relationship Type="http://schemas.openxmlformats.org/officeDocument/2006/relationships/worksheet" Target="/xl/worksheets/sheet1.xml" Id="Rc0f63a5eff7942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4568d2e49446b1" /><Relationship Type="http://schemas.openxmlformats.org/officeDocument/2006/relationships/chart" Target="/xl/drawings/charts/chart2.xml" Id="R06c0b7275bc048f6" /><Relationship Type="http://schemas.openxmlformats.org/officeDocument/2006/relationships/chart" Target="/xl/drawings/charts/chart3.xml" Id="R58fb63aa51654f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Tender value by state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'F36 State Tender Aggregator (St'!$AZ$3:$AZ$12</c:f>
              <c:strCache>
                <c:ptCount val="0"/>
              </c:strCache>
            </c:strRef>
          </c:cat>
          <c:val>
            <c:numRef>
              <c:f>'F36 State Tender Aggregator (St'!$BA$3:$BA$12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Tenders by department and sector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'F36 State Tender Aggregator (St'!$BC$3</c:f>
              <c:strCache>
                <c:ptCount val="0"/>
              </c:strCache>
            </c:strRef>
          </c:cat>
          <c:val>
            <c:numRef>
              <c:f>'F36 State Tender Aggregator (St'!$BD$3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Closing-date opportunity pipeline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'F36 State Tender Aggregator (St'!$BF$3:$BF$14</c:f>
              <c:strCache>
                <c:ptCount val="0"/>
              </c:strCache>
            </c:strRef>
          </c:cat>
          <c:val>
            <c:numRef>
              <c:f>'F36 State Tender Aggregator (St'!$BG$3:$BG$14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4568d2e49446b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c0b7275bc048f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b63aa51654f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tate_36_clean_5a616a" displayName="T_state_36_clean_5a616a" ref="A8:AC33" headerRowCount="1" totalsRowCount="0" totalsRowShown="0">
  <x:tableColumns count="2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title"/>
    <x:tableColumn id="13" name="publisher"/>
    <x:tableColumn id="14" name="query"/>
    <x:tableColumn id="15" name="published_at"/>
    <x:tableColumn id="16" name="publisher_url"/>
    <x:tableColumn id="17" name="coverage_status"/>
    <x:tableColumn id="18" name="coverage_scope"/>
    <x:tableColumn id="19" name="coverage_start"/>
    <x:tableColumn id="20" name="coverage_end"/>
    <x:tableColumn id="21" name="universe_count"/>
    <x:tableColumn id="22" name="record_age_days"/>
    <x:tableColumn id="23" name="record_completeness_pct"/>
    <x:tableColumn id="24" name="source_provider"/>
    <x:tableColumn id="25" name="source_url"/>
    <x:tableColumn id="26" name="source_published_at"/>
    <x:tableColumn id="27" name="source_retrieved_at"/>
    <x:tableColumn id="28" name="provenance"/>
    <x:tableColumn id="2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af6a37133d4ec0" /><Relationship Type="http://schemas.openxmlformats.org/officeDocument/2006/relationships/table" Target="/xl/tables/table1.xml" Id="Rb620c9f9e3844f6c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4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5" customHeight="1">
      <x:c r="A1" s="4" t="str">
        <x:v>State Tender Aggregator (State e-Procurement)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25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2026-08-31</x:v>
      </x:c>
      <x:c r="BA3" s="18" t="n">
        <x:v>3</x:v>
      </x:c>
      <x:c r="BC3" s="18" t="str">
        <x:v>India state e procurement tender</x:v>
      </x:c>
      <x:c r="BD3" s="18" t="n">
        <x:v>25</x:v>
      </x:c>
      <x:c r="BF3" s="18" t="str">
        <x:v>SolarQuarter</x:v>
      </x:c>
      <x:c r="BG3" s="18" t="n">
        <x:v>2</x:v>
      </x:c>
    </x:row>
    <x:row r="4">
      <x:c r="A4" s="9" t="str">
        <x:v>Records</x:v>
      </x:c>
      <x:c r="B4" s="10" t="n">
        <x:v>25</x:v>
      </x:c>
      <x:c r="C4" s="9" t="str">
        <x:v>Dated records</x:v>
      </x:c>
      <x:c r="D4" s="10" t="n">
        <x:v>25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2026-09-10</x:v>
      </x:c>
      <x:c r="AZ4" s="18" t="str">
        <x:v>2026-09-02</x:v>
      </x:c>
      <x:c r="BA4" s="18" t="n">
        <x:v>2</x:v>
      </x:c>
      <x:c r="BF4" s="18" t="str">
        <x:v>Construction World</x:v>
      </x:c>
      <x:c r="BG4" s="18" t="n">
        <x:v>2</x:v>
      </x:c>
    </x:row>
    <x:row r="5">
      <x:c r="AZ5" s="18" t="str">
        <x:v>2026-09-03</x:v>
      </x:c>
      <x:c r="BA5" s="18" t="n">
        <x:v>1</x:v>
      </x:c>
      <x:c r="BF5" s="18" t="str">
        <x:v>financialexpress.com</x:v>
      </x:c>
      <x:c r="BG5" s="18" t="n">
        <x:v>2</x:v>
      </x:c>
    </x:row>
    <x:row r="6">
      <x:c r="AZ6" s="18" t="str">
        <x:v>2026-09-04</x:v>
      </x:c>
      <x:c r="BA6" s="18" t="n">
        <x:v>1</x:v>
      </x:c>
      <x:c r="BF6" s="18" t="str">
        <x:v>Entrepreneur India</x:v>
      </x:c>
      <x:c r="BG6" s="18" t="n">
        <x:v>1</x:v>
      </x:c>
    </x:row>
    <x:row r="7">
      <x:c r="AZ7" s="18" t="str">
        <x:v>2026-09-05</x:v>
      </x:c>
      <x:c r="BA7" s="18" t="n">
        <x:v>2</x:v>
      </x:c>
      <x:c r="BF7" s="18" t="str">
        <x:v>Telangana Today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title</x:v>
      </x:c>
      <x:c r="M8" s="15" t="str">
        <x:v>publisher</x:v>
      </x:c>
      <x:c r="N8" s="15" t="str">
        <x:v>query</x:v>
      </x:c>
      <x:c r="O8" s="15" t="str">
        <x:v>published_at</x:v>
      </x:c>
      <x:c r="P8" s="15" t="str">
        <x:v>publisher_url</x:v>
      </x:c>
      <x:c r="Q8" s="15" t="str">
        <x:v>coverage_status</x:v>
      </x:c>
      <x:c r="R8" s="15" t="str">
        <x:v>coverage_scope</x:v>
      </x:c>
      <x:c r="S8" s="15" t="str">
        <x:v>coverage_start</x:v>
      </x:c>
      <x:c r="T8" s="15" t="str">
        <x:v>coverage_end</x:v>
      </x:c>
      <x:c r="U8" s="15" t="str">
        <x:v>universe_count</x:v>
      </x:c>
      <x:c r="V8" s="15" t="str">
        <x:v>record_age_days</x:v>
      </x:c>
      <x:c r="W8" s="15" t="str">
        <x:v>record_completeness_pct</x:v>
      </x:c>
      <x:c r="X8" s="15" t="str">
        <x:v>source_provider</x:v>
      </x:c>
      <x:c r="Y8" s="15" t="str">
        <x:v>source_url</x:v>
      </x:c>
      <x:c r="Z8" s="15" t="str">
        <x:v>source_published_at</x:v>
      </x:c>
      <x:c r="AA8" s="15" t="str">
        <x:v>source_retrieved_at</x:v>
      </x:c>
      <x:c r="AB8" s="15" t="str">
        <x:v>provenance</x:v>
      </x:c>
      <x:c r="AC8" s="15" t="str">
        <x:v>quality_status</x:v>
      </x:c>
      <x:c r="AZ8" s="18" t="str">
        <x:v>2026-09-06</x:v>
      </x:c>
      <x:c r="BA8" s="18" t="n">
        <x:v>1</x:v>
      </x:c>
      <x:c r="BF8" s="18" t="str">
        <x:v>A2Z Taxcorp LLP</x:v>
      </x:c>
      <x:c r="BG8" s="18" t="n">
        <x:v>1</x:v>
      </x:c>
    </x:row>
    <x:row r="9">
      <x:c r="A9" s="18" t="str">
        <x:v>NYT-36-06ea20e2fa35b35e</x:v>
      </x:c>
      <x:c r="B9" s="18" t="str">
        <x:v>Telangana Invites Tenders for 369 EV Charging Stations - Entrepreneur India</x:v>
      </x:c>
      <x:c r="C9" s="18" t="str">
        <x:v>2026-09-07</x:v>
      </x:c>
      <x:c r="D9" s="18" t="n">
        <x:v>2026</x:v>
      </x:c>
      <x:c r="E9" s="18" t="str">
        <x:v>2026-09</x:v>
      </x:c>
      <x:c r="F9" s="18" t="str"/>
      <x:c r="G9" s="18" t="str">
        <x:v>India state e procurement tender</x:v>
      </x:c>
      <x:c r="H9" s="18" t="str"/>
      <x:c r="I9" s="18" t="str">
        <x:v>Entrepreneur India</x:v>
      </x:c>
      <x:c r="J9" s="20" t="str"/>
      <x:c r="K9" s="18" t="str">
        <x:v>electors</x:v>
      </x:c>
      <x:c r="L9" s="18" t="str">
        <x:v>Telangana Invites Tenders for 369 EV Charging Stations - Entrepreneur India</x:v>
      </x:c>
      <x:c r="M9" s="18" t="str">
        <x:v>Entrepreneur India</x:v>
      </x:c>
      <x:c r="N9" s="18" t="str">
        <x:v>India state e procurement tender</x:v>
      </x:c>
      <x:c r="O9" s="18" t="n">
        <x:v>46272.490428240744</x:v>
      </x:c>
      <x:c r="P9" s="18" t="str">
        <x:v>https://www.entrepreneurindia.com</x:v>
      </x:c>
      <x:c r="Q9" s="18" t="str">
        <x:v>DEFINED_TERMINAL_OR_FEED_SCOPE</x:v>
      </x:c>
      <x:c r="R9" s="18" t="str">
        <x:v>news_state_tenders_14d.json — published records loaded</x:v>
      </x:c>
      <x:c r="S9" s="18" t="str"/>
      <x:c r="T9" s="18" t="str"/>
      <x:c r="U9" s="20" t="n">
        <x:v>25</x:v>
      </x:c>
      <x:c r="V9" s="19" t="n">
        <x:f>IFERROR(TODAY()-DATEVALUE(C9),"")</x:f>
        <x:v>3</x:v>
      </x:c>
      <x:c r="W9" s="21" t="n">
        <x:f>ROUND(COUNTA(A9:K9)/11*100,0)</x:f>
        <x:v>100</x:v>
      </x:c>
      <x:c r="X9" s="18" t="str">
        <x:v>Google News RSS</x:v>
      </x:c>
      <x:c r="Y9" s="22" t="str">
        <x:v>https://news.google.com/rss/articles/CBMiqwFBVV95cUxQYkhCTG96d2h0SjEwVzlmd1hwVFNsdGZ4ZkhhV0tKZXNTNVZ3Rmg5QW1ZYUZ0SWRBTjlmN0RMY1NuWE5OczZjWXJNMDBCcHpkcERncFBLdFZWenJYaUZYZnlyMDZYcnp3NVlzVkRGWW5RbnRaTmtDNGhxT3JKOVhsckt6VWNJYlFhQUZUQ2V2WlhocmRfc0p0azJRUERZemZLaFdsVVRjQVdyTXM?oc=5</x:v>
      </x:c>
      <x:c r="Z9" s="18" t="n">
        <x:v>46272.490428240744</x:v>
      </x:c>
      <x:c r="AA9" s="18" t="n">
        <x:v>46275.38862103009</x:v>
      </x:c>
      <x:c r="AB9" s="18" t="str">
        <x:v>public_rss</x:v>
      </x:c>
      <x:c r="AC9" s="18" t="str">
        <x:v>READY</x:v>
      </x:c>
      <x:c r="AZ9" s="18" t="str">
        <x:v>2026-09-07</x:v>
      </x:c>
      <x:c r="BA9" s="18" t="n">
        <x:v>7</x:v>
      </x:c>
      <x:c r="BF9" s="18" t="str">
        <x:v>fmbharat.com</x:v>
      </x:c>
      <x:c r="BG9" s="18" t="n">
        <x:v>1</x:v>
      </x:c>
    </x:row>
    <x:row r="10">
      <x:c r="A10" s="18" t="str">
        <x:v>NYT-36-54ffb3dae1a58038</x:v>
      </x:c>
      <x:c r="B10" s="18" t="str">
        <x:v>TG REDCO invites tenders for 369 public EV charging stations - Telangana Today</x:v>
      </x:c>
      <x:c r="C10" s="18" t="str">
        <x:v>2026-09-06</x:v>
      </x:c>
      <x:c r="D10" s="18" t="n">
        <x:v>2026</x:v>
      </x:c>
      <x:c r="E10" s="18" t="str">
        <x:v>2026-09</x:v>
      </x:c>
      <x:c r="F10" s="18" t="str"/>
      <x:c r="G10" s="18" t="str">
        <x:v>India state e procurement tender</x:v>
      </x:c>
      <x:c r="H10" s="18" t="str"/>
      <x:c r="I10" s="18" t="str">
        <x:v>Telangana Today</x:v>
      </x:c>
      <x:c r="J10" s="20" t="str"/>
      <x:c r="K10" s="18" t="str">
        <x:v>electors</x:v>
      </x:c>
      <x:c r="L10" s="18" t="str">
        <x:v>TG REDCO invites tenders for 369 public EV charging stations - Telangana Today</x:v>
      </x:c>
      <x:c r="M10" s="18" t="str">
        <x:v>Telangana Today</x:v>
      </x:c>
      <x:c r="N10" s="18" t="str">
        <x:v>India state e procurement tender</x:v>
      </x:c>
      <x:c r="O10" s="18" t="n">
        <x:v>46271.46167824074</x:v>
      </x:c>
      <x:c r="P10" s="18" t="str">
        <x:v>https://telanganatoday.com</x:v>
      </x:c>
      <x:c r="Q10" s="18" t="str">
        <x:v>DEFINED_TERMINAL_OR_FEED_SCOPE</x:v>
      </x:c>
      <x:c r="R10" s="18" t="str">
        <x:v>news_state_tenders_14d.json — published records loaded</x:v>
      </x:c>
      <x:c r="S10" s="18" t="str"/>
      <x:c r="T10" s="18" t="str"/>
      <x:c r="U10" s="20" t="n">
        <x:v>25</x:v>
      </x:c>
      <x:c r="V10" s="19" t="n">
        <x:f>IFERROR(TODAY()-DATEVALUE(C10),"")</x:f>
        <x:v>4</x:v>
      </x:c>
      <x:c r="W10" s="21" t="n">
        <x:f>ROUND(COUNTA(A10:K10)/11*100,0)</x:f>
        <x:v>100</x:v>
      </x:c>
      <x:c r="X10" s="18" t="str">
        <x:v>Google News RSS</x:v>
      </x:c>
      <x:c r="Y10" s="22" t="str">
        <x:v>https://news.google.com/rss/articles/CBMikAFBVV95cUxONDhUdU1xY09iX2JSN1lPQld3SFBCbENCcDNOUFk0UFNvRDFaZlNYRnJJbWNPVkdUcUFRb3lLbWdpbjJoSzZPNDNJS29WWVhPaVN2WDB6dGxuSGdrOC1iTWNrVWxicDdmTDZXZDh2alhkMDJKQ0I2OTQ4emp2M2htTnNPcWg5ZW9ZYUd5M2JLODE?oc=5</x:v>
      </x:c>
      <x:c r="Z10" s="18" t="n">
        <x:v>46271.46167824074</x:v>
      </x:c>
      <x:c r="AA10" s="18" t="n">
        <x:v>46275.38862103009</x:v>
      </x:c>
      <x:c r="AB10" s="18" t="str">
        <x:v>public_rss</x:v>
      </x:c>
      <x:c r="AC10" s="18" t="str">
        <x:v>READY</x:v>
      </x:c>
      <x:c r="AZ10" s="18" t="str">
        <x:v>2026-09-08</x:v>
      </x:c>
      <x:c r="BA10" s="18" t="n">
        <x:v>2</x:v>
      </x:c>
      <x:c r="BF10" s="18" t="str">
        <x:v>Reuters</x:v>
      </x:c>
      <x:c r="BG10" s="18" t="n">
        <x:v>1</x:v>
      </x:c>
    </x:row>
    <x:row r="11">
      <x:c r="A11" s="18" t="str">
        <x:v>NYT-36-df012498e9547597</x:v>
      </x:c>
      <x:c r="B11" s="18" t="str">
        <x:v>REIL Invites Bids For 15 MWp Rooftop Solar Projects Under RESCO Model - SolarQuarter</x:v>
      </x:c>
      <x:c r="C11" s="18" t="str">
        <x:v>2026-09-09</x:v>
      </x:c>
      <x:c r="D11" s="18" t="n">
        <x:v>2026</x:v>
      </x:c>
      <x:c r="E11" s="18" t="str">
        <x:v>2026-09</x:v>
      </x:c>
      <x:c r="F11" s="18" t="str"/>
      <x:c r="G11" s="18" t="str">
        <x:v>India state e procurement tender</x:v>
      </x:c>
      <x:c r="H11" s="18" t="str"/>
      <x:c r="I11" s="18" t="str">
        <x:v>SolarQuarter</x:v>
      </x:c>
      <x:c r="J11" s="20" t="str"/>
      <x:c r="K11" s="18" t="str">
        <x:v>electors</x:v>
      </x:c>
      <x:c r="L11" s="18" t="str">
        <x:v>REIL Invites Bids For 15 MWp Rooftop Solar Projects Under RESCO Model - SolarQuarter</x:v>
      </x:c>
      <x:c r="M11" s="18" t="str">
        <x:v>SolarQuarter</x:v>
      </x:c>
      <x:c r="N11" s="18" t="str">
        <x:v>India state e procurement tender</x:v>
      </x:c>
      <x:c r="O11" s="18" t="n">
        <x:v>46274.28579861111</x:v>
      </x:c>
      <x:c r="P11" s="18" t="str">
        <x:v>https://solarquarter.com</x:v>
      </x:c>
      <x:c r="Q11" s="18" t="str">
        <x:v>DEFINED_TERMINAL_OR_FEED_SCOPE</x:v>
      </x:c>
      <x:c r="R11" s="18" t="str">
        <x:v>news_state_tenders_14d.json — published records loaded</x:v>
      </x:c>
      <x:c r="S11" s="18" t="str"/>
      <x:c r="T11" s="18" t="str"/>
      <x:c r="U11" s="20" t="n">
        <x:v>25</x:v>
      </x:c>
      <x:c r="V11" s="19" t="n">
        <x:f>IFERROR(TODAY()-DATEVALUE(C11),"")</x:f>
        <x:v>1</x:v>
      </x:c>
      <x:c r="W11" s="21" t="n">
        <x:f>ROUND(COUNTA(A11:K11)/11*100,0)</x:f>
        <x:v>100</x:v>
      </x:c>
      <x:c r="X11" s="18" t="str">
        <x:v>Google News RSS</x:v>
      </x:c>
      <x:c r="Y11" s="22" t="str">
        <x:v>https://news.google.com/rss/articles/CBMiqgFBVV95cUxQQWhHeHdaM2pDXzVnTzRZWEZidXJaejFUZHBxcUlxaHpuak9aV05vLXdlZndCTHVZVThLVjA3eEdYRHlOLWt2Z2dpbjNNeS1ES1J1TGwtYUkzNWVTRDJiVUdOS0lFUm1SQVVqTDd4bUMxOVpMNm5NYlczRUpETWkyOTRXMGhrRHNJZEtTVDA4VDRPYWZQbFh2bDN0eFpMRzJMYWo4QU9IdXotZw?oc=5</x:v>
      </x:c>
      <x:c r="Z11" s="18" t="n">
        <x:v>46274.28579861111</x:v>
      </x:c>
      <x:c r="AA11" s="18" t="n">
        <x:v>46275.38862103009</x:v>
      </x:c>
      <x:c r="AB11" s="18" t="str">
        <x:v>public_rss</x:v>
      </x:c>
      <x:c r="AC11" s="18" t="str">
        <x:v>READY</x:v>
      </x:c>
      <x:c r="AZ11" s="18" t="str">
        <x:v>2026-09-09</x:v>
      </x:c>
      <x:c r="BA11" s="18" t="n">
        <x:v>5</x:v>
      </x:c>
      <x:c r="BF11" s="18" t="str">
        <x:v>Counterview</x:v>
      </x:c>
      <x:c r="BG11" s="18" t="n">
        <x:v>1</x:v>
      </x:c>
    </x:row>
    <x:row r="12">
      <x:c r="A12" s="18" t="str">
        <x:v>NYT-36-5ddc3b470f351769</x:v>
      </x:c>
      <x:c r="B12" s="18" t="str">
        <x:v>CAG flags gaps in Himachal’s e-procurement, e-way bill and GST systems - A2Z Taxcorp LLP</x:v>
      </x:c>
      <x:c r="C12" s="18" t="str">
        <x:v>2026-09-05</x:v>
      </x:c>
      <x:c r="D12" s="18" t="n">
        <x:v>2026</x:v>
      </x:c>
      <x:c r="E12" s="18" t="str">
        <x:v>2026-09</x:v>
      </x:c>
      <x:c r="F12" s="18" t="str"/>
      <x:c r="G12" s="18" t="str">
        <x:v>India state e procurement tender</x:v>
      </x:c>
      <x:c r="H12" s="18" t="str"/>
      <x:c r="I12" s="18" t="str">
        <x:v>A2Z Taxcorp LLP</x:v>
      </x:c>
      <x:c r="J12" s="20" t="str"/>
      <x:c r="K12" s="18" t="str">
        <x:v>electors</x:v>
      </x:c>
      <x:c r="L12" s="18" t="str">
        <x:v>CAG flags gaps in Himachal’s e-procurement, e-way bill and GST systems - A2Z Taxcorp LLP</x:v>
      </x:c>
      <x:c r="M12" s="18" t="str">
        <x:v>A2Z Taxcorp LLP</x:v>
      </x:c>
      <x:c r="N12" s="18" t="str">
        <x:v>India state e procurement tender</x:v>
      </x:c>
      <x:c r="O12" s="18" t="n">
        <x:v>46270.50137731482</x:v>
      </x:c>
      <x:c r="P12" s="18" t="str">
        <x:v>https://a2ztaxcorp.net</x:v>
      </x:c>
      <x:c r="Q12" s="18" t="str">
        <x:v>DEFINED_TERMINAL_OR_FEED_SCOPE</x:v>
      </x:c>
      <x:c r="R12" s="18" t="str">
        <x:v>news_state_tenders_14d.json — published records loaded</x:v>
      </x:c>
      <x:c r="S12" s="18" t="str"/>
      <x:c r="T12" s="18" t="str"/>
      <x:c r="U12" s="20" t="n">
        <x:v>25</x:v>
      </x:c>
      <x:c r="V12" s="19" t="n">
        <x:f>IFERROR(TODAY()-DATEVALUE(C12),"")</x:f>
        <x:v>5</x:v>
      </x:c>
      <x:c r="W12" s="21" t="n">
        <x:f>ROUND(COUNTA(A12:K12)/11*100,0)</x:f>
        <x:v>100</x:v>
      </x:c>
      <x:c r="X12" s="18" t="str">
        <x:v>Google News RSS</x:v>
      </x:c>
      <x:c r="Y12" s="22" t="str">
        <x:v>https://news.google.com/rss/articles/CBMilwFBVV95cUxONEZETGZkUC1WQlQ0ejhuX3QtVEoyYWxnVjljVmxON1lpaW5yNWxNakpSaHowci1hcHAyNjF2UEpFcEZibVNReGNJNjZBdi1xUmxReVNDQjcxSWYtSzBBZjEtMTBXYl9jclppODZzMFRCZ1ZWbV9XS04ybHYxSmZrN0lWN2lTYnZTMnMtSEpHVVJnb2pIWkJR?oc=5</x:v>
      </x:c>
      <x:c r="Z12" s="18" t="n">
        <x:v>46270.50137731482</x:v>
      </x:c>
      <x:c r="AA12" s="18" t="n">
        <x:v>46275.38862103009</x:v>
      </x:c>
      <x:c r="AB12" s="18" t="str">
        <x:v>public_rss</x:v>
      </x:c>
      <x:c r="AC12" s="18" t="str">
        <x:v>READY</x:v>
      </x:c>
      <x:c r="AZ12" s="18" t="str">
        <x:v>2026-09-10</x:v>
      </x:c>
      <x:c r="BA12" s="18" t="n">
        <x:v>1</x:v>
      </x:c>
      <x:c r="BF12" s="18" t="str">
        <x:v>PIB</x:v>
      </x:c>
      <x:c r="BG12" s="18" t="n">
        <x:v>1</x:v>
      </x:c>
    </x:row>
    <x:row r="13">
      <x:c r="A13" s="18" t="str">
        <x:v>NYT-36-9143c95417508cd0</x:v>
      </x:c>
      <x:c r="B13" s="18" t="str">
        <x:v>CAG exposes widespread fiscal irregularities, says Himachal ex-CM Thakur - fmbharat.com</x:v>
      </x:c>
      <x:c r="C13" s="18" t="str">
        <x:v>2026-09-04</x:v>
      </x:c>
      <x:c r="D13" s="18" t="n">
        <x:v>2026</x:v>
      </x:c>
      <x:c r="E13" s="18" t="str">
        <x:v>2026-09</x:v>
      </x:c>
      <x:c r="F13" s="18" t="str"/>
      <x:c r="G13" s="18" t="str">
        <x:v>India state e procurement tender</x:v>
      </x:c>
      <x:c r="H13" s="18" t="str"/>
      <x:c r="I13" s="18" t="str">
        <x:v>fmbharat.com</x:v>
      </x:c>
      <x:c r="J13" s="20" t="str"/>
      <x:c r="K13" s="18" t="str">
        <x:v>electors</x:v>
      </x:c>
      <x:c r="L13" s="18" t="str">
        <x:v>CAG exposes widespread fiscal irregularities, says Himachal ex-CM Thakur - fmbharat.com</x:v>
      </x:c>
      <x:c r="M13" s="18" t="str">
        <x:v>fmbharat.com</x:v>
      </x:c>
      <x:c r="N13" s="18" t="str">
        <x:v>India state e procurement tender</x:v>
      </x:c>
      <x:c r="O13" s="18" t="n">
        <x:v>46269.584965277776</x:v>
      </x:c>
      <x:c r="P13" s="18" t="str">
        <x:v>https://www.fmbharat.com</x:v>
      </x:c>
      <x:c r="Q13" s="18" t="str">
        <x:v>DEFINED_TERMINAL_OR_FEED_SCOPE</x:v>
      </x:c>
      <x:c r="R13" s="18" t="str">
        <x:v>news_state_tenders_14d.json — published records loaded</x:v>
      </x:c>
      <x:c r="S13" s="18" t="str"/>
      <x:c r="T13" s="18" t="str"/>
      <x:c r="U13" s="20" t="n">
        <x:v>25</x:v>
      </x:c>
      <x:c r="V13" s="19" t="n">
        <x:f>IFERROR(TODAY()-DATEVALUE(C13),"")</x:f>
        <x:v>6</x:v>
      </x:c>
      <x:c r="W13" s="21" t="n">
        <x:f>ROUND(COUNTA(A13:K13)/11*100,0)</x:f>
        <x:v>100</x:v>
      </x:c>
      <x:c r="X13" s="18" t="str">
        <x:v>Google News RSS</x:v>
      </x:c>
      <x:c r="Y13" s="22" t="str">
        <x:v>https://news.google.com/rss/articles/CBMiqAFBVV95cUxQeVBlXy0yUEJWWjBsWWdDN1hpQmIyYmViMTNEbVV6SVlYVjJJdUZnZEpxR2xEYzFmdWRFZktOTXU1eHhSaW1CMUw1emZ5Q0t1STBHZlhwRWFTdmx5NDZMRXlBal9vNWNMaXIwbFEtMGxFc2xzcmRvUHhua0pvMEFUOVNXeXpoY3BVUmRuWkdhMk5nV3NucFpYMThONkRwZl80Z0xnbGNid2g?oc=5</x:v>
      </x:c>
      <x:c r="Z13" s="18" t="n">
        <x:v>46269.584965277776</x:v>
      </x:c>
      <x:c r="AA13" s="18" t="n">
        <x:v>46275.38862103009</x:v>
      </x:c>
      <x:c r="AB13" s="18" t="str">
        <x:v>public_rss</x:v>
      </x:c>
      <x:c r="AC13" s="18" t="str">
        <x:v>READY</x:v>
      </x:c>
      <x:c r="BF13" s="18" t="str">
        <x:v>Livemint</x:v>
      </x:c>
      <x:c r="BG13" s="18" t="n">
        <x:v>1</x:v>
      </x:c>
    </x:row>
    <x:row r="14">
      <x:c r="A14" s="18" t="str">
        <x:v>NYT-36-1ed580de61008964</x:v>
      </x:c>
      <x:c r="B14" s="18" t="str">
        <x:v>Indian Railways Floats Rs 4.692 bn Tender For Jodhpur Station - Construction World</x:v>
      </x:c>
      <x:c r="C14" s="18" t="str">
        <x:v>2026-08-31</x:v>
      </x:c>
      <x:c r="D14" s="18" t="n">
        <x:v>2026</x:v>
      </x:c>
      <x:c r="E14" s="18" t="str">
        <x:v>2026-08</x:v>
      </x:c>
      <x:c r="F14" s="18" t="str"/>
      <x:c r="G14" s="18" t="str">
        <x:v>India state e procurement tender</x:v>
      </x:c>
      <x:c r="H14" s="18" t="str"/>
      <x:c r="I14" s="18" t="str">
        <x:v>Construction World</x:v>
      </x:c>
      <x:c r="J14" s="20" t="str"/>
      <x:c r="K14" s="18" t="str">
        <x:v>electors</x:v>
      </x:c>
      <x:c r="L14" s="18" t="str">
        <x:v>Indian Railways Floats Rs 4.692 bn Tender For Jodhpur Station - Construction World</x:v>
      </x:c>
      <x:c r="M14" s="18" t="str">
        <x:v>Construction World</x:v>
      </x:c>
      <x:c r="N14" s="18" t="str">
        <x:v>India state e procurement tender</x:v>
      </x:c>
      <x:c r="O14" s="18" t="n">
        <x:v>46265.291666666664</x:v>
      </x:c>
      <x:c r="P14" s="18" t="str">
        <x:v>https://www.constructionworld.in</x:v>
      </x:c>
      <x:c r="Q14" s="18" t="str">
        <x:v>DEFINED_TERMINAL_OR_FEED_SCOPE</x:v>
      </x:c>
      <x:c r="R14" s="18" t="str">
        <x:v>news_state_tenders_14d.json — published records loaded</x:v>
      </x:c>
      <x:c r="S14" s="18" t="str"/>
      <x:c r="T14" s="18" t="str"/>
      <x:c r="U14" s="20" t="n">
        <x:v>25</x:v>
      </x:c>
      <x:c r="V14" s="19" t="n">
        <x:f>IFERROR(TODAY()-DATEVALUE(C14),"")</x:f>
        <x:v>10</x:v>
      </x:c>
      <x:c r="W14" s="21" t="n">
        <x:f>ROUND(COUNTA(A14:K14)/11*100,0)</x:f>
        <x:v>100</x:v>
      </x:c>
      <x:c r="X14" s="18" t="str">
        <x:v>Google News RSS</x:v>
      </x:c>
      <x:c r="Y14" s="22" t="str">
        <x:v>https://news.google.com/rss/articles/CBMi9wFBVV95cUxOTnYwV2Y1bGpoczE4akVNNEhkOFd1bm9nMkc0RzdiRVdIN2FJejBHWFZpdWtaUXZkRDZVMEI4ajRPTE9yWUw0SWdzT1JubVpaSGtlWUJOTVlBa0tid2poRl9OUllZTXptVllfeE9wc0ZEczBLMzZsUWJCd2xvT2xId01PSHB0UmhsTTUwVDZZdVM3VWhkekd4bDRCc1NmNWJwbnhVbjlBNHpZSmdhQVl6LWRMRTZVb0tlNi1pT1RoM3prLUxDZnpHdi10eEZrQl9xMlhRa3pFM0ZkV2RYTTg0YkNUV3RxdVQyT3dZdGZLMXZPTWpkRF9B?oc=5</x:v>
      </x:c>
      <x:c r="Z14" s="18" t="n">
        <x:v>46265.291666666664</x:v>
      </x:c>
      <x:c r="AA14" s="18" t="n">
        <x:v>46275.38862103009</x:v>
      </x:c>
      <x:c r="AB14" s="18" t="str">
        <x:v>public_rss</x:v>
      </x:c>
      <x:c r="AC14" s="18" t="str">
        <x:v>READY</x:v>
      </x:c>
      <x:c r="BF14" s="18" t="str">
        <x:v>Devdiscourse</x:v>
      </x:c>
      <x:c r="BG14" s="18" t="n">
        <x:v>1</x:v>
      </x:c>
    </x:row>
    <x:row r="15">
      <x:c r="A15" s="18" t="str">
        <x:v>NYT-36-2dfe77ad7d641adb</x:v>
      </x:c>
      <x:c r="B15" s="18" t="str">
        <x:v>EU proposes simpler public tender rules, 'Buy European' criteria to cut foreign dependence - Reuters</x:v>
      </x:c>
      <x:c r="C15" s="18" t="str">
        <x:v>2026-09-09</x:v>
      </x:c>
      <x:c r="D15" s="18" t="n">
        <x:v>2026</x:v>
      </x:c>
      <x:c r="E15" s="18" t="str">
        <x:v>2026-09</x:v>
      </x:c>
      <x:c r="F15" s="18" t="str"/>
      <x:c r="G15" s="18" t="str">
        <x:v>India state e procurement tender</x:v>
      </x:c>
      <x:c r="H15" s="18" t="str"/>
      <x:c r="I15" s="18" t="str">
        <x:v>Reuters</x:v>
      </x:c>
      <x:c r="J15" s="20" t="str"/>
      <x:c r="K15" s="18" t="str">
        <x:v>electors</x:v>
      </x:c>
      <x:c r="L15" s="18" t="str">
        <x:v>EU proposes simpler public tender rules, 'Buy European' criteria to cut foreign dependence - Reuters</x:v>
      </x:c>
      <x:c r="M15" s="18" t="str">
        <x:v>Reuters</x:v>
      </x:c>
      <x:c r="N15" s="18" t="str">
        <x:v>India state e procurement tender</x:v>
      </x:c>
      <x:c r="O15" s="18" t="n">
        <x:v>46274.48453703704</x:v>
      </x:c>
      <x:c r="P15" s="18" t="str">
        <x:v>https://www.reuters.com</x:v>
      </x:c>
      <x:c r="Q15" s="18" t="str">
        <x:v>DEFINED_TERMINAL_OR_FEED_SCOPE</x:v>
      </x:c>
      <x:c r="R15" s="18" t="str">
        <x:v>news_state_tenders_14d.json — published records loaded</x:v>
      </x:c>
      <x:c r="S15" s="18" t="str"/>
      <x:c r="T15" s="18" t="str"/>
      <x:c r="U15" s="20" t="n">
        <x:v>25</x:v>
      </x:c>
      <x:c r="V15" s="19" t="n">
        <x:f>IFERROR(TODAY()-DATEVALUE(C15),"")</x:f>
        <x:v>1</x:v>
      </x:c>
      <x:c r="W15" s="21" t="n">
        <x:f>ROUND(COUNTA(A15:K15)/11*100,0)</x:f>
        <x:v>100</x:v>
      </x:c>
      <x:c r="X15" s="18" t="str">
        <x:v>Google News RSS</x:v>
      </x:c>
      <x:c r="Y15" s="22" t="str">
        <x:v>https://news.google.com/rss/articles/CBMivgFBVV95cUxNQ0J6RTV5TGdTRmxpTlJnYnpPQ2JEVlVpWHlCYXZVU1BDYjNoRDBvX2t6U20tRkk2SUxvZ1JGTFFBTkNSdUQ2Q3BDSGxzS01rMFhpQWlfUDF6bXN3Um5jZWhqd3dtdU4zZVI3OWNoclZSeGRBbWtKODRIUGs0Mk1zV3R5RnZqOGt1WDJ2QUxNM1ZFUm9Wc1FfcUFMdU5MM2RmUldNZ2xrNmNYbmR4YjJkRGh2eTJvX0ZDR0lGMjVB?oc=5</x:v>
      </x:c>
      <x:c r="Z15" s="18" t="n">
        <x:v>46274.48453703704</x:v>
      </x:c>
      <x:c r="AA15" s="18" t="n">
        <x:v>46275.38862103009</x:v>
      </x:c>
      <x:c r="AB15" s="18" t="str">
        <x:v>public_rss</x:v>
      </x:c>
      <x:c r="AC15" s="18" t="str">
        <x:v>READY</x:v>
      </x:c>
    </x:row>
    <x:row r="16">
      <x:c r="A16" s="18" t="str">
        <x:v>NYT-36-365fcfe27945beb7</x:v>
      </x:c>
      <x:c r="B16" s="18" t="str">
        <x:v>Bihar's health procurement row: Allegations, evidence and accountability - Counterview</x:v>
      </x:c>
      <x:c r="C16" s="18" t="str">
        <x:v>2026-09-07</x:v>
      </x:c>
      <x:c r="D16" s="18" t="n">
        <x:v>2026</x:v>
      </x:c>
      <x:c r="E16" s="18" t="str">
        <x:v>2026-09</x:v>
      </x:c>
      <x:c r="F16" s="18" t="str"/>
      <x:c r="G16" s="18" t="str">
        <x:v>India state e procurement tender</x:v>
      </x:c>
      <x:c r="H16" s="18" t="str"/>
      <x:c r="I16" s="18" t="str">
        <x:v>Counterview</x:v>
      </x:c>
      <x:c r="J16" s="20" t="str"/>
      <x:c r="K16" s="18" t="str">
        <x:v>electors</x:v>
      </x:c>
      <x:c r="L16" s="18" t="str">
        <x:v>Bihar's health procurement row: Allegations, evidence and accountability - Counterview</x:v>
      </x:c>
      <x:c r="M16" s="18" t="str">
        <x:v>Counterview</x:v>
      </x:c>
      <x:c r="N16" s="18" t="str">
        <x:v>India state e procurement tender</x:v>
      </x:c>
      <x:c r="O16" s="18" t="n">
        <x:v>46272.013194444444</x:v>
      </x:c>
      <x:c r="P16" s="18" t="str">
        <x:v>https://www.counterview.net</x:v>
      </x:c>
      <x:c r="Q16" s="18" t="str">
        <x:v>DEFINED_TERMINAL_OR_FEED_SCOPE</x:v>
      </x:c>
      <x:c r="R16" s="18" t="str">
        <x:v>news_state_tenders_14d.json — published records loaded</x:v>
      </x:c>
      <x:c r="S16" s="18" t="str"/>
      <x:c r="T16" s="18" t="str"/>
      <x:c r="U16" s="20" t="n">
        <x:v>25</x:v>
      </x:c>
      <x:c r="V16" s="19" t="n">
        <x:f>IFERROR(TODAY()-DATEVALUE(C16),"")</x:f>
        <x:v>3</x:v>
      </x:c>
      <x:c r="W16" s="21" t="n">
        <x:f>ROUND(COUNTA(A16:K16)/11*100,0)</x:f>
        <x:v>100</x:v>
      </x:c>
      <x:c r="X16" s="18" t="str">
        <x:v>Google News RSS</x:v>
      </x:c>
      <x:c r="Y16" s="22" t="str">
        <x:v>https://news.google.com/rss/articles/CBMiekFVX3lxTE05QUh0REdyZ0ZyT1RGMDlMV0hXQ0FEZ1RISHVYRVNSa3FxZHhlR0xOX0tTV0xqMHA0U2lxSGpaV2VmbkNqcFlCeTRDdHlrT2VwbGIzNUQxTGtLbGJfMlRFYmJEUzN1Sm9OaHdybmhfV29aZ1VCUjZMMm5B?oc=5</x:v>
      </x:c>
      <x:c r="Z16" s="18" t="n">
        <x:v>46272.013194444444</x:v>
      </x:c>
      <x:c r="AA16" s="18" t="n">
        <x:v>46275.38862103009</x:v>
      </x:c>
      <x:c r="AB16" s="18" t="str">
        <x:v>public_rss</x:v>
      </x:c>
      <x:c r="AC16" s="18" t="str">
        <x:v>READY</x:v>
      </x:c>
    </x:row>
    <x:row r="17">
      <x:c r="A17" s="18" t="str">
        <x:v>NYT-36-6d298b5574c8fd41</x:v>
      </x:c>
      <x:c r="B17" s="18" t="str">
        <x:v>Where Every Purchase Finds a GeM - PIB</x:v>
      </x:c>
      <x:c r="C17" s="18" t="str">
        <x:v>2026-09-07</x:v>
      </x:c>
      <x:c r="D17" s="18" t="n">
        <x:v>2026</x:v>
      </x:c>
      <x:c r="E17" s="18" t="str">
        <x:v>2026-09</x:v>
      </x:c>
      <x:c r="F17" s="18" t="str"/>
      <x:c r="G17" s="18" t="str">
        <x:v>India state e procurement tender</x:v>
      </x:c>
      <x:c r="H17" s="18" t="str"/>
      <x:c r="I17" s="18" t="str">
        <x:v>PIB</x:v>
      </x:c>
      <x:c r="J17" s="20" t="str"/>
      <x:c r="K17" s="18" t="str">
        <x:v>electors</x:v>
      </x:c>
      <x:c r="L17" s="18" t="str">
        <x:v>Where Every Purchase Finds a GeM - PIB</x:v>
      </x:c>
      <x:c r="M17" s="18" t="str">
        <x:v>PIB</x:v>
      </x:c>
      <x:c r="N17" s="18" t="str">
        <x:v>India state e procurement tender</x:v>
      </x:c>
      <x:c r="O17" s="18" t="n">
        <x:v>46272.01770833333</x:v>
      </x:c>
      <x:c r="P17" s="18" t="str">
        <x:v>https://www.pib.gov.in</x:v>
      </x:c>
      <x:c r="Q17" s="18" t="str">
        <x:v>DEFINED_TERMINAL_OR_FEED_SCOPE</x:v>
      </x:c>
      <x:c r="R17" s="18" t="str">
        <x:v>news_state_tenders_14d.json — published records loaded</x:v>
      </x:c>
      <x:c r="S17" s="18" t="str"/>
      <x:c r="T17" s="18" t="str"/>
      <x:c r="U17" s="20" t="n">
        <x:v>25</x:v>
      </x:c>
      <x:c r="V17" s="19" t="n">
        <x:f>IFERROR(TODAY()-DATEVALUE(C17),"")</x:f>
        <x:v>3</x:v>
      </x:c>
      <x:c r="W17" s="21" t="n">
        <x:f>ROUND(COUNTA(A17:K17)/11*100,0)</x:f>
        <x:v>100</x:v>
      </x:c>
      <x:c r="X17" s="18" t="str">
        <x:v>Google News RSS</x:v>
      </x:c>
      <x:c r="Y17" s="22" t="str">
        <x:v>https://news.google.com/rss/articles/CBMieEFVX3lxTE9wcVN6NTlhMm1PcXEzT21GQTdZS2wzS2ZKeE5OMF84TG9VSm1vM09aT0kzUkRjV09lek1tOGN3Z3lWM19xSHMxaGZrR3dpU2w2N25pVDlNRkUtcHZwQXRsclFkbXBKblhMMVpJTkJ0XzZDTVM3NVFWQw?oc=5</x:v>
      </x:c>
      <x:c r="Z17" s="18" t="n">
        <x:v>46272.01770833333</x:v>
      </x:c>
      <x:c r="AA17" s="18" t="n">
        <x:v>46275.38862103009</x:v>
      </x:c>
      <x:c r="AB17" s="18" t="str">
        <x:v>public_rss</x:v>
      </x:c>
      <x:c r="AC17" s="18" t="str">
        <x:v>READY</x:v>
      </x:c>
    </x:row>
    <x:row r="18">
      <x:c r="A18" s="18" t="str">
        <x:v>NYT-36-8dbd8a56610011d0</x:v>
      </x:c>
      <x:c r="B18" s="18" t="str">
        <x:v>Delhi High Court rejects German firm's plea against C-DOT's emergency-alert deal - Livemint</x:v>
      </x:c>
      <x:c r="C18" s="18" t="str">
        <x:v>2026-08-31</x:v>
      </x:c>
      <x:c r="D18" s="18" t="n">
        <x:v>2026</x:v>
      </x:c>
      <x:c r="E18" s="18" t="str">
        <x:v>2026-08</x:v>
      </x:c>
      <x:c r="F18" s="18" t="str"/>
      <x:c r="G18" s="18" t="str">
        <x:v>India state e procurement tender</x:v>
      </x:c>
      <x:c r="H18" s="18" t="str"/>
      <x:c r="I18" s="18" t="str">
        <x:v>Livemint</x:v>
      </x:c>
      <x:c r="J18" s="20" t="str"/>
      <x:c r="K18" s="18" t="str">
        <x:v>electors</x:v>
      </x:c>
      <x:c r="L18" s="18" t="str">
        <x:v>Delhi High Court rejects German firm's plea against C-DOT's emergency-alert deal - Livemint</x:v>
      </x:c>
      <x:c r="M18" s="18" t="str">
        <x:v>Livemint</x:v>
      </x:c>
      <x:c r="N18" s="18" t="str">
        <x:v>India state e procurement tender</x:v>
      </x:c>
      <x:c r="O18" s="18" t="n">
        <x:v>46265.291666666664</x:v>
      </x:c>
      <x:c r="P18" s="18" t="str">
        <x:v>https://www.livemint.com</x:v>
      </x:c>
      <x:c r="Q18" s="18" t="str">
        <x:v>DEFINED_TERMINAL_OR_FEED_SCOPE</x:v>
      </x:c>
      <x:c r="R18" s="18" t="str">
        <x:v>news_state_tenders_14d.json — published records loaded</x:v>
      </x:c>
      <x:c r="S18" s="18" t="str"/>
      <x:c r="T18" s="18" t="str"/>
      <x:c r="U18" s="20" t="n">
        <x:v>25</x:v>
      </x:c>
      <x:c r="V18" s="19" t="n">
        <x:f>IFERROR(TODAY()-DATEVALUE(C18),"")</x:f>
        <x:v>10</x:v>
      </x:c>
      <x:c r="W18" s="21" t="n">
        <x:f>ROUND(COUNTA(A18:K18)/11*100,0)</x:f>
        <x:v>100</x:v>
      </x:c>
      <x:c r="X18" s="18" t="str">
        <x:v>Google News RSS</x:v>
      </x:c>
      <x:c r="Y18" s="22" t="str">
        <x:v>https://news.google.com/rss/articles/CBMirwFBVV95cUxPdGNCOWUxWmJ3WHlyczFmRU9NaDl1Q3ZDMmdFTUM5cm54SUZKNnU3eGEtamN0ZHRoM3lHdVppUldKZ0ZCVUpybEp5WGFvQWJHYzlKb0RuVHJBV2RQd0VsRTBrTTlkTFIxcGM2TnNkVHBlMHRuS0RyTVhVZWJxNmhzWEdvV2xpZEFRbzBUOGNoNjh5Y1BRUnBJOV9BY3d0dVR3aThKQVBVNUwycDdsbFJN0gG0AUFVX3lxTE0zQUctM3cteWxOdGpwam9zek9iUU8yUUVjZ2hWYW5Ga0lBbFpuYkJHOXNlaFFpYjJYRWdYckNpdUkzWS0yVFF0NjVOS201a1ZEaDF6ckxfTmtmWkViSDdzbUNZUnZqY1pGZmZyaUE4Wkh1M0ZxY1pvXzlFcjhFc1VRZjRyMHZyRlVUUE9GOFdOR3hyRUx3ZXNqeGRzTTdWdUJKVERkZDNxZUZWZXdSN0lfeEQzdQ?oc=5</x:v>
      </x:c>
      <x:c r="Z18" s="18" t="n">
        <x:v>46265.291666666664</x:v>
      </x:c>
      <x:c r="AA18" s="18" t="n">
        <x:v>46275.38862103009</x:v>
      </x:c>
      <x:c r="AB18" s="18" t="str">
        <x:v>public_rss</x:v>
      </x:c>
      <x:c r="AC18" s="18" t="str">
        <x:v>READY</x:v>
      </x:c>
    </x:row>
    <x:row r="19">
      <x:c r="A19" s="18" t="str">
        <x:v>NYT-36-5a8b4008a8de10b8</x:v>
      </x:c>
      <x:c r="B19" s="18" t="str">
        <x:v>EU Sets New Rules to Simplify Public Tenders - Devdiscourse</x:v>
      </x:c>
      <x:c r="C19" s="18" t="str">
        <x:v>2026-09-09</x:v>
      </x:c>
      <x:c r="D19" s="18" t="n">
        <x:v>2026</x:v>
      </x:c>
      <x:c r="E19" s="18" t="str">
        <x:v>2026-09</x:v>
      </x:c>
      <x:c r="F19" s="18" t="str"/>
      <x:c r="G19" s="18" t="str">
        <x:v>India state e procurement tender</x:v>
      </x:c>
      <x:c r="H19" s="18" t="str"/>
      <x:c r="I19" s="18" t="str">
        <x:v>Devdiscourse</x:v>
      </x:c>
      <x:c r="J19" s="20" t="str"/>
      <x:c r="K19" s="18" t="str">
        <x:v>electors</x:v>
      </x:c>
      <x:c r="L19" s="18" t="str">
        <x:v>EU Sets New Rules to Simplify Public Tenders - Devdiscourse</x:v>
      </x:c>
      <x:c r="M19" s="18" t="str">
        <x:v>Devdiscourse</x:v>
      </x:c>
      <x:c r="N19" s="18" t="str">
        <x:v>India state e procurement tender</x:v>
      </x:c>
      <x:c r="O19" s="18" t="n">
        <x:v>46274.47553240741</x:v>
      </x:c>
      <x:c r="P19" s="18" t="str">
        <x:v>https://www.devdiscourse.com</x:v>
      </x:c>
      <x:c r="Q19" s="18" t="str">
        <x:v>DEFINED_TERMINAL_OR_FEED_SCOPE</x:v>
      </x:c>
      <x:c r="R19" s="18" t="str">
        <x:v>news_state_tenders_14d.json — published records loaded</x:v>
      </x:c>
      <x:c r="S19" s="18" t="str"/>
      <x:c r="T19" s="18" t="str"/>
      <x:c r="U19" s="20" t="n">
        <x:v>25</x:v>
      </x:c>
      <x:c r="V19" s="19" t="n">
        <x:f>IFERROR(TODAY()-DATEVALUE(C19),"")</x:f>
        <x:v>1</x:v>
      </x:c>
      <x:c r="W19" s="21" t="n">
        <x:f>ROUND(COUNTA(A19:K19)/11*100,0)</x:f>
        <x:v>100</x:v>
      </x:c>
      <x:c r="X19" s="18" t="str">
        <x:v>Google News RSS</x:v>
      </x:c>
      <x:c r="Y19" s="22" t="str">
        <x:v>https://news.google.com/rss/articles/CBMipgFBVV95cUxOZGt3WG5YUWlrWWVoRTNIcWdRRG1MWWN1NGJHYWFkUFhVT19tbnhIMVZYaHNaOW5ab1YxZVNJelNJNHUxNmpld2dkRHRab1hzYnNNQ09RejhGaWdrTGhYOFVEOE5Ib08zYU1Qd1k4bXk2WjQ3SXRuRE1VNmxhVTNqSWtoUnhlMXhLd0t2bHRJTkh1c2V4el9GR0RlUG9NclpqSTNINmtR0gGmAUFVX3lxTE5ka3dYblhRaWtZZWhFM0hxZ1FEbUxZY3U0YkdhYWRQWFVPX21ueEgxVlhoc1o5blpvVjFlU0l6U0k0dTE2amV3Z2REdFpvWHNic01DT1F6OEZpZ2tMaFg4VUQ4TkhvTzNhTVB3WThteTZaNDdJdG5ETVU2bGFVM2pJa2hSeGUxeEt3S3ZsdElOSHVzZXh6X0ZHRGVQb01yWmpJM0g2a1E?oc=5</x:v>
      </x:c>
      <x:c r="Z19" s="18" t="n">
        <x:v>46274.47553240741</x:v>
      </x:c>
      <x:c r="AA19" s="18" t="n">
        <x:v>46275.38862103009</x:v>
      </x:c>
      <x:c r="AB19" s="18" t="str">
        <x:v>public_rss</x:v>
      </x:c>
      <x:c r="AC19" s="18" t="str">
        <x:v>READY</x:v>
      </x:c>
    </x:row>
    <x:row r="20">
      <x:c r="A20" s="18" t="str">
        <x:v>NYT-36-d88359e1b161d2ae</x:v>
      </x:c>
      <x:c r="B20" s="18" t="str">
        <x:v>SECI 700MW Solar PV Tender for Odisha C&amp;I Consumer | 2026 - News and Statistics - IndexBox</x:v>
      </x:c>
      <x:c r="C20" s="18" t="str">
        <x:v>2026-09-07</x:v>
      </x:c>
      <x:c r="D20" s="18" t="n">
        <x:v>2026</x:v>
      </x:c>
      <x:c r="E20" s="18" t="str">
        <x:v>2026-09</x:v>
      </x:c>
      <x:c r="F20" s="18" t="str"/>
      <x:c r="G20" s="18" t="str">
        <x:v>India state e procurement tender</x:v>
      </x:c>
      <x:c r="H20" s="18" t="str"/>
      <x:c r="I20" s="18" t="str">
        <x:v>IndexBox</x:v>
      </x:c>
      <x:c r="J20" s="20" t="str"/>
      <x:c r="K20" s="18" t="str">
        <x:v>electors</x:v>
      </x:c>
      <x:c r="L20" s="18" t="str">
        <x:v>SECI 700MW Solar PV Tender for Odisha C&amp;I Consumer | 2026 - News and Statistics - IndexBox</x:v>
      </x:c>
      <x:c r="M20" s="18" t="str">
        <x:v>IndexBox</x:v>
      </x:c>
      <x:c r="N20" s="18" t="str">
        <x:v>India state e procurement tender</x:v>
      </x:c>
      <x:c r="O20" s="18" t="n">
        <x:v>46272.6531712963</x:v>
      </x:c>
      <x:c r="P20" s="18" t="str">
        <x:v>https://www.indexbox.io</x:v>
      </x:c>
      <x:c r="Q20" s="18" t="str">
        <x:v>DEFINED_TERMINAL_OR_FEED_SCOPE</x:v>
      </x:c>
      <x:c r="R20" s="18" t="str">
        <x:v>news_state_tenders_14d.json — published records loaded</x:v>
      </x:c>
      <x:c r="S20" s="18" t="str"/>
      <x:c r="T20" s="18" t="str"/>
      <x:c r="U20" s="20" t="n">
        <x:v>25</x:v>
      </x:c>
      <x:c r="V20" s="19" t="n">
        <x:f>IFERROR(TODAY()-DATEVALUE(C20),"")</x:f>
        <x:v>3</x:v>
      </x:c>
      <x:c r="W20" s="21" t="n">
        <x:f>ROUND(COUNTA(A20:K20)/11*100,0)</x:f>
        <x:v>100</x:v>
      </x:c>
      <x:c r="X20" s="18" t="str">
        <x:v>Google News RSS</x:v>
      </x:c>
      <x:c r="Y20" s="22" t="str">
        <x:v>https://news.google.com/rss/articles/CBMikgFBVV95cUxPdXZwRlRlaE1OQl92X1lYeUVHRVdJc0lreVZyeXlJYXgzM2ZhNy1CMnUxUWxCTS0yN0twazJXX3ZFTHp5ejEtTUVteVZWd3Nxa1Y5aWlXalUtZkJIZ3RDem9GZC1UV0JDbzFtMkxiZ3BBeVdOcnlTU0g5dnRRUGhXR3hGZFNlNEcwaEtEQXZfZTI5QQ?oc=5</x:v>
      </x:c>
      <x:c r="Z20" s="18" t="n">
        <x:v>46272.6531712963</x:v>
      </x:c>
      <x:c r="AA20" s="18" t="n">
        <x:v>46275.38862103009</x:v>
      </x:c>
      <x:c r="AB20" s="18" t="str">
        <x:v>public_rss</x:v>
      </x:c>
      <x:c r="AC20" s="18" t="str">
        <x:v>READY</x:v>
      </x:c>
    </x:row>
    <x:row r="21">
      <x:c r="A21" s="18" t="str">
        <x:v>NYT-36-51cef4012af2caeb</x:v>
      </x:c>
      <x:c r="B21" s="18" t="str">
        <x:v>GeM to allow eligible foreign suppliers; move driven by FTA commitments - Medical Buyer</x:v>
      </x:c>
      <x:c r="C21" s="18" t="str">
        <x:v>2026-09-03</x:v>
      </x:c>
      <x:c r="D21" s="18" t="n">
        <x:v>2026</x:v>
      </x:c>
      <x:c r="E21" s="18" t="str">
        <x:v>2026-09</x:v>
      </x:c>
      <x:c r="F21" s="18" t="str"/>
      <x:c r="G21" s="18" t="str">
        <x:v>India state e procurement tender</x:v>
      </x:c>
      <x:c r="H21" s="18" t="str"/>
      <x:c r="I21" s="18" t="str">
        <x:v>Medical Buyer</x:v>
      </x:c>
      <x:c r="J21" s="20" t="str"/>
      <x:c r="K21" s="18" t="str">
        <x:v>electors</x:v>
      </x:c>
      <x:c r="L21" s="18" t="str">
        <x:v>GeM to allow eligible foreign suppliers; move driven by FTA commitments - Medical Buyer</x:v>
      </x:c>
      <x:c r="M21" s="18" t="str">
        <x:v>Medical Buyer</x:v>
      </x:c>
      <x:c r="N21" s="18" t="str">
        <x:v>India state e procurement tender</x:v>
      </x:c>
      <x:c r="O21" s="18" t="n">
        <x:v>46268.10219907408</x:v>
      </x:c>
      <x:c r="P21" s="18" t="str">
        <x:v>https://medicalbuyer.co.in</x:v>
      </x:c>
      <x:c r="Q21" s="18" t="str">
        <x:v>DEFINED_TERMINAL_OR_FEED_SCOPE</x:v>
      </x:c>
      <x:c r="R21" s="18" t="str">
        <x:v>news_state_tenders_14d.json — published records loaded</x:v>
      </x:c>
      <x:c r="S21" s="18" t="str"/>
      <x:c r="T21" s="18" t="str"/>
      <x:c r="U21" s="20" t="n">
        <x:v>25</x:v>
      </x:c>
      <x:c r="V21" s="19" t="n">
        <x:f>IFERROR(TODAY()-DATEVALUE(C21),"")</x:f>
        <x:v>7</x:v>
      </x:c>
      <x:c r="W21" s="21" t="n">
        <x:f>ROUND(COUNTA(A21:K21)/11*100,0)</x:f>
        <x:v>100</x:v>
      </x:c>
      <x:c r="X21" s="18" t="str">
        <x:v>Google News RSS</x:v>
      </x:c>
      <x:c r="Y21" s="22" t="str">
        <x:v>https://news.google.com/rss/articles/CBMinwFBVV95cUxOS0ZrN2JFZzd0dmlBVEZ0VmVPOGg4MXRqMGFWUHhncl9FeWZTanY0SXIyTlJSYUQ1ekxmYnYwT0VXNFFhVFJHUnozN2NvcjVkdmdLcXhPNWxIc3VGVlVkUTJhMXhTTmxhLWJMUTNNWFVtVEY5Qk1uNi1famJvSlNOTE9pVHMxN09EMEZmeVRKVVVuYmhVUHRNd1ZCT2hrUUk?oc=5</x:v>
      </x:c>
      <x:c r="Z21" s="18" t="n">
        <x:v>46268.10219907408</x:v>
      </x:c>
      <x:c r="AA21" s="18" t="n">
        <x:v>46275.38862103009</x:v>
      </x:c>
      <x:c r="AB21" s="18" t="str">
        <x:v>public_rss</x:v>
      </x:c>
      <x:c r="AC21" s="18" t="str">
        <x:v>READY</x:v>
      </x:c>
    </x:row>
    <x:row r="22">
      <x:c r="A22" s="18" t="str">
        <x:v>NYT-36-597c85c90f798346</x:v>
      </x:c>
      <x:c r="B22" s="18" t="str">
        <x:v>Mismanagement, irregularities cost Tamil Nadu PSUs Rs 3,299 crore: CAG - DT Next</x:v>
      </x:c>
      <x:c r="C22" s="18" t="str">
        <x:v>2026-09-10</x:v>
      </x:c>
      <x:c r="D22" s="18" t="n">
        <x:v>2026</x:v>
      </x:c>
      <x:c r="E22" s="18" t="str">
        <x:v>2026-09</x:v>
      </x:c>
      <x:c r="F22" s="18" t="str"/>
      <x:c r="G22" s="18" t="str">
        <x:v>India state e procurement tender</x:v>
      </x:c>
      <x:c r="H22" s="18" t="str"/>
      <x:c r="I22" s="18" t="str">
        <x:v>DT Next</x:v>
      </x:c>
      <x:c r="J22" s="20" t="str"/>
      <x:c r="K22" s="18" t="str">
        <x:v>electors</x:v>
      </x:c>
      <x:c r="L22" s="18" t="str">
        <x:v>Mismanagement, irregularities cost Tamil Nadu PSUs Rs 3,299 crore: CAG - DT Next</x:v>
      </x:c>
      <x:c r="M22" s="18" t="str">
        <x:v>DT Next</x:v>
      </x:c>
      <x:c r="N22" s="18" t="str">
        <x:v>India state e procurement tender</x:v>
      </x:c>
      <x:c r="O22" s="18" t="n">
        <x:v>46275.12525462963</x:v>
      </x:c>
      <x:c r="P22" s="18" t="str">
        <x:v>https://www.dtnext.in</x:v>
      </x:c>
      <x:c r="Q22" s="18" t="str">
        <x:v>DEFINED_TERMINAL_OR_FEED_SCOPE</x:v>
      </x:c>
      <x:c r="R22" s="18" t="str">
        <x:v>news_state_tenders_14d.json — published records loaded</x:v>
      </x:c>
      <x:c r="S22" s="18" t="str"/>
      <x:c r="T22" s="18" t="str"/>
      <x:c r="U22" s="20" t="n">
        <x:v>25</x:v>
      </x:c>
      <x:c r="V22" s="19" t="n">
        <x:f>IFERROR(TODAY()-DATEVALUE(C22),"")</x:f>
        <x:v>0</x:v>
      </x:c>
      <x:c r="W22" s="21" t="n">
        <x:f>ROUND(COUNTA(A22:K22)/11*100,0)</x:f>
        <x:v>100</x:v>
      </x:c>
      <x:c r="X22" s="18" t="str">
        <x:v>Google News RSS</x:v>
      </x:c>
      <x:c r="Y22" s="22" t="str">
        <x:v>https://news.google.com/rss/articles/CBMipwFBVV95cUxNakFLYjB2NU0tWDRsRGc1NGhiYVJwZFNuSUQ5QVRXZU8zbmpOUC12OGFwcWhQeEs2SDBaNDMzdUN0WmxXTmc1SXVPRmNiakFLWXloVG4zT3BJLVFpOWRlcVg5T002NW1iUVdFZkVVa2pYakFLcllvdDBvRl83d0V3YWpCdnhyYTVRX21jbzNMQWlYaVJyWUZWNHUzQ3hpQzRudHc3WDRLb9IBtAFBVV95cUxQNFYtUmF1OXo1NUxfbDFrczhubk85RGNvVWFRakQ3Z2ZjdEZydmpTWk56S1lMTlpuaFVwR1Z6RDBXN3R6dXBTZnZnZGlfWFpVdWIxcXVVbzI3andubUh3UVF6TDV2bzNxN2RIQXcxY21xVGRzT1RSbS1XRXdPby01Y2JvWmNaMkVxdllNd2RrQlhEWjh3aXRrRndpeURwMzZzcTFjWVEtbXNNY05lMFY3cWRQMXg?oc=5</x:v>
      </x:c>
      <x:c r="Z22" s="18" t="n">
        <x:v>46275.12525462963</x:v>
      </x:c>
      <x:c r="AA22" s="18" t="n">
        <x:v>46275.38862103009</x:v>
      </x:c>
      <x:c r="AB22" s="18" t="str">
        <x:v>public_rss</x:v>
      </x:c>
      <x:c r="AC22" s="18" t="str">
        <x:v>READY</x:v>
      </x:c>
    </x:row>
    <x:row r="23">
      <x:c r="A23" s="18" t="str">
        <x:v>NYT-36-5e5b0524273fb26f</x:v>
      </x:c>
      <x:c r="B23" s="18" t="str">
        <x:v>Criminal Prosecution Against Company For Mens Rea Offences Cannot Be Quashed Merely Because No Natural Person Is Identified Or Arraigned: Supreme Court - Law Trend</x:v>
      </x:c>
      <x:c r="C23" s="18" t="str">
        <x:v>2026-09-07</x:v>
      </x:c>
      <x:c r="D23" s="18" t="n">
        <x:v>2026</x:v>
      </x:c>
      <x:c r="E23" s="18" t="str">
        <x:v>2026-09</x:v>
      </x:c>
      <x:c r="F23" s="18" t="str"/>
      <x:c r="G23" s="18" t="str">
        <x:v>India state e procurement tender</x:v>
      </x:c>
      <x:c r="H23" s="18" t="str"/>
      <x:c r="I23" s="18" t="str">
        <x:v>Law Trend</x:v>
      </x:c>
      <x:c r="J23" s="20" t="str"/>
      <x:c r="K23" s="18" t="str">
        <x:v>electors</x:v>
      </x:c>
      <x:c r="L23" s="18" t="str">
        <x:v>Criminal Prosecution Against Company For Mens Rea Offences Cannot Be Quashed Merely Because No Natural Person Is Identified Or Arraigned: Supreme Court - Law Trend</x:v>
      </x:c>
      <x:c r="M23" s="18" t="str">
        <x:v>Law Trend</x:v>
      </x:c>
      <x:c r="N23" s="18" t="str">
        <x:v>India state e procurement tender</x:v>
      </x:c>
      <x:c r="O23" s="18" t="n">
        <x:v>46272.49302083333</x:v>
      </x:c>
      <x:c r="P23" s="18" t="str">
        <x:v>https://lawtrend.in</x:v>
      </x:c>
      <x:c r="Q23" s="18" t="str">
        <x:v>DEFINED_TERMINAL_OR_FEED_SCOPE</x:v>
      </x:c>
      <x:c r="R23" s="18" t="str">
        <x:v>news_state_tenders_14d.json — published records loaded</x:v>
      </x:c>
      <x:c r="S23" s="18" t="str"/>
      <x:c r="T23" s="18" t="str"/>
      <x:c r="U23" s="20" t="n">
        <x:v>25</x:v>
      </x:c>
      <x:c r="V23" s="19" t="n">
        <x:f>IFERROR(TODAY()-DATEVALUE(C23),"")</x:f>
        <x:v>3</x:v>
      </x:c>
      <x:c r="W23" s="21" t="n">
        <x:f>ROUND(COUNTA(A23:K23)/11*100,0)</x:f>
        <x:v>100</x:v>
      </x:c>
      <x:c r="X23" s="18" t="str">
        <x:v>Google News RSS</x:v>
      </x:c>
      <x:c r="Y23" s="22" t="str">
        <x:v>https://news.google.com/rss/articles/CBMigAJBVV95cUxPWlotLW1nZm1La3pRdGFQYnRIcjZXb1FzbURsV0xtWFVOdVZKNHUyX0YyZUNSMGN0ZjUtbjZ0NXVtV252dTdYQXB4bU1GN0dGcGp2bmdSUFAxRnFJZkZmaVhFYjNRVVlTUEk3VU5SMUpLRnBBME95YUdoSmhoMGcxZkRQTFYtektPR1h6dTZWWTdDeXR2aWZjWnRHMU5UVnB2dFdGM1NEZzB5QmNlQndLUVl0MDc0YmNZcXNJU1FzZUo3NlFadGdTWW1IVk5oRl95YUV3MGt0UXQ0a29kdURrNW5iVFZFMEpRM3lYdmlDdG9KMkd4MlNaQ05YZUJlX1VH?oc=5</x:v>
      </x:c>
      <x:c r="Z23" s="18" t="n">
        <x:v>46272.49302083333</x:v>
      </x:c>
      <x:c r="AA23" s="18" t="n">
        <x:v>46275.38862103009</x:v>
      </x:c>
      <x:c r="AB23" s="18" t="str">
        <x:v>public_rss</x:v>
      </x:c>
      <x:c r="AC23" s="18" t="str">
        <x:v>READY</x:v>
      </x:c>
    </x:row>
    <x:row r="24">
      <x:c r="A24" s="18" t="str">
        <x:v>NYT-36-4a104f75158fe8df</x:v>
      </x:c>
      <x:c r="B24" s="18" t="str">
        <x:v>EU wants to edge out China in public contracts - Free Malaysia Today</x:v>
      </x:c>
      <x:c r="C24" s="18" t="str">
        <x:v>2026-09-09</x:v>
      </x:c>
      <x:c r="D24" s="18" t="n">
        <x:v>2026</x:v>
      </x:c>
      <x:c r="E24" s="18" t="str">
        <x:v>2026-09</x:v>
      </x:c>
      <x:c r="F24" s="18" t="str"/>
      <x:c r="G24" s="18" t="str">
        <x:v>India state e procurement tender</x:v>
      </x:c>
      <x:c r="H24" s="18" t="str"/>
      <x:c r="I24" s="18" t="str">
        <x:v>Free Malaysia Today</x:v>
      </x:c>
      <x:c r="J24" s="20" t="str"/>
      <x:c r="K24" s="18" t="str">
        <x:v>electors</x:v>
      </x:c>
      <x:c r="L24" s="18" t="str">
        <x:v>EU wants to edge out China in public contracts - Free Malaysia Today</x:v>
      </x:c>
      <x:c r="M24" s="18" t="str">
        <x:v>Free Malaysia Today</x:v>
      </x:c>
      <x:c r="N24" s="18" t="str">
        <x:v>India state e procurement tender</x:v>
      </x:c>
      <x:c r="O24" s="18" t="n">
        <x:v>46274.81643518519</x:v>
      </x:c>
      <x:c r="P24" s="18" t="str">
        <x:v>https://www.freemalaysiatoday.com</x:v>
      </x:c>
      <x:c r="Q24" s="18" t="str">
        <x:v>DEFINED_TERMINAL_OR_FEED_SCOPE</x:v>
      </x:c>
      <x:c r="R24" s="18" t="str">
        <x:v>news_state_tenders_14d.json — published records loaded</x:v>
      </x:c>
      <x:c r="S24" s="18" t="str"/>
      <x:c r="T24" s="18" t="str"/>
      <x:c r="U24" s="20" t="n">
        <x:v>25</x:v>
      </x:c>
      <x:c r="V24" s="19" t="n">
        <x:f>IFERROR(TODAY()-DATEVALUE(C24),"")</x:f>
        <x:v>1</x:v>
      </x:c>
      <x:c r="W24" s="21" t="n">
        <x:f>ROUND(COUNTA(A24:K24)/11*100,0)</x:f>
        <x:v>100</x:v>
      </x:c>
      <x:c r="X24" s="18" t="str">
        <x:v>Google News RSS</x:v>
      </x:c>
      <x:c r="Y24" s="22" t="str">
        <x:v>https://news.google.com/rss/articles/CBMirgFBVV95cUxOLWZQZTIxR3ZESjZ1NWtVUUt3S0xuNjJFX25PTHQtVkN0UFZFNlZxc0E2QnJicVBfOEdOcGYyLVdGbG1DRzIzQzRqWHQ1MFhDSFdFSTFYcEx4TGdaQVdqQm1aSVNRc0liWkI4cXpFZWtBem1fUDd0eUVPdFhmRmpWSEkyYnZXblVsVGhvdExzZ0tYdDVRdTNVNm54aGlwRW9yaWs3T2xOdldOSnlOT3c?oc=5</x:v>
      </x:c>
      <x:c r="Z24" s="18" t="n">
        <x:v>46274.81643518519</x:v>
      </x:c>
      <x:c r="AA24" s="18" t="n">
        <x:v>46275.38862103009</x:v>
      </x:c>
      <x:c r="AB24" s="18" t="str">
        <x:v>public_rss</x:v>
      </x:c>
      <x:c r="AC24" s="18" t="str">
        <x:v>READY</x:v>
      </x:c>
    </x:row>
    <x:row r="25">
      <x:c r="A25" s="18" t="str">
        <x:v>NYT-36-6fbced7bb2bbbb79</x:v>
      </x:c>
      <x:c r="B25" s="18" t="str">
        <x:v>India Daily: Andaman &amp; Nicobar Tenders 20 MWh BESS, NLC–OREDA Form Green JV, UPCL Tenders BESS, BERC Reviews 70 MW LTA, REC Transfers Luhri SPV, BERC Reviews OA Charges - SolarQuarter</x:v>
      </x:c>
      <x:c r="C25" s="18" t="str">
        <x:v>2026-09-02</x:v>
      </x:c>
      <x:c r="D25" s="18" t="n">
        <x:v>2026</x:v>
      </x:c>
      <x:c r="E25" s="18" t="str">
        <x:v>2026-09</x:v>
      </x:c>
      <x:c r="F25" s="18" t="str"/>
      <x:c r="G25" s="18" t="str">
        <x:v>India state e procurement tender</x:v>
      </x:c>
      <x:c r="H25" s="18" t="str"/>
      <x:c r="I25" s="18" t="str">
        <x:v>SolarQuarter</x:v>
      </x:c>
      <x:c r="J25" s="20" t="str"/>
      <x:c r="K25" s="18" t="str">
        <x:v>electors</x:v>
      </x:c>
      <x:c r="L25" s="18" t="str">
        <x:v>India Daily: Andaman &amp; Nicobar Tenders 20 MWh BESS, NLC–OREDA Form Green JV, UPCL Tenders BESS, BERC Reviews 70 MW LTA, REC Transfers Luhri SPV, BERC Reviews OA Charges - SolarQuarter</x:v>
      </x:c>
      <x:c r="M25" s="18" t="str">
        <x:v>SolarQuarter</x:v>
      </x:c>
      <x:c r="N25" s="18" t="str">
        <x:v>India state e procurement tender</x:v>
      </x:c>
      <x:c r="O25" s="18" t="n">
        <x:v>46267.52575231482</x:v>
      </x:c>
      <x:c r="P25" s="18" t="str">
        <x:v>https://solarquarter.com</x:v>
      </x:c>
      <x:c r="Q25" s="18" t="str">
        <x:v>DEFINED_TERMINAL_OR_FEED_SCOPE</x:v>
      </x:c>
      <x:c r="R25" s="18" t="str">
        <x:v>news_state_tenders_14d.json — published records loaded</x:v>
      </x:c>
      <x:c r="S25" s="18" t="str"/>
      <x:c r="T25" s="18" t="str"/>
      <x:c r="U25" s="20" t="n">
        <x:v>25</x:v>
      </x:c>
      <x:c r="V25" s="19" t="n">
        <x:f>IFERROR(TODAY()-DATEVALUE(C25),"")</x:f>
        <x:v>8</x:v>
      </x:c>
      <x:c r="W25" s="21" t="n">
        <x:f>ROUND(COUNTA(A25:K25)/11*100,0)</x:f>
        <x:v>100</x:v>
      </x:c>
      <x:c r="X25" s="18" t="str">
        <x:v>Google News RSS</x:v>
      </x:c>
      <x:c r="Y25" s="22" t="str">
        <x:v>https://news.google.com/rss/articles/CBMiowJBVV95cUxNRGdzQXpuSXlqeGFBRE1QTmFDM2xubHJzanBYNVNoSERSekRTYThmTWFibm1ieVNudnM0WG9fcXBDV1hhUjRZZF9IVjZxMWJEaWxnbVZ3STQ5VnhuczF4OGhoSzdZckJGSXZNTG12Yk9hVk1xQlBjekhuU3pwcjBwTlhqNTFqWGlrUllJSnc4MVRydkNZVEY5S1lZb0NpbWlxNWpDQXJ4SUIwNFZHMzA4TmZrSmhpeTZhbURyb2prVnhFR1RTVkJ5a2ZzOTJvR2hwc3oxcEFZNnNFRmJPT1hVcGpvNFlkWHFrbDI3ZmVwOFVuN2JTRVNleExlc01abnZkYVluWGdGX085cXYtREs0TGN6UTlhdVFqZmUwSHN3SnloMG8?oc=5</x:v>
      </x:c>
      <x:c r="Z25" s="18" t="n">
        <x:v>46267.52575231482</x:v>
      </x:c>
      <x:c r="AA25" s="18" t="n">
        <x:v>46275.38862103009</x:v>
      </x:c>
      <x:c r="AB25" s="18" t="str">
        <x:v>public_rss</x:v>
      </x:c>
      <x:c r="AC25" s="18" t="str">
        <x:v>READY</x:v>
      </x:c>
    </x:row>
    <x:row r="26">
      <x:c r="A26" s="18" t="str">
        <x:v>NYT-36-f37f5d4ac23775ab</x:v>
      </x:c>
      <x:c r="B26" s="18" t="str">
        <x:v>Odisha Coast Road Approved to Cut Travel Time by Two and a Half Hours - Construction World</x:v>
      </x:c>
      <x:c r="C26" s="18" t="str">
        <x:v>2026-09-07</x:v>
      </x:c>
      <x:c r="D26" s="18" t="n">
        <x:v>2026</x:v>
      </x:c>
      <x:c r="E26" s="18" t="str">
        <x:v>2026-09</x:v>
      </x:c>
      <x:c r="F26" s="18" t="str"/>
      <x:c r="G26" s="18" t="str">
        <x:v>India state e procurement tender</x:v>
      </x:c>
      <x:c r="H26" s="18" t="str"/>
      <x:c r="I26" s="18" t="str">
        <x:v>Construction World</x:v>
      </x:c>
      <x:c r="J26" s="20" t="str"/>
      <x:c r="K26" s="18" t="str">
        <x:v>electors</x:v>
      </x:c>
      <x:c r="L26" s="18" t="str">
        <x:v>Odisha Coast Road Approved to Cut Travel Time by Two and a Half Hours - Construction World</x:v>
      </x:c>
      <x:c r="M26" s="18" t="str">
        <x:v>Construction World</x:v>
      </x:c>
      <x:c r="N26" s="18" t="str">
        <x:v>India state e procurement tender</x:v>
      </x:c>
      <x:c r="O26" s="18" t="n">
        <x:v>46272.25795138889</x:v>
      </x:c>
      <x:c r="P26" s="18" t="str">
        <x:v>https://www.constructionworld.in</x:v>
      </x:c>
      <x:c r="Q26" s="18" t="str">
        <x:v>DEFINED_TERMINAL_OR_FEED_SCOPE</x:v>
      </x:c>
      <x:c r="R26" s="18" t="str">
        <x:v>news_state_tenders_14d.json — published records loaded</x:v>
      </x:c>
      <x:c r="S26" s="18" t="str"/>
      <x:c r="T26" s="18" t="str"/>
      <x:c r="U26" s="20" t="n">
        <x:v>25</x:v>
      </x:c>
      <x:c r="V26" s="19" t="n">
        <x:f>IFERROR(TODAY()-DATEVALUE(C26),"")</x:f>
        <x:v>3</x:v>
      </x:c>
      <x:c r="W26" s="21" t="n">
        <x:f>ROUND(COUNTA(A26:K26)/11*100,0)</x:f>
        <x:v>100</x:v>
      </x:c>
      <x:c r="X26" s="18" t="str">
        <x:v>Google News RSS</x:v>
      </x:c>
      <x:c r="Y26" s="22" t="str">
        <x:v>https://news.google.com/rss/articles/CBMi-wFBVV95cUxNWGdiR1JNamtSSVJwZ1JKYzhXNjVTdmRUZUYxbF8xRFhySUVkUDhyWFk3WkR5cEVwbWJwVFl5Q3ozV0JvT1RGc2xyX2Q1SFBtd2ZUZGY0WDVrSmdpczF6ZVZWNXpGc0M1anNZbUYzdWFyMm80LXFfT0ZaZGhoR0kyUnhocEtwMkRQRFZRbUFVUnA4TFRTMTZtbXVUNVRRN2VjN3N3czlEWW5JN1FFR0ZlZklZSEt2TVgyUzJtQms0blU3V2d0RjIzcUdlanQxYzdYUTlTa2FLS2pGdFZJdklESU9RSzk5cnRCeDlhdGRDWnF0VUhSOWthVkZNOA?oc=5</x:v>
      </x:c>
      <x:c r="Z26" s="18" t="n">
        <x:v>46272.25795138889</x:v>
      </x:c>
      <x:c r="AA26" s="18" t="n">
        <x:v>46275.38862103009</x:v>
      </x:c>
      <x:c r="AB26" s="18" t="str">
        <x:v>public_rss</x:v>
      </x:c>
      <x:c r="AC26" s="18" t="str">
        <x:v>READY</x:v>
      </x:c>
    </x:row>
    <x:row r="27">
      <x:c r="A27" s="18" t="str">
        <x:v>NYT-36-d05a6daf16cddddc</x:v>
      </x:c>
      <x:c r="B27" s="18" t="str">
        <x:v>The Ochakiv Lyceum Spent 720,000 on Furniture for a Shelter Without a Bidding Process - Інтент</x:v>
      </x:c>
      <x:c r="C27" s="18" t="str">
        <x:v>2026-09-07</x:v>
      </x:c>
      <x:c r="D27" s="18" t="n">
        <x:v>2026</x:v>
      </x:c>
      <x:c r="E27" s="18" t="str">
        <x:v>2026-09</x:v>
      </x:c>
      <x:c r="F27" s="18" t="str"/>
      <x:c r="G27" s="18" t="str">
        <x:v>India state e procurement tender</x:v>
      </x:c>
      <x:c r="H27" s="18" t="str"/>
      <x:c r="I27" s="18" t="str">
        <x:v>Інтент</x:v>
      </x:c>
      <x:c r="J27" s="20" t="str"/>
      <x:c r="K27" s="18" t="str">
        <x:v>electors</x:v>
      </x:c>
      <x:c r="L27" s="18" t="str">
        <x:v>The Ochakiv Lyceum Spent 720,000 on Furniture for a Shelter Without a Bidding Process - Інтент</x:v>
      </x:c>
      <x:c r="M27" s="18" t="str">
        <x:v>Інтент</x:v>
      </x:c>
      <x:c r="N27" s="18" t="str">
        <x:v>India state e procurement tender</x:v>
      </x:c>
      <x:c r="O27" s="18" t="n">
        <x:v>46272.824282407404</x:v>
      </x:c>
      <x:c r="P27" s="18" t="str">
        <x:v>https://intent.press</x:v>
      </x:c>
      <x:c r="Q27" s="18" t="str">
        <x:v>DEFINED_TERMINAL_OR_FEED_SCOPE</x:v>
      </x:c>
      <x:c r="R27" s="18" t="str">
        <x:v>news_state_tenders_14d.json — published records loaded</x:v>
      </x:c>
      <x:c r="S27" s="18" t="str"/>
      <x:c r="T27" s="18" t="str"/>
      <x:c r="U27" s="20" t="n">
        <x:v>25</x:v>
      </x:c>
      <x:c r="V27" s="19" t="n">
        <x:f>IFERROR(TODAY()-DATEVALUE(C27),"")</x:f>
        <x:v>3</x:v>
      </x:c>
      <x:c r="W27" s="21" t="n">
        <x:f>ROUND(COUNTA(A27:K27)/11*100,0)</x:f>
        <x:v>100</x:v>
      </x:c>
      <x:c r="X27" s="18" t="str">
        <x:v>Google News RSS</x:v>
      </x:c>
      <x:c r="Y27" s="22" t="str">
        <x:v>https://news.google.com/rss/articles/CBMiyAFBVV95cUxPblNiekZWbnZEc1RQZDNObEZGeFNJSEtVR0hiR3JpWDgyd0lqZzVEdldDcnJqZzJDaG9FSzNFV1JZQ3B1bjhrUUJ6OF9qZFhrdXBhQndZUXBXR1BGTnBhZ25HSFgyejZUOXhLZDhHa2k2S2JXVjdvVnloQUY1QWRpd20xNmd0bFVwWVJFZkVNTjB3MWp5XzhwQ0Z1aGNhcUw0Y0VFdzNqM0RnVEh2czJidXRocjZvMmsxVE84R0pMSkV3ZWpwVDNqbw?oc=5</x:v>
      </x:c>
      <x:c r="Z27" s="18" t="n">
        <x:v>46272.824282407404</x:v>
      </x:c>
      <x:c r="AA27" s="18" t="n">
        <x:v>46275.38862103009</x:v>
      </x:c>
      <x:c r="AB27" s="18" t="str">
        <x:v>public_rss</x:v>
      </x:c>
      <x:c r="AC27" s="18" t="str">
        <x:v>READY</x:v>
      </x:c>
    </x:row>
    <x:row r="28">
      <x:c r="A28" s="18" t="str">
        <x:v>NYT-36-d128ecf32f53c93b</x:v>
      </x:c>
      <x:c r="B28" s="18" t="str">
        <x:v>European Commission proposes EU-wide public procurement overhaul - Cyprus Inform</x:v>
      </x:c>
      <x:c r="C28" s="18" t="str">
        <x:v>2026-09-09</x:v>
      </x:c>
      <x:c r="D28" s="18" t="n">
        <x:v>2026</x:v>
      </x:c>
      <x:c r="E28" s="18" t="str">
        <x:v>2026-09</x:v>
      </x:c>
      <x:c r="F28" s="18" t="str"/>
      <x:c r="G28" s="18" t="str">
        <x:v>India state e procurement tender</x:v>
      </x:c>
      <x:c r="H28" s="18" t="str"/>
      <x:c r="I28" s="18" t="str">
        <x:v>Cyprus Inform</x:v>
      </x:c>
      <x:c r="J28" s="20" t="str"/>
      <x:c r="K28" s="18" t="str">
        <x:v>electors</x:v>
      </x:c>
      <x:c r="L28" s="18" t="str">
        <x:v>European Commission proposes EU-wide public procurement overhaul - Cyprus Inform</x:v>
      </x:c>
      <x:c r="M28" s="18" t="str">
        <x:v>Cyprus Inform</x:v>
      </x:c>
      <x:c r="N28" s="18" t="str">
        <x:v>India state e procurement tender</x:v>
      </x:c>
      <x:c r="O28" s="18" t="n">
        <x:v>46274.493101851855</x:v>
      </x:c>
      <x:c r="P28" s="18" t="str">
        <x:v>https://www.kiprinform.com</x:v>
      </x:c>
      <x:c r="Q28" s="18" t="str">
        <x:v>DEFINED_TERMINAL_OR_FEED_SCOPE</x:v>
      </x:c>
      <x:c r="R28" s="18" t="str">
        <x:v>news_state_tenders_14d.json — published records loaded</x:v>
      </x:c>
      <x:c r="S28" s="18" t="str"/>
      <x:c r="T28" s="18" t="str"/>
      <x:c r="U28" s="20" t="n">
        <x:v>25</x:v>
      </x:c>
      <x:c r="V28" s="19" t="n">
        <x:f>IFERROR(TODAY()-DATEVALUE(C28),"")</x:f>
        <x:v>1</x:v>
      </x:c>
      <x:c r="W28" s="21" t="n">
        <x:f>ROUND(COUNTA(A28:K28)/11*100,0)</x:f>
        <x:v>100</x:v>
      </x:c>
      <x:c r="X28" s="18" t="str">
        <x:v>Google News RSS</x:v>
      </x:c>
      <x:c r="Y28" s="22" t="str">
        <x:v>https://news.google.com/rss/articles/CBMiogFBVV95cUxOaDZLdldEOXJoZi1SV2xsS1QwaC1TM1A2UGd5S01KUXNNZXRHQ3VpUkZtcWxkMWNKZ2hDOWxmWF9QUEN5dkVNSEFvd2Zmd29KYTVOajUyeHlleGpHOHAxaU8tWkRYLWc2SExEWGxvalUwWW5od0kwaXN5MXUxTXktZGYwLXRQVmNuMHpXWjZ1TWl6aTluZklqVkdHRUtWN2R2amc?oc=5</x:v>
      </x:c>
      <x:c r="Z28" s="18" t="n">
        <x:v>46274.493101851855</x:v>
      </x:c>
      <x:c r="AA28" s="18" t="n">
        <x:v>46275.38862103009</x:v>
      </x:c>
      <x:c r="AB28" s="18" t="str">
        <x:v>public_rss</x:v>
      </x:c>
      <x:c r="AC28" s="18" t="str">
        <x:v>READY</x:v>
      </x:c>
    </x:row>
    <x:row r="29">
      <x:c r="A29" s="18" t="str">
        <x:v>NYT-36-032bf0decee02d4b</x:v>
      </x:c>
      <x:c r="B29" s="18" t="str">
        <x:v>Maha govt forms tender committee to set up NBFC for ‘Viksit Maharashtra 2047’ credit need - Social News XYZ</x:v>
      </x:c>
      <x:c r="C29" s="18" t="str">
        <x:v>2026-09-08</x:v>
      </x:c>
      <x:c r="D29" s="18" t="n">
        <x:v>2026</x:v>
      </x:c>
      <x:c r="E29" s="18" t="str">
        <x:v>2026-09</x:v>
      </x:c>
      <x:c r="F29" s="18" t="str"/>
      <x:c r="G29" s="18" t="str">
        <x:v>India state e procurement tender</x:v>
      </x:c>
      <x:c r="H29" s="18" t="str"/>
      <x:c r="I29" s="18" t="str">
        <x:v>Social News XYZ</x:v>
      </x:c>
      <x:c r="J29" s="20" t="str"/>
      <x:c r="K29" s="18" t="str">
        <x:v>electors</x:v>
      </x:c>
      <x:c r="L29" s="18" t="str">
        <x:v>Maha govt forms tender committee to set up NBFC for ‘Viksit Maharashtra 2047’ credit need - Social News XYZ</x:v>
      </x:c>
      <x:c r="M29" s="18" t="str">
        <x:v>Social News XYZ</x:v>
      </x:c>
      <x:c r="N29" s="18" t="str">
        <x:v>India state e procurement tender</x:v>
      </x:c>
      <x:c r="O29" s="18" t="n">
        <x:v>46273.017118055555</x:v>
      </x:c>
      <x:c r="P29" s="18" t="str">
        <x:v>https://www.socialnews.xyz</x:v>
      </x:c>
      <x:c r="Q29" s="18" t="str">
        <x:v>DEFINED_TERMINAL_OR_FEED_SCOPE</x:v>
      </x:c>
      <x:c r="R29" s="18" t="str">
        <x:v>news_state_tenders_14d.json — published records loaded</x:v>
      </x:c>
      <x:c r="S29" s="18" t="str"/>
      <x:c r="T29" s="18" t="str"/>
      <x:c r="U29" s="20" t="n">
        <x:v>25</x:v>
      </x:c>
      <x:c r="V29" s="19" t="n">
        <x:f>IFERROR(TODAY()-DATEVALUE(C29),"")</x:f>
        <x:v>2</x:v>
      </x:c>
      <x:c r="W29" s="21" t="n">
        <x:f>ROUND(COUNTA(A29:K29)/11*100,0)</x:f>
        <x:v>100</x:v>
      </x:c>
      <x:c r="X29" s="18" t="str">
        <x:v>Google News RSS</x:v>
      </x:c>
      <x:c r="Y29" s="22" t="str">
        <x:v>https://news.google.com/rss/articles/CBMixAFBVV95cUxPNGpMZnIzZEt5b0xNdTZhOWpjZE1hM09PQjlzZHdRLVhzQkNWNW5BRC16dmxHWFZVNHFCOVZQc0xYRmZGb3pzVVZ2Z1NGckVic1NpamZHdGJ1V0JjLTRhTGZJanNiYnctX0dPMDY2Q0Y1QTRtUXpoSFlYeGUtTWZ6dXFScWdkcmRsMml1dlR3eWtkc1RRUE4tcTdqSEpnamFHWC1LR3pDYzlvRExMVktsRVpJTTFHVk5CQTk4a0lzZE1ZdUpS?oc=5</x:v>
      </x:c>
      <x:c r="Z29" s="18" t="n">
        <x:v>46273.017118055555</x:v>
      </x:c>
      <x:c r="AA29" s="18" t="n">
        <x:v>46275.38862103009</x:v>
      </x:c>
      <x:c r="AB29" s="18" t="str">
        <x:v>public_rss</x:v>
      </x:c>
      <x:c r="AC29" s="18" t="str">
        <x:v>READY</x:v>
      </x:c>
    </x:row>
    <x:row r="30">
      <x:c r="A30" s="18" t="str">
        <x:v>NYT-36-2fb167069914eabf</x:v>
      </x:c>
      <x:c r="B30" s="18" t="str">
        <x:v>NHAI seeks bids for pending Haridwar-Nagina highway work – What’s the cost? - financialexpress.com</x:v>
      </x:c>
      <x:c r="C30" s="18" t="str">
        <x:v>2026-08-31</x:v>
      </x:c>
      <x:c r="D30" s="18" t="n">
        <x:v>2026</x:v>
      </x:c>
      <x:c r="E30" s="18" t="str">
        <x:v>2026-08</x:v>
      </x:c>
      <x:c r="F30" s="18" t="str"/>
      <x:c r="G30" s="18" t="str">
        <x:v>India state e procurement tender</x:v>
      </x:c>
      <x:c r="H30" s="18" t="str"/>
      <x:c r="I30" s="18" t="str">
        <x:v>financialexpress.com</x:v>
      </x:c>
      <x:c r="J30" s="20" t="str"/>
      <x:c r="K30" s="18" t="str">
        <x:v>electors</x:v>
      </x:c>
      <x:c r="L30" s="18" t="str">
        <x:v>NHAI seeks bids for pending Haridwar-Nagina highway work – What’s the cost? - financialexpress.com</x:v>
      </x:c>
      <x:c r="M30" s="18" t="str">
        <x:v>financialexpress.com</x:v>
      </x:c>
      <x:c r="N30" s="18" t="str">
        <x:v>India state e procurement tender</x:v>
      </x:c>
      <x:c r="O30" s="18" t="n">
        <x:v>46265.291666666664</x:v>
      </x:c>
      <x:c r="P30" s="18" t="str">
        <x:v>https://www.financialexpress.com</x:v>
      </x:c>
      <x:c r="Q30" s="18" t="str">
        <x:v>DEFINED_TERMINAL_OR_FEED_SCOPE</x:v>
      </x:c>
      <x:c r="R30" s="18" t="str">
        <x:v>news_state_tenders_14d.json — published records loaded</x:v>
      </x:c>
      <x:c r="S30" s="18" t="str"/>
      <x:c r="T30" s="18" t="str"/>
      <x:c r="U30" s="20" t="n">
        <x:v>25</x:v>
      </x:c>
      <x:c r="V30" s="19" t="n">
        <x:f>IFERROR(TODAY()-DATEVALUE(C30),"")</x:f>
        <x:v>10</x:v>
      </x:c>
      <x:c r="W30" s="21" t="n">
        <x:f>ROUND(COUNTA(A30:K30)/11*100,0)</x:f>
        <x:v>100</x:v>
      </x:c>
      <x:c r="X30" s="18" t="str">
        <x:v>Google News RSS</x:v>
      </x:c>
      <x:c r="Y30" s="22" t="str">
        <x:v>https://news.google.com/rss/articles/CBMiyAFBVV95cUxOUWlxZE43ejZ4VGtOUFlzM1RRRVo0Tkp0MnZhdXk3cmpDT3k2VVM2RHhsZDZfblNaei13d3RmY2NBQlpRMDFla0hNVTdoSkZJNGJaSHNOWFk5TjRyLU5PN0FhLXBFZHcxaXFOc2NHUHRocEtnc0hEZldlZW4zU0VXc09weGxBS253Z2dxcHlUaFhfUEl2cmlkUGJlRTBiaW95SjM4RmwtcDg2V3BFdHVBLUZCNU5ESEFpV1UyQVA5WmZsWDRRTVhOZ9IBzwFBVV95cUxNaFlWMG9EM1JDRHNqYUVCX25PN3J0OWxkYUtqTlJwVjZ2NmRjd3JRUDNvMFdTdjVpdUJhREpVS2gtLVlVczdpT2c1cEtKeEd1aDlyWTF0TUJfMU1PUXFyM1BSc1g5Tk1iUG12MzZ2SXlIVEJwOExRaW9oM19URnpOVXJjbENhVzFHaUE2MjVDRHo1NF9WbS1xdmkzUDktV0Q3M1JUUHFlT29EbldKcklWSEx6S0ZxMjREMFY0VU9SRjVnaHVMV1U1NURJMjFhUWs?oc=5</x:v>
      </x:c>
      <x:c r="Z30" s="18" t="n">
        <x:v>46265.291666666664</x:v>
      </x:c>
      <x:c r="AA30" s="18" t="n">
        <x:v>46275.38862103009</x:v>
      </x:c>
      <x:c r="AB30" s="18" t="str">
        <x:v>public_rss</x:v>
      </x:c>
      <x:c r="AC30" s="18" t="str">
        <x:v>READY</x:v>
      </x:c>
    </x:row>
    <x:row r="31">
      <x:c r="A31" s="18" t="str">
        <x:v>NYT-36-edb3b528d63700df</x:v>
      </x:c>
      <x:c r="B31" s="18" t="str">
        <x:v>CAG Flags Rs. 20 Crore Excess ITC, Delayed GST Recovery and Bid-Rigging Risks in Himachal Pradesh - Juris Hour</x:v>
      </x:c>
      <x:c r="C31" s="18" t="str">
        <x:v>2026-09-05</x:v>
      </x:c>
      <x:c r="D31" s="18" t="n">
        <x:v>2026</x:v>
      </x:c>
      <x:c r="E31" s="18" t="str">
        <x:v>2026-09</x:v>
      </x:c>
      <x:c r="F31" s="18" t="str"/>
      <x:c r="G31" s="18" t="str">
        <x:v>India state e procurement tender</x:v>
      </x:c>
      <x:c r="H31" s="18" t="str"/>
      <x:c r="I31" s="18" t="str">
        <x:v>Juris Hour</x:v>
      </x:c>
      <x:c r="J31" s="20" t="str"/>
      <x:c r="K31" s="18" t="str">
        <x:v>electors</x:v>
      </x:c>
      <x:c r="L31" s="18" t="str">
        <x:v>CAG Flags Rs. 20 Crore Excess ITC, Delayed GST Recovery and Bid-Rigging Risks in Himachal Pradesh - Juris Hour</x:v>
      </x:c>
      <x:c r="M31" s="18" t="str">
        <x:v>Juris Hour</x:v>
      </x:c>
      <x:c r="N31" s="18" t="str">
        <x:v>India state e procurement tender</x:v>
      </x:c>
      <x:c r="O31" s="18" t="n">
        <x:v>46270.20333333333</x:v>
      </x:c>
      <x:c r="P31" s="18" t="str">
        <x:v>https://www.jurishour.in</x:v>
      </x:c>
      <x:c r="Q31" s="18" t="str">
        <x:v>DEFINED_TERMINAL_OR_FEED_SCOPE</x:v>
      </x:c>
      <x:c r="R31" s="18" t="str">
        <x:v>news_state_tenders_14d.json — published records loaded</x:v>
      </x:c>
      <x:c r="S31" s="18" t="str"/>
      <x:c r="T31" s="18" t="str"/>
      <x:c r="U31" s="20" t="n">
        <x:v>25</x:v>
      </x:c>
      <x:c r="V31" s="19" t="n">
        <x:f>IFERROR(TODAY()-DATEVALUE(C31),"")</x:f>
        <x:v>5</x:v>
      </x:c>
      <x:c r="W31" s="21" t="n">
        <x:f>ROUND(COUNTA(A31:K31)/11*100,0)</x:f>
        <x:v>100</x:v>
      </x:c>
      <x:c r="X31" s="18" t="str">
        <x:v>Google News RSS</x:v>
      </x:c>
      <x:c r="Y31" s="22" t="str">
        <x:v>https://news.google.com/rss/articles/CBMid0FVX3lxTFBSdUk5RHZEbTFEYnFfdlRvaU92SEo1cV9YdlpuQjBxdVZDNmVOcEJwQ2E5RWlWZWVpdlkyM0NiUXd1RFJMT2NjRjRlX19ldE9zd1h6UEdSV1NDR1pySmRQNDQtaWNYNVdSNERIUTlubGZHOXRCa180?oc=5</x:v>
      </x:c>
      <x:c r="Z31" s="18" t="n">
        <x:v>46270.20333333333</x:v>
      </x:c>
      <x:c r="AA31" s="18" t="n">
        <x:v>46275.38862103009</x:v>
      </x:c>
      <x:c r="AB31" s="18" t="str">
        <x:v>public_rss</x:v>
      </x:c>
      <x:c r="AC31" s="18" t="str">
        <x:v>READY</x:v>
      </x:c>
    </x:row>
    <x:row r="32">
      <x:c r="A32" s="18" t="str">
        <x:v>NYT-36-314f833960462459</x:v>
      </x:c>
      <x:c r="B32" s="18" t="str">
        <x:v>Bengaluru-Chennai Expressway: NHAI invites bids for Rs 633cr on Arakkonam-Kancheepuram stretch - financialexpress.com</x:v>
      </x:c>
      <x:c r="C32" s="18" t="str">
        <x:v>2026-09-02</x:v>
      </x:c>
      <x:c r="D32" s="18" t="n">
        <x:v>2026</x:v>
      </x:c>
      <x:c r="E32" s="18" t="str">
        <x:v>2026-09</x:v>
      </x:c>
      <x:c r="F32" s="18" t="str"/>
      <x:c r="G32" s="18" t="str">
        <x:v>India state e procurement tender</x:v>
      </x:c>
      <x:c r="H32" s="18" t="str"/>
      <x:c r="I32" s="18" t="str">
        <x:v>financialexpress.com</x:v>
      </x:c>
      <x:c r="J32" s="20" t="str"/>
      <x:c r="K32" s="18" t="str">
        <x:v>electors</x:v>
      </x:c>
      <x:c r="L32" s="18" t="str">
        <x:v>Bengaluru-Chennai Expressway: NHAI invites bids for Rs 633cr on Arakkonam-Kancheepuram stretch - financialexpress.com</x:v>
      </x:c>
      <x:c r="M32" s="18" t="str">
        <x:v>financialexpress.com</x:v>
      </x:c>
      <x:c r="N32" s="18" t="str">
        <x:v>India state e procurement tender</x:v>
      </x:c>
      <x:c r="O32" s="18" t="n">
        <x:v>46267.563101851854</x:v>
      </x:c>
      <x:c r="P32" s="18" t="str">
        <x:v>https://www.financialexpress.com</x:v>
      </x:c>
      <x:c r="Q32" s="18" t="str">
        <x:v>DEFINED_TERMINAL_OR_FEED_SCOPE</x:v>
      </x:c>
      <x:c r="R32" s="18" t="str">
        <x:v>news_state_tenders_14d.json — published records loaded</x:v>
      </x:c>
      <x:c r="S32" s="18" t="str"/>
      <x:c r="T32" s="18" t="str"/>
      <x:c r="U32" s="20" t="n">
        <x:v>25</x:v>
      </x:c>
      <x:c r="V32" s="19" t="n">
        <x:f>IFERROR(TODAY()-DATEVALUE(C32),"")</x:f>
        <x:v>8</x:v>
      </x:c>
      <x:c r="W32" s="21" t="n">
        <x:f>ROUND(COUNTA(A32:K32)/11*100,0)</x:f>
        <x:v>100</x:v>
      </x:c>
      <x:c r="X32" s="18" t="str">
        <x:v>Google News RSS</x:v>
      </x:c>
      <x:c r="Y32" s="22" t="str">
        <x:v>https://news.google.com/rss/articles/CBMi6AFBVV95cUxPMGJ3b3VqR20xd0txbnZwZWhoWm5VdmJLRGpiaTQweFpJLUtscjJIMWlDYzAySmxRbEJOQm1RdVprZnRwc1hlWkZuRmlsaUNTUm9sSkdjWl9aYWlOMG5DM0dJZF9kMDltUS05YzNBQm0yOEJlTmlHWURZV095SFRvUEFwRTE2amFEUkw3NGIwOWQ4UHNHVWJ5eC1vUk84SEJ0Y3BmaEItOXpDMUNEbHBvMFJGT0l5bDZ2UEExYnFqTlVfMm5hYUlWczl4d0haOWptMUFzVmoxd3BobjdMcktDcDVWWm9QN0wt0gHvAUFVX3lxTE5zZFlIN1NwMmpOU2N3MV95aUhVeGdlSkp5UUpPY0x3amQ1Q1A4U0JjVzVVcHRFbUxocEt2SGRZcHhQcUUxbVVuYVZZdVpZMkJqNzJFZWJKTGRLUVF6NF9HN0t6YTF5OVpZbHctaVJvRnBFdVFFNWR2cHg1RmtiVVJQQnR6RzMyblVXRmYzVjBsTEJDSlJCUWg4aVpyVlBZM1RKMzltSGhMRHN3NUVFNWJWR2x6N0lYWUI3U1dxWnJTQTFxRWt2ZC1lZjVvalNXc01FNDJwdFdpZHN5LVBQcmZLUkxiS2hRX2JTTWdvRF9z?oc=5</x:v>
      </x:c>
      <x:c r="Z32" s="18" t="n">
        <x:v>46267.563101851854</x:v>
      </x:c>
      <x:c r="AA32" s="18" t="n">
        <x:v>46275.38862103009</x:v>
      </x:c>
      <x:c r="AB32" s="18" t="str">
        <x:v>public_rss</x:v>
      </x:c>
      <x:c r="AC32" s="18" t="str">
        <x:v>READY</x:v>
      </x:c>
    </x:row>
    <x:row r="33">
      <x:c r="A33" s="18" t="str">
        <x:v>NYT-36-b506602c9fb77530</x:v>
      </x:c>
      <x:c r="B33" s="18" t="str">
        <x:v>Why is Pakistan importing wheat that the provinces insist they don't need - Profit by Pakistan Today</x:v>
      </x:c>
      <x:c r="C33" s="18" t="str">
        <x:v>2026-09-08</x:v>
      </x:c>
      <x:c r="D33" s="18" t="n">
        <x:v>2026</x:v>
      </x:c>
      <x:c r="E33" s="18" t="str">
        <x:v>2026-09</x:v>
      </x:c>
      <x:c r="F33" s="18" t="str"/>
      <x:c r="G33" s="18" t="str">
        <x:v>India state e procurement tender</x:v>
      </x:c>
      <x:c r="H33" s="18" t="str"/>
      <x:c r="I33" s="18" t="str">
        <x:v>Profit by Pakistan Today</x:v>
      </x:c>
      <x:c r="J33" s="20" t="str"/>
      <x:c r="K33" s="18" t="str">
        <x:v>electors</x:v>
      </x:c>
      <x:c r="L33" s="18" t="str">
        <x:v>Why is Pakistan importing wheat that the provinces insist they don't need - Profit by Pakistan Today</x:v>
      </x:c>
      <x:c r="M33" s="18" t="str">
        <x:v>Profit by Pakistan Today</x:v>
      </x:c>
      <x:c r="N33" s="18" t="str">
        <x:v>India state e procurement tender</x:v>
      </x:c>
      <x:c r="O33" s="18" t="n">
        <x:v>46273.78818287037</x:v>
      </x:c>
      <x:c r="P33" s="18" t="str">
        <x:v>https://profit.pakistantoday.com.pk</x:v>
      </x:c>
      <x:c r="Q33" s="18" t="str">
        <x:v>DEFINED_TERMINAL_OR_FEED_SCOPE</x:v>
      </x:c>
      <x:c r="R33" s="18" t="str">
        <x:v>news_state_tenders_14d.json — published records loaded</x:v>
      </x:c>
      <x:c r="S33" s="18" t="str"/>
      <x:c r="T33" s="18" t="str"/>
      <x:c r="U33" s="20" t="n">
        <x:v>25</x:v>
      </x:c>
      <x:c r="V33" s="19" t="n">
        <x:f>IFERROR(TODAY()-DATEVALUE(C33),"")</x:f>
        <x:v>2</x:v>
      </x:c>
      <x:c r="W33" s="21" t="n">
        <x:f>ROUND(COUNTA(A33:K33)/11*100,0)</x:f>
        <x:v>100</x:v>
      </x:c>
      <x:c r="X33" s="18" t="str">
        <x:v>Google News RSS</x:v>
      </x:c>
      <x:c r="Y33" s="22" t="str">
        <x:v>https://news.google.com/rss/articles/CBMitgFBVV95cUxPcTRIS1l3dGN5ckVhTkJpMi1EMlJYSFVaZU9GUUgyeHk5M1RTbnZXLU81UVpqcmktVzVuLXJMSXk2V0VqR2J2anZtNTh2T0xJencxU1Fua2RLa3dsQnNFUXY4ZlV3dFRSM0ExYzNrejZVWUNrODU2MWdjWk1kaVFHOHdpbmRxMExGLXNMeXY4OERGOHlPNWY4dUJDbkREeDRJblpxbzR5bzY0MU82NUVpWk51VjRRZw?oc=5</x:v>
      </x:c>
      <x:c r="Z33" s="18" t="n">
        <x:v>46273.78818287037</x:v>
      </x:c>
      <x:c r="AA33" s="18" t="n">
        <x:v>46275.38862103009</x:v>
      </x:c>
      <x:c r="AB33" s="18" t="str">
        <x:v>public_rss</x:v>
      </x:c>
      <x:c r="AC33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baf6a37133d4ec0"/>
  <x:tableParts count="1">
    <x:tablePart xmlns:r="http://schemas.openxmlformats.org/officeDocument/2006/relationships" r:id="Rb620c9f9e3844f6c"/>
  </x:tableParts>
</x:worksheet>
</file>