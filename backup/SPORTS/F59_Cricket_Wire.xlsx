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302e29ea9d41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59 Cricket Wire" sheetId="1" r:id="R0d3e426cc25448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C65911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C65911"/>
      </x:patternFill>
    </x:fill>
  </x:fills>
  <x:borders count="3">
    <x:border/>
    <x:border>
      <x:bottom style="medium">
        <x:color rgb="FFC65911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b93055a80e42db" /><Relationship Type="http://schemas.openxmlformats.org/officeDocument/2006/relationships/theme" Target="/xl/theme/theme1.xml" Id="Rab08d69467374ec6" /><Relationship Type="http://schemas.openxmlformats.org/officeDocument/2006/relationships/sharedStrings" Target="/xl/sharedStrings.xml" Id="Ra5560832bb5541b5" /><Relationship Type="http://schemas.openxmlformats.org/officeDocument/2006/relationships/worksheet" Target="/xl/worksheets/sheet1.xml" Id="R0d3e426cc25448a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5ae068d0404121" /><Relationship Type="http://schemas.openxmlformats.org/officeDocument/2006/relationships/chart" Target="/xl/drawings/charts/chart2.xml" Id="R8f98683e6b0544fa" /><Relationship Type="http://schemas.openxmlformats.org/officeDocument/2006/relationships/chart" Target="/xl/drawings/charts/chart3.xml" Id="R8070e09055984de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Fixtures and results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'F59 Cricket Wire'!$AZ$3:$AZ$32</c:f>
              <c:strCache>
                <c:ptCount val="0"/>
              </c:strCache>
            </c:strRef>
          </c:cat>
          <c:val>
            <c:numRef>
              <c:f>'F59 Cricket Wire'!$BA$3:$BA$32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Matches by competition and status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'F59 Cricket Wire'!$BC$3</c:f>
              <c:strCache>
                <c:ptCount val="0"/>
              </c:strCache>
            </c:strRef>
          </c:cat>
          <c:val>
            <c:numRef>
              <c:f>'F59 Cricket Wire'!$BD$3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Team win-loss and score trend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'F59 Cricket Wire'!$BF$3:$BF$14</c:f>
              <c:strCache>
                <c:ptCount val="0"/>
              </c:strCache>
            </c:strRef>
          </c:cat>
          <c:val>
            <c:numRef>
              <c:f>'F59 Cricket Wire'!$BG$3:$BG$14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5ae068d0404121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98683e6b0544fa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70e09055984de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sports_59_clean_e650e6" displayName="T_sports_59_clean_e650e6" ref="A8:AR82" headerRowCount="1" totalsRowCount="0" totalsRowShown="0">
  <x:tableColumns count="44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country"/>
    <x:tableColumn id="13" name="date"/>
    <x:tableColumn id="14" name="event_id"/>
    <x:tableColumn id="15" name="event_name"/>
    <x:tableColumn id="16" name="match_type"/>
    <x:tableColumn id="17" name="start_time"/>
    <x:tableColumn id="18" name="event_status"/>
    <x:tableColumn id="19" name="result_summary"/>
    <x:tableColumn id="20" name="home_team"/>
    <x:tableColumn id="21" name="away_team"/>
    <x:tableColumn id="22" name="home_score"/>
    <x:tableColumn id="23" name="away_score"/>
    <x:tableColumn id="24" name="winner"/>
    <x:tableColumn id="25" name="venue"/>
    <x:tableColumn id="26" name="city"/>
    <x:tableColumn id="27" name="player_of_match"/>
    <x:tableColumn id="28" name="sport"/>
    <x:tableColumn id="29" name="season"/>
    <x:tableColumn id="30" name="competition"/>
    <x:tableColumn id="31" name="competitions"/>
    <x:tableColumn id="32" name="coverage_status"/>
    <x:tableColumn id="33" name="coverage_scope"/>
    <x:tableColumn id="34" name="coverage_start"/>
    <x:tableColumn id="35" name="coverage_end"/>
    <x:tableColumn id="36" name="universe_count"/>
    <x:tableColumn id="37" name="record_age_days"/>
    <x:tableColumn id="38" name="record_completeness_pct"/>
    <x:tableColumn id="39" name="source_provider"/>
    <x:tableColumn id="40" name="source_url"/>
    <x:tableColumn id="41" name="source_published_at"/>
    <x:tableColumn id="42" name="source_retrieved_at"/>
    <x:tableColumn id="43" name="provenance"/>
    <x:tableColumn id="44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1709f2ae3ce4c41" /><Relationship Type="http://schemas.openxmlformats.org/officeDocument/2006/relationships/table" Target="/xl/tables/table1.xml" Id="R859c59fa3e7d45b3" /></Relationships>
</file>

<file path=xl/worksheets/sheet1.xml><?xml version="1.0" encoding="utf-8"?>
<x:worksheet xmlns:x="http://schemas.openxmlformats.org/spreadsheetml/2006/main">
  <x:sheetPr>
    <x:tabColor rgb="FFC65911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16" hidden="0" customWidth="1"/>
    <x:col min="14" max="14" width="18" hidden="0" customWidth="1"/>
    <x:col min="15" max="15" width="32" hidden="0" customWidth="1"/>
    <x:col min="16" max="16" width="15" hidden="0" customWidth="1"/>
    <x:col min="17" max="17" width="16" hidden="0" customWidth="1"/>
    <x:col min="18" max="18" width="15" hidden="0" customWidth="1"/>
    <x:col min="19" max="19" width="32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8" hidden="0" customWidth="1"/>
    <x:col min="40" max="40" width="42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</x:cols>
  <x:sheetData>
    <x:row r="1" ht="25" customHeight="1">
      <x:c r="A1" s="4" t="str">
        <x:v>Cricket Wire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74 enrichment records • COMPLETE_BOUNDED_PERIOD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2026-04-29</x:v>
      </x:c>
      <x:c r="BA3" s="18" t="n">
        <x:v>1</x:v>
      </x:c>
      <x:c r="BC3" s="18" t="str">
        <x:v>T20</x:v>
      </x:c>
      <x:c r="BD3" s="18" t="n">
        <x:v>74</x:v>
      </x:c>
      <x:c r="BF3" s="18" t="str">
        <x:v>Royal Challengers Bengaluru v Gujarat Titans</x:v>
      </x:c>
      <x:c r="BG3" s="18" t="n">
        <x:v>3</x:v>
      </x:c>
    </x:row>
    <x:row r="4">
      <x:c r="A4" s="9" t="str">
        <x:v>Records</x:v>
      </x:c>
      <x:c r="B4" s="10" t="n">
        <x:v>74</x:v>
      </x:c>
      <x:c r="C4" s="9" t="str">
        <x:v>Dated records</x:v>
      </x:c>
      <x:c r="D4" s="10" t="n">
        <x:v>74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2026-05-31</x:v>
      </x:c>
      <x:c r="AZ4" s="18" t="str">
        <x:v>2026-04-30</x:v>
      </x:c>
      <x:c r="BA4" s="18" t="n">
        <x:v>1</x:v>
      </x:c>
      <x:c r="BF4" s="18" t="str">
        <x:v>Gujarat Titans v Rajasthan Royals</x:v>
      </x:c>
      <x:c r="BG4" s="18" t="n">
        <x:v>2</x:v>
      </x:c>
    </x:row>
    <x:row r="5">
      <x:c r="AZ5" s="18" t="str">
        <x:v>2026-05-01</x:v>
      </x:c>
      <x:c r="BA5" s="18" t="n">
        <x:v>1</x:v>
      </x:c>
      <x:c r="BF5" s="18" t="str">
        <x:v>Rajasthan Royals v Sunrisers Hyderabad</x:v>
      </x:c>
      <x:c r="BG5" s="18" t="n">
        <x:v>2</x:v>
      </x:c>
    </x:row>
    <x:row r="6">
      <x:c r="AZ6" s="18" t="str">
        <x:v>2026-05-02</x:v>
      </x:c>
      <x:c r="BA6" s="18" t="n">
        <x:v>1</x:v>
      </x:c>
      <x:c r="BF6" s="18" t="str">
        <x:v>Royal Challengers Bengaluru v Sunrisers Hyder</x:v>
      </x:c>
      <x:c r="BG6" s="18" t="n">
        <x:v>1</x:v>
      </x:c>
    </x:row>
    <x:row r="7">
      <x:c r="AZ7" s="18" t="str">
        <x:v>2026-05-03</x:v>
      </x:c>
      <x:c r="BA7" s="18" t="n">
        <x:v>2</x:v>
      </x:c>
      <x:c r="BF7" s="18" t="str">
        <x:v>Mumbai Indians v Kolkata Knight Riders</x:v>
      </x:c>
      <x:c r="BG7" s="18" t="n">
        <x:v>1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country</x:v>
      </x:c>
      <x:c r="M8" s="15" t="str">
        <x:v>date</x:v>
      </x:c>
      <x:c r="N8" s="15" t="str">
        <x:v>event_id</x:v>
      </x:c>
      <x:c r="O8" s="15" t="str">
        <x:v>event_name</x:v>
      </x:c>
      <x:c r="P8" s="15" t="str">
        <x:v>match_type</x:v>
      </x:c>
      <x:c r="Q8" s="15" t="str">
        <x:v>start_time</x:v>
      </x:c>
      <x:c r="R8" s="15" t="str">
        <x:v>event_status</x:v>
      </x:c>
      <x:c r="S8" s="15" t="str">
        <x:v>result_summary</x:v>
      </x:c>
      <x:c r="T8" s="15" t="str">
        <x:v>home_team</x:v>
      </x:c>
      <x:c r="U8" s="15" t="str">
        <x:v>away_team</x:v>
      </x:c>
      <x:c r="V8" s="15" t="str">
        <x:v>home_score</x:v>
      </x:c>
      <x:c r="W8" s="15" t="str">
        <x:v>away_score</x:v>
      </x:c>
      <x:c r="X8" s="15" t="str">
        <x:v>winner</x:v>
      </x:c>
      <x:c r="Y8" s="15" t="str">
        <x:v>venue</x:v>
      </x:c>
      <x:c r="Z8" s="15" t="str">
        <x:v>city</x:v>
      </x:c>
      <x:c r="AA8" s="15" t="str">
        <x:v>player_of_match</x:v>
      </x:c>
      <x:c r="AB8" s="15" t="str">
        <x:v>sport</x:v>
      </x:c>
      <x:c r="AC8" s="15" t="str">
        <x:v>season</x:v>
      </x:c>
      <x:c r="AD8" s="15" t="str">
        <x:v>competition</x:v>
      </x:c>
      <x:c r="AE8" s="15" t="str">
        <x:v>competitions</x:v>
      </x:c>
      <x:c r="AF8" s="15" t="str">
        <x:v>coverage_status</x:v>
      </x:c>
      <x:c r="AG8" s="15" t="str">
        <x:v>coverage_scope</x:v>
      </x:c>
      <x:c r="AH8" s="15" t="str">
        <x:v>coverage_start</x:v>
      </x:c>
      <x:c r="AI8" s="15" t="str">
        <x:v>coverage_end</x:v>
      </x:c>
      <x:c r="AJ8" s="15" t="str">
        <x:v>universe_count</x:v>
      </x:c>
      <x:c r="AK8" s="15" t="str">
        <x:v>record_age_days</x:v>
      </x:c>
      <x:c r="AL8" s="15" t="str">
        <x:v>record_completeness_pct</x:v>
      </x:c>
      <x:c r="AM8" s="15" t="str">
        <x:v>source_provider</x:v>
      </x:c>
      <x:c r="AN8" s="15" t="str">
        <x:v>source_url</x:v>
      </x:c>
      <x:c r="AO8" s="15" t="str">
        <x:v>source_published_at</x:v>
      </x:c>
      <x:c r="AP8" s="15" t="str">
        <x:v>source_retrieved_at</x:v>
      </x:c>
      <x:c r="AQ8" s="15" t="str">
        <x:v>provenance</x:v>
      </x:c>
      <x:c r="AR8" s="15" t="str">
        <x:v>quality_status</x:v>
      </x:c>
      <x:c r="AZ8" s="18" t="str">
        <x:v>2026-05-04</x:v>
      </x:c>
      <x:c r="BA8" s="18" t="n">
        <x:v>1</x:v>
      </x:c>
      <x:c r="BF8" s="18" t="str">
        <x:v>Rajasthan Royals v Chennai Super Kings</x:v>
      </x:c>
      <x:c r="BG8" s="18" t="n">
        <x:v>1</x:v>
      </x:c>
    </x:row>
    <x:row r="9">
      <x:c r="A9" s="18" t="str">
        <x:v>NYT-59-ca184fa5486dfb8f</x:v>
      </x:c>
      <x:c r="B9" s="18" t="str">
        <x:v>Royal Challengers Bengaluru v Sunrisers Hyderabad</x:v>
      </x:c>
      <x:c r="C9" s="18" t="str">
        <x:v>2026-03-28</x:v>
      </x:c>
      <x:c r="D9" s="18" t="n">
        <x:v>2026</x:v>
      </x:c>
      <x:c r="E9" s="18" t="str">
        <x:v>2026-03</x:v>
      </x:c>
      <x:c r="F9" s="18" t="str">
        <x:v>post</x:v>
      </x:c>
      <x:c r="G9" s="18" t="str">
        <x:v>T20</x:v>
      </x:c>
      <x:c r="H9" s="18" t="str">
        <x:v>India</x:v>
      </x:c>
      <x:c r="I9" s="18" t="str">
        <x:v>Royal Challengers Bengaluru v Sunrisers Hyderabad</x:v>
      </x:c>
      <x:c r="J9" s="20" t="str"/>
      <x:c r="K9" s="18" t="str"/>
      <x:c r="L9" s="20" t="str">
        <x:v>India</x:v>
      </x:c>
      <x:c r="M9" s="18" t="str">
        <x:v>2026-03-28T14:00Z</x:v>
      </x:c>
      <x:c r="N9" s="18" t="str">
        <x:v>1527674</x:v>
      </x:c>
      <x:c r="O9" s="18" t="str">
        <x:v>Royal Challengers Bengaluru v Sunrisers Hyderabad</x:v>
      </x:c>
      <x:c r="P9" s="18" t="str">
        <x:v>T20</x:v>
      </x:c>
      <x:c r="Q9" s="18" t="str">
        <x:v>2026-03-28T14:00Z</x:v>
      </x:c>
      <x:c r="R9" s="18" t="str">
        <x:v>post</x:v>
      </x:c>
      <x:c r="S9" s="18" t="str">
        <x:v>RCB won by 6 wkts (26b rem)</x:v>
      </x:c>
      <x:c r="T9" s="18" t="str">
        <x:v>Royal Challengers Bengaluru</x:v>
      </x:c>
      <x:c r="U9" s="18" t="str">
        <x:v>Sunrisers Hyderabad</x:v>
      </x:c>
      <x:c r="V9" s="20" t="str">
        <x:v>203/4 (15.4/20 ov, target 202)</x:v>
      </x:c>
      <x:c r="W9" s="20" t="str">
        <x:v>201/9</x:v>
      </x:c>
      <x:c r="X9" s="18" t="str">
        <x:v>Royal Challengers Bengaluru</x:v>
      </x:c>
      <x:c r="Y9" s="18" t="str">
        <x:v>M.Chinnaswamy Stadium, Bengaluru</x:v>
      </x:c>
      <x:c r="Z9" s="18" t="str">
        <x:v>Bengaluru</x:v>
      </x:c>
      <x:c r="AA9" s="18" t="str">
        <x:v>Jacob Duffy</x:v>
      </x:c>
      <x:c r="AB9" s="18" t="str">
        <x:v>cricket</x:v>
      </x:c>
      <x:c r="AC9" s="18" t="n">
        <x:v>2026</x:v>
      </x:c>
      <x:c r="AD9" s="18" t="str">
        <x:v>IPL</x:v>
      </x:c>
      <x:c r="AE9" s="18" t="str">
        <x:v>{"id":"1527674","uid":"s:200~e:1527674~c:1527674","description":"1st Match","shortDescription":"1st Match, (N) at Bengaluru","date":"2026-03-28T14:00Z","endDate":"2026-03-29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matches","eventType":"T20"},"venue":{"id":"57897","fullName":"M.Chinnaswamy Stadium, Bengaluru","address":{"city":"Bengaluru","state":"","country":"India","summary":"M.Chinnaswamy Stadium, Karnataka State Cricket Association, Mahatma Gandhi Road, Bangalore - 560001"},"capacity":40000,"indoor":false},"competitors":[{"id":"335970","uid":"s:200~e:1527674~c:1527674~</x:v>
      </x:c>
      <x:c r="AF9" s="18" t="str">
        <x:v>COMPLETE_BOUNDED_PERIOD</x:v>
      </x:c>
      <x:c r="AG9" s="18" t="str">
        <x:v>Complete IPL 2026 ESPN scoreboard</x:v>
      </x:c>
      <x:c r="AH9" s="18" t="str"/>
      <x:c r="AI9" s="18" t="str"/>
      <x:c r="AJ9" s="20" t="n">
        <x:v>74</x:v>
      </x:c>
      <x:c r="AK9" s="19" t="n">
        <x:f>IFERROR(TODAY()-DATEVALUE(C9),"")</x:f>
        <x:v>166</x:v>
      </x:c>
      <x:c r="AL9" s="21" t="n">
        <x:f>ROUND(COUNTA(A9:K9)/11*100,0)</x:f>
        <x:v>100</x:v>
      </x:c>
      <x:c r="AM9" s="18" t="str">
        <x:v>ESPN public scoreboard service</x:v>
      </x:c>
      <x:c r="AN9" s="22" t="str">
        <x:v>https://www.espn.in/cricket/series/8048/scorecard/1527674/royal-challengers-bengaluru-vs-sunrisers-hyderabad-1st-match-indian-premier-league-2026</x:v>
      </x:c>
      <x:c r="AO9" s="18" t="str">
        <x:v>2026-03-28</x:v>
      </x:c>
      <x:c r="AP9" s="18" t="n">
        <x:v>46275.416216736114</x:v>
      </x:c>
      <x:c r="AQ9" s="18" t="str">
        <x:v>independent_public</x:v>
      </x:c>
      <x:c r="AR9" s="18" t="str">
        <x:v>READY</x:v>
      </x:c>
      <x:c r="AZ9" s="18" t="str">
        <x:v>2026-05-05</x:v>
      </x:c>
      <x:c r="BA9" s="18" t="n">
        <x:v>1</x:v>
      </x:c>
      <x:c r="BF9" s="18" t="str">
        <x:v>Punjab Kings v Gujarat Titans</x:v>
      </x:c>
      <x:c r="BG9" s="18" t="n">
        <x:v>1</x:v>
      </x:c>
    </x:row>
    <x:row r="10">
      <x:c r="A10" s="18" t="str">
        <x:v>NYT-59-b9d5f6d208c45c91</x:v>
      </x:c>
      <x:c r="B10" s="18" t="str">
        <x:v>Mumbai Indians v Kolkata Knight Riders</x:v>
      </x:c>
      <x:c r="C10" s="18" t="str">
        <x:v>2026-03-29</x:v>
      </x:c>
      <x:c r="D10" s="18" t="n">
        <x:v>2026</x:v>
      </x:c>
      <x:c r="E10" s="18" t="str">
        <x:v>2026-03</x:v>
      </x:c>
      <x:c r="F10" s="18" t="str">
        <x:v>post</x:v>
      </x:c>
      <x:c r="G10" s="18" t="str">
        <x:v>T20</x:v>
      </x:c>
      <x:c r="H10" s="18" t="str">
        <x:v>India</x:v>
      </x:c>
      <x:c r="I10" s="18" t="str">
        <x:v>Mumbai Indians v Kolkata Knight Riders</x:v>
      </x:c>
      <x:c r="J10" s="20" t="str"/>
      <x:c r="K10" s="18" t="str"/>
      <x:c r="L10" s="20" t="str">
        <x:v>India</x:v>
      </x:c>
      <x:c r="M10" s="18" t="str">
        <x:v>2026-03-29T14:00Z</x:v>
      </x:c>
      <x:c r="N10" s="18" t="str">
        <x:v>1527675</x:v>
      </x:c>
      <x:c r="O10" s="18" t="str">
        <x:v>Mumbai Indians v Kolkata Knight Riders</x:v>
      </x:c>
      <x:c r="P10" s="18" t="str">
        <x:v>T20</x:v>
      </x:c>
      <x:c r="Q10" s="18" t="str">
        <x:v>2026-03-29T14:00Z</x:v>
      </x:c>
      <x:c r="R10" s="18" t="str">
        <x:v>post</x:v>
      </x:c>
      <x:c r="S10" s="18" t="str">
        <x:v>MI won by 6 wkts (5b rem)</x:v>
      </x:c>
      <x:c r="T10" s="18" t="str">
        <x:v>Mumbai Indians</x:v>
      </x:c>
      <x:c r="U10" s="18" t="str">
        <x:v>Kolkata Knight Riders</x:v>
      </x:c>
      <x:c r="V10" s="20" t="str">
        <x:v>224/4 (19.1/20 ov, target 221)</x:v>
      </x:c>
      <x:c r="W10" s="20" t="str">
        <x:v>220/4</x:v>
      </x:c>
      <x:c r="X10" s="18" t="str">
        <x:v>Mumbai Indians</x:v>
      </x:c>
      <x:c r="Y10" s="18" t="str">
        <x:v>Wankhede Stadium, Mumbai</x:v>
      </x:c>
      <x:c r="Z10" s="18" t="str">
        <x:v>Mumbai</x:v>
      </x:c>
      <x:c r="AA10" s="18" t="str">
        <x:v>Shardul Thakur</x:v>
      </x:c>
      <x:c r="AB10" s="18" t="str">
        <x:v>cricket</x:v>
      </x:c>
      <x:c r="AC10" s="18" t="n">
        <x:v>2026</x:v>
      </x:c>
      <x:c r="AD10" s="18" t="str">
        <x:v>IPL</x:v>
      </x:c>
      <x:c r="AE10" s="18" t="str">
        <x:v>{"id":"1527675","uid":"s:200~e:1527675~c:1527675","description":"2nd Match","shortDescription":"2nd Match, (N) at Mumbai","date":"2026-03-29T14:00Z","endDate":"2026-03-30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matches","eventType":"T20"},"venue":{"id":"58324","fullName":"Wankhede Stadium, Mumbai","address":{"city":"Mumbai","state":"","country":"India","summary":"Mumbai Cricket Association, Wankhede Stadium, D Road, Churchgate, Mumbai - 400020 (Phone: 022 2281 1795/7876/9910)"},"capacity":32000,"indoor":false},"competitors":[{"id":"335978","uid":"s:200~e:1527675~c:1527675</x:v>
      </x:c>
      <x:c r="AF10" s="18" t="str">
        <x:v>COMPLETE_BOUNDED_PERIOD</x:v>
      </x:c>
      <x:c r="AG10" s="18" t="str">
        <x:v>Complete IPL 2026 ESPN scoreboard</x:v>
      </x:c>
      <x:c r="AH10" s="18" t="str"/>
      <x:c r="AI10" s="18" t="str"/>
      <x:c r="AJ10" s="20" t="n">
        <x:v>74</x:v>
      </x:c>
      <x:c r="AK10" s="19" t="n">
        <x:f>IFERROR(TODAY()-DATEVALUE(C10),"")</x:f>
        <x:v>165</x:v>
      </x:c>
      <x:c r="AL10" s="21" t="n">
        <x:f>ROUND(COUNTA(A10:K10)/11*100,0)</x:f>
        <x:v>100</x:v>
      </x:c>
      <x:c r="AM10" s="18" t="str">
        <x:v>ESPN public scoreboard service</x:v>
      </x:c>
      <x:c r="AN10" s="22" t="str">
        <x:v>https://www.espn.in/cricket/series/8048/scorecard/1527675/mumbai-indians-vs-kolkata-knight-riders-2nd-match-indian-premier-league-2026</x:v>
      </x:c>
      <x:c r="AO10" s="18" t="str">
        <x:v>2026-03-29</x:v>
      </x:c>
      <x:c r="AP10" s="18" t="n">
        <x:v>46275.416216736114</x:v>
      </x:c>
      <x:c r="AQ10" s="18" t="str">
        <x:v>independent_public</x:v>
      </x:c>
      <x:c r="AR10" s="18" t="str">
        <x:v>READY</x:v>
      </x:c>
      <x:c r="AZ10" s="18" t="str">
        <x:v>2026-05-06</x:v>
      </x:c>
      <x:c r="BA10" s="18" t="n">
        <x:v>1</x:v>
      </x:c>
      <x:c r="BF10" s="18" t="str">
        <x:v>Lucknow Super Giants v Delhi Capitals</x:v>
      </x:c>
      <x:c r="BG10" s="18" t="n">
        <x:v>1</x:v>
      </x:c>
    </x:row>
    <x:row r="11">
      <x:c r="A11" s="18" t="str">
        <x:v>NYT-59-b5301216647a8f2e</x:v>
      </x:c>
      <x:c r="B11" s="18" t="str">
        <x:v>Rajasthan Royals v Chennai Super Kings</x:v>
      </x:c>
      <x:c r="C11" s="18" t="str">
        <x:v>2026-03-30</x:v>
      </x:c>
      <x:c r="D11" s="18" t="n">
        <x:v>2026</x:v>
      </x:c>
      <x:c r="E11" s="18" t="str">
        <x:v>2026-03</x:v>
      </x:c>
      <x:c r="F11" s="18" t="str">
        <x:v>post</x:v>
      </x:c>
      <x:c r="G11" s="18" t="str">
        <x:v>T20</x:v>
      </x:c>
      <x:c r="H11" s="18" t="str">
        <x:v>India</x:v>
      </x:c>
      <x:c r="I11" s="18" t="str">
        <x:v>Rajasthan Royals v Chennai Super Kings</x:v>
      </x:c>
      <x:c r="J11" s="20" t="str"/>
      <x:c r="K11" s="18" t="str"/>
      <x:c r="L11" s="20" t="str">
        <x:v>India</x:v>
      </x:c>
      <x:c r="M11" s="18" t="str">
        <x:v>2026-03-30T14:00Z</x:v>
      </x:c>
      <x:c r="N11" s="18" t="str">
        <x:v>1527676</x:v>
      </x:c>
      <x:c r="O11" s="18" t="str">
        <x:v>Rajasthan Royals v Chennai Super Kings</x:v>
      </x:c>
      <x:c r="P11" s="18" t="str">
        <x:v>T20</x:v>
      </x:c>
      <x:c r="Q11" s="18" t="str">
        <x:v>2026-03-30T14:00Z</x:v>
      </x:c>
      <x:c r="R11" s="18" t="str">
        <x:v>post</x:v>
      </x:c>
      <x:c r="S11" s="18" t="str">
        <x:v>RR won by 8 wkts (47b rem)</x:v>
      </x:c>
      <x:c r="T11" s="18" t="str">
        <x:v>Rajasthan Royals</x:v>
      </x:c>
      <x:c r="U11" s="18" t="str">
        <x:v>Chennai Super Kings</x:v>
      </x:c>
      <x:c r="V11" s="20" t="str">
        <x:v>128/2 (12.1/20 ov, target 128)</x:v>
      </x:c>
      <x:c r="W11" s="20" t="str">
        <x:v>127</x:v>
      </x:c>
      <x:c r="X11" s="18" t="str">
        <x:v>Rajasthan Royals</x:v>
      </x:c>
      <x:c r="Y11" s="18" t="str">
        <x:v>Barsapara Cricket Stadium, Guwahati</x:v>
      </x:c>
      <x:c r="Z11" s="18" t="str">
        <x:v>Guwahati</x:v>
      </x:c>
      <x:c r="AA11" s="18" t="str">
        <x:v>Nandre Burger</x:v>
      </x:c>
      <x:c r="AB11" s="18" t="str">
        <x:v>cricket</x:v>
      </x:c>
      <x:c r="AC11" s="18" t="n">
        <x:v>2026</x:v>
      </x:c>
      <x:c r="AD11" s="18" t="str">
        <x:v>IPL</x:v>
      </x:c>
      <x:c r="AE11" s="18" t="str">
        <x:v>{"id":"1527676","uid":"s:200~e:1527676~c:1527676","description":"3rd Match","shortDescription":"3rd Match, (N) at Guwahati","date":"2026-03-30T14:00Z","endDate":"2026-03-31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matches","eventType":"T20"},"venue":{"id":"680295","fullName":"Barsapara Cricket Stadium, Guwahati","address":{"city":"Guwahati","state":"","country":"India","summary":"Barsapara, Guwahati, Assam 781018, India Phone: +91361249030"},"capacity":40000,"indoor":false},"competitors":[{"id":"335977","uid":"s:200~e:1527676~c:1527676~t:335977","type":"team","order":2,"ho</x:v>
      </x:c>
      <x:c r="AF11" s="18" t="str">
        <x:v>COMPLETE_BOUNDED_PERIOD</x:v>
      </x:c>
      <x:c r="AG11" s="18" t="str">
        <x:v>Complete IPL 2026 ESPN scoreboard</x:v>
      </x:c>
      <x:c r="AH11" s="18" t="str"/>
      <x:c r="AI11" s="18" t="str"/>
      <x:c r="AJ11" s="20" t="n">
        <x:v>74</x:v>
      </x:c>
      <x:c r="AK11" s="19" t="n">
        <x:f>IFERROR(TODAY()-DATEVALUE(C11),"")</x:f>
        <x:v>164</x:v>
      </x:c>
      <x:c r="AL11" s="21" t="n">
        <x:f>ROUND(COUNTA(A11:K11)/11*100,0)</x:f>
        <x:v>100</x:v>
      </x:c>
      <x:c r="AM11" s="18" t="str">
        <x:v>ESPN public scoreboard service</x:v>
      </x:c>
      <x:c r="AN11" s="22" t="str">
        <x:v>https://www.espn.in/cricket/series/8048/scorecard/1527676/rajasthan-royals-vs-chennai-super-kings-3rd-match-indian-premier-league-2026</x:v>
      </x:c>
      <x:c r="AO11" s="18" t="str">
        <x:v>2026-03-30</x:v>
      </x:c>
      <x:c r="AP11" s="18" t="n">
        <x:v>46275.416216736114</x:v>
      </x:c>
      <x:c r="AQ11" s="18" t="str">
        <x:v>independent_public</x:v>
      </x:c>
      <x:c r="AR11" s="18" t="str">
        <x:v>READY</x:v>
      </x:c>
      <x:c r="AZ11" s="18" t="str">
        <x:v>2026-05-07</x:v>
      </x:c>
      <x:c r="BA11" s="18" t="n">
        <x:v>1</x:v>
      </x:c>
      <x:c r="BF11" s="18" t="str">
        <x:v>Kolkata Knight Riders v Sunrisers Hyderabad</x:v>
      </x:c>
      <x:c r="BG11" s="18" t="n">
        <x:v>1</x:v>
      </x:c>
    </x:row>
    <x:row r="12">
      <x:c r="A12" s="18" t="str">
        <x:v>NYT-59-df19282459d8d1ea</x:v>
      </x:c>
      <x:c r="B12" s="18" t="str">
        <x:v>Punjab Kings v Gujarat Titans</x:v>
      </x:c>
      <x:c r="C12" s="18" t="str">
        <x:v>2026-03-31</x:v>
      </x:c>
      <x:c r="D12" s="18" t="n">
        <x:v>2026</x:v>
      </x:c>
      <x:c r="E12" s="18" t="str">
        <x:v>2026-03</x:v>
      </x:c>
      <x:c r="F12" s="18" t="str">
        <x:v>post</x:v>
      </x:c>
      <x:c r="G12" s="18" t="str">
        <x:v>T20</x:v>
      </x:c>
      <x:c r="H12" s="18" t="str">
        <x:v>India</x:v>
      </x:c>
      <x:c r="I12" s="18" t="str">
        <x:v>Punjab Kings v Gujarat Titans</x:v>
      </x:c>
      <x:c r="J12" s="20" t="str"/>
      <x:c r="K12" s="18" t="str"/>
      <x:c r="L12" s="20" t="str">
        <x:v>India</x:v>
      </x:c>
      <x:c r="M12" s="18" t="str">
        <x:v>2026-03-31T14:00Z</x:v>
      </x:c>
      <x:c r="N12" s="18" t="str">
        <x:v>1527677</x:v>
      </x:c>
      <x:c r="O12" s="18" t="str">
        <x:v>Punjab Kings v Gujarat Titans</x:v>
      </x:c>
      <x:c r="P12" s="18" t="str">
        <x:v>T20</x:v>
      </x:c>
      <x:c r="Q12" s="18" t="str">
        <x:v>2026-03-31T14:00Z</x:v>
      </x:c>
      <x:c r="R12" s="18" t="str">
        <x:v>post</x:v>
      </x:c>
      <x:c r="S12" s="18" t="str">
        <x:v>PBKS won by 3 wkts (5b rem)</x:v>
      </x:c>
      <x:c r="T12" s="18" t="str">
        <x:v>Punjab Kings</x:v>
      </x:c>
      <x:c r="U12" s="18" t="str">
        <x:v>Gujarat Titans</x:v>
      </x:c>
      <x:c r="V12" s="20" t="str">
        <x:v>165/7 (19.1/20 ov, target 163)</x:v>
      </x:c>
      <x:c r="W12" s="20" t="str">
        <x:v>162/6</x:v>
      </x:c>
      <x:c r="X12" s="18" t="str">
        <x:v>Punjab Kings</x:v>
      </x:c>
      <x:c r="Y12" s="18" t="str">
        <x:v>Maharaja Yadavindra Singh International Cricket Stadium, New Chandigarh</x:v>
      </x:c>
      <x:c r="Z12" s="18" t="str">
        <x:v>New Chandigarh</x:v>
      </x:c>
      <x:c r="AA12" s="18" t="str">
        <x:v>Cooper Connolly</x:v>
      </x:c>
      <x:c r="AB12" s="18" t="str">
        <x:v>cricket</x:v>
      </x:c>
      <x:c r="AC12" s="18" t="n">
        <x:v>2026</x:v>
      </x:c>
      <x:c r="AD12" s="18" t="str">
        <x:v>IPL</x:v>
      </x:c>
      <x:c r="AE12" s="18" t="str">
        <x:v>{"id":"1527677","uid":"s:200~e:1527677~c:1527677","description":"4th Match","shortDescription":"4th Match, (N) at New Chandigarh","date":"2026-03-31T14:00Z","endDate":"2026-04-01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matches","eventType":"T20"},"venue":{"id":"1290799","fullName":"Maharaja Yadavindra Singh International Cricket Stadium, New Chandigarh","address":{"city":"New Chandigarh","state":"","country":"India","summary":"Mullanpur, Tira, Punjab 140901 India"},"capacity":38000,"indoor":false},"competitors":[{"id":"335973","uid":"s:200~e:1527677~c:1527677~t:335973","t</x:v>
      </x:c>
      <x:c r="AF12" s="18" t="str">
        <x:v>COMPLETE_BOUNDED_PERIOD</x:v>
      </x:c>
      <x:c r="AG12" s="18" t="str">
        <x:v>Complete IPL 2026 ESPN scoreboard</x:v>
      </x:c>
      <x:c r="AH12" s="18" t="str"/>
      <x:c r="AI12" s="18" t="str"/>
      <x:c r="AJ12" s="20" t="n">
        <x:v>74</x:v>
      </x:c>
      <x:c r="AK12" s="19" t="n">
        <x:f>IFERROR(TODAY()-DATEVALUE(C12),"")</x:f>
        <x:v>163</x:v>
      </x:c>
      <x:c r="AL12" s="21" t="n">
        <x:f>ROUND(COUNTA(A12:K12)/11*100,0)</x:f>
        <x:v>100</x:v>
      </x:c>
      <x:c r="AM12" s="18" t="str">
        <x:v>ESPN public scoreboard service</x:v>
      </x:c>
      <x:c r="AN12" s="22" t="str">
        <x:v>https://www.espn.in/cricket/series/8048/scorecard/1527677/punjab-kings-vs-gujarat-titans-4th-match-indian-premier-league-2026</x:v>
      </x:c>
      <x:c r="AO12" s="18" t="str">
        <x:v>2026-03-31</x:v>
      </x:c>
      <x:c r="AP12" s="18" t="n">
        <x:v>46275.416216736114</x:v>
      </x:c>
      <x:c r="AQ12" s="18" t="str">
        <x:v>independent_public</x:v>
      </x:c>
      <x:c r="AR12" s="18" t="str">
        <x:v>READY</x:v>
      </x:c>
      <x:c r="AZ12" s="18" t="str">
        <x:v>2026-05-08</x:v>
      </x:c>
      <x:c r="BA12" s="18" t="n">
        <x:v>1</x:v>
      </x:c>
      <x:c r="BF12" s="18" t="str">
        <x:v>Chennai Super Kings v Punjab Kings</x:v>
      </x:c>
      <x:c r="BG12" s="18" t="n">
        <x:v>1</x:v>
      </x:c>
    </x:row>
    <x:row r="13">
      <x:c r="A13" s="18" t="str">
        <x:v>NYT-59-8bd6d24896b09751</x:v>
      </x:c>
      <x:c r="B13" s="18" t="str">
        <x:v>Lucknow Super Giants v Delhi Capitals</x:v>
      </x:c>
      <x:c r="C13" s="18" t="str">
        <x:v>2026-04-01</x:v>
      </x:c>
      <x:c r="D13" s="18" t="n">
        <x:v>2026</x:v>
      </x:c>
      <x:c r="E13" s="18" t="str">
        <x:v>2026-04</x:v>
      </x:c>
      <x:c r="F13" s="18" t="str">
        <x:v>post</x:v>
      </x:c>
      <x:c r="G13" s="18" t="str">
        <x:v>T20</x:v>
      </x:c>
      <x:c r="H13" s="18" t="str">
        <x:v>India</x:v>
      </x:c>
      <x:c r="I13" s="18" t="str">
        <x:v>Lucknow Super Giants v Delhi Capitals</x:v>
      </x:c>
      <x:c r="J13" s="20" t="str"/>
      <x:c r="K13" s="18" t="str"/>
      <x:c r="L13" s="20" t="str">
        <x:v>India</x:v>
      </x:c>
      <x:c r="M13" s="18" t="str">
        <x:v>2026-04-01T14:00Z</x:v>
      </x:c>
      <x:c r="N13" s="18" t="str">
        <x:v>1527678</x:v>
      </x:c>
      <x:c r="O13" s="18" t="str">
        <x:v>Lucknow Super Giants v Delhi Capitals</x:v>
      </x:c>
      <x:c r="P13" s="18" t="str">
        <x:v>T20</x:v>
      </x:c>
      <x:c r="Q13" s="18" t="str">
        <x:v>2026-04-01T14:00Z</x:v>
      </x:c>
      <x:c r="R13" s="18" t="str">
        <x:v>post</x:v>
      </x:c>
      <x:c r="S13" s="18" t="str">
        <x:v>DC won by 6 wkts (17b rem)</x:v>
      </x:c>
      <x:c r="T13" s="18" t="str">
        <x:v>Lucknow Super Giants</x:v>
      </x:c>
      <x:c r="U13" s="18" t="str">
        <x:v>Delhi Capitals</x:v>
      </x:c>
      <x:c r="V13" s="20" t="str">
        <x:v>141</x:v>
      </x:c>
      <x:c r="W13" s="20" t="str">
        <x:v>145/4 (17.1/20 ov, target 142)</x:v>
      </x:c>
      <x:c r="X13" s="18" t="str">
        <x:v>Delhi Capitals</x:v>
      </x:c>
      <x:c r="Y13" s="18" t="str">
        <x:v>Bharat Ratna Shri Atal Bihari Vajpayee Ekana Cricket Stadium, Lucknow</x:v>
      </x:c>
      <x:c r="Z13" s="18" t="str">
        <x:v>Lucknow</x:v>
      </x:c>
      <x:c r="AA13" s="18" t="str">
        <x:v>Sameer Rizvi</x:v>
      </x:c>
      <x:c r="AB13" s="18" t="str">
        <x:v>cricket</x:v>
      </x:c>
      <x:c r="AC13" s="18" t="n">
        <x:v>2026</x:v>
      </x:c>
      <x:c r="AD13" s="18" t="str">
        <x:v>IPL</x:v>
      </x:c>
      <x:c r="AE13" s="18" t="str">
        <x:v>{"id":"1527678","uid":"s:200~e:1527678~c:1527678","description":"5th Match","shortDescription":"5th Match, (N) at Lucknow","date":"2026-04-01T14:00Z","endDate":"2026-04-02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matches","eventType":"T20"},"venue":{"id":"1070094","fullName":"Bharat Ratna Shri Atal Bihari Vajpayee Ekana Cricket Stadium, Lucknow","address":{"city":"Lucknow","state":"","country":"India","summary":"Ekana Sportz City, Sector 7 Gomti Nagar Ext, Amar Shaheed Path, Lucknow, Uttar Pradesh 226010"},"capacity":50000,"indoor":false},"competitors":[{"id":"1298768","ui</x:v>
      </x:c>
      <x:c r="AF13" s="18" t="str">
        <x:v>COMPLETE_BOUNDED_PERIOD</x:v>
      </x:c>
      <x:c r="AG13" s="18" t="str">
        <x:v>Complete IPL 2026 ESPN scoreboard</x:v>
      </x:c>
      <x:c r="AH13" s="18" t="str"/>
      <x:c r="AI13" s="18" t="str"/>
      <x:c r="AJ13" s="20" t="n">
        <x:v>74</x:v>
      </x:c>
      <x:c r="AK13" s="19" t="n">
        <x:f>IFERROR(TODAY()-DATEVALUE(C13),"")</x:f>
        <x:v>162</x:v>
      </x:c>
      <x:c r="AL13" s="21" t="n">
        <x:f>ROUND(COUNTA(A13:K13)/11*100,0)</x:f>
        <x:v>100</x:v>
      </x:c>
      <x:c r="AM13" s="18" t="str">
        <x:v>ESPN public scoreboard service</x:v>
      </x:c>
      <x:c r="AN13" s="22" t="str">
        <x:v>https://www.espn.in/cricket/series/8048/scorecard/1527678/lucknow-super-giants-vs-delhi-capitals-5th-match-indian-premier-league-2026</x:v>
      </x:c>
      <x:c r="AO13" s="18" t="str">
        <x:v>2026-04-01</x:v>
      </x:c>
      <x:c r="AP13" s="18" t="n">
        <x:v>46275.416216736114</x:v>
      </x:c>
      <x:c r="AQ13" s="18" t="str">
        <x:v>independent_public</x:v>
      </x:c>
      <x:c r="AR13" s="18" t="str">
        <x:v>READY</x:v>
      </x:c>
      <x:c r="AZ13" s="18" t="str">
        <x:v>2026-05-09</x:v>
      </x:c>
      <x:c r="BA13" s="18" t="n">
        <x:v>1</x:v>
      </x:c>
      <x:c r="BF13" s="18" t="str">
        <x:v>Delhi Capitals v Mumbai Indians</x:v>
      </x:c>
      <x:c r="BG13" s="18" t="n">
        <x:v>1</x:v>
      </x:c>
    </x:row>
    <x:row r="14">
      <x:c r="A14" s="18" t="str">
        <x:v>NYT-59-f0b217fdeac76c8d</x:v>
      </x:c>
      <x:c r="B14" s="18" t="str">
        <x:v>Kolkata Knight Riders v Sunrisers Hyderabad</x:v>
      </x:c>
      <x:c r="C14" s="18" t="str">
        <x:v>2026-04-02</x:v>
      </x:c>
      <x:c r="D14" s="18" t="n">
        <x:v>2026</x:v>
      </x:c>
      <x:c r="E14" s="18" t="str">
        <x:v>2026-04</x:v>
      </x:c>
      <x:c r="F14" s="18" t="str">
        <x:v>post</x:v>
      </x:c>
      <x:c r="G14" s="18" t="str">
        <x:v>T20</x:v>
      </x:c>
      <x:c r="H14" s="18" t="str">
        <x:v>India</x:v>
      </x:c>
      <x:c r="I14" s="18" t="str">
        <x:v>Kolkata Knight Riders v Sunrisers Hyderabad</x:v>
      </x:c>
      <x:c r="J14" s="20" t="str"/>
      <x:c r="K14" s="18" t="str"/>
      <x:c r="L14" s="20" t="str">
        <x:v>India</x:v>
      </x:c>
      <x:c r="M14" s="18" t="str">
        <x:v>2026-04-02T14:00Z</x:v>
      </x:c>
      <x:c r="N14" s="18" t="str">
        <x:v>1527679</x:v>
      </x:c>
      <x:c r="O14" s="18" t="str">
        <x:v>Kolkata Knight Riders v Sunrisers Hyderabad</x:v>
      </x:c>
      <x:c r="P14" s="18" t="str">
        <x:v>T20</x:v>
      </x:c>
      <x:c r="Q14" s="18" t="str">
        <x:v>2026-04-02T14:00Z</x:v>
      </x:c>
      <x:c r="R14" s="18" t="str">
        <x:v>post</x:v>
      </x:c>
      <x:c r="S14" s="18" t="str">
        <x:v>SRH won by 65 runs</x:v>
      </x:c>
      <x:c r="T14" s="18" t="str">
        <x:v>Kolkata Knight Riders</x:v>
      </x:c>
      <x:c r="U14" s="18" t="str">
        <x:v>Sunrisers Hyderabad</x:v>
      </x:c>
      <x:c r="V14" s="20" t="str">
        <x:v>161 (16/20 ov, target 227)</x:v>
      </x:c>
      <x:c r="W14" s="20" t="str">
        <x:v>226/8</x:v>
      </x:c>
      <x:c r="X14" s="18" t="str">
        <x:v>Sunrisers Hyderabad</x:v>
      </x:c>
      <x:c r="Y14" s="18" t="str">
        <x:v>Eden Gardens, Kolkata</x:v>
      </x:c>
      <x:c r="Z14" s="18" t="str">
        <x:v>Kolkata</x:v>
      </x:c>
      <x:c r="AA14" s="18" t="str">
        <x:v>Nitish Kumar Reddy</x:v>
      </x:c>
      <x:c r="AB14" s="18" t="str">
        <x:v>cricket</x:v>
      </x:c>
      <x:c r="AC14" s="18" t="n">
        <x:v>2026</x:v>
      </x:c>
      <x:c r="AD14" s="18" t="str">
        <x:v>IPL</x:v>
      </x:c>
      <x:c r="AE14" s="18" t="str">
        <x:v>{"id":"1527679","uid":"s:200~e:1527679~c:1527679","description":"6th Match","shortDescription":"6th Match, (N) at Kolkata","date":"2026-04-02T14:00Z","endDate":"2026-04-03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matches","eventType":"T20"},"venue":{"id":"57980","fullName":"Eden Gardens, Kolkata","address":{"city":"Kolkata","state":"","country":"India","summary":"The Cricket Association of Bengal, DR BC Roy Club House, Eden Gardens, Kolkata - 700021"},"capacity":66000,"indoor":false},"competitors":[{"id":"335971","uid":"s:200~e:1527679~c:1527679~t:335971","type":"team","or</x:v>
      </x:c>
      <x:c r="AF14" s="18" t="str">
        <x:v>COMPLETE_BOUNDED_PERIOD</x:v>
      </x:c>
      <x:c r="AG14" s="18" t="str">
        <x:v>Complete IPL 2026 ESPN scoreboard</x:v>
      </x:c>
      <x:c r="AH14" s="18" t="str"/>
      <x:c r="AI14" s="18" t="str"/>
      <x:c r="AJ14" s="20" t="n">
        <x:v>74</x:v>
      </x:c>
      <x:c r="AK14" s="19" t="n">
        <x:f>IFERROR(TODAY()-DATEVALUE(C14),"")</x:f>
        <x:v>161</x:v>
      </x:c>
      <x:c r="AL14" s="21" t="n">
        <x:f>ROUND(COUNTA(A14:K14)/11*100,0)</x:f>
        <x:v>100</x:v>
      </x:c>
      <x:c r="AM14" s="18" t="str">
        <x:v>ESPN public scoreboard service</x:v>
      </x:c>
      <x:c r="AN14" s="22" t="str">
        <x:v>https://www.espn.in/cricket/series/8048/scorecard/1527679/kolkata-knight-riders-vs-sunrisers-hyderabad-6th-match-indian-premier-league-2026</x:v>
      </x:c>
      <x:c r="AO14" s="18" t="str">
        <x:v>2026-04-02</x:v>
      </x:c>
      <x:c r="AP14" s="18" t="n">
        <x:v>46275.416216736114</x:v>
      </x:c>
      <x:c r="AQ14" s="18" t="str">
        <x:v>independent_public</x:v>
      </x:c>
      <x:c r="AR14" s="18" t="str">
        <x:v>READY</x:v>
      </x:c>
      <x:c r="AZ14" s="18" t="str">
        <x:v>2026-05-10</x:v>
      </x:c>
      <x:c r="BA14" s="18" t="n">
        <x:v>2</x:v>
      </x:c>
      <x:c r="BF14" s="18" t="str">
        <x:v>Sunrisers Hyderabad v Lucknow Super Giants</x:v>
      </x:c>
      <x:c r="BG14" s="18" t="n">
        <x:v>1</x:v>
      </x:c>
    </x:row>
    <x:row r="15">
      <x:c r="A15" s="18" t="str">
        <x:v>NYT-59-2767f89aab411787</x:v>
      </x:c>
      <x:c r="B15" s="18" t="str">
        <x:v>Chennai Super Kings v Punjab Kings</x:v>
      </x:c>
      <x:c r="C15" s="18" t="str">
        <x:v>2026-04-03</x:v>
      </x:c>
      <x:c r="D15" s="18" t="n">
        <x:v>2026</x:v>
      </x:c>
      <x:c r="E15" s="18" t="str">
        <x:v>2026-04</x:v>
      </x:c>
      <x:c r="F15" s="18" t="str">
        <x:v>post</x:v>
      </x:c>
      <x:c r="G15" s="18" t="str">
        <x:v>T20</x:v>
      </x:c>
      <x:c r="H15" s="18" t="str">
        <x:v>India</x:v>
      </x:c>
      <x:c r="I15" s="18" t="str">
        <x:v>Chennai Super Kings v Punjab Kings</x:v>
      </x:c>
      <x:c r="J15" s="20" t="str"/>
      <x:c r="K15" s="18" t="str"/>
      <x:c r="L15" s="20" t="str">
        <x:v>India</x:v>
      </x:c>
      <x:c r="M15" s="18" t="str">
        <x:v>2026-04-03T14:00Z</x:v>
      </x:c>
      <x:c r="N15" s="18" t="str">
        <x:v>1527680</x:v>
      </x:c>
      <x:c r="O15" s="18" t="str">
        <x:v>Chennai Super Kings v Punjab Kings</x:v>
      </x:c>
      <x:c r="P15" s="18" t="str">
        <x:v>T20</x:v>
      </x:c>
      <x:c r="Q15" s="18" t="str">
        <x:v>2026-04-03T14:00Z</x:v>
      </x:c>
      <x:c r="R15" s="18" t="str">
        <x:v>post</x:v>
      </x:c>
      <x:c r="S15" s="18" t="str">
        <x:v>PBKS won by 5 wkts (8b rem)</x:v>
      </x:c>
      <x:c r="T15" s="18" t="str">
        <x:v>Chennai Super Kings</x:v>
      </x:c>
      <x:c r="U15" s="18" t="str">
        <x:v>Punjab Kings</x:v>
      </x:c>
      <x:c r="V15" s="20" t="str">
        <x:v>209/5</x:v>
      </x:c>
      <x:c r="W15" s="20" t="str">
        <x:v>210/5 (18.4/20 ov, target 210)</x:v>
      </x:c>
      <x:c r="X15" s="18" t="str">
        <x:v>Punjab Kings</x:v>
      </x:c>
      <x:c r="Y15" s="18" t="str">
        <x:v>MA Chidambaram Stadium, Chepauk, Chennai</x:v>
      </x:c>
      <x:c r="Z15" s="18" t="str">
        <x:v>Chennai</x:v>
      </x:c>
      <x:c r="AA15" s="18" t="str">
        <x:v>Priyansh Arya</x:v>
      </x:c>
      <x:c r="AB15" s="18" t="str">
        <x:v>cricket</x:v>
      </x:c>
      <x:c r="AC15" s="18" t="n">
        <x:v>2026</x:v>
      </x:c>
      <x:c r="AD15" s="18" t="str">
        <x:v>IPL</x:v>
      </x:c>
      <x:c r="AE15" s="18" t="str">
        <x:v>{"id":"1527680","uid":"s:200~e:1527680~c:1527680","description":"7th Match","shortDescription":"7th Match, (N) at Chennai","date":"2026-04-03T14:00Z","endDate":"2026-04-04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matches","eventType":"T20"},"venue":{"id":"58008","fullName":"MA Chidambaram Stadium, Chepauk, Chennai","address":{"city":"Chennai","state":"","country":"India","summary":""},"capacity":38000,"indoor":false},"competitors":[{"id":"335974","uid":"s:200~e:1527680~c:1527680~t:335974","type":"team","order":1,"homeAway":"home","winner":"false","score":"209/5","team":{"i</x:v>
      </x:c>
      <x:c r="AF15" s="18" t="str">
        <x:v>COMPLETE_BOUNDED_PERIOD</x:v>
      </x:c>
      <x:c r="AG15" s="18" t="str">
        <x:v>Complete IPL 2026 ESPN scoreboard</x:v>
      </x:c>
      <x:c r="AH15" s="18" t="str"/>
      <x:c r="AI15" s="18" t="str"/>
      <x:c r="AJ15" s="20" t="n">
        <x:v>74</x:v>
      </x:c>
      <x:c r="AK15" s="19" t="n">
        <x:f>IFERROR(TODAY()-DATEVALUE(C15),"")</x:f>
        <x:v>160</x:v>
      </x:c>
      <x:c r="AL15" s="21" t="n">
        <x:f>ROUND(COUNTA(A15:K15)/11*100,0)</x:f>
        <x:v>100</x:v>
      </x:c>
      <x:c r="AM15" s="18" t="str">
        <x:v>ESPN public scoreboard service</x:v>
      </x:c>
      <x:c r="AN15" s="22" t="str">
        <x:v>https://www.espn.in/cricket/series/8048/scorecard/1527680/chennai-super-kings-vs-punjab-kings-7th-match-indian-premier-league-2026</x:v>
      </x:c>
      <x:c r="AO15" s="18" t="str">
        <x:v>2026-04-03</x:v>
      </x:c>
      <x:c r="AP15" s="18" t="n">
        <x:v>46275.416216736114</x:v>
      </x:c>
      <x:c r="AQ15" s="18" t="str">
        <x:v>independent_public</x:v>
      </x:c>
      <x:c r="AR15" s="18" t="str">
        <x:v>READY</x:v>
      </x:c>
      <x:c r="AZ15" s="18" t="str">
        <x:v>2026-05-11</x:v>
      </x:c>
      <x:c r="BA15" s="18" t="n">
        <x:v>1</x:v>
      </x:c>
    </x:row>
    <x:row r="16">
      <x:c r="A16" s="18" t="str">
        <x:v>NYT-59-e8a39f79b6000813</x:v>
      </x:c>
      <x:c r="B16" s="18" t="str">
        <x:v>Delhi Capitals v Mumbai Indians</x:v>
      </x:c>
      <x:c r="C16" s="18" t="str">
        <x:v>2026-04-04</x:v>
      </x:c>
      <x:c r="D16" s="18" t="n">
        <x:v>2026</x:v>
      </x:c>
      <x:c r="E16" s="18" t="str">
        <x:v>2026-04</x:v>
      </x:c>
      <x:c r="F16" s="18" t="str">
        <x:v>post</x:v>
      </x:c>
      <x:c r="G16" s="18" t="str">
        <x:v>T20</x:v>
      </x:c>
      <x:c r="H16" s="18" t="str">
        <x:v>India</x:v>
      </x:c>
      <x:c r="I16" s="18" t="str">
        <x:v>Delhi Capitals v Mumbai Indians</x:v>
      </x:c>
      <x:c r="J16" s="20" t="str"/>
      <x:c r="K16" s="18" t="str"/>
      <x:c r="L16" s="20" t="str">
        <x:v>India</x:v>
      </x:c>
      <x:c r="M16" s="18" t="str">
        <x:v>2026-04-04T10:00Z</x:v>
      </x:c>
      <x:c r="N16" s="18" t="str">
        <x:v>1527681</x:v>
      </x:c>
      <x:c r="O16" s="18" t="str">
        <x:v>Delhi Capitals v Mumbai Indians</x:v>
      </x:c>
      <x:c r="P16" s="18" t="str">
        <x:v>T20</x:v>
      </x:c>
      <x:c r="Q16" s="18" t="str">
        <x:v>2026-04-04T10:00Z</x:v>
      </x:c>
      <x:c r="R16" s="18" t="str">
        <x:v>post</x:v>
      </x:c>
      <x:c r="S16" s="18" t="str">
        <x:v>DC won by 6 wkts (11b rem)</x:v>
      </x:c>
      <x:c r="T16" s="18" t="str">
        <x:v>Delhi Capitals</x:v>
      </x:c>
      <x:c r="U16" s="18" t="str">
        <x:v>Mumbai Indians</x:v>
      </x:c>
      <x:c r="V16" s="20" t="str">
        <x:v>164/4 (18.1/20 ov, target 163)</x:v>
      </x:c>
      <x:c r="W16" s="20" t="str">
        <x:v>162/6</x:v>
      </x:c>
      <x:c r="X16" s="18" t="str">
        <x:v>Delhi Capitals</x:v>
      </x:c>
      <x:c r="Y16" s="18" t="str">
        <x:v>Arun Jaitley Stadium, Delhi</x:v>
      </x:c>
      <x:c r="Z16" s="18" t="str">
        <x:v>Delhi</x:v>
      </x:c>
      <x:c r="AA16" s="18" t="str">
        <x:v>Sameer Rizvi</x:v>
      </x:c>
      <x:c r="AB16" s="18" t="str">
        <x:v>cricket</x:v>
      </x:c>
      <x:c r="AC16" s="18" t="n">
        <x:v>2026</x:v>
      </x:c>
      <x:c r="AD16" s="18" t="str">
        <x:v>IPL</x:v>
      </x:c>
      <x:c r="AE16" s="18" t="str">
        <x:v>{"id":"1527681","uid":"s:200~e:1527681~c:1527681","description":"8th Match","shortDescription":"8th Match, (D/N) at Delhi","date":"2026-04-04T10:00Z","endDate":"2026-04-05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matches","eventType":"T20"},"venue":{"id":"58040","fullName":"Arun Jaitley Stadium, Delhi","address":{"city":"Delhi","state":"","country":"India","summary":"Delhi District Cricket Association (DDCA), Feroz Shah Kotla ground, Bahadur Shah Zafar Marg, New Delhi - 110002 (Phone: 011 2331 9323)"},"capacity":55000,"indoor":false},"competitors":[{"id":"335975","uid":"s:</x:v>
      </x:c>
      <x:c r="AF16" s="18" t="str">
        <x:v>COMPLETE_BOUNDED_PERIOD</x:v>
      </x:c>
      <x:c r="AG16" s="18" t="str">
        <x:v>Complete IPL 2026 ESPN scoreboard</x:v>
      </x:c>
      <x:c r="AH16" s="18" t="str"/>
      <x:c r="AI16" s="18" t="str"/>
      <x:c r="AJ16" s="20" t="n">
        <x:v>74</x:v>
      </x:c>
      <x:c r="AK16" s="19" t="n">
        <x:f>IFERROR(TODAY()-DATEVALUE(C16),"")</x:f>
        <x:v>159</x:v>
      </x:c>
      <x:c r="AL16" s="21" t="n">
        <x:f>ROUND(COUNTA(A16:K16)/11*100,0)</x:f>
        <x:v>100</x:v>
      </x:c>
      <x:c r="AM16" s="18" t="str">
        <x:v>ESPN public scoreboard service</x:v>
      </x:c>
      <x:c r="AN16" s="22" t="str">
        <x:v>https://www.espn.in/cricket/series/8048/scorecard/1527681/delhi-capitals-vs-mumbai-indians-8th-match-indian-premier-league-2026</x:v>
      </x:c>
      <x:c r="AO16" s="18" t="str">
        <x:v>2026-04-04</x:v>
      </x:c>
      <x:c r="AP16" s="18" t="n">
        <x:v>46275.416216736114</x:v>
      </x:c>
      <x:c r="AQ16" s="18" t="str">
        <x:v>independent_public</x:v>
      </x:c>
      <x:c r="AR16" s="18" t="str">
        <x:v>READY</x:v>
      </x:c>
      <x:c r="AZ16" s="18" t="str">
        <x:v>2026-05-12</x:v>
      </x:c>
      <x:c r="BA16" s="18" t="n">
        <x:v>1</x:v>
      </x:c>
    </x:row>
    <x:row r="17">
      <x:c r="A17" s="18" t="str">
        <x:v>NYT-59-b59c2310b5c2dce8</x:v>
      </x:c>
      <x:c r="B17" s="18" t="str">
        <x:v>Gujarat Titans v Rajasthan Royals</x:v>
      </x:c>
      <x:c r="C17" s="18" t="str">
        <x:v>2026-04-04</x:v>
      </x:c>
      <x:c r="D17" s="18" t="n">
        <x:v>2026</x:v>
      </x:c>
      <x:c r="E17" s="18" t="str">
        <x:v>2026-04</x:v>
      </x:c>
      <x:c r="F17" s="18" t="str">
        <x:v>post</x:v>
      </x:c>
      <x:c r="G17" s="18" t="str">
        <x:v>T20</x:v>
      </x:c>
      <x:c r="H17" s="18" t="str">
        <x:v>India</x:v>
      </x:c>
      <x:c r="I17" s="18" t="str">
        <x:v>Gujarat Titans v Rajasthan Royals</x:v>
      </x:c>
      <x:c r="J17" s="20" t="str"/>
      <x:c r="K17" s="18" t="str"/>
      <x:c r="L17" s="20" t="str">
        <x:v>India</x:v>
      </x:c>
      <x:c r="M17" s="18" t="str">
        <x:v>2026-04-04T14:00Z</x:v>
      </x:c>
      <x:c r="N17" s="18" t="str">
        <x:v>1527682</x:v>
      </x:c>
      <x:c r="O17" s="18" t="str">
        <x:v>Gujarat Titans v Rajasthan Royals</x:v>
      </x:c>
      <x:c r="P17" s="18" t="str">
        <x:v>T20</x:v>
      </x:c>
      <x:c r="Q17" s="18" t="str">
        <x:v>2026-04-04T14:00Z</x:v>
      </x:c>
      <x:c r="R17" s="18" t="str">
        <x:v>post</x:v>
      </x:c>
      <x:c r="S17" s="18" t="str">
        <x:v>RR won by 6 runs</x:v>
      </x:c>
      <x:c r="T17" s="18" t="str">
        <x:v>Gujarat Titans</x:v>
      </x:c>
      <x:c r="U17" s="18" t="str">
        <x:v>Rajasthan Royals</x:v>
      </x:c>
      <x:c r="V17" s="20" t="str">
        <x:v>204/8 (20 ov, target 211)</x:v>
      </x:c>
      <x:c r="W17" s="20" t="str">
        <x:v>210/6</x:v>
      </x:c>
      <x:c r="X17" s="18" t="str">
        <x:v>Rajasthan Royals</x:v>
      </x:c>
      <x:c r="Y17" s="18" t="str">
        <x:v>Narendra Modi Stadium, Motera, Ahmedabad</x:v>
      </x:c>
      <x:c r="Z17" s="18" t="str">
        <x:v>Ahmedabad</x:v>
      </x:c>
      <x:c r="AA17" s="18" t="str">
        <x:v>Ravi Bishnoi</x:v>
      </x:c>
      <x:c r="AB17" s="18" t="str">
        <x:v>cricket</x:v>
      </x:c>
      <x:c r="AC17" s="18" t="n">
        <x:v>2026</x:v>
      </x:c>
      <x:c r="AD17" s="18" t="str">
        <x:v>IPL</x:v>
      </x:c>
      <x:c r="AE17" s="18" t="str">
        <x:v>{"id":"1527682","uid":"s:200~e:1527682~c:1527682","description":"9th Match","shortDescription":"9th Match, (N) at Ahmedabad","date":"2026-04-04T14:00Z","endDate":"2026-04-05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matches","eventType":"T20"},"venue":{"id":"57851","fullName":"Narendra Modi Stadium, Motera, Ahmedabad","address":{"city":"Ahmedabad","state":"","country":"India","summary":""},"capacity":132000,"indoor":false},"competitors":[{"id":"1298769","uid":"s:200~e:1527682~c:1527682~t:1298769","type":"team","order":2,"homeAway":"home","winner":"false","score":"204/8 (20 </x:v>
      </x:c>
      <x:c r="AF17" s="18" t="str">
        <x:v>COMPLETE_BOUNDED_PERIOD</x:v>
      </x:c>
      <x:c r="AG17" s="18" t="str">
        <x:v>Complete IPL 2026 ESPN scoreboard</x:v>
      </x:c>
      <x:c r="AH17" s="18" t="str"/>
      <x:c r="AI17" s="18" t="str"/>
      <x:c r="AJ17" s="20" t="n">
        <x:v>74</x:v>
      </x:c>
      <x:c r="AK17" s="19" t="n">
        <x:f>IFERROR(TODAY()-DATEVALUE(C17),"")</x:f>
        <x:v>159</x:v>
      </x:c>
      <x:c r="AL17" s="21" t="n">
        <x:f>ROUND(COUNTA(A17:K17)/11*100,0)</x:f>
        <x:v>100</x:v>
      </x:c>
      <x:c r="AM17" s="18" t="str">
        <x:v>ESPN public scoreboard service</x:v>
      </x:c>
      <x:c r="AN17" s="22" t="str">
        <x:v>https://www.espn.in/cricket/series/8048/scorecard/1527682/gujarat-titans-vs-rajasthan-royals-9th-match-indian-premier-league-2026</x:v>
      </x:c>
      <x:c r="AO17" s="18" t="str">
        <x:v>2026-04-04</x:v>
      </x:c>
      <x:c r="AP17" s="18" t="n">
        <x:v>46275.416216736114</x:v>
      </x:c>
      <x:c r="AQ17" s="18" t="str">
        <x:v>independent_public</x:v>
      </x:c>
      <x:c r="AR17" s="18" t="str">
        <x:v>READY</x:v>
      </x:c>
      <x:c r="AZ17" s="18" t="str">
        <x:v>2026-05-13</x:v>
      </x:c>
      <x:c r="BA17" s="18" t="n">
        <x:v>1</x:v>
      </x:c>
    </x:row>
    <x:row r="18">
      <x:c r="A18" s="18" t="str">
        <x:v>NYT-59-1a24dc7aba3e1479</x:v>
      </x:c>
      <x:c r="B18" s="18" t="str">
        <x:v>Sunrisers Hyderabad v Lucknow Super Giants</x:v>
      </x:c>
      <x:c r="C18" s="18" t="str">
        <x:v>2026-04-05</x:v>
      </x:c>
      <x:c r="D18" s="18" t="n">
        <x:v>2026</x:v>
      </x:c>
      <x:c r="E18" s="18" t="str">
        <x:v>2026-04</x:v>
      </x:c>
      <x:c r="F18" s="18" t="str">
        <x:v>post</x:v>
      </x:c>
      <x:c r="G18" s="18" t="str">
        <x:v>T20</x:v>
      </x:c>
      <x:c r="H18" s="18" t="str">
        <x:v>India</x:v>
      </x:c>
      <x:c r="I18" s="18" t="str">
        <x:v>Sunrisers Hyderabad v Lucknow Super Giants</x:v>
      </x:c>
      <x:c r="J18" s="20" t="str"/>
      <x:c r="K18" s="18" t="str"/>
      <x:c r="L18" s="20" t="str">
        <x:v>India</x:v>
      </x:c>
      <x:c r="M18" s="18" t="str">
        <x:v>2026-04-05T10:00Z</x:v>
      </x:c>
      <x:c r="N18" s="18" t="str">
        <x:v>1527683</x:v>
      </x:c>
      <x:c r="O18" s="18" t="str">
        <x:v>Sunrisers Hyderabad v Lucknow Super Giants</x:v>
      </x:c>
      <x:c r="P18" s="18" t="str">
        <x:v>T20</x:v>
      </x:c>
      <x:c r="Q18" s="18" t="str">
        <x:v>2026-04-05T10:00Z</x:v>
      </x:c>
      <x:c r="R18" s="18" t="str">
        <x:v>post</x:v>
      </x:c>
      <x:c r="S18" s="18" t="str">
        <x:v>LSG won by 5 wkts (1b rem)</x:v>
      </x:c>
      <x:c r="T18" s="18" t="str">
        <x:v>Sunrisers Hyderabad</x:v>
      </x:c>
      <x:c r="U18" s="18" t="str">
        <x:v>Lucknow Super Giants</x:v>
      </x:c>
      <x:c r="V18" s="20" t="str">
        <x:v>156/9</x:v>
      </x:c>
      <x:c r="W18" s="20" t="str">
        <x:v>160/5 (19.5/20 ov, target 157)</x:v>
      </x:c>
      <x:c r="X18" s="18" t="str">
        <x:v>Lucknow Super Giants</x:v>
      </x:c>
      <x:c r="Y18" s="18" t="str">
        <x:v>Rajiv Gandhi International Stadium, Uppal, Hyderabad</x:v>
      </x:c>
      <x:c r="Z18" s="18" t="str">
        <x:v>Hyderabad</x:v>
      </x:c>
      <x:c r="AA18" s="18" t="str">
        <x:v>Mohammed Shami</x:v>
      </x:c>
      <x:c r="AB18" s="18" t="str">
        <x:v>cricket</x:v>
      </x:c>
      <x:c r="AC18" s="18" t="n">
        <x:v>2026</x:v>
      </x:c>
      <x:c r="AD18" s="18" t="str">
        <x:v>IPL</x:v>
      </x:c>
      <x:c r="AE18" s="18" t="str">
        <x:v>{"id":"1527683","uid":"s:200~e:1527683~c:1527683","description":"10th Match","shortDescription":"10th Match, (D/N) at Hyderabad","date":"2026-04-05T10:00Z","endDate":"2026-04-06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matches","eventType":"T20"},"venue":{"id":"58142","fullName":"Rajiv Gandhi International Stadium, Uppal, Hyderabad","address":{"city":"Hyderabad","state":"","country":"India","summary":""},"capacity":0,"indoor":false},"competitors":[{"id":"628333","uid":"s:200~e:1527683~c:1527683~t:628333","type":"team","order":1,"homeAway":"home","winner":"false","score":"1</x:v>
      </x:c>
      <x:c r="AF18" s="18" t="str">
        <x:v>COMPLETE_BOUNDED_PERIOD</x:v>
      </x:c>
      <x:c r="AG18" s="18" t="str">
        <x:v>Complete IPL 2026 ESPN scoreboard</x:v>
      </x:c>
      <x:c r="AH18" s="18" t="str"/>
      <x:c r="AI18" s="18" t="str"/>
      <x:c r="AJ18" s="20" t="n">
        <x:v>74</x:v>
      </x:c>
      <x:c r="AK18" s="19" t="n">
        <x:f>IFERROR(TODAY()-DATEVALUE(C18),"")</x:f>
        <x:v>158</x:v>
      </x:c>
      <x:c r="AL18" s="21" t="n">
        <x:f>ROUND(COUNTA(A18:K18)/11*100,0)</x:f>
        <x:v>100</x:v>
      </x:c>
      <x:c r="AM18" s="18" t="str">
        <x:v>ESPN public scoreboard service</x:v>
      </x:c>
      <x:c r="AN18" s="22" t="str">
        <x:v>https://www.espn.in/cricket/series/8048/scorecard/1527683/sunrisers-hyderabad-vs-lucknow-super-giants-10th-match-indian-premier-league-2026</x:v>
      </x:c>
      <x:c r="AO18" s="18" t="str">
        <x:v>2026-04-05</x:v>
      </x:c>
      <x:c r="AP18" s="18" t="n">
        <x:v>46275.416216736114</x:v>
      </x:c>
      <x:c r="AQ18" s="18" t="str">
        <x:v>independent_public</x:v>
      </x:c>
      <x:c r="AR18" s="18" t="str">
        <x:v>READY</x:v>
      </x:c>
      <x:c r="AZ18" s="18" t="str">
        <x:v>2026-05-14</x:v>
      </x:c>
      <x:c r="BA18" s="18" t="n">
        <x:v>1</x:v>
      </x:c>
    </x:row>
    <x:row r="19">
      <x:c r="A19" s="18" t="str">
        <x:v>NYT-59-4129e9bf8cf3a9cc</x:v>
      </x:c>
      <x:c r="B19" s="18" t="str">
        <x:v>Royal Challengers Bengaluru v Chennai Super Kings</x:v>
      </x:c>
      <x:c r="C19" s="18" t="str">
        <x:v>2026-04-05</x:v>
      </x:c>
      <x:c r="D19" s="18" t="n">
        <x:v>2026</x:v>
      </x:c>
      <x:c r="E19" s="18" t="str">
        <x:v>2026-04</x:v>
      </x:c>
      <x:c r="F19" s="18" t="str">
        <x:v>post</x:v>
      </x:c>
      <x:c r="G19" s="18" t="str">
        <x:v>T20</x:v>
      </x:c>
      <x:c r="H19" s="18" t="str">
        <x:v>India</x:v>
      </x:c>
      <x:c r="I19" s="18" t="str">
        <x:v>Royal Challengers Bengaluru v Chennai Super Kings</x:v>
      </x:c>
      <x:c r="J19" s="20" t="str"/>
      <x:c r="K19" s="18" t="str"/>
      <x:c r="L19" s="20" t="str">
        <x:v>India</x:v>
      </x:c>
      <x:c r="M19" s="18" t="str">
        <x:v>2026-04-05T14:00Z</x:v>
      </x:c>
      <x:c r="N19" s="18" t="str">
        <x:v>1527684</x:v>
      </x:c>
      <x:c r="O19" s="18" t="str">
        <x:v>Royal Challengers Bengaluru v Chennai Super Kings</x:v>
      </x:c>
      <x:c r="P19" s="18" t="str">
        <x:v>T20</x:v>
      </x:c>
      <x:c r="Q19" s="18" t="str">
        <x:v>2026-04-05T14:00Z</x:v>
      </x:c>
      <x:c r="R19" s="18" t="str">
        <x:v>post</x:v>
      </x:c>
      <x:c r="S19" s="18" t="str">
        <x:v>RCB won by 43 runs</x:v>
      </x:c>
      <x:c r="T19" s="18" t="str">
        <x:v>Royal Challengers Bengaluru</x:v>
      </x:c>
      <x:c r="U19" s="18" t="str">
        <x:v>Chennai Super Kings</x:v>
      </x:c>
      <x:c r="V19" s="20" t="str">
        <x:v>250/3</x:v>
      </x:c>
      <x:c r="W19" s="20" t="str">
        <x:v>207 (19.4/20 ov, target 251)</x:v>
      </x:c>
      <x:c r="X19" s="18" t="str">
        <x:v>Royal Challengers Bengaluru</x:v>
      </x:c>
      <x:c r="Y19" s="18" t="str">
        <x:v>M.Chinnaswamy Stadium, Bengaluru</x:v>
      </x:c>
      <x:c r="Z19" s="18" t="str">
        <x:v>Bengaluru</x:v>
      </x:c>
      <x:c r="AA19" s="18" t="str">
        <x:v>Tim David</x:v>
      </x:c>
      <x:c r="AB19" s="18" t="str">
        <x:v>cricket</x:v>
      </x:c>
      <x:c r="AC19" s="18" t="n">
        <x:v>2026</x:v>
      </x:c>
      <x:c r="AD19" s="18" t="str">
        <x:v>IPL</x:v>
      </x:c>
      <x:c r="AE19" s="18" t="str">
        <x:v>{"id":"1527684","uid":"s:200~e:1527684~c:1527684","description":"11th Match","shortDescription":"11th Match, (N) at Bengaluru","date":"2026-04-05T14:00Z","endDate":"2026-04-06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matches","eventType":"T20"},"venue":{"id":"57897","fullName":"M.Chinnaswamy Stadium, Bengaluru","address":{"city":"Bengaluru","state":"","country":"India","summary":"M.Chinnaswamy Stadium, Karnataka State Cricket Association, Mahatma Gandhi Road, Bangalore - 560001"},"capacity":40000,"indoor":false},"competitors":[{"id":"335970","uid":"s:200~e:1527684~c:152768</x:v>
      </x:c>
      <x:c r="AF19" s="18" t="str">
        <x:v>COMPLETE_BOUNDED_PERIOD</x:v>
      </x:c>
      <x:c r="AG19" s="18" t="str">
        <x:v>Complete IPL 2026 ESPN scoreboard</x:v>
      </x:c>
      <x:c r="AH19" s="18" t="str"/>
      <x:c r="AI19" s="18" t="str"/>
      <x:c r="AJ19" s="20" t="n">
        <x:v>74</x:v>
      </x:c>
      <x:c r="AK19" s="19" t="n">
        <x:f>IFERROR(TODAY()-DATEVALUE(C19),"")</x:f>
        <x:v>158</x:v>
      </x:c>
      <x:c r="AL19" s="21" t="n">
        <x:f>ROUND(COUNTA(A19:K19)/11*100,0)</x:f>
        <x:v>100</x:v>
      </x:c>
      <x:c r="AM19" s="18" t="str">
        <x:v>ESPN public scoreboard service</x:v>
      </x:c>
      <x:c r="AN19" s="22" t="str">
        <x:v>https://www.espn.in/cricket/series/8048/scorecard/1527684/royal-challengers-bengaluru-vs-chennai-super-kings-11th-match-indian-premier-league-2026</x:v>
      </x:c>
      <x:c r="AO19" s="18" t="str">
        <x:v>2026-04-05</x:v>
      </x:c>
      <x:c r="AP19" s="18" t="n">
        <x:v>46275.416216736114</x:v>
      </x:c>
      <x:c r="AQ19" s="18" t="str">
        <x:v>independent_public</x:v>
      </x:c>
      <x:c r="AR19" s="18" t="str">
        <x:v>READY</x:v>
      </x:c>
      <x:c r="AZ19" s="18" t="str">
        <x:v>2026-05-15</x:v>
      </x:c>
      <x:c r="BA19" s="18" t="n">
        <x:v>1</x:v>
      </x:c>
    </x:row>
    <x:row r="20">
      <x:c r="A20" s="18" t="str">
        <x:v>NYT-59-83dde40681ba609d</x:v>
      </x:c>
      <x:c r="B20" s="18" t="str">
        <x:v>Kolkata Knight Riders v Punjab Kings</x:v>
      </x:c>
      <x:c r="C20" s="18" t="str">
        <x:v>2026-04-06</x:v>
      </x:c>
      <x:c r="D20" s="18" t="n">
        <x:v>2026</x:v>
      </x:c>
      <x:c r="E20" s="18" t="str">
        <x:v>2026-04</x:v>
      </x:c>
      <x:c r="F20" s="18" t="str">
        <x:v>post</x:v>
      </x:c>
      <x:c r="G20" s="18" t="str">
        <x:v>T20</x:v>
      </x:c>
      <x:c r="H20" s="18" t="str">
        <x:v>India</x:v>
      </x:c>
      <x:c r="I20" s="18" t="str">
        <x:v>Kolkata Knight Riders v Punjab Kings</x:v>
      </x:c>
      <x:c r="J20" s="20" t="str"/>
      <x:c r="K20" s="18" t="str"/>
      <x:c r="L20" s="20" t="str">
        <x:v>India</x:v>
      </x:c>
      <x:c r="M20" s="18" t="str">
        <x:v>2026-04-06T14:00Z</x:v>
      </x:c>
      <x:c r="N20" s="18" t="str">
        <x:v>1527685</x:v>
      </x:c>
      <x:c r="O20" s="18" t="str">
        <x:v>Kolkata Knight Riders v Punjab Kings</x:v>
      </x:c>
      <x:c r="P20" s="18" t="str">
        <x:v>T20</x:v>
      </x:c>
      <x:c r="Q20" s="18" t="str">
        <x:v>2026-04-06T14:00Z</x:v>
      </x:c>
      <x:c r="R20" s="18" t="str">
        <x:v>post</x:v>
      </x:c>
      <x:c r="S20" s="18" t="str">
        <x:v>No result</x:v>
      </x:c>
      <x:c r="T20" s="18" t="str">
        <x:v>Kolkata Knight Riders</x:v>
      </x:c>
      <x:c r="U20" s="18" t="str">
        <x:v>Punjab Kings</x:v>
      </x:c>
      <x:c r="V20" s="20" t="str">
        <x:v>25/2 (3.4/20 ov)</x:v>
      </x:c>
      <x:c r="W20" s="20" t="str"/>
      <x:c r="X20" s="18" t="str"/>
      <x:c r="Y20" s="18" t="str">
        <x:v>Eden Gardens, Kolkata</x:v>
      </x:c>
      <x:c r="Z20" s="18" t="str">
        <x:v>Kolkata</x:v>
      </x:c>
      <x:c r="AA20" s="18" t="str"/>
      <x:c r="AB20" s="18" t="str">
        <x:v>cricket</x:v>
      </x:c>
      <x:c r="AC20" s="18" t="n">
        <x:v>2026</x:v>
      </x:c>
      <x:c r="AD20" s="18" t="str">
        <x:v>IPL</x:v>
      </x:c>
      <x:c r="AE20" s="18" t="str">
        <x:v>{"id":"1527685","uid":"s:200~e:1527685~c:1527685","description":"12th Match","shortDescription":"12th Match, (N) at Kolkata","date":"2026-04-06T14:00Z","endDate":"2026-04-07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matches","eventType":"T20"},"venue":{"id":"57980","fullName":"Eden Gardens, Kolkata","address":{"city":"Kolkata","state":"","country":"India","summary":"The Cricket Association of Bengal, DR BC Roy Club House, Eden Gardens, Kolkata - 700021"},"capacity":66000,"indoor":false},"competitors":[{"id":"335971","uid":"s:200~e:1527685~c:1527685~t:335971","type":"team","</x:v>
      </x:c>
      <x:c r="AF20" s="18" t="str">
        <x:v>COMPLETE_BOUNDED_PERIOD</x:v>
      </x:c>
      <x:c r="AG20" s="18" t="str">
        <x:v>Complete IPL 2026 ESPN scoreboard</x:v>
      </x:c>
      <x:c r="AH20" s="18" t="str"/>
      <x:c r="AI20" s="18" t="str"/>
      <x:c r="AJ20" s="20" t="n">
        <x:v>74</x:v>
      </x:c>
      <x:c r="AK20" s="19" t="n">
        <x:f>IFERROR(TODAY()-DATEVALUE(C20),"")</x:f>
        <x:v>157</x:v>
      </x:c>
      <x:c r="AL20" s="21" t="n">
        <x:f>ROUND(COUNTA(A20:K20)/11*100,0)</x:f>
        <x:v>100</x:v>
      </x:c>
      <x:c r="AM20" s="18" t="str">
        <x:v>ESPN public scoreboard service</x:v>
      </x:c>
      <x:c r="AN20" s="22" t="str">
        <x:v>https://www.espn.in/cricket/series/8048/scorecard/1527685/kolkata-knight-riders-vs-punjab-kings-12th-match-indian-premier-league-2026</x:v>
      </x:c>
      <x:c r="AO20" s="18" t="str">
        <x:v>2026-04-06</x:v>
      </x:c>
      <x:c r="AP20" s="18" t="n">
        <x:v>46275.416216736114</x:v>
      </x:c>
      <x:c r="AQ20" s="18" t="str">
        <x:v>independent_public</x:v>
      </x:c>
      <x:c r="AR20" s="18" t="str">
        <x:v>READY</x:v>
      </x:c>
      <x:c r="AZ20" s="18" t="str">
        <x:v>2026-05-16</x:v>
      </x:c>
      <x:c r="BA20" s="18" t="n">
        <x:v>1</x:v>
      </x:c>
    </x:row>
    <x:row r="21">
      <x:c r="A21" s="18" t="str">
        <x:v>NYT-59-e48c37339ecde192</x:v>
      </x:c>
      <x:c r="B21" s="18" t="str">
        <x:v>Rajasthan Royals v Mumbai Indians</x:v>
      </x:c>
      <x:c r="C21" s="18" t="str">
        <x:v>2026-04-07</x:v>
      </x:c>
      <x:c r="D21" s="18" t="n">
        <x:v>2026</x:v>
      </x:c>
      <x:c r="E21" s="18" t="str">
        <x:v>2026-04</x:v>
      </x:c>
      <x:c r="F21" s="18" t="str">
        <x:v>post</x:v>
      </x:c>
      <x:c r="G21" s="18" t="str">
        <x:v>T20</x:v>
      </x:c>
      <x:c r="H21" s="18" t="str">
        <x:v>India</x:v>
      </x:c>
      <x:c r="I21" s="18" t="str">
        <x:v>Rajasthan Royals v Mumbai Indians</x:v>
      </x:c>
      <x:c r="J21" s="20" t="str"/>
      <x:c r="K21" s="18" t="str"/>
      <x:c r="L21" s="20" t="str">
        <x:v>India</x:v>
      </x:c>
      <x:c r="M21" s="18" t="str">
        <x:v>2026-04-07T14:00Z</x:v>
      </x:c>
      <x:c r="N21" s="18" t="str">
        <x:v>1527686</x:v>
      </x:c>
      <x:c r="O21" s="18" t="str">
        <x:v>Rajasthan Royals v Mumbai Indians</x:v>
      </x:c>
      <x:c r="P21" s="18" t="str">
        <x:v>T20</x:v>
      </x:c>
      <x:c r="Q21" s="18" t="str">
        <x:v>2026-04-07T14:00Z</x:v>
      </x:c>
      <x:c r="R21" s="18" t="str">
        <x:v>post</x:v>
      </x:c>
      <x:c r="S21" s="18" t="str">
        <x:v>RR won by 27 runs</x:v>
      </x:c>
      <x:c r="T21" s="18" t="str">
        <x:v>Rajasthan Royals</x:v>
      </x:c>
      <x:c r="U21" s="18" t="str">
        <x:v>Mumbai Indians</x:v>
      </x:c>
      <x:c r="V21" s="20" t="str">
        <x:v>150/3 (11/11 ov)</x:v>
      </x:c>
      <x:c r="W21" s="20" t="str">
        <x:v>123/9 (11 ov, target 151)</x:v>
      </x:c>
      <x:c r="X21" s="18" t="str">
        <x:v>Rajasthan Royals</x:v>
      </x:c>
      <x:c r="Y21" s="18" t="str">
        <x:v>Barsapara Cricket Stadium, Guwahati</x:v>
      </x:c>
      <x:c r="Z21" s="18" t="str">
        <x:v>Guwahati</x:v>
      </x:c>
      <x:c r="AA21" s="18" t="str">
        <x:v>Yashasvi Jaiswal</x:v>
      </x:c>
      <x:c r="AB21" s="18" t="str">
        <x:v>cricket</x:v>
      </x:c>
      <x:c r="AC21" s="18" t="n">
        <x:v>2026</x:v>
      </x:c>
      <x:c r="AD21" s="18" t="str">
        <x:v>IPL</x:v>
      </x:c>
      <x:c r="AE21" s="18" t="str">
        <x:v>{"id":"1527686","uid":"s:200~e:1527686~c:1527686","description":"13th Match","shortDescription":"13th Match, (N) at Guwahati","date":"2026-04-07T14:00Z","endDate":"2026-04-08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matches","eventType":"T20"},"venue":{"id":"680295","fullName":"Barsapara Cricket Stadium, Guwahati","address":{"city":"Guwahati","state":"","country":"India","summary":"Barsapara, Guwahati, Assam 781018, India Phone: +91361249030"},"capacity":40000,"indoor":false},"competitors":[{"id":"335977","uid":"s:200~e:1527686~c:1527686~t:335977","type":"team","order":1,"</x:v>
      </x:c>
      <x:c r="AF21" s="18" t="str">
        <x:v>COMPLETE_BOUNDED_PERIOD</x:v>
      </x:c>
      <x:c r="AG21" s="18" t="str">
        <x:v>Complete IPL 2026 ESPN scoreboard</x:v>
      </x:c>
      <x:c r="AH21" s="18" t="str"/>
      <x:c r="AI21" s="18" t="str"/>
      <x:c r="AJ21" s="20" t="n">
        <x:v>74</x:v>
      </x:c>
      <x:c r="AK21" s="19" t="n">
        <x:f>IFERROR(TODAY()-DATEVALUE(C21),"")</x:f>
        <x:v>156</x:v>
      </x:c>
      <x:c r="AL21" s="21" t="n">
        <x:f>ROUND(COUNTA(A21:K21)/11*100,0)</x:f>
        <x:v>100</x:v>
      </x:c>
      <x:c r="AM21" s="18" t="str">
        <x:v>ESPN public scoreboard service</x:v>
      </x:c>
      <x:c r="AN21" s="22" t="str">
        <x:v>https://www.espn.in/cricket/series/8048/scorecard/1527686/rajasthan-royals-vs-mumbai-indians-13th-match-indian-premier-league-2026</x:v>
      </x:c>
      <x:c r="AO21" s="18" t="str">
        <x:v>2026-04-07</x:v>
      </x:c>
      <x:c r="AP21" s="18" t="n">
        <x:v>46275.416216736114</x:v>
      </x:c>
      <x:c r="AQ21" s="18" t="str">
        <x:v>independent_public</x:v>
      </x:c>
      <x:c r="AR21" s="18" t="str">
        <x:v>READY</x:v>
      </x:c>
      <x:c r="AZ21" s="18" t="str">
        <x:v>2026-05-17</x:v>
      </x:c>
      <x:c r="BA21" s="18" t="n">
        <x:v>2</x:v>
      </x:c>
    </x:row>
    <x:row r="22">
      <x:c r="A22" s="18" t="str">
        <x:v>NYT-59-d1c89f59c2c8b9d4</x:v>
      </x:c>
      <x:c r="B22" s="18" t="str">
        <x:v>Delhi Capitals v Gujarat Titans</x:v>
      </x:c>
      <x:c r="C22" s="18" t="str">
        <x:v>2026-04-08</x:v>
      </x:c>
      <x:c r="D22" s="18" t="n">
        <x:v>2026</x:v>
      </x:c>
      <x:c r="E22" s="18" t="str">
        <x:v>2026-04</x:v>
      </x:c>
      <x:c r="F22" s="18" t="str">
        <x:v>post</x:v>
      </x:c>
      <x:c r="G22" s="18" t="str">
        <x:v>T20</x:v>
      </x:c>
      <x:c r="H22" s="18" t="str">
        <x:v>India</x:v>
      </x:c>
      <x:c r="I22" s="18" t="str">
        <x:v>Delhi Capitals v Gujarat Titans</x:v>
      </x:c>
      <x:c r="J22" s="20" t="str"/>
      <x:c r="K22" s="18" t="str"/>
      <x:c r="L22" s="20" t="str">
        <x:v>India</x:v>
      </x:c>
      <x:c r="M22" s="18" t="str">
        <x:v>2026-04-08T14:00Z</x:v>
      </x:c>
      <x:c r="N22" s="18" t="str">
        <x:v>1527687</x:v>
      </x:c>
      <x:c r="O22" s="18" t="str">
        <x:v>Delhi Capitals v Gujarat Titans</x:v>
      </x:c>
      <x:c r="P22" s="18" t="str">
        <x:v>T20</x:v>
      </x:c>
      <x:c r="Q22" s="18" t="str">
        <x:v>2026-04-08T14:00Z</x:v>
      </x:c>
      <x:c r="R22" s="18" t="str">
        <x:v>post</x:v>
      </x:c>
      <x:c r="S22" s="18" t="str">
        <x:v>GT won by 1 run</x:v>
      </x:c>
      <x:c r="T22" s="18" t="str">
        <x:v>Delhi Capitals</x:v>
      </x:c>
      <x:c r="U22" s="18" t="str">
        <x:v>Gujarat Titans</x:v>
      </x:c>
      <x:c r="V22" s="20" t="str">
        <x:v>209/8 (20 ov, target 211)</x:v>
      </x:c>
      <x:c r="W22" s="20" t="str">
        <x:v>210/4</x:v>
      </x:c>
      <x:c r="X22" s="18" t="str">
        <x:v>Gujarat Titans</x:v>
      </x:c>
      <x:c r="Y22" s="18" t="str">
        <x:v>Arun Jaitley Stadium, Delhi</x:v>
      </x:c>
      <x:c r="Z22" s="18" t="str">
        <x:v>Delhi</x:v>
      </x:c>
      <x:c r="AA22" s="18" t="str">
        <x:v>Rashid Khan</x:v>
      </x:c>
      <x:c r="AB22" s="18" t="str">
        <x:v>cricket</x:v>
      </x:c>
      <x:c r="AC22" s="18" t="n">
        <x:v>2026</x:v>
      </x:c>
      <x:c r="AD22" s="18" t="str">
        <x:v>IPL</x:v>
      </x:c>
      <x:c r="AE22" s="18" t="str">
        <x:v>{"id":"1527687","uid":"s:200~e:1527687~c:1527687","description":"14th Match","shortDescription":"14th Match, (N) at Delhi","date":"2026-04-08T14:00Z","endDate":"2026-04-09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matches","eventType":"T20"},"venue":{"id":"58040","fullName":"Arun Jaitley Stadium, Delhi","address":{"city":"Delhi","state":"","country":"India","summary":"Delhi District Cricket Association (DDCA), Feroz Shah Kotla ground, Bahadur Shah Zafar Marg, New Delhi - 110002 (Phone: 011 2331 9323)"},"capacity":55000,"indoor":false},"competitors":[{"id":"335975","uid":"s:</x:v>
      </x:c>
      <x:c r="AF22" s="18" t="str">
        <x:v>COMPLETE_BOUNDED_PERIOD</x:v>
      </x:c>
      <x:c r="AG22" s="18" t="str">
        <x:v>Complete IPL 2026 ESPN scoreboard</x:v>
      </x:c>
      <x:c r="AH22" s="18" t="str"/>
      <x:c r="AI22" s="18" t="str"/>
      <x:c r="AJ22" s="20" t="n">
        <x:v>74</x:v>
      </x:c>
      <x:c r="AK22" s="19" t="n">
        <x:f>IFERROR(TODAY()-DATEVALUE(C22),"")</x:f>
        <x:v>155</x:v>
      </x:c>
      <x:c r="AL22" s="21" t="n">
        <x:f>ROUND(COUNTA(A22:K22)/11*100,0)</x:f>
        <x:v>100</x:v>
      </x:c>
      <x:c r="AM22" s="18" t="str">
        <x:v>ESPN public scoreboard service</x:v>
      </x:c>
      <x:c r="AN22" s="22" t="str">
        <x:v>https://www.espn.in/cricket/series/8048/scorecard/1527687/delhi-capitals-vs-gujarat-titans-14th-match-indian-premier-league-2026</x:v>
      </x:c>
      <x:c r="AO22" s="18" t="str">
        <x:v>2026-04-08</x:v>
      </x:c>
      <x:c r="AP22" s="18" t="n">
        <x:v>46275.416216736114</x:v>
      </x:c>
      <x:c r="AQ22" s="18" t="str">
        <x:v>independent_public</x:v>
      </x:c>
      <x:c r="AR22" s="18" t="str">
        <x:v>READY</x:v>
      </x:c>
      <x:c r="AZ22" s="18" t="str">
        <x:v>2026-05-18</x:v>
      </x:c>
      <x:c r="BA22" s="18" t="n">
        <x:v>1</x:v>
      </x:c>
    </x:row>
    <x:row r="23">
      <x:c r="A23" s="18" t="str">
        <x:v>NYT-59-27e25ff614f36c23</x:v>
      </x:c>
      <x:c r="B23" s="18" t="str">
        <x:v>Kolkata Knight Riders v Lucknow Super Giants</x:v>
      </x:c>
      <x:c r="C23" s="18" t="str">
        <x:v>2026-04-09</x:v>
      </x:c>
      <x:c r="D23" s="18" t="n">
        <x:v>2026</x:v>
      </x:c>
      <x:c r="E23" s="18" t="str">
        <x:v>2026-04</x:v>
      </x:c>
      <x:c r="F23" s="18" t="str">
        <x:v>post</x:v>
      </x:c>
      <x:c r="G23" s="18" t="str">
        <x:v>T20</x:v>
      </x:c>
      <x:c r="H23" s="18" t="str">
        <x:v>India</x:v>
      </x:c>
      <x:c r="I23" s="18" t="str">
        <x:v>Kolkata Knight Riders v Lucknow Super Giants</x:v>
      </x:c>
      <x:c r="J23" s="20" t="str"/>
      <x:c r="K23" s="18" t="str"/>
      <x:c r="L23" s="20" t="str">
        <x:v>India</x:v>
      </x:c>
      <x:c r="M23" s="18" t="str">
        <x:v>2026-04-09T14:00Z</x:v>
      </x:c>
      <x:c r="N23" s="18" t="str">
        <x:v>1527688</x:v>
      </x:c>
      <x:c r="O23" s="18" t="str">
        <x:v>Kolkata Knight Riders v Lucknow Super Giants</x:v>
      </x:c>
      <x:c r="P23" s="18" t="str">
        <x:v>T20</x:v>
      </x:c>
      <x:c r="Q23" s="18" t="str">
        <x:v>2026-04-09T14:00Z</x:v>
      </x:c>
      <x:c r="R23" s="18" t="str">
        <x:v>post</x:v>
      </x:c>
      <x:c r="S23" s="18" t="str">
        <x:v>LSG won by 3 wkts (0b rem)</x:v>
      </x:c>
      <x:c r="T23" s="18" t="str">
        <x:v>Kolkata Knight Riders</x:v>
      </x:c>
      <x:c r="U23" s="18" t="str">
        <x:v>Lucknow Super Giants</x:v>
      </x:c>
      <x:c r="V23" s="20" t="str">
        <x:v>181/4</x:v>
      </x:c>
      <x:c r="W23" s="20" t="str">
        <x:v>182/7 (20 ov, target 182)</x:v>
      </x:c>
      <x:c r="X23" s="18" t="str">
        <x:v>Lucknow Super Giants</x:v>
      </x:c>
      <x:c r="Y23" s="18" t="str">
        <x:v>Eden Gardens, Kolkata</x:v>
      </x:c>
      <x:c r="Z23" s="18" t="str">
        <x:v>Kolkata</x:v>
      </x:c>
      <x:c r="AA23" s="18" t="str">
        <x:v>Mukul Choudhary</x:v>
      </x:c>
      <x:c r="AB23" s="18" t="str">
        <x:v>cricket</x:v>
      </x:c>
      <x:c r="AC23" s="18" t="n">
        <x:v>2026</x:v>
      </x:c>
      <x:c r="AD23" s="18" t="str">
        <x:v>IPL</x:v>
      </x:c>
      <x:c r="AE23" s="18" t="str">
        <x:v>{"id":"1527688","uid":"s:200~e:1527688~c:1527688","description":"15th Match","shortDescription":"15th Match, (N) at Kolkata","date":"2026-04-09T14:00Z","endDate":"2026-04-10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matches","eventType":"T20"},"venue":{"id":"57980","fullName":"Eden Gardens, Kolkata","address":{"city":"Kolkata","state":"","country":"India","summary":"The Cricket Association of Bengal, DR BC Roy Club House, Eden Gardens, Kolkata - 700021"},"capacity":66000,"indoor":false},"competitors":[{"id":"335971","uid":"s:200~e:1527688~c:1527688~t:335971","type":"team","</x:v>
      </x:c>
      <x:c r="AF23" s="18" t="str">
        <x:v>COMPLETE_BOUNDED_PERIOD</x:v>
      </x:c>
      <x:c r="AG23" s="18" t="str">
        <x:v>Complete IPL 2026 ESPN scoreboard</x:v>
      </x:c>
      <x:c r="AH23" s="18" t="str"/>
      <x:c r="AI23" s="18" t="str"/>
      <x:c r="AJ23" s="20" t="n">
        <x:v>74</x:v>
      </x:c>
      <x:c r="AK23" s="19" t="n">
        <x:f>IFERROR(TODAY()-DATEVALUE(C23),"")</x:f>
        <x:v>154</x:v>
      </x:c>
      <x:c r="AL23" s="21" t="n">
        <x:f>ROUND(COUNTA(A23:K23)/11*100,0)</x:f>
        <x:v>100</x:v>
      </x:c>
      <x:c r="AM23" s="18" t="str">
        <x:v>ESPN public scoreboard service</x:v>
      </x:c>
      <x:c r="AN23" s="22" t="str">
        <x:v>https://www.espn.in/cricket/series/8048/scorecard/1527688/kolkata-knight-riders-vs-lucknow-super-giants-15th-match-indian-premier-league-2026</x:v>
      </x:c>
      <x:c r="AO23" s="18" t="str">
        <x:v>2026-04-09</x:v>
      </x:c>
      <x:c r="AP23" s="18" t="n">
        <x:v>46275.416216736114</x:v>
      </x:c>
      <x:c r="AQ23" s="18" t="str">
        <x:v>independent_public</x:v>
      </x:c>
      <x:c r="AR23" s="18" t="str">
        <x:v>READY</x:v>
      </x:c>
      <x:c r="AZ23" s="18" t="str">
        <x:v>2026-05-19</x:v>
      </x:c>
      <x:c r="BA23" s="18" t="n">
        <x:v>1</x:v>
      </x:c>
    </x:row>
    <x:row r="24">
      <x:c r="A24" s="18" t="str">
        <x:v>NYT-59-1ae2f8cfaeb00a9e</x:v>
      </x:c>
      <x:c r="B24" s="18" t="str">
        <x:v>Rajasthan Royals v Royal Challengers Bengaluru</x:v>
      </x:c>
      <x:c r="C24" s="18" t="str">
        <x:v>2026-04-10</x:v>
      </x:c>
      <x:c r="D24" s="18" t="n">
        <x:v>2026</x:v>
      </x:c>
      <x:c r="E24" s="18" t="str">
        <x:v>2026-04</x:v>
      </x:c>
      <x:c r="F24" s="18" t="str">
        <x:v>post</x:v>
      </x:c>
      <x:c r="G24" s="18" t="str">
        <x:v>T20</x:v>
      </x:c>
      <x:c r="H24" s="18" t="str">
        <x:v>India</x:v>
      </x:c>
      <x:c r="I24" s="18" t="str">
        <x:v>Rajasthan Royals v Royal Challengers Bengaluru</x:v>
      </x:c>
      <x:c r="J24" s="20" t="str"/>
      <x:c r="K24" s="18" t="str"/>
      <x:c r="L24" s="20" t="str">
        <x:v>India</x:v>
      </x:c>
      <x:c r="M24" s="18" t="str">
        <x:v>2026-04-10T14:00Z</x:v>
      </x:c>
      <x:c r="N24" s="18" t="str">
        <x:v>1527689</x:v>
      </x:c>
      <x:c r="O24" s="18" t="str">
        <x:v>Rajasthan Royals v Royal Challengers Bengaluru</x:v>
      </x:c>
      <x:c r="P24" s="18" t="str">
        <x:v>T20</x:v>
      </x:c>
      <x:c r="Q24" s="18" t="str">
        <x:v>2026-04-10T14:00Z</x:v>
      </x:c>
      <x:c r="R24" s="18" t="str">
        <x:v>post</x:v>
      </x:c>
      <x:c r="S24" s="18" t="str">
        <x:v>RR won by 6 wkts (12b rem)</x:v>
      </x:c>
      <x:c r="T24" s="18" t="str">
        <x:v>Rajasthan Royals</x:v>
      </x:c>
      <x:c r="U24" s="18" t="str">
        <x:v>Royal Challengers Bengaluru</x:v>
      </x:c>
      <x:c r="V24" s="20" t="str">
        <x:v>202/4 (18/20 ov, target 202)</x:v>
      </x:c>
      <x:c r="W24" s="20" t="str">
        <x:v>201/8</x:v>
      </x:c>
      <x:c r="X24" s="18" t="str">
        <x:v>Rajasthan Royals</x:v>
      </x:c>
      <x:c r="Y24" s="18" t="str">
        <x:v>Barsapara Cricket Stadium, Guwahati</x:v>
      </x:c>
      <x:c r="Z24" s="18" t="str">
        <x:v>Guwahati</x:v>
      </x:c>
      <x:c r="AA24" s="18" t="str">
        <x:v>Vaibhav Sooryavanshi</x:v>
      </x:c>
      <x:c r="AB24" s="18" t="str">
        <x:v>cricket</x:v>
      </x:c>
      <x:c r="AC24" s="18" t="n">
        <x:v>2026</x:v>
      </x:c>
      <x:c r="AD24" s="18" t="str">
        <x:v>IPL</x:v>
      </x:c>
      <x:c r="AE24" s="18" t="str">
        <x:v>{"id":"1527689","uid":"s:200~e:1527689~c:1527689","description":"16th Match","shortDescription":"16th Match, (N) at Guwahati","date":"2026-04-10T14:00Z","endDate":"2026-04-11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matches","eventType":"T20"},"venue":{"id":"680295","fullName":"Barsapara Cricket Stadium, Guwahati","address":{"city":"Guwahati","state":"","country":"India","summary":"Barsapara, Guwahati, Assam 781018, India Phone: +91361249030"},"capacity":40000,"indoor":false},"competitors":[{"id":"335977","uid":"s:200~e:1527689~c:1527689~t:335977","type":"team","order":2,"</x:v>
      </x:c>
      <x:c r="AF24" s="18" t="str">
        <x:v>COMPLETE_BOUNDED_PERIOD</x:v>
      </x:c>
      <x:c r="AG24" s="18" t="str">
        <x:v>Complete IPL 2026 ESPN scoreboard</x:v>
      </x:c>
      <x:c r="AH24" s="18" t="str"/>
      <x:c r="AI24" s="18" t="str"/>
      <x:c r="AJ24" s="20" t="n">
        <x:v>74</x:v>
      </x:c>
      <x:c r="AK24" s="19" t="n">
        <x:f>IFERROR(TODAY()-DATEVALUE(C24),"")</x:f>
        <x:v>153</x:v>
      </x:c>
      <x:c r="AL24" s="21" t="n">
        <x:f>ROUND(COUNTA(A24:K24)/11*100,0)</x:f>
        <x:v>100</x:v>
      </x:c>
      <x:c r="AM24" s="18" t="str">
        <x:v>ESPN public scoreboard service</x:v>
      </x:c>
      <x:c r="AN24" s="22" t="str">
        <x:v>https://www.espn.in/cricket/series/8048/scorecard/1527689/rajasthan-royals-vs-royal-challengers-bengaluru-16th-match-indian-premier-league-2026</x:v>
      </x:c>
      <x:c r="AO24" s="18" t="str">
        <x:v>2026-04-10</x:v>
      </x:c>
      <x:c r="AP24" s="18" t="n">
        <x:v>46275.416216736114</x:v>
      </x:c>
      <x:c r="AQ24" s="18" t="str">
        <x:v>independent_public</x:v>
      </x:c>
      <x:c r="AR24" s="18" t="str">
        <x:v>READY</x:v>
      </x:c>
      <x:c r="AZ24" s="18" t="str">
        <x:v>2026-05-20</x:v>
      </x:c>
      <x:c r="BA24" s="18" t="n">
        <x:v>1</x:v>
      </x:c>
    </x:row>
    <x:row r="25">
      <x:c r="A25" s="18" t="str">
        <x:v>NYT-59-ced268b9d0a7cb75</x:v>
      </x:c>
      <x:c r="B25" s="18" t="str">
        <x:v>Punjab Kings v Sunrisers Hyderabad</x:v>
      </x:c>
      <x:c r="C25" s="18" t="str">
        <x:v>2026-04-11</x:v>
      </x:c>
      <x:c r="D25" s="18" t="n">
        <x:v>2026</x:v>
      </x:c>
      <x:c r="E25" s="18" t="str">
        <x:v>2026-04</x:v>
      </x:c>
      <x:c r="F25" s="18" t="str">
        <x:v>post</x:v>
      </x:c>
      <x:c r="G25" s="18" t="str">
        <x:v>T20</x:v>
      </x:c>
      <x:c r="H25" s="18" t="str">
        <x:v>India</x:v>
      </x:c>
      <x:c r="I25" s="18" t="str">
        <x:v>Punjab Kings v Sunrisers Hyderabad</x:v>
      </x:c>
      <x:c r="J25" s="20" t="str"/>
      <x:c r="K25" s="18" t="str"/>
      <x:c r="L25" s="20" t="str">
        <x:v>India</x:v>
      </x:c>
      <x:c r="M25" s="18" t="str">
        <x:v>2026-04-11T10:00Z</x:v>
      </x:c>
      <x:c r="N25" s="18" t="str">
        <x:v>1527690</x:v>
      </x:c>
      <x:c r="O25" s="18" t="str">
        <x:v>Punjab Kings v Sunrisers Hyderabad</x:v>
      </x:c>
      <x:c r="P25" s="18" t="str">
        <x:v>T20</x:v>
      </x:c>
      <x:c r="Q25" s="18" t="str">
        <x:v>2026-04-11T10:00Z</x:v>
      </x:c>
      <x:c r="R25" s="18" t="str">
        <x:v>post</x:v>
      </x:c>
      <x:c r="S25" s="18" t="str">
        <x:v>PBKS won by 6 wkts (7b rem)</x:v>
      </x:c>
      <x:c r="T25" s="18" t="str">
        <x:v>Punjab Kings</x:v>
      </x:c>
      <x:c r="U25" s="18" t="str">
        <x:v>Sunrisers Hyderabad</x:v>
      </x:c>
      <x:c r="V25" s="20" t="str">
        <x:v>223/4 (18.5/20 ov, target 220)</x:v>
      </x:c>
      <x:c r="W25" s="20" t="str">
        <x:v>219/6</x:v>
      </x:c>
      <x:c r="X25" s="18" t="str">
        <x:v>Punjab Kings</x:v>
      </x:c>
      <x:c r="Y25" s="18" t="str">
        <x:v>Maharaja Yadavindra Singh International Cricket Stadium, New Chandigarh</x:v>
      </x:c>
      <x:c r="Z25" s="18" t="str">
        <x:v>New Chandigarh</x:v>
      </x:c>
      <x:c r="AA25" s="18" t="str">
        <x:v>Shreyas Iyer</x:v>
      </x:c>
      <x:c r="AB25" s="18" t="str">
        <x:v>cricket</x:v>
      </x:c>
      <x:c r="AC25" s="18" t="n">
        <x:v>2026</x:v>
      </x:c>
      <x:c r="AD25" s="18" t="str">
        <x:v>IPL</x:v>
      </x:c>
      <x:c r="AE25" s="18" t="str">
        <x:v>{"id":"1527690","uid":"s:200~e:1527690~c:1527690","description":"17th Match","shortDescription":"17th Match, (D/N) at New Chandigarh","date":"2026-04-11T10:00Z","endDate":"2026-04-12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matches","eventType":"T20"},"venue":{"id":"1290799","fullName":"Maharaja Yadavindra Singh International Cricket Stadium, New Chandigarh","address":{"city":"New Chandigarh","state":"","country":"India","summary":"Mullanpur, Tira, Punjab 140901 India"},"capacity":38000,"indoor":false},"competitors":[{"id":"335973","uid":"s:200~e:1527690~c:1527690~t:335973</x:v>
      </x:c>
      <x:c r="AF25" s="18" t="str">
        <x:v>COMPLETE_BOUNDED_PERIOD</x:v>
      </x:c>
      <x:c r="AG25" s="18" t="str">
        <x:v>Complete IPL 2026 ESPN scoreboard</x:v>
      </x:c>
      <x:c r="AH25" s="18" t="str"/>
      <x:c r="AI25" s="18" t="str"/>
      <x:c r="AJ25" s="20" t="n">
        <x:v>74</x:v>
      </x:c>
      <x:c r="AK25" s="19" t="n">
        <x:f>IFERROR(TODAY()-DATEVALUE(C25),"")</x:f>
        <x:v>152</x:v>
      </x:c>
      <x:c r="AL25" s="21" t="n">
        <x:f>ROUND(COUNTA(A25:K25)/11*100,0)</x:f>
        <x:v>100</x:v>
      </x:c>
      <x:c r="AM25" s="18" t="str">
        <x:v>ESPN public scoreboard service</x:v>
      </x:c>
      <x:c r="AN25" s="22" t="str">
        <x:v>https://www.espn.in/cricket/series/8048/scorecard/1527690/punjab-kings-vs-sunrisers-hyderabad-17th-match-indian-premier-league-2026</x:v>
      </x:c>
      <x:c r="AO25" s="18" t="str">
        <x:v>2026-04-11</x:v>
      </x:c>
      <x:c r="AP25" s="18" t="n">
        <x:v>46275.416216736114</x:v>
      </x:c>
      <x:c r="AQ25" s="18" t="str">
        <x:v>independent_public</x:v>
      </x:c>
      <x:c r="AR25" s="18" t="str">
        <x:v>READY</x:v>
      </x:c>
      <x:c r="AZ25" s="18" t="str">
        <x:v>2026-05-21</x:v>
      </x:c>
      <x:c r="BA25" s="18" t="n">
        <x:v>1</x:v>
      </x:c>
    </x:row>
    <x:row r="26">
      <x:c r="A26" s="18" t="str">
        <x:v>NYT-59-07f5f0420e713a84</x:v>
      </x:c>
      <x:c r="B26" s="18" t="str">
        <x:v>Chennai Super Kings v Delhi Capitals</x:v>
      </x:c>
      <x:c r="C26" s="18" t="str">
        <x:v>2026-04-11</x:v>
      </x:c>
      <x:c r="D26" s="18" t="n">
        <x:v>2026</x:v>
      </x:c>
      <x:c r="E26" s="18" t="str">
        <x:v>2026-04</x:v>
      </x:c>
      <x:c r="F26" s="18" t="str">
        <x:v>post</x:v>
      </x:c>
      <x:c r="G26" s="18" t="str">
        <x:v>T20</x:v>
      </x:c>
      <x:c r="H26" s="18" t="str">
        <x:v>India</x:v>
      </x:c>
      <x:c r="I26" s="18" t="str">
        <x:v>Chennai Super Kings v Delhi Capitals</x:v>
      </x:c>
      <x:c r="J26" s="20" t="str"/>
      <x:c r="K26" s="18" t="str"/>
      <x:c r="L26" s="20" t="str">
        <x:v>India</x:v>
      </x:c>
      <x:c r="M26" s="18" t="str">
        <x:v>2026-04-11T14:00Z</x:v>
      </x:c>
      <x:c r="N26" s="18" t="str">
        <x:v>1527691</x:v>
      </x:c>
      <x:c r="O26" s="18" t="str">
        <x:v>Chennai Super Kings v Delhi Capitals</x:v>
      </x:c>
      <x:c r="P26" s="18" t="str">
        <x:v>T20</x:v>
      </x:c>
      <x:c r="Q26" s="18" t="str">
        <x:v>2026-04-11T14:00Z</x:v>
      </x:c>
      <x:c r="R26" s="18" t="str">
        <x:v>post</x:v>
      </x:c>
      <x:c r="S26" s="18" t="str">
        <x:v>CSK won by 23 runs</x:v>
      </x:c>
      <x:c r="T26" s="18" t="str">
        <x:v>Chennai Super Kings</x:v>
      </x:c>
      <x:c r="U26" s="18" t="str">
        <x:v>Delhi Capitals</x:v>
      </x:c>
      <x:c r="V26" s="20" t="str">
        <x:v>212/2</x:v>
      </x:c>
      <x:c r="W26" s="20" t="str">
        <x:v>189 (20 ov, target 213)</x:v>
      </x:c>
      <x:c r="X26" s="18" t="str">
        <x:v>Chennai Super Kings</x:v>
      </x:c>
      <x:c r="Y26" s="18" t="str">
        <x:v>MA Chidambaram Stadium, Chepauk, Chennai</x:v>
      </x:c>
      <x:c r="Z26" s="18" t="str">
        <x:v>Chennai</x:v>
      </x:c>
      <x:c r="AA26" s="18" t="str">
        <x:v>Sanju Samson</x:v>
      </x:c>
      <x:c r="AB26" s="18" t="str">
        <x:v>cricket</x:v>
      </x:c>
      <x:c r="AC26" s="18" t="n">
        <x:v>2026</x:v>
      </x:c>
      <x:c r="AD26" s="18" t="str">
        <x:v>IPL</x:v>
      </x:c>
      <x:c r="AE26" s="18" t="str">
        <x:v>{"id":"1527691","uid":"s:200~e:1527691~c:1527691","description":"18th Match","shortDescription":"18th Match, (N) at Chennai","date":"2026-04-11T14:00Z","endDate":"2026-04-12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matches","eventType":"T20"},"venue":{"id":"58008","fullName":"MA Chidambaram Stadium, Chepauk, Chennai","address":{"city":"Chennai","state":"","country":"India","summary":""},"capacity":38000,"indoor":false},"competitors":[{"id":"335974","uid":"s:200~e:1527691~c:1527691~t:335974","type":"team","order":1,"homeAway":"home","winner":"true","score":"212/2","team":{"</x:v>
      </x:c>
      <x:c r="AF26" s="18" t="str">
        <x:v>COMPLETE_BOUNDED_PERIOD</x:v>
      </x:c>
      <x:c r="AG26" s="18" t="str">
        <x:v>Complete IPL 2026 ESPN scoreboard</x:v>
      </x:c>
      <x:c r="AH26" s="18" t="str"/>
      <x:c r="AI26" s="18" t="str"/>
      <x:c r="AJ26" s="20" t="n">
        <x:v>74</x:v>
      </x:c>
      <x:c r="AK26" s="19" t="n">
        <x:f>IFERROR(TODAY()-DATEVALUE(C26),"")</x:f>
        <x:v>152</x:v>
      </x:c>
      <x:c r="AL26" s="21" t="n">
        <x:f>ROUND(COUNTA(A26:K26)/11*100,0)</x:f>
        <x:v>100</x:v>
      </x:c>
      <x:c r="AM26" s="18" t="str">
        <x:v>ESPN public scoreboard service</x:v>
      </x:c>
      <x:c r="AN26" s="22" t="str">
        <x:v>https://www.espn.in/cricket/series/8048/scorecard/1527691/chennai-super-kings-vs-delhi-capitals-18th-match-indian-premier-league-2026</x:v>
      </x:c>
      <x:c r="AO26" s="18" t="str">
        <x:v>2026-04-11</x:v>
      </x:c>
      <x:c r="AP26" s="18" t="n">
        <x:v>46275.416216736114</x:v>
      </x:c>
      <x:c r="AQ26" s="18" t="str">
        <x:v>independent_public</x:v>
      </x:c>
      <x:c r="AR26" s="18" t="str">
        <x:v>READY</x:v>
      </x:c>
      <x:c r="AZ26" s="18" t="str">
        <x:v>2026-05-22</x:v>
      </x:c>
      <x:c r="BA26" s="18" t="n">
        <x:v>1</x:v>
      </x:c>
    </x:row>
    <x:row r="27">
      <x:c r="A27" s="18" t="str">
        <x:v>NYT-59-b9669099dda89c22</x:v>
      </x:c>
      <x:c r="B27" s="18" t="str">
        <x:v>Lucknow Super Giants v Gujarat Titans</x:v>
      </x:c>
      <x:c r="C27" s="18" t="str">
        <x:v>2026-04-12</x:v>
      </x:c>
      <x:c r="D27" s="18" t="n">
        <x:v>2026</x:v>
      </x:c>
      <x:c r="E27" s="18" t="str">
        <x:v>2026-04</x:v>
      </x:c>
      <x:c r="F27" s="18" t="str">
        <x:v>post</x:v>
      </x:c>
      <x:c r="G27" s="18" t="str">
        <x:v>T20</x:v>
      </x:c>
      <x:c r="H27" s="18" t="str">
        <x:v>India</x:v>
      </x:c>
      <x:c r="I27" s="18" t="str">
        <x:v>Lucknow Super Giants v Gujarat Titans</x:v>
      </x:c>
      <x:c r="J27" s="20" t="str"/>
      <x:c r="K27" s="18" t="str"/>
      <x:c r="L27" s="20" t="str">
        <x:v>India</x:v>
      </x:c>
      <x:c r="M27" s="18" t="str">
        <x:v>2026-04-12T10:00Z</x:v>
      </x:c>
      <x:c r="N27" s="18" t="str">
        <x:v>1527692</x:v>
      </x:c>
      <x:c r="O27" s="18" t="str">
        <x:v>Lucknow Super Giants v Gujarat Titans</x:v>
      </x:c>
      <x:c r="P27" s="18" t="str">
        <x:v>T20</x:v>
      </x:c>
      <x:c r="Q27" s="18" t="str">
        <x:v>2026-04-12T10:00Z</x:v>
      </x:c>
      <x:c r="R27" s="18" t="str">
        <x:v>post</x:v>
      </x:c>
      <x:c r="S27" s="18" t="str">
        <x:v>GT won by 7 wkts (8b rem)</x:v>
      </x:c>
      <x:c r="T27" s="18" t="str">
        <x:v>Lucknow Super Giants</x:v>
      </x:c>
      <x:c r="U27" s="18" t="str">
        <x:v>Gujarat Titans</x:v>
      </x:c>
      <x:c r="V27" s="20" t="str">
        <x:v>164/8</x:v>
      </x:c>
      <x:c r="W27" s="20" t="str">
        <x:v>165/3 (18.4/20 ov, target 165)</x:v>
      </x:c>
      <x:c r="X27" s="18" t="str">
        <x:v>Gujarat Titans</x:v>
      </x:c>
      <x:c r="Y27" s="18" t="str">
        <x:v>Bharat Ratna Shri Atal Bihari Vajpayee Ekana Cricket Stadium, Lucknow</x:v>
      </x:c>
      <x:c r="Z27" s="18" t="str">
        <x:v>Lucknow</x:v>
      </x:c>
      <x:c r="AA27" s="18" t="str">
        <x:v>Prasidh Krishna</x:v>
      </x:c>
      <x:c r="AB27" s="18" t="str">
        <x:v>cricket</x:v>
      </x:c>
      <x:c r="AC27" s="18" t="n">
        <x:v>2026</x:v>
      </x:c>
      <x:c r="AD27" s="18" t="str">
        <x:v>IPL</x:v>
      </x:c>
      <x:c r="AE27" s="18" t="str">
        <x:v>{"id":"1527692","uid":"s:200~e:1527692~c:1527692","description":"19th Match","shortDescription":"19th Match, (D/N) at Lucknow","date":"2026-04-12T10:00Z","endDate":"2026-04-13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matches","eventType":"T20"},"venue":{"id":"1070094","fullName":"Bharat Ratna Shri Atal Bihari Vajpayee Ekana Cricket Stadium, Lucknow","address":{"city":"Lucknow","state":"","country":"India","summary":"Ekana Sportz City, Sector 7 Gomti Nagar Ext, Amar Shaheed Path, Lucknow, Uttar Pradesh 226010"},"capacity":50000,"indoor":false},"competitors":[{"id":"1298768"</x:v>
      </x:c>
      <x:c r="AF27" s="18" t="str">
        <x:v>COMPLETE_BOUNDED_PERIOD</x:v>
      </x:c>
      <x:c r="AG27" s="18" t="str">
        <x:v>Complete IPL 2026 ESPN scoreboard</x:v>
      </x:c>
      <x:c r="AH27" s="18" t="str"/>
      <x:c r="AI27" s="18" t="str"/>
      <x:c r="AJ27" s="20" t="n">
        <x:v>74</x:v>
      </x:c>
      <x:c r="AK27" s="19" t="n">
        <x:f>IFERROR(TODAY()-DATEVALUE(C27),"")</x:f>
        <x:v>151</x:v>
      </x:c>
      <x:c r="AL27" s="21" t="n">
        <x:f>ROUND(COUNTA(A27:K27)/11*100,0)</x:f>
        <x:v>100</x:v>
      </x:c>
      <x:c r="AM27" s="18" t="str">
        <x:v>ESPN public scoreboard service</x:v>
      </x:c>
      <x:c r="AN27" s="22" t="str">
        <x:v>https://www.espn.in/cricket/series/8048/scorecard/1527692/lucknow-super-giants-vs-gujarat-titans-19th-match-indian-premier-league-2026</x:v>
      </x:c>
      <x:c r="AO27" s="18" t="str">
        <x:v>2026-04-12</x:v>
      </x:c>
      <x:c r="AP27" s="18" t="n">
        <x:v>46275.416216736114</x:v>
      </x:c>
      <x:c r="AQ27" s="18" t="str">
        <x:v>independent_public</x:v>
      </x:c>
      <x:c r="AR27" s="18" t="str">
        <x:v>READY</x:v>
      </x:c>
      <x:c r="AZ27" s="18" t="str">
        <x:v>2026-05-23</x:v>
      </x:c>
      <x:c r="BA27" s="18" t="n">
        <x:v>1</x:v>
      </x:c>
    </x:row>
    <x:row r="28">
      <x:c r="A28" s="18" t="str">
        <x:v>NYT-59-8cdb3ff73e151141</x:v>
      </x:c>
      <x:c r="B28" s="18" t="str">
        <x:v>Mumbai Indians v Royal Challengers Bengaluru</x:v>
      </x:c>
      <x:c r="C28" s="18" t="str">
        <x:v>2026-04-12</x:v>
      </x:c>
      <x:c r="D28" s="18" t="n">
        <x:v>2026</x:v>
      </x:c>
      <x:c r="E28" s="18" t="str">
        <x:v>2026-04</x:v>
      </x:c>
      <x:c r="F28" s="18" t="str">
        <x:v>post</x:v>
      </x:c>
      <x:c r="G28" s="18" t="str">
        <x:v>T20</x:v>
      </x:c>
      <x:c r="H28" s="18" t="str">
        <x:v>India</x:v>
      </x:c>
      <x:c r="I28" s="18" t="str">
        <x:v>Mumbai Indians v Royal Challengers Bengaluru</x:v>
      </x:c>
      <x:c r="J28" s="20" t="str"/>
      <x:c r="K28" s="18" t="str"/>
      <x:c r="L28" s="20" t="str">
        <x:v>India</x:v>
      </x:c>
      <x:c r="M28" s="18" t="str">
        <x:v>2026-04-12T14:00Z</x:v>
      </x:c>
      <x:c r="N28" s="18" t="str">
        <x:v>1527693</x:v>
      </x:c>
      <x:c r="O28" s="18" t="str">
        <x:v>Mumbai Indians v Royal Challengers Bengaluru</x:v>
      </x:c>
      <x:c r="P28" s="18" t="str">
        <x:v>T20</x:v>
      </x:c>
      <x:c r="Q28" s="18" t="str">
        <x:v>2026-04-12T14:00Z</x:v>
      </x:c>
      <x:c r="R28" s="18" t="str">
        <x:v>post</x:v>
      </x:c>
      <x:c r="S28" s="18" t="str">
        <x:v>RCB won by 18 runs</x:v>
      </x:c>
      <x:c r="T28" s="18" t="str">
        <x:v>Mumbai Indians</x:v>
      </x:c>
      <x:c r="U28" s="18" t="str">
        <x:v>Royal Challengers Bengaluru</x:v>
      </x:c>
      <x:c r="V28" s="20" t="str">
        <x:v>222/5 (20 ov, target 241)</x:v>
      </x:c>
      <x:c r="W28" s="20" t="str">
        <x:v>240/4</x:v>
      </x:c>
      <x:c r="X28" s="18" t="str">
        <x:v>Royal Challengers Bengaluru</x:v>
      </x:c>
      <x:c r="Y28" s="18" t="str">
        <x:v>Wankhede Stadium, Mumbai</x:v>
      </x:c>
      <x:c r="Z28" s="18" t="str">
        <x:v>Mumbai</x:v>
      </x:c>
      <x:c r="AA28" s="18" t="str">
        <x:v>Phil Salt</x:v>
      </x:c>
      <x:c r="AB28" s="18" t="str">
        <x:v>cricket</x:v>
      </x:c>
      <x:c r="AC28" s="18" t="n">
        <x:v>2026</x:v>
      </x:c>
      <x:c r="AD28" s="18" t="str">
        <x:v>IPL</x:v>
      </x:c>
      <x:c r="AE28" s="18" t="str">
        <x:v>{"id":"1527693","uid":"s:200~e:1527693~c:1527693","description":"20th Match","shortDescription":"20th Match, (N) at Mumbai","date":"2026-04-12T14:00Z","endDate":"2026-04-13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matches","eventType":"T20"},"venue":{"id":"58324","fullName":"Wankhede Stadium, Mumbai","address":{"city":"Mumbai","state":"","country":"India","summary":"Mumbai Cricket Association, Wankhede Stadium, D Road, Churchgate, Mumbai - 400020 (Phone: 022 2281 1795/7876/9910)"},"capacity":32000,"indoor":false},"competitors":[{"id":"335978","uid":"s:200~e:1527693~c:15276</x:v>
      </x:c>
      <x:c r="AF28" s="18" t="str">
        <x:v>COMPLETE_BOUNDED_PERIOD</x:v>
      </x:c>
      <x:c r="AG28" s="18" t="str">
        <x:v>Complete IPL 2026 ESPN scoreboard</x:v>
      </x:c>
      <x:c r="AH28" s="18" t="str"/>
      <x:c r="AI28" s="18" t="str"/>
      <x:c r="AJ28" s="20" t="n">
        <x:v>74</x:v>
      </x:c>
      <x:c r="AK28" s="19" t="n">
        <x:f>IFERROR(TODAY()-DATEVALUE(C28),"")</x:f>
        <x:v>151</x:v>
      </x:c>
      <x:c r="AL28" s="21" t="n">
        <x:f>ROUND(COUNTA(A28:K28)/11*100,0)</x:f>
        <x:v>100</x:v>
      </x:c>
      <x:c r="AM28" s="18" t="str">
        <x:v>ESPN public scoreboard service</x:v>
      </x:c>
      <x:c r="AN28" s="22" t="str">
        <x:v>https://www.espn.in/cricket/series/8048/scorecard/1527693/mumbai-indians-vs-royal-challengers-bengaluru-20th-match-indian-premier-league-2026</x:v>
      </x:c>
      <x:c r="AO28" s="18" t="str">
        <x:v>2026-04-12</x:v>
      </x:c>
      <x:c r="AP28" s="18" t="n">
        <x:v>46275.416216736114</x:v>
      </x:c>
      <x:c r="AQ28" s="18" t="str">
        <x:v>independent_public</x:v>
      </x:c>
      <x:c r="AR28" s="18" t="str">
        <x:v>READY</x:v>
      </x:c>
      <x:c r="AZ28" s="18" t="str">
        <x:v>2026-05-24</x:v>
      </x:c>
      <x:c r="BA28" s="18" t="n">
        <x:v>2</x:v>
      </x:c>
    </x:row>
    <x:row r="29">
      <x:c r="A29" s="18" t="str">
        <x:v>NYT-59-df385be2fdccb6d1</x:v>
      </x:c>
      <x:c r="B29" s="18" t="str">
        <x:v>Sunrisers Hyderabad v Rajasthan Royals</x:v>
      </x:c>
      <x:c r="C29" s="18" t="str">
        <x:v>2026-04-13</x:v>
      </x:c>
      <x:c r="D29" s="18" t="n">
        <x:v>2026</x:v>
      </x:c>
      <x:c r="E29" s="18" t="str">
        <x:v>2026-04</x:v>
      </x:c>
      <x:c r="F29" s="18" t="str">
        <x:v>post</x:v>
      </x:c>
      <x:c r="G29" s="18" t="str">
        <x:v>T20</x:v>
      </x:c>
      <x:c r="H29" s="18" t="str">
        <x:v>India</x:v>
      </x:c>
      <x:c r="I29" s="18" t="str">
        <x:v>Sunrisers Hyderabad v Rajasthan Royals</x:v>
      </x:c>
      <x:c r="J29" s="20" t="str"/>
      <x:c r="K29" s="18" t="str"/>
      <x:c r="L29" s="20" t="str">
        <x:v>India</x:v>
      </x:c>
      <x:c r="M29" s="18" t="str">
        <x:v>2026-04-13T14:00Z</x:v>
      </x:c>
      <x:c r="N29" s="18" t="str">
        <x:v>1529264</x:v>
      </x:c>
      <x:c r="O29" s="18" t="str">
        <x:v>Sunrisers Hyderabad v Rajasthan Royals</x:v>
      </x:c>
      <x:c r="P29" s="18" t="str">
        <x:v>T20</x:v>
      </x:c>
      <x:c r="Q29" s="18" t="str">
        <x:v>2026-04-13T14:00Z</x:v>
      </x:c>
      <x:c r="R29" s="18" t="str">
        <x:v>post</x:v>
      </x:c>
      <x:c r="S29" s="18" t="str">
        <x:v>SRH won by 57 runs</x:v>
      </x:c>
      <x:c r="T29" s="18" t="str">
        <x:v>Sunrisers Hyderabad</x:v>
      </x:c>
      <x:c r="U29" s="18" t="str">
        <x:v>Rajasthan Royals</x:v>
      </x:c>
      <x:c r="V29" s="20" t="str">
        <x:v>216/6</x:v>
      </x:c>
      <x:c r="W29" s="20" t="str">
        <x:v>159 (19/20 ov, target 217)</x:v>
      </x:c>
      <x:c r="X29" s="18" t="str">
        <x:v>Sunrisers Hyderabad</x:v>
      </x:c>
      <x:c r="Y29" s="18" t="str">
        <x:v>Rajiv Gandhi International Stadium, Uppal, Hyderabad</x:v>
      </x:c>
      <x:c r="Z29" s="18" t="str">
        <x:v>Hyderabad</x:v>
      </x:c>
      <x:c r="AA29" s="18" t="str">
        <x:v>Praful Hinge</x:v>
      </x:c>
      <x:c r="AB29" s="18" t="str">
        <x:v>cricket</x:v>
      </x:c>
      <x:c r="AC29" s="18" t="n">
        <x:v>2026</x:v>
      </x:c>
      <x:c r="AD29" s="18" t="str">
        <x:v>IPL</x:v>
      </x:c>
      <x:c r="AE29" s="18" t="str">
        <x:v>{"id":"1529264","uid":"s:200~e:1529264~c:1529264","description":"21st Match","shortDescription":"21st Match, (N) at Hyderabad","date":"2026-04-13T14:00Z","endDate":"2026-04-14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matches","eventType":"T20"},"venue":{"id":"58142","fullName":"Rajiv Gandhi International Stadium, Uppal, Hyderabad","address":{"city":"Hyderabad","state":"","country":"India","summary":""},"capacity":0,"indoor":false},"competitors":[{"id":"628333","uid":"s:200~e:1529264~c:1529264~t:628333","type":"team","order":1,"homeAway":"home","winner":"true","score":"216/</x:v>
      </x:c>
      <x:c r="AF29" s="18" t="str">
        <x:v>COMPLETE_BOUNDED_PERIOD</x:v>
      </x:c>
      <x:c r="AG29" s="18" t="str">
        <x:v>Complete IPL 2026 ESPN scoreboard</x:v>
      </x:c>
      <x:c r="AH29" s="18" t="str"/>
      <x:c r="AI29" s="18" t="str"/>
      <x:c r="AJ29" s="20" t="n">
        <x:v>74</x:v>
      </x:c>
      <x:c r="AK29" s="19" t="n">
        <x:f>IFERROR(TODAY()-DATEVALUE(C29),"")</x:f>
        <x:v>150</x:v>
      </x:c>
      <x:c r="AL29" s="21" t="n">
        <x:f>ROUND(COUNTA(A29:K29)/11*100,0)</x:f>
        <x:v>100</x:v>
      </x:c>
      <x:c r="AM29" s="18" t="str">
        <x:v>ESPN public scoreboard service</x:v>
      </x:c>
      <x:c r="AN29" s="22" t="str">
        <x:v>https://www.espn.in/cricket/series/8048/scorecard/1529264/sunrisers-hyderabad-vs-rajasthan-royals-21st-match-indian-premier-league-2026</x:v>
      </x:c>
      <x:c r="AO29" s="18" t="str">
        <x:v>2026-04-13</x:v>
      </x:c>
      <x:c r="AP29" s="18" t="n">
        <x:v>46275.416216736114</x:v>
      </x:c>
      <x:c r="AQ29" s="18" t="str">
        <x:v>independent_public</x:v>
      </x:c>
      <x:c r="AR29" s="18" t="str">
        <x:v>READY</x:v>
      </x:c>
      <x:c r="AZ29" s="18" t="str">
        <x:v>2026-05-26</x:v>
      </x:c>
      <x:c r="BA29" s="18" t="n">
        <x:v>1</x:v>
      </x:c>
    </x:row>
    <x:row r="30">
      <x:c r="A30" s="18" t="str">
        <x:v>NYT-59-dc5bc8e29bf33c59</x:v>
      </x:c>
      <x:c r="B30" s="18" t="str">
        <x:v>Chennai Super Kings v Kolkata Knight Riders</x:v>
      </x:c>
      <x:c r="C30" s="18" t="str">
        <x:v>2026-04-14</x:v>
      </x:c>
      <x:c r="D30" s="18" t="n">
        <x:v>2026</x:v>
      </x:c>
      <x:c r="E30" s="18" t="str">
        <x:v>2026-04</x:v>
      </x:c>
      <x:c r="F30" s="18" t="str">
        <x:v>post</x:v>
      </x:c>
      <x:c r="G30" s="18" t="str">
        <x:v>T20</x:v>
      </x:c>
      <x:c r="H30" s="18" t="str">
        <x:v>India</x:v>
      </x:c>
      <x:c r="I30" s="18" t="str">
        <x:v>Chennai Super Kings v Kolkata Knight Riders</x:v>
      </x:c>
      <x:c r="J30" s="20" t="str"/>
      <x:c r="K30" s="18" t="str"/>
      <x:c r="L30" s="20" t="str">
        <x:v>India</x:v>
      </x:c>
      <x:c r="M30" s="18" t="str">
        <x:v>2026-04-14T14:00Z</x:v>
      </x:c>
      <x:c r="N30" s="18" t="str">
        <x:v>1529265</x:v>
      </x:c>
      <x:c r="O30" s="18" t="str">
        <x:v>Chennai Super Kings v Kolkata Knight Riders</x:v>
      </x:c>
      <x:c r="P30" s="18" t="str">
        <x:v>T20</x:v>
      </x:c>
      <x:c r="Q30" s="18" t="str">
        <x:v>2026-04-14T14:00Z</x:v>
      </x:c>
      <x:c r="R30" s="18" t="str">
        <x:v>post</x:v>
      </x:c>
      <x:c r="S30" s="18" t="str">
        <x:v>CSK won by 32 runs</x:v>
      </x:c>
      <x:c r="T30" s="18" t="str">
        <x:v>Chennai Super Kings</x:v>
      </x:c>
      <x:c r="U30" s="18" t="str">
        <x:v>Kolkata Knight Riders</x:v>
      </x:c>
      <x:c r="V30" s="20" t="str">
        <x:v>192/5</x:v>
      </x:c>
      <x:c r="W30" s="20" t="str">
        <x:v>160/7 (20 ov, target 193)</x:v>
      </x:c>
      <x:c r="X30" s="18" t="str">
        <x:v>Chennai Super Kings</x:v>
      </x:c>
      <x:c r="Y30" s="18" t="str">
        <x:v>MA Chidambaram Stadium, Chepauk, Chennai</x:v>
      </x:c>
      <x:c r="Z30" s="18" t="str">
        <x:v>Chennai</x:v>
      </x:c>
      <x:c r="AA30" s="18" t="str">
        <x:v>Noor Ahmad</x:v>
      </x:c>
      <x:c r="AB30" s="18" t="str">
        <x:v>cricket</x:v>
      </x:c>
      <x:c r="AC30" s="18" t="n">
        <x:v>2026</x:v>
      </x:c>
      <x:c r="AD30" s="18" t="str">
        <x:v>IPL</x:v>
      </x:c>
      <x:c r="AE30" s="18" t="str">
        <x:v>{"id":"1529265","uid":"s:200~e:1529265~c:1529265","description":"22nd Match","shortDescription":"22nd Match, (N) at Chennai","date":"2026-04-14T14:00Z","endDate":"2026-04-15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matches","eventType":"T20"},"venue":{"id":"58008","fullName":"MA Chidambaram Stadium, Chepauk, Chennai","address":{"city":"Chennai","state":"","country":"India","summary":""},"capacity":38000,"indoor":false},"competitors":[{"id":"335974","uid":"s:200~e:1529265~c:1529265~t:335974","type":"team","order":1,"homeAway":"home","winner":"true","score":"192/5","team":{"</x:v>
      </x:c>
      <x:c r="AF30" s="18" t="str">
        <x:v>COMPLETE_BOUNDED_PERIOD</x:v>
      </x:c>
      <x:c r="AG30" s="18" t="str">
        <x:v>Complete IPL 2026 ESPN scoreboard</x:v>
      </x:c>
      <x:c r="AH30" s="18" t="str"/>
      <x:c r="AI30" s="18" t="str"/>
      <x:c r="AJ30" s="20" t="n">
        <x:v>74</x:v>
      </x:c>
      <x:c r="AK30" s="19" t="n">
        <x:f>IFERROR(TODAY()-DATEVALUE(C30),"")</x:f>
        <x:v>149</x:v>
      </x:c>
      <x:c r="AL30" s="21" t="n">
        <x:f>ROUND(COUNTA(A30:K30)/11*100,0)</x:f>
        <x:v>100</x:v>
      </x:c>
      <x:c r="AM30" s="18" t="str">
        <x:v>ESPN public scoreboard service</x:v>
      </x:c>
      <x:c r="AN30" s="22" t="str">
        <x:v>https://www.espn.in/cricket/series/8048/scorecard/1529265/chennai-super-kings-vs-kolkata-knight-riders-22nd-match-indian-premier-league-2026</x:v>
      </x:c>
      <x:c r="AO30" s="18" t="str">
        <x:v>2026-04-14</x:v>
      </x:c>
      <x:c r="AP30" s="18" t="n">
        <x:v>46275.416216736114</x:v>
      </x:c>
      <x:c r="AQ30" s="18" t="str">
        <x:v>independent_public</x:v>
      </x:c>
      <x:c r="AR30" s="18" t="str">
        <x:v>READY</x:v>
      </x:c>
      <x:c r="AZ30" s="18" t="str">
        <x:v>2026-05-27</x:v>
      </x:c>
      <x:c r="BA30" s="18" t="n">
        <x:v>1</x:v>
      </x:c>
    </x:row>
    <x:row r="31">
      <x:c r="A31" s="18" t="str">
        <x:v>NYT-59-5fe8ac3dc53602cb</x:v>
      </x:c>
      <x:c r="B31" s="18" t="str">
        <x:v>Royal Challengers Bengaluru v Lucknow Super Giants</x:v>
      </x:c>
      <x:c r="C31" s="18" t="str">
        <x:v>2026-04-15</x:v>
      </x:c>
      <x:c r="D31" s="18" t="n">
        <x:v>2026</x:v>
      </x:c>
      <x:c r="E31" s="18" t="str">
        <x:v>2026-04</x:v>
      </x:c>
      <x:c r="F31" s="18" t="str">
        <x:v>post</x:v>
      </x:c>
      <x:c r="G31" s="18" t="str">
        <x:v>T20</x:v>
      </x:c>
      <x:c r="H31" s="18" t="str">
        <x:v>India</x:v>
      </x:c>
      <x:c r="I31" s="18" t="str">
        <x:v>Royal Challengers Bengaluru v Lucknow Super Giants</x:v>
      </x:c>
      <x:c r="J31" s="20" t="str"/>
      <x:c r="K31" s="18" t="str"/>
      <x:c r="L31" s="20" t="str">
        <x:v>India</x:v>
      </x:c>
      <x:c r="M31" s="18" t="str">
        <x:v>2026-04-15T14:00Z</x:v>
      </x:c>
      <x:c r="N31" s="18" t="str">
        <x:v>1529266</x:v>
      </x:c>
      <x:c r="O31" s="18" t="str">
        <x:v>Royal Challengers Bengaluru v Lucknow Super Giants</x:v>
      </x:c>
      <x:c r="P31" s="18" t="str">
        <x:v>T20</x:v>
      </x:c>
      <x:c r="Q31" s="18" t="str">
        <x:v>2026-04-15T14:00Z</x:v>
      </x:c>
      <x:c r="R31" s="18" t="str">
        <x:v>post</x:v>
      </x:c>
      <x:c r="S31" s="18" t="str">
        <x:v>RCB won by 5 wkts (29b rem)</x:v>
      </x:c>
      <x:c r="T31" s="18" t="str">
        <x:v>Royal Challengers Bengaluru</x:v>
      </x:c>
      <x:c r="U31" s="18" t="str">
        <x:v>Lucknow Super Giants</x:v>
      </x:c>
      <x:c r="V31" s="20" t="str">
        <x:v>149/5 (15.1/20 ov, target 147)</x:v>
      </x:c>
      <x:c r="W31" s="20" t="str">
        <x:v>146</x:v>
      </x:c>
      <x:c r="X31" s="18" t="str">
        <x:v>Royal Challengers Bengaluru</x:v>
      </x:c>
      <x:c r="Y31" s="18" t="str">
        <x:v>M.Chinnaswamy Stadium, Bengaluru</x:v>
      </x:c>
      <x:c r="Z31" s="18" t="str">
        <x:v>Bengaluru</x:v>
      </x:c>
      <x:c r="AA31" s="18" t="str">
        <x:v>Josh Hazlewood</x:v>
      </x:c>
      <x:c r="AB31" s="18" t="str">
        <x:v>cricket</x:v>
      </x:c>
      <x:c r="AC31" s="18" t="n">
        <x:v>2026</x:v>
      </x:c>
      <x:c r="AD31" s="18" t="str">
        <x:v>IPL</x:v>
      </x:c>
      <x:c r="AE31" s="18" t="str">
        <x:v>{"id":"1529266","uid":"s:200~e:1529266~c:1529266","description":"23rd Match","shortDescription":"23rd Match, (N) at Bengaluru","date":"2026-04-15T14:00Z","endDate":"2026-04-16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matches","eventType":"T20"},"venue":{"id":"57897","fullName":"M.Chinnaswamy Stadium, Bengaluru","address":{"city":"Bengaluru","state":"","country":"India","summary":"M.Chinnaswamy Stadium, Karnataka State Cricket Association, Mahatma Gandhi Road, Bangalore - 560001"},"capacity":40000,"indoor":false},"competitors":[{"id":"335970","uid":"s:200~e:1529266~c:152926</x:v>
      </x:c>
      <x:c r="AF31" s="18" t="str">
        <x:v>COMPLETE_BOUNDED_PERIOD</x:v>
      </x:c>
      <x:c r="AG31" s="18" t="str">
        <x:v>Complete IPL 2026 ESPN scoreboard</x:v>
      </x:c>
      <x:c r="AH31" s="18" t="str"/>
      <x:c r="AI31" s="18" t="str"/>
      <x:c r="AJ31" s="20" t="n">
        <x:v>74</x:v>
      </x:c>
      <x:c r="AK31" s="19" t="n">
        <x:f>IFERROR(TODAY()-DATEVALUE(C31),"")</x:f>
        <x:v>148</x:v>
      </x:c>
      <x:c r="AL31" s="21" t="n">
        <x:f>ROUND(COUNTA(A31:K31)/11*100,0)</x:f>
        <x:v>100</x:v>
      </x:c>
      <x:c r="AM31" s="18" t="str">
        <x:v>ESPN public scoreboard service</x:v>
      </x:c>
      <x:c r="AN31" s="22" t="str">
        <x:v>https://www.espn.in/cricket/series/8048/scorecard/1529266/royal-challengers-bengaluru-vs-lucknow-super-giants-23rd-match-indian-premier-league-2026</x:v>
      </x:c>
      <x:c r="AO31" s="18" t="str">
        <x:v>2026-04-15</x:v>
      </x:c>
      <x:c r="AP31" s="18" t="n">
        <x:v>46275.416216736114</x:v>
      </x:c>
      <x:c r="AQ31" s="18" t="str">
        <x:v>independent_public</x:v>
      </x:c>
      <x:c r="AR31" s="18" t="str">
        <x:v>READY</x:v>
      </x:c>
      <x:c r="AZ31" s="18" t="str">
        <x:v>2026-05-29</x:v>
      </x:c>
      <x:c r="BA31" s="18" t="n">
        <x:v>1</x:v>
      </x:c>
    </x:row>
    <x:row r="32">
      <x:c r="A32" s="18" t="str">
        <x:v>NYT-59-a604af61b801f4e0</x:v>
      </x:c>
      <x:c r="B32" s="18" t="str">
        <x:v>Mumbai Indians v Punjab Kings</x:v>
      </x:c>
      <x:c r="C32" s="18" t="str">
        <x:v>2026-04-16</x:v>
      </x:c>
      <x:c r="D32" s="18" t="n">
        <x:v>2026</x:v>
      </x:c>
      <x:c r="E32" s="18" t="str">
        <x:v>2026-04</x:v>
      </x:c>
      <x:c r="F32" s="18" t="str">
        <x:v>post</x:v>
      </x:c>
      <x:c r="G32" s="18" t="str">
        <x:v>T20</x:v>
      </x:c>
      <x:c r="H32" s="18" t="str">
        <x:v>India</x:v>
      </x:c>
      <x:c r="I32" s="18" t="str">
        <x:v>Mumbai Indians v Punjab Kings</x:v>
      </x:c>
      <x:c r="J32" s="20" t="str"/>
      <x:c r="K32" s="18" t="str"/>
      <x:c r="L32" s="20" t="str">
        <x:v>India</x:v>
      </x:c>
      <x:c r="M32" s="18" t="str">
        <x:v>2026-04-16T14:00Z</x:v>
      </x:c>
      <x:c r="N32" s="18" t="str">
        <x:v>1529267</x:v>
      </x:c>
      <x:c r="O32" s="18" t="str">
        <x:v>Mumbai Indians v Punjab Kings</x:v>
      </x:c>
      <x:c r="P32" s="18" t="str">
        <x:v>T20</x:v>
      </x:c>
      <x:c r="Q32" s="18" t="str">
        <x:v>2026-04-16T14:00Z</x:v>
      </x:c>
      <x:c r="R32" s="18" t="str">
        <x:v>post</x:v>
      </x:c>
      <x:c r="S32" s="18" t="str">
        <x:v>PBKS won by 7 wkts (21b rem)</x:v>
      </x:c>
      <x:c r="T32" s="18" t="str">
        <x:v>Mumbai Indians</x:v>
      </x:c>
      <x:c r="U32" s="18" t="str">
        <x:v>Punjab Kings</x:v>
      </x:c>
      <x:c r="V32" s="20" t="str">
        <x:v>195/6</x:v>
      </x:c>
      <x:c r="W32" s="20" t="str">
        <x:v>198/3 (16.3/20 ov, target 196)</x:v>
      </x:c>
      <x:c r="X32" s="18" t="str">
        <x:v>Punjab Kings</x:v>
      </x:c>
      <x:c r="Y32" s="18" t="str">
        <x:v>Wankhede Stadium, Mumbai</x:v>
      </x:c>
      <x:c r="Z32" s="18" t="str">
        <x:v>Mumbai</x:v>
      </x:c>
      <x:c r="AA32" s="18" t="str">
        <x:v>Arshdeep Singh</x:v>
      </x:c>
      <x:c r="AB32" s="18" t="str">
        <x:v>cricket</x:v>
      </x:c>
      <x:c r="AC32" s="18" t="n">
        <x:v>2026</x:v>
      </x:c>
      <x:c r="AD32" s="18" t="str">
        <x:v>IPL</x:v>
      </x:c>
      <x:c r="AE32" s="18" t="str">
        <x:v>{"id":"1529267","uid":"s:200~e:1529267~c:1529267","description":"24th Match","shortDescription":"24th Match, (N) at Mumbai","date":"2026-04-16T14:00Z","endDate":"2026-04-17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matches","eventType":"T20"},"venue":{"id":"58324","fullName":"Wankhede Stadium, Mumbai","address":{"city":"Mumbai","state":"","country":"India","summary":"Mumbai Cricket Association, Wankhede Stadium, D Road, Churchgate, Mumbai - 400020 (Phone: 022 2281 1795/7876/9910)"},"capacity":32000,"indoor":false},"competitors":[{"id":"335978","uid":"s:200~e:1529267~c:15292</x:v>
      </x:c>
      <x:c r="AF32" s="18" t="str">
        <x:v>COMPLETE_BOUNDED_PERIOD</x:v>
      </x:c>
      <x:c r="AG32" s="18" t="str">
        <x:v>Complete IPL 2026 ESPN scoreboard</x:v>
      </x:c>
      <x:c r="AH32" s="18" t="str"/>
      <x:c r="AI32" s="18" t="str"/>
      <x:c r="AJ32" s="20" t="n">
        <x:v>74</x:v>
      </x:c>
      <x:c r="AK32" s="19" t="n">
        <x:f>IFERROR(TODAY()-DATEVALUE(C32),"")</x:f>
        <x:v>147</x:v>
      </x:c>
      <x:c r="AL32" s="21" t="n">
        <x:f>ROUND(COUNTA(A32:K32)/11*100,0)</x:f>
        <x:v>100</x:v>
      </x:c>
      <x:c r="AM32" s="18" t="str">
        <x:v>ESPN public scoreboard service</x:v>
      </x:c>
      <x:c r="AN32" s="22" t="str">
        <x:v>https://www.espn.in/cricket/series/8048/scorecard/1529267/mumbai-indians-vs-punjab-kings-24th-match-indian-premier-league-2026</x:v>
      </x:c>
      <x:c r="AO32" s="18" t="str">
        <x:v>2026-04-16</x:v>
      </x:c>
      <x:c r="AP32" s="18" t="n">
        <x:v>46275.416216736114</x:v>
      </x:c>
      <x:c r="AQ32" s="18" t="str">
        <x:v>independent_public</x:v>
      </x:c>
      <x:c r="AR32" s="18" t="str">
        <x:v>READY</x:v>
      </x:c>
      <x:c r="AZ32" s="18" t="str">
        <x:v>2026-05-31</x:v>
      </x:c>
      <x:c r="BA32" s="18" t="n">
        <x:v>1</x:v>
      </x:c>
    </x:row>
    <x:row r="33">
      <x:c r="A33" s="18" t="str">
        <x:v>NYT-59-d011b60f826f21c8</x:v>
      </x:c>
      <x:c r="B33" s="18" t="str">
        <x:v>Gujarat Titans v Kolkata Knight Riders</x:v>
      </x:c>
      <x:c r="C33" s="18" t="str">
        <x:v>2026-04-17</x:v>
      </x:c>
      <x:c r="D33" s="18" t="n">
        <x:v>2026</x:v>
      </x:c>
      <x:c r="E33" s="18" t="str">
        <x:v>2026-04</x:v>
      </x:c>
      <x:c r="F33" s="18" t="str">
        <x:v>post</x:v>
      </x:c>
      <x:c r="G33" s="18" t="str">
        <x:v>T20</x:v>
      </x:c>
      <x:c r="H33" s="18" t="str">
        <x:v>India</x:v>
      </x:c>
      <x:c r="I33" s="18" t="str">
        <x:v>Gujarat Titans v Kolkata Knight Riders</x:v>
      </x:c>
      <x:c r="J33" s="20" t="str"/>
      <x:c r="K33" s="18" t="str"/>
      <x:c r="L33" s="20" t="str">
        <x:v>India</x:v>
      </x:c>
      <x:c r="M33" s="18" t="str">
        <x:v>2026-04-17T14:00Z</x:v>
      </x:c>
      <x:c r="N33" s="18" t="str">
        <x:v>1529268</x:v>
      </x:c>
      <x:c r="O33" s="18" t="str">
        <x:v>Gujarat Titans v Kolkata Knight Riders</x:v>
      </x:c>
      <x:c r="P33" s="18" t="str">
        <x:v>T20</x:v>
      </x:c>
      <x:c r="Q33" s="18" t="str">
        <x:v>2026-04-17T14:00Z</x:v>
      </x:c>
      <x:c r="R33" s="18" t="str">
        <x:v>post</x:v>
      </x:c>
      <x:c r="S33" s="18" t="str">
        <x:v>GT won by 5 wkts (2b rem)</x:v>
      </x:c>
      <x:c r="T33" s="18" t="str">
        <x:v>Gujarat Titans</x:v>
      </x:c>
      <x:c r="U33" s="18" t="str">
        <x:v>Kolkata Knight Riders</x:v>
      </x:c>
      <x:c r="V33" s="20" t="str">
        <x:v>181/5 (19.4/20 ov, target 181)</x:v>
      </x:c>
      <x:c r="W33" s="20" t="str">
        <x:v>180</x:v>
      </x:c>
      <x:c r="X33" s="18" t="str">
        <x:v>Gujarat Titans</x:v>
      </x:c>
      <x:c r="Y33" s="18" t="str">
        <x:v>Narendra Modi Stadium, Motera, Ahmedabad</x:v>
      </x:c>
      <x:c r="Z33" s="18" t="str">
        <x:v>Ahmedabad</x:v>
      </x:c>
      <x:c r="AA33" s="18" t="str">
        <x:v>Shubman Gill</x:v>
      </x:c>
      <x:c r="AB33" s="18" t="str">
        <x:v>cricket</x:v>
      </x:c>
      <x:c r="AC33" s="18" t="n">
        <x:v>2026</x:v>
      </x:c>
      <x:c r="AD33" s="18" t="str">
        <x:v>IPL</x:v>
      </x:c>
      <x:c r="AE33" s="18" t="str">
        <x:v>{"id":"1529268","uid":"s:200~e:1529268~c:1529268","description":"25th Match","shortDescription":"25th Match, (N) at Ahmedabad","date":"2026-04-17T14:00Z","endDate":"2026-04-18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matches","eventType":"T20"},"venue":{"id":"57851","fullName":"Narendra Modi Stadium, Motera, Ahmedabad","address":{"city":"Ahmedabad","state":"","country":"India","summary":""},"capacity":132000,"indoor":false},"competitors":[{"id":"1298769","uid":"s:200~e:1529268~c:1529268~t:1298769","type":"team","order":2,"homeAway":"home","winner":"true","score":"181/5 (19</x:v>
      </x:c>
      <x:c r="AF33" s="18" t="str">
        <x:v>COMPLETE_BOUNDED_PERIOD</x:v>
      </x:c>
      <x:c r="AG33" s="18" t="str">
        <x:v>Complete IPL 2026 ESPN scoreboard</x:v>
      </x:c>
      <x:c r="AH33" s="18" t="str"/>
      <x:c r="AI33" s="18" t="str"/>
      <x:c r="AJ33" s="20" t="n">
        <x:v>74</x:v>
      </x:c>
      <x:c r="AK33" s="19" t="n">
        <x:f>IFERROR(TODAY()-DATEVALUE(C33),"")</x:f>
        <x:v>146</x:v>
      </x:c>
      <x:c r="AL33" s="21" t="n">
        <x:f>ROUND(COUNTA(A33:K33)/11*100,0)</x:f>
        <x:v>100</x:v>
      </x:c>
      <x:c r="AM33" s="18" t="str">
        <x:v>ESPN public scoreboard service</x:v>
      </x:c>
      <x:c r="AN33" s="22" t="str">
        <x:v>https://www.espn.in/cricket/series/8048/scorecard/1529268/gujarat-titans-vs-kolkata-knight-riders-25th-match-indian-premier-league-2026</x:v>
      </x:c>
      <x:c r="AO33" s="18" t="str">
        <x:v>2026-04-17</x:v>
      </x:c>
      <x:c r="AP33" s="18" t="n">
        <x:v>46275.416216736114</x:v>
      </x:c>
      <x:c r="AQ33" s="18" t="str">
        <x:v>independent_public</x:v>
      </x:c>
      <x:c r="AR33" s="18" t="str">
        <x:v>READY</x:v>
      </x:c>
    </x:row>
    <x:row r="34">
      <x:c r="A34" s="18" t="str">
        <x:v>NYT-59-13aad9559fbc0b47</x:v>
      </x:c>
      <x:c r="B34" s="18" t="str">
        <x:v>Royal Challengers Bengaluru v Delhi Capitals</x:v>
      </x:c>
      <x:c r="C34" s="18" t="str">
        <x:v>2026-04-18</x:v>
      </x:c>
      <x:c r="D34" s="18" t="n">
        <x:v>2026</x:v>
      </x:c>
      <x:c r="E34" s="18" t="str">
        <x:v>2026-04</x:v>
      </x:c>
      <x:c r="F34" s="18" t="str">
        <x:v>post</x:v>
      </x:c>
      <x:c r="G34" s="18" t="str">
        <x:v>T20</x:v>
      </x:c>
      <x:c r="H34" s="18" t="str">
        <x:v>India</x:v>
      </x:c>
      <x:c r="I34" s="18" t="str">
        <x:v>Royal Challengers Bengaluru v Delhi Capitals</x:v>
      </x:c>
      <x:c r="J34" s="20" t="str"/>
      <x:c r="K34" s="18" t="str"/>
      <x:c r="L34" s="20" t="str">
        <x:v>India</x:v>
      </x:c>
      <x:c r="M34" s="18" t="str">
        <x:v>2026-04-18T10:00Z</x:v>
      </x:c>
      <x:c r="N34" s="18" t="str">
        <x:v>1529269</x:v>
      </x:c>
      <x:c r="O34" s="18" t="str">
        <x:v>Royal Challengers Bengaluru v Delhi Capitals</x:v>
      </x:c>
      <x:c r="P34" s="18" t="str">
        <x:v>T20</x:v>
      </x:c>
      <x:c r="Q34" s="18" t="str">
        <x:v>2026-04-18T10:00Z</x:v>
      </x:c>
      <x:c r="R34" s="18" t="str">
        <x:v>post</x:v>
      </x:c>
      <x:c r="S34" s="18" t="str">
        <x:v>DC won by 6 wkts (1b rem)</x:v>
      </x:c>
      <x:c r="T34" s="18" t="str">
        <x:v>Royal Challengers Bengaluru</x:v>
      </x:c>
      <x:c r="U34" s="18" t="str">
        <x:v>Delhi Capitals</x:v>
      </x:c>
      <x:c r="V34" s="20" t="str">
        <x:v>175/8</x:v>
      </x:c>
      <x:c r="W34" s="20" t="str">
        <x:v>179/4 (19.5/20 ov, target 176)</x:v>
      </x:c>
      <x:c r="X34" s="18" t="str">
        <x:v>Delhi Capitals</x:v>
      </x:c>
      <x:c r="Y34" s="18" t="str">
        <x:v>M.Chinnaswamy Stadium, Bengaluru</x:v>
      </x:c>
      <x:c r="Z34" s="18" t="str">
        <x:v>Bengaluru</x:v>
      </x:c>
      <x:c r="AA34" s="18" t="str">
        <x:v>Tristan Stubbs</x:v>
      </x:c>
      <x:c r="AB34" s="18" t="str">
        <x:v>cricket</x:v>
      </x:c>
      <x:c r="AC34" s="18" t="n">
        <x:v>2026</x:v>
      </x:c>
      <x:c r="AD34" s="18" t="str">
        <x:v>IPL</x:v>
      </x:c>
      <x:c r="AE34" s="18" t="str">
        <x:v>{"id":"1529269","uid":"s:200~e:1529269~c:1529269","description":"26th Match","shortDescription":"26th Match, (D/N) at Bengaluru","date":"2026-04-18T10:00Z","endDate":"2026-04-19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matches","eventType":"T20"},"venue":{"id":"57897","fullName":"M.Chinnaswamy Stadium, Bengaluru","address":{"city":"Bengaluru","state":"","country":"India","summary":"M.Chinnaswamy Stadium, Karnataka State Cricket Association, Mahatma Gandhi Road, Bangalore - 560001"},"capacity":40000,"indoor":false},"competitors":[{"id":"335970","uid":"s:200~e:1529269~c:1529</x:v>
      </x:c>
      <x:c r="AF34" s="18" t="str">
        <x:v>COMPLETE_BOUNDED_PERIOD</x:v>
      </x:c>
      <x:c r="AG34" s="18" t="str">
        <x:v>Complete IPL 2026 ESPN scoreboard</x:v>
      </x:c>
      <x:c r="AH34" s="18" t="str"/>
      <x:c r="AI34" s="18" t="str"/>
      <x:c r="AJ34" s="20" t="n">
        <x:v>74</x:v>
      </x:c>
      <x:c r="AK34" s="19" t="n">
        <x:f>IFERROR(TODAY()-DATEVALUE(C34),"")</x:f>
        <x:v>145</x:v>
      </x:c>
      <x:c r="AL34" s="21" t="n">
        <x:f>ROUND(COUNTA(A34:K34)/11*100,0)</x:f>
        <x:v>100</x:v>
      </x:c>
      <x:c r="AM34" s="18" t="str">
        <x:v>ESPN public scoreboard service</x:v>
      </x:c>
      <x:c r="AN34" s="22" t="str">
        <x:v>https://www.espn.in/cricket/series/8048/scorecard/1529269/royal-challengers-bengaluru-vs-delhi-capitals-26th-match-indian-premier-league-2026</x:v>
      </x:c>
      <x:c r="AO34" s="18" t="str">
        <x:v>2026-04-18</x:v>
      </x:c>
      <x:c r="AP34" s="18" t="n">
        <x:v>46275.416216736114</x:v>
      </x:c>
      <x:c r="AQ34" s="18" t="str">
        <x:v>independent_public</x:v>
      </x:c>
      <x:c r="AR34" s="18" t="str">
        <x:v>READY</x:v>
      </x:c>
    </x:row>
    <x:row r="35">
      <x:c r="A35" s="18" t="str">
        <x:v>NYT-59-e12aa4847dc5b930</x:v>
      </x:c>
      <x:c r="B35" s="18" t="str">
        <x:v>Sunrisers Hyderabad v Chennai Super Kings</x:v>
      </x:c>
      <x:c r="C35" s="18" t="str">
        <x:v>2026-04-18</x:v>
      </x:c>
      <x:c r="D35" s="18" t="n">
        <x:v>2026</x:v>
      </x:c>
      <x:c r="E35" s="18" t="str">
        <x:v>2026-04</x:v>
      </x:c>
      <x:c r="F35" s="18" t="str">
        <x:v>post</x:v>
      </x:c>
      <x:c r="G35" s="18" t="str">
        <x:v>T20</x:v>
      </x:c>
      <x:c r="H35" s="18" t="str">
        <x:v>India</x:v>
      </x:c>
      <x:c r="I35" s="18" t="str">
        <x:v>Sunrisers Hyderabad v Chennai Super Kings</x:v>
      </x:c>
      <x:c r="J35" s="20" t="str"/>
      <x:c r="K35" s="18" t="str"/>
      <x:c r="L35" s="20" t="str">
        <x:v>India</x:v>
      </x:c>
      <x:c r="M35" s="18" t="str">
        <x:v>2026-04-18T14:00Z</x:v>
      </x:c>
      <x:c r="N35" s="18" t="str">
        <x:v>1529270</x:v>
      </x:c>
      <x:c r="O35" s="18" t="str">
        <x:v>Sunrisers Hyderabad v Chennai Super Kings</x:v>
      </x:c>
      <x:c r="P35" s="18" t="str">
        <x:v>T20</x:v>
      </x:c>
      <x:c r="Q35" s="18" t="str">
        <x:v>2026-04-18T14:00Z</x:v>
      </x:c>
      <x:c r="R35" s="18" t="str">
        <x:v>post</x:v>
      </x:c>
      <x:c r="S35" s="18" t="str">
        <x:v>SRH won by 10 runs</x:v>
      </x:c>
      <x:c r="T35" s="18" t="str">
        <x:v>Sunrisers Hyderabad</x:v>
      </x:c>
      <x:c r="U35" s="18" t="str">
        <x:v>Chennai Super Kings</x:v>
      </x:c>
      <x:c r="V35" s="20" t="str">
        <x:v>194/9</x:v>
      </x:c>
      <x:c r="W35" s="20" t="str">
        <x:v>184/8 (20 ov, target 195)</x:v>
      </x:c>
      <x:c r="X35" s="18" t="str">
        <x:v>Sunrisers Hyderabad</x:v>
      </x:c>
      <x:c r="Y35" s="18" t="str">
        <x:v>Rajiv Gandhi International Stadium, Uppal, Hyderabad</x:v>
      </x:c>
      <x:c r="Z35" s="18" t="str">
        <x:v>Hyderabad</x:v>
      </x:c>
      <x:c r="AA35" s="18" t="str">
        <x:v>Eshan Malinga</x:v>
      </x:c>
      <x:c r="AB35" s="18" t="str">
        <x:v>cricket</x:v>
      </x:c>
      <x:c r="AC35" s="18" t="n">
        <x:v>2026</x:v>
      </x:c>
      <x:c r="AD35" s="18" t="str">
        <x:v>IPL</x:v>
      </x:c>
      <x:c r="AE35" s="18" t="str">
        <x:v>{"id":"1529270","uid":"s:200~e:1529270~c:1529270","description":"27th Match","shortDescription":"27th Match, (N) at Hyderabad","date":"2026-04-18T14:00Z","endDate":"2026-04-19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matches","eventType":"T20"},"venue":{"id":"58142","fullName":"Rajiv Gandhi International Stadium, Uppal, Hyderabad","address":{"city":"Hyderabad","state":"","country":"India","summary":""},"capacity":0,"indoor":false},"competitors":[{"id":"628333","uid":"s:200~e:1529270~c:1529270~t:628333","type":"team","order":1,"homeAway":"home","winner":"true","score":"194/</x:v>
      </x:c>
      <x:c r="AF35" s="18" t="str">
        <x:v>COMPLETE_BOUNDED_PERIOD</x:v>
      </x:c>
      <x:c r="AG35" s="18" t="str">
        <x:v>Complete IPL 2026 ESPN scoreboard</x:v>
      </x:c>
      <x:c r="AH35" s="18" t="str"/>
      <x:c r="AI35" s="18" t="str"/>
      <x:c r="AJ35" s="20" t="n">
        <x:v>74</x:v>
      </x:c>
      <x:c r="AK35" s="19" t="n">
        <x:f>IFERROR(TODAY()-DATEVALUE(C35),"")</x:f>
        <x:v>145</x:v>
      </x:c>
      <x:c r="AL35" s="21" t="n">
        <x:f>ROUND(COUNTA(A35:K35)/11*100,0)</x:f>
        <x:v>100</x:v>
      </x:c>
      <x:c r="AM35" s="18" t="str">
        <x:v>ESPN public scoreboard service</x:v>
      </x:c>
      <x:c r="AN35" s="22" t="str">
        <x:v>https://www.espn.in/cricket/series/8048/scorecard/1529270/sunrisers-hyderabad-vs-chennai-super-kings-27th-match-indian-premier-league-2026</x:v>
      </x:c>
      <x:c r="AO35" s="18" t="str">
        <x:v>2026-04-18</x:v>
      </x:c>
      <x:c r="AP35" s="18" t="n">
        <x:v>46275.416216736114</x:v>
      </x:c>
      <x:c r="AQ35" s="18" t="str">
        <x:v>independent_public</x:v>
      </x:c>
      <x:c r="AR35" s="18" t="str">
        <x:v>READY</x:v>
      </x:c>
    </x:row>
    <x:row r="36">
      <x:c r="A36" s="18" t="str">
        <x:v>NYT-59-0e3425c1558d1901</x:v>
      </x:c>
      <x:c r="B36" s="18" t="str">
        <x:v>Kolkata Knight Riders v Rajasthan Royals</x:v>
      </x:c>
      <x:c r="C36" s="18" t="str">
        <x:v>2026-04-19</x:v>
      </x:c>
      <x:c r="D36" s="18" t="n">
        <x:v>2026</x:v>
      </x:c>
      <x:c r="E36" s="18" t="str">
        <x:v>2026-04</x:v>
      </x:c>
      <x:c r="F36" s="18" t="str">
        <x:v>post</x:v>
      </x:c>
      <x:c r="G36" s="18" t="str">
        <x:v>T20</x:v>
      </x:c>
      <x:c r="H36" s="18" t="str">
        <x:v>India</x:v>
      </x:c>
      <x:c r="I36" s="18" t="str">
        <x:v>Kolkata Knight Riders v Rajasthan Royals</x:v>
      </x:c>
      <x:c r="J36" s="20" t="str"/>
      <x:c r="K36" s="18" t="str"/>
      <x:c r="L36" s="20" t="str">
        <x:v>India</x:v>
      </x:c>
      <x:c r="M36" s="18" t="str">
        <x:v>2026-04-19T10:00Z</x:v>
      </x:c>
      <x:c r="N36" s="18" t="str">
        <x:v>1529271</x:v>
      </x:c>
      <x:c r="O36" s="18" t="str">
        <x:v>Kolkata Knight Riders v Rajasthan Royals</x:v>
      </x:c>
      <x:c r="P36" s="18" t="str">
        <x:v>T20</x:v>
      </x:c>
      <x:c r="Q36" s="18" t="str">
        <x:v>2026-04-19T10:00Z</x:v>
      </x:c>
      <x:c r="R36" s="18" t="str">
        <x:v>post</x:v>
      </x:c>
      <x:c r="S36" s="18" t="str">
        <x:v>KKR won by 4 wkts (2b rem)</x:v>
      </x:c>
      <x:c r="T36" s="18" t="str">
        <x:v>Kolkata Knight Riders</x:v>
      </x:c>
      <x:c r="U36" s="18" t="str">
        <x:v>Rajasthan Royals</x:v>
      </x:c>
      <x:c r="V36" s="20" t="str">
        <x:v>161/6 (19.4/20 ov, target 156)</x:v>
      </x:c>
      <x:c r="W36" s="20" t="str">
        <x:v>155/9</x:v>
      </x:c>
      <x:c r="X36" s="18" t="str">
        <x:v>Kolkata Knight Riders</x:v>
      </x:c>
      <x:c r="Y36" s="18" t="str">
        <x:v>Eden Gardens, Kolkata</x:v>
      </x:c>
      <x:c r="Z36" s="18" t="str">
        <x:v>Kolkata</x:v>
      </x:c>
      <x:c r="AA36" s="18" t="str">
        <x:v>Varun Chakravarthy</x:v>
      </x:c>
      <x:c r="AB36" s="18" t="str">
        <x:v>cricket</x:v>
      </x:c>
      <x:c r="AC36" s="18" t="n">
        <x:v>2026</x:v>
      </x:c>
      <x:c r="AD36" s="18" t="str">
        <x:v>IPL</x:v>
      </x:c>
      <x:c r="AE36" s="18" t="str">
        <x:v>{"id":"1529271","uid":"s:200~e:1529271~c:1529271","description":"28th Match","shortDescription":"28th Match, (D/N) at Kolkata","date":"2026-04-19T10:00Z","endDate":"2026-04-20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matches","eventType":"T20"},"venue":{"id":"57980","fullName":"Eden Gardens, Kolkata","address":{"city":"Kolkata","state":"","country":"India","summary":"The Cricket Association of Bengal, DR BC Roy Club House, Eden Gardens, Kolkata - 700021"},"capacity":66000,"indoor":false},"competitors":[{"id":"335971","uid":"s:200~e:1529271~c:1529271~t:335971","type":"team"</x:v>
      </x:c>
      <x:c r="AF36" s="18" t="str">
        <x:v>COMPLETE_BOUNDED_PERIOD</x:v>
      </x:c>
      <x:c r="AG36" s="18" t="str">
        <x:v>Complete IPL 2026 ESPN scoreboard</x:v>
      </x:c>
      <x:c r="AH36" s="18" t="str"/>
      <x:c r="AI36" s="18" t="str"/>
      <x:c r="AJ36" s="20" t="n">
        <x:v>74</x:v>
      </x:c>
      <x:c r="AK36" s="19" t="n">
        <x:f>IFERROR(TODAY()-DATEVALUE(C36),"")</x:f>
        <x:v>144</x:v>
      </x:c>
      <x:c r="AL36" s="21" t="n">
        <x:f>ROUND(COUNTA(A36:K36)/11*100,0)</x:f>
        <x:v>100</x:v>
      </x:c>
      <x:c r="AM36" s="18" t="str">
        <x:v>ESPN public scoreboard service</x:v>
      </x:c>
      <x:c r="AN36" s="22" t="str">
        <x:v>https://www.espn.in/cricket/series/8048/scorecard/1529271/kolkata-knight-riders-vs-rajasthan-royals-28th-match-indian-premier-league-2026</x:v>
      </x:c>
      <x:c r="AO36" s="18" t="str">
        <x:v>2026-04-19</x:v>
      </x:c>
      <x:c r="AP36" s="18" t="n">
        <x:v>46275.416216736114</x:v>
      </x:c>
      <x:c r="AQ36" s="18" t="str">
        <x:v>independent_public</x:v>
      </x:c>
      <x:c r="AR36" s="18" t="str">
        <x:v>READY</x:v>
      </x:c>
    </x:row>
    <x:row r="37">
      <x:c r="A37" s="18" t="str">
        <x:v>NYT-59-73399f372af3eb28</x:v>
      </x:c>
      <x:c r="B37" s="18" t="str">
        <x:v>Punjab Kings v Lucknow Super Giants</x:v>
      </x:c>
      <x:c r="C37" s="18" t="str">
        <x:v>2026-04-19</x:v>
      </x:c>
      <x:c r="D37" s="18" t="n">
        <x:v>2026</x:v>
      </x:c>
      <x:c r="E37" s="18" t="str">
        <x:v>2026-04</x:v>
      </x:c>
      <x:c r="F37" s="18" t="str">
        <x:v>post</x:v>
      </x:c>
      <x:c r="G37" s="18" t="str">
        <x:v>T20</x:v>
      </x:c>
      <x:c r="H37" s="18" t="str">
        <x:v>India</x:v>
      </x:c>
      <x:c r="I37" s="18" t="str">
        <x:v>Punjab Kings v Lucknow Super Giants</x:v>
      </x:c>
      <x:c r="J37" s="20" t="str"/>
      <x:c r="K37" s="18" t="str"/>
      <x:c r="L37" s="20" t="str">
        <x:v>India</x:v>
      </x:c>
      <x:c r="M37" s="18" t="str">
        <x:v>2026-04-19T14:00Z</x:v>
      </x:c>
      <x:c r="N37" s="18" t="str">
        <x:v>1529272</x:v>
      </x:c>
      <x:c r="O37" s="18" t="str">
        <x:v>Punjab Kings v Lucknow Super Giants</x:v>
      </x:c>
      <x:c r="P37" s="18" t="str">
        <x:v>T20</x:v>
      </x:c>
      <x:c r="Q37" s="18" t="str">
        <x:v>2026-04-19T14:00Z</x:v>
      </x:c>
      <x:c r="R37" s="18" t="str">
        <x:v>post</x:v>
      </x:c>
      <x:c r="S37" s="18" t="str">
        <x:v>PBKS won by 54 runs</x:v>
      </x:c>
      <x:c r="T37" s="18" t="str">
        <x:v>Punjab Kings</x:v>
      </x:c>
      <x:c r="U37" s="18" t="str">
        <x:v>Lucknow Super Giants</x:v>
      </x:c>
      <x:c r="V37" s="20" t="str">
        <x:v>254/7</x:v>
      </x:c>
      <x:c r="W37" s="20" t="str">
        <x:v>200/5 (20 ov, target 255)</x:v>
      </x:c>
      <x:c r="X37" s="18" t="str">
        <x:v>Punjab Kings</x:v>
      </x:c>
      <x:c r="Y37" s="18" t="str">
        <x:v>Maharaja Yadavindra Singh International Cricket Stadium, New Chandigarh</x:v>
      </x:c>
      <x:c r="Z37" s="18" t="str">
        <x:v>New Chandigarh</x:v>
      </x:c>
      <x:c r="AA37" s="18" t="str">
        <x:v>Priyansh Arya</x:v>
      </x:c>
      <x:c r="AB37" s="18" t="str">
        <x:v>cricket</x:v>
      </x:c>
      <x:c r="AC37" s="18" t="n">
        <x:v>2026</x:v>
      </x:c>
      <x:c r="AD37" s="18" t="str">
        <x:v>IPL</x:v>
      </x:c>
      <x:c r="AE37" s="18" t="str">
        <x:v>{"id":"1529272","uid":"s:200~e:1529272~c:1529272","description":"29th Match","shortDescription":"29th Match, (N) at New Chandigarh","date":"2026-04-19T14:00Z","endDate":"2026-04-20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matches","eventType":"T20"},"venue":{"id":"1290799","fullName":"Maharaja Yadavindra Singh International Cricket Stadium, New Chandigarh","address":{"city":"New Chandigarh","state":"","country":"India","summary":"Mullanpur, Tira, Punjab 140901 India"},"capacity":38000,"indoor":false},"competitors":[{"id":"335973","uid":"s:200~e:1529272~c:1529272~t:335973",</x:v>
      </x:c>
      <x:c r="AF37" s="18" t="str">
        <x:v>COMPLETE_BOUNDED_PERIOD</x:v>
      </x:c>
      <x:c r="AG37" s="18" t="str">
        <x:v>Complete IPL 2026 ESPN scoreboard</x:v>
      </x:c>
      <x:c r="AH37" s="18" t="str"/>
      <x:c r="AI37" s="18" t="str"/>
      <x:c r="AJ37" s="20" t="n">
        <x:v>74</x:v>
      </x:c>
      <x:c r="AK37" s="19" t="n">
        <x:f>IFERROR(TODAY()-DATEVALUE(C37),"")</x:f>
        <x:v>144</x:v>
      </x:c>
      <x:c r="AL37" s="21" t="n">
        <x:f>ROUND(COUNTA(A37:K37)/11*100,0)</x:f>
        <x:v>100</x:v>
      </x:c>
      <x:c r="AM37" s="18" t="str">
        <x:v>ESPN public scoreboard service</x:v>
      </x:c>
      <x:c r="AN37" s="22" t="str">
        <x:v>https://www.espn.in/cricket/series/8048/scorecard/1529272/punjab-kings-vs-lucknow-super-giants-29th-match-indian-premier-league-2026</x:v>
      </x:c>
      <x:c r="AO37" s="18" t="str">
        <x:v>2026-04-19</x:v>
      </x:c>
      <x:c r="AP37" s="18" t="n">
        <x:v>46275.416216736114</x:v>
      </x:c>
      <x:c r="AQ37" s="18" t="str">
        <x:v>independent_public</x:v>
      </x:c>
      <x:c r="AR37" s="18" t="str">
        <x:v>READY</x:v>
      </x:c>
    </x:row>
    <x:row r="38">
      <x:c r="A38" s="18" t="str">
        <x:v>NYT-59-69d78d9e4d39ed72</x:v>
      </x:c>
      <x:c r="B38" s="18" t="str">
        <x:v>Gujarat Titans v Mumbai Indians</x:v>
      </x:c>
      <x:c r="C38" s="18" t="str">
        <x:v>2026-04-20</x:v>
      </x:c>
      <x:c r="D38" s="18" t="n">
        <x:v>2026</x:v>
      </x:c>
      <x:c r="E38" s="18" t="str">
        <x:v>2026-04</x:v>
      </x:c>
      <x:c r="F38" s="18" t="str">
        <x:v>post</x:v>
      </x:c>
      <x:c r="G38" s="18" t="str">
        <x:v>T20</x:v>
      </x:c>
      <x:c r="H38" s="18" t="str">
        <x:v>India</x:v>
      </x:c>
      <x:c r="I38" s="18" t="str">
        <x:v>Gujarat Titans v Mumbai Indians</x:v>
      </x:c>
      <x:c r="J38" s="20" t="str"/>
      <x:c r="K38" s="18" t="str"/>
      <x:c r="L38" s="20" t="str">
        <x:v>India</x:v>
      </x:c>
      <x:c r="M38" s="18" t="str">
        <x:v>2026-04-20T14:00Z</x:v>
      </x:c>
      <x:c r="N38" s="18" t="str">
        <x:v>1529273</x:v>
      </x:c>
      <x:c r="O38" s="18" t="str">
        <x:v>Gujarat Titans v Mumbai Indians</x:v>
      </x:c>
      <x:c r="P38" s="18" t="str">
        <x:v>T20</x:v>
      </x:c>
      <x:c r="Q38" s="18" t="str">
        <x:v>2026-04-20T14:00Z</x:v>
      </x:c>
      <x:c r="R38" s="18" t="str">
        <x:v>post</x:v>
      </x:c>
      <x:c r="S38" s="18" t="str">
        <x:v>MI won by 99 runs</x:v>
      </x:c>
      <x:c r="T38" s="18" t="str">
        <x:v>Gujarat Titans</x:v>
      </x:c>
      <x:c r="U38" s="18" t="str">
        <x:v>Mumbai Indians</x:v>
      </x:c>
      <x:c r="V38" s="20" t="str">
        <x:v>100 (15.5/20 ov, target 200)</x:v>
      </x:c>
      <x:c r="W38" s="20" t="str">
        <x:v>199/5</x:v>
      </x:c>
      <x:c r="X38" s="18" t="str">
        <x:v>Mumbai Indians</x:v>
      </x:c>
      <x:c r="Y38" s="18" t="str">
        <x:v>Narendra Modi Stadium, Motera, Ahmedabad</x:v>
      </x:c>
      <x:c r="Z38" s="18" t="str">
        <x:v>Ahmedabad</x:v>
      </x:c>
      <x:c r="AA38" s="18" t="str">
        <x:v>Tilak Varma</x:v>
      </x:c>
      <x:c r="AB38" s="18" t="str">
        <x:v>cricket</x:v>
      </x:c>
      <x:c r="AC38" s="18" t="n">
        <x:v>2026</x:v>
      </x:c>
      <x:c r="AD38" s="18" t="str">
        <x:v>IPL</x:v>
      </x:c>
      <x:c r="AE38" s="18" t="str">
        <x:v>{"id":"1529273","uid":"s:200~e:1529273~c:1529273","description":"30th Match","shortDescription":"30th Match, (N) at Ahmedabad","date":"2026-04-20T14:00Z","endDate":"2026-04-21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matches","eventType":"T20"},"venue":{"id":"57851","fullName":"Narendra Modi Stadium, Motera, Ahmedabad","address":{"city":"Ahmedabad","state":"","country":"India","summary":""},"capacity":132000,"indoor":false},"competitors":[{"id":"1298769","uid":"s:200~e:1529273~c:1529273~t:1298769","type":"team","order":2,"homeAway":"home","winner":"false","score":"100 (15.</x:v>
      </x:c>
      <x:c r="AF38" s="18" t="str">
        <x:v>COMPLETE_BOUNDED_PERIOD</x:v>
      </x:c>
      <x:c r="AG38" s="18" t="str">
        <x:v>Complete IPL 2026 ESPN scoreboard</x:v>
      </x:c>
      <x:c r="AH38" s="18" t="str"/>
      <x:c r="AI38" s="18" t="str"/>
      <x:c r="AJ38" s="20" t="n">
        <x:v>74</x:v>
      </x:c>
      <x:c r="AK38" s="19" t="n">
        <x:f>IFERROR(TODAY()-DATEVALUE(C38),"")</x:f>
        <x:v>143</x:v>
      </x:c>
      <x:c r="AL38" s="21" t="n">
        <x:f>ROUND(COUNTA(A38:K38)/11*100,0)</x:f>
        <x:v>100</x:v>
      </x:c>
      <x:c r="AM38" s="18" t="str">
        <x:v>ESPN public scoreboard service</x:v>
      </x:c>
      <x:c r="AN38" s="22" t="str">
        <x:v>https://www.espn.in/cricket/series/8048/scorecard/1529273/gujarat-titans-vs-mumbai-indians-30th-match-indian-premier-league-2026</x:v>
      </x:c>
      <x:c r="AO38" s="18" t="str">
        <x:v>2026-04-20</x:v>
      </x:c>
      <x:c r="AP38" s="18" t="n">
        <x:v>46275.416216736114</x:v>
      </x:c>
      <x:c r="AQ38" s="18" t="str">
        <x:v>independent_public</x:v>
      </x:c>
      <x:c r="AR38" s="18" t="str">
        <x:v>READY</x:v>
      </x:c>
    </x:row>
    <x:row r="39">
      <x:c r="A39" s="18" t="str">
        <x:v>NYT-59-6f416746104f5ce1</x:v>
      </x:c>
      <x:c r="B39" s="18" t="str">
        <x:v>Sunrisers Hyderabad v Delhi Capitals</x:v>
      </x:c>
      <x:c r="C39" s="18" t="str">
        <x:v>2026-04-21</x:v>
      </x:c>
      <x:c r="D39" s="18" t="n">
        <x:v>2026</x:v>
      </x:c>
      <x:c r="E39" s="18" t="str">
        <x:v>2026-04</x:v>
      </x:c>
      <x:c r="F39" s="18" t="str">
        <x:v>post</x:v>
      </x:c>
      <x:c r="G39" s="18" t="str">
        <x:v>T20</x:v>
      </x:c>
      <x:c r="H39" s="18" t="str">
        <x:v>India</x:v>
      </x:c>
      <x:c r="I39" s="18" t="str">
        <x:v>Sunrisers Hyderabad v Delhi Capitals</x:v>
      </x:c>
      <x:c r="J39" s="20" t="str"/>
      <x:c r="K39" s="18" t="str"/>
      <x:c r="L39" s="20" t="str">
        <x:v>India</x:v>
      </x:c>
      <x:c r="M39" s="18" t="str">
        <x:v>2026-04-21T14:00Z</x:v>
      </x:c>
      <x:c r="N39" s="18" t="str">
        <x:v>1529274</x:v>
      </x:c>
      <x:c r="O39" s="18" t="str">
        <x:v>Sunrisers Hyderabad v Delhi Capitals</x:v>
      </x:c>
      <x:c r="P39" s="18" t="str">
        <x:v>T20</x:v>
      </x:c>
      <x:c r="Q39" s="18" t="str">
        <x:v>2026-04-21T14:00Z</x:v>
      </x:c>
      <x:c r="R39" s="18" t="str">
        <x:v>post</x:v>
      </x:c>
      <x:c r="S39" s="18" t="str">
        <x:v>SRH won by 47 runs</x:v>
      </x:c>
      <x:c r="T39" s="18" t="str">
        <x:v>Sunrisers Hyderabad</x:v>
      </x:c>
      <x:c r="U39" s="18" t="str">
        <x:v>Delhi Capitals</x:v>
      </x:c>
      <x:c r="V39" s="20" t="str">
        <x:v>242/2</x:v>
      </x:c>
      <x:c r="W39" s="20" t="str">
        <x:v>195/9 (20 ov, target 243)</x:v>
      </x:c>
      <x:c r="X39" s="18" t="str">
        <x:v>Sunrisers Hyderabad</x:v>
      </x:c>
      <x:c r="Y39" s="18" t="str">
        <x:v>Rajiv Gandhi International Stadium, Uppal, Hyderabad</x:v>
      </x:c>
      <x:c r="Z39" s="18" t="str">
        <x:v>Hyderabad</x:v>
      </x:c>
      <x:c r="AA39" s="18" t="str">
        <x:v>Abhishek Sharma</x:v>
      </x:c>
      <x:c r="AB39" s="18" t="str">
        <x:v>cricket</x:v>
      </x:c>
      <x:c r="AC39" s="18" t="n">
        <x:v>2026</x:v>
      </x:c>
      <x:c r="AD39" s="18" t="str">
        <x:v>IPL</x:v>
      </x:c>
      <x:c r="AE39" s="18" t="str">
        <x:v>{"id":"1529274","uid":"s:200~e:1529274~c:1529274","description":"31st Match","shortDescription":"31st Match, (N) at Hyderabad","date":"2026-04-21T14:00Z","endDate":"2026-04-22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matches","eventType":"T20"},"venue":{"id":"58142","fullName":"Rajiv Gandhi International Stadium, Uppal, Hyderabad","address":{"city":"Hyderabad","state":"","country":"India","summary":""},"capacity":0,"indoor":false},"competitors":[{"id":"628333","uid":"s:200~e:1529274~c:1529274~t:628333","type":"team","order":1,"homeAway":"home","winner":"true","score":"242/</x:v>
      </x:c>
      <x:c r="AF39" s="18" t="str">
        <x:v>COMPLETE_BOUNDED_PERIOD</x:v>
      </x:c>
      <x:c r="AG39" s="18" t="str">
        <x:v>Complete IPL 2026 ESPN scoreboard</x:v>
      </x:c>
      <x:c r="AH39" s="18" t="str"/>
      <x:c r="AI39" s="18" t="str"/>
      <x:c r="AJ39" s="20" t="n">
        <x:v>74</x:v>
      </x:c>
      <x:c r="AK39" s="19" t="n">
        <x:f>IFERROR(TODAY()-DATEVALUE(C39),"")</x:f>
        <x:v>142</x:v>
      </x:c>
      <x:c r="AL39" s="21" t="n">
        <x:f>ROUND(COUNTA(A39:K39)/11*100,0)</x:f>
        <x:v>100</x:v>
      </x:c>
      <x:c r="AM39" s="18" t="str">
        <x:v>ESPN public scoreboard service</x:v>
      </x:c>
      <x:c r="AN39" s="22" t="str">
        <x:v>https://www.espn.in/cricket/series/8048/scorecard/1529274/sunrisers-hyderabad-vs-delhi-capitals-31st-match-indian-premier-league-2026</x:v>
      </x:c>
      <x:c r="AO39" s="18" t="str">
        <x:v>2026-04-21</x:v>
      </x:c>
      <x:c r="AP39" s="18" t="n">
        <x:v>46275.416216736114</x:v>
      </x:c>
      <x:c r="AQ39" s="18" t="str">
        <x:v>independent_public</x:v>
      </x:c>
      <x:c r="AR39" s="18" t="str">
        <x:v>READY</x:v>
      </x:c>
    </x:row>
    <x:row r="40">
      <x:c r="A40" s="18" t="str">
        <x:v>NYT-59-3a2fc21c59fdbb0a</x:v>
      </x:c>
      <x:c r="B40" s="18" t="str">
        <x:v>Lucknow Super Giants v Rajasthan Royals</x:v>
      </x:c>
      <x:c r="C40" s="18" t="str">
        <x:v>2026-04-22</x:v>
      </x:c>
      <x:c r="D40" s="18" t="n">
        <x:v>2026</x:v>
      </x:c>
      <x:c r="E40" s="18" t="str">
        <x:v>2026-04</x:v>
      </x:c>
      <x:c r="F40" s="18" t="str">
        <x:v>post</x:v>
      </x:c>
      <x:c r="G40" s="18" t="str">
        <x:v>T20</x:v>
      </x:c>
      <x:c r="H40" s="18" t="str">
        <x:v>India</x:v>
      </x:c>
      <x:c r="I40" s="18" t="str">
        <x:v>Lucknow Super Giants v Rajasthan Royals</x:v>
      </x:c>
      <x:c r="J40" s="20" t="str"/>
      <x:c r="K40" s="18" t="str"/>
      <x:c r="L40" s="20" t="str">
        <x:v>India</x:v>
      </x:c>
      <x:c r="M40" s="18" t="str">
        <x:v>2026-04-22T14:00Z</x:v>
      </x:c>
      <x:c r="N40" s="18" t="str">
        <x:v>1529275</x:v>
      </x:c>
      <x:c r="O40" s="18" t="str">
        <x:v>Lucknow Super Giants v Rajasthan Royals</x:v>
      </x:c>
      <x:c r="P40" s="18" t="str">
        <x:v>T20</x:v>
      </x:c>
      <x:c r="Q40" s="18" t="str">
        <x:v>2026-04-22T14:00Z</x:v>
      </x:c>
      <x:c r="R40" s="18" t="str">
        <x:v>post</x:v>
      </x:c>
      <x:c r="S40" s="18" t="str">
        <x:v>RR won by 40 runs</x:v>
      </x:c>
      <x:c r="T40" s="18" t="str">
        <x:v>Lucknow Super Giants</x:v>
      </x:c>
      <x:c r="U40" s="18" t="str">
        <x:v>Rajasthan Royals</x:v>
      </x:c>
      <x:c r="V40" s="20" t="str">
        <x:v>119 (18/20 ov, target 160)</x:v>
      </x:c>
      <x:c r="W40" s="20" t="str">
        <x:v>159/6</x:v>
      </x:c>
      <x:c r="X40" s="18" t="str">
        <x:v>Rajasthan Royals</x:v>
      </x:c>
      <x:c r="Y40" s="18" t="str">
        <x:v>Bharat Ratna Shri Atal Bihari Vajpayee Ekana Cricket Stadium, Lucknow</x:v>
      </x:c>
      <x:c r="Z40" s="18" t="str">
        <x:v>Lucknow</x:v>
      </x:c>
      <x:c r="AA40" s="18" t="str">
        <x:v>Ravindra Jadeja</x:v>
      </x:c>
      <x:c r="AB40" s="18" t="str">
        <x:v>cricket</x:v>
      </x:c>
      <x:c r="AC40" s="18" t="n">
        <x:v>2026</x:v>
      </x:c>
      <x:c r="AD40" s="18" t="str">
        <x:v>IPL</x:v>
      </x:c>
      <x:c r="AE40" s="18" t="str">
        <x:v>{"id":"1529275","uid":"s:200~e:1529275~c:1529275","description":"32nd Match","shortDescription":"32nd Match, (N) at Lucknow","date":"2026-04-22T14:00Z","endDate":"2026-04-23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matches","eventType":"T20"},"venue":{"id":"1070094","fullName":"Bharat Ratna Shri Atal Bihari Vajpayee Ekana Cricket Stadium, Lucknow","address":{"city":"Lucknow","state":"","country":"India","summary":"Ekana Sportz City, Sector 7 Gomti Nagar Ext, Amar Shaheed Path, Lucknow, Uttar Pradesh 226010"},"capacity":50000,"indoor":false},"competitors":[{"id":"1298768","</x:v>
      </x:c>
      <x:c r="AF40" s="18" t="str">
        <x:v>COMPLETE_BOUNDED_PERIOD</x:v>
      </x:c>
      <x:c r="AG40" s="18" t="str">
        <x:v>Complete IPL 2026 ESPN scoreboard</x:v>
      </x:c>
      <x:c r="AH40" s="18" t="str"/>
      <x:c r="AI40" s="18" t="str"/>
      <x:c r="AJ40" s="20" t="n">
        <x:v>74</x:v>
      </x:c>
      <x:c r="AK40" s="19" t="n">
        <x:f>IFERROR(TODAY()-DATEVALUE(C40),"")</x:f>
        <x:v>141</x:v>
      </x:c>
      <x:c r="AL40" s="21" t="n">
        <x:f>ROUND(COUNTA(A40:K40)/11*100,0)</x:f>
        <x:v>100</x:v>
      </x:c>
      <x:c r="AM40" s="18" t="str">
        <x:v>ESPN public scoreboard service</x:v>
      </x:c>
      <x:c r="AN40" s="22" t="str">
        <x:v>https://www.espn.in/cricket/series/8048/scorecard/1529275/lucknow-super-giants-vs-rajasthan-royals-32nd-match-indian-premier-league-2026</x:v>
      </x:c>
      <x:c r="AO40" s="18" t="str">
        <x:v>2026-04-22</x:v>
      </x:c>
      <x:c r="AP40" s="18" t="n">
        <x:v>46275.416216736114</x:v>
      </x:c>
      <x:c r="AQ40" s="18" t="str">
        <x:v>independent_public</x:v>
      </x:c>
      <x:c r="AR40" s="18" t="str">
        <x:v>READY</x:v>
      </x:c>
    </x:row>
    <x:row r="41">
      <x:c r="A41" s="18" t="str">
        <x:v>NYT-59-7e681813ccd4daf7</x:v>
      </x:c>
      <x:c r="B41" s="18" t="str">
        <x:v>Mumbai Indians v Chennai Super Kings</x:v>
      </x:c>
      <x:c r="C41" s="18" t="str">
        <x:v>2026-04-23</x:v>
      </x:c>
      <x:c r="D41" s="18" t="n">
        <x:v>2026</x:v>
      </x:c>
      <x:c r="E41" s="18" t="str">
        <x:v>2026-04</x:v>
      </x:c>
      <x:c r="F41" s="18" t="str">
        <x:v>post</x:v>
      </x:c>
      <x:c r="G41" s="18" t="str">
        <x:v>T20</x:v>
      </x:c>
      <x:c r="H41" s="18" t="str">
        <x:v>India</x:v>
      </x:c>
      <x:c r="I41" s="18" t="str">
        <x:v>Mumbai Indians v Chennai Super Kings</x:v>
      </x:c>
      <x:c r="J41" s="20" t="str"/>
      <x:c r="K41" s="18" t="str"/>
      <x:c r="L41" s="20" t="str">
        <x:v>India</x:v>
      </x:c>
      <x:c r="M41" s="18" t="str">
        <x:v>2026-04-23T14:00Z</x:v>
      </x:c>
      <x:c r="N41" s="18" t="str">
        <x:v>1529276</x:v>
      </x:c>
      <x:c r="O41" s="18" t="str">
        <x:v>Mumbai Indians v Chennai Super Kings</x:v>
      </x:c>
      <x:c r="P41" s="18" t="str">
        <x:v>T20</x:v>
      </x:c>
      <x:c r="Q41" s="18" t="str">
        <x:v>2026-04-23T14:00Z</x:v>
      </x:c>
      <x:c r="R41" s="18" t="str">
        <x:v>post</x:v>
      </x:c>
      <x:c r="S41" s="18" t="str">
        <x:v>CSK won by 103 runs</x:v>
      </x:c>
      <x:c r="T41" s="18" t="str">
        <x:v>Mumbai Indians</x:v>
      </x:c>
      <x:c r="U41" s="18" t="str">
        <x:v>Chennai Super Kings</x:v>
      </x:c>
      <x:c r="V41" s="20" t="str">
        <x:v>104 (19/20 ov, target 208)</x:v>
      </x:c>
      <x:c r="W41" s="20" t="str">
        <x:v>207/6</x:v>
      </x:c>
      <x:c r="X41" s="18" t="str">
        <x:v>Chennai Super Kings</x:v>
      </x:c>
      <x:c r="Y41" s="18" t="str">
        <x:v>Wankhede Stadium, Mumbai</x:v>
      </x:c>
      <x:c r="Z41" s="18" t="str">
        <x:v>Mumbai</x:v>
      </x:c>
      <x:c r="AA41" s="18" t="str">
        <x:v>Sanju Samson</x:v>
      </x:c>
      <x:c r="AB41" s="18" t="str">
        <x:v>cricket</x:v>
      </x:c>
      <x:c r="AC41" s="18" t="n">
        <x:v>2026</x:v>
      </x:c>
      <x:c r="AD41" s="18" t="str">
        <x:v>IPL</x:v>
      </x:c>
      <x:c r="AE41" s="18" t="str">
        <x:v>{"id":"1529276","uid":"s:200~e:1529276~c:1529276","description":"33rd Match","shortDescription":"33rd Match, (N) at Mumbai","date":"2026-04-23T14:00Z","endDate":"2026-04-24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matches","eventType":"T20"},"venue":{"id":"58324","fullName":"Wankhede Stadium, Mumbai","address":{"city":"Mumbai","state":"","country":"India","summary":"Mumbai Cricket Association, Wankhede Stadium, D Road, Churchgate, Mumbai - 400020 (Phone: 022 2281 1795/7876/9910)"},"capacity":32000,"indoor":false},"competitors":[{"id":"335978","uid":"s:200~e:1529276~c:15292</x:v>
      </x:c>
      <x:c r="AF41" s="18" t="str">
        <x:v>COMPLETE_BOUNDED_PERIOD</x:v>
      </x:c>
      <x:c r="AG41" s="18" t="str">
        <x:v>Complete IPL 2026 ESPN scoreboard</x:v>
      </x:c>
      <x:c r="AH41" s="18" t="str"/>
      <x:c r="AI41" s="18" t="str"/>
      <x:c r="AJ41" s="20" t="n">
        <x:v>74</x:v>
      </x:c>
      <x:c r="AK41" s="19" t="n">
        <x:f>IFERROR(TODAY()-DATEVALUE(C41),"")</x:f>
        <x:v>140</x:v>
      </x:c>
      <x:c r="AL41" s="21" t="n">
        <x:f>ROUND(COUNTA(A41:K41)/11*100,0)</x:f>
        <x:v>100</x:v>
      </x:c>
      <x:c r="AM41" s="18" t="str">
        <x:v>ESPN public scoreboard service</x:v>
      </x:c>
      <x:c r="AN41" s="22" t="str">
        <x:v>https://www.espn.in/cricket/series/8048/scorecard/1529276/mumbai-indians-vs-chennai-super-kings-33rd-match-indian-premier-league-2026</x:v>
      </x:c>
      <x:c r="AO41" s="18" t="str">
        <x:v>2026-04-23</x:v>
      </x:c>
      <x:c r="AP41" s="18" t="n">
        <x:v>46275.416216736114</x:v>
      </x:c>
      <x:c r="AQ41" s="18" t="str">
        <x:v>independent_public</x:v>
      </x:c>
      <x:c r="AR41" s="18" t="str">
        <x:v>READY</x:v>
      </x:c>
    </x:row>
    <x:row r="42">
      <x:c r="A42" s="18" t="str">
        <x:v>NYT-59-e1fa5602504a17fd</x:v>
      </x:c>
      <x:c r="B42" s="18" t="str">
        <x:v>Royal Challengers Bengaluru v Gujarat Titans</x:v>
      </x:c>
      <x:c r="C42" s="18" t="str">
        <x:v>2026-04-24</x:v>
      </x:c>
      <x:c r="D42" s="18" t="n">
        <x:v>2026</x:v>
      </x:c>
      <x:c r="E42" s="18" t="str">
        <x:v>2026-04</x:v>
      </x:c>
      <x:c r="F42" s="18" t="str">
        <x:v>post</x:v>
      </x:c>
      <x:c r="G42" s="18" t="str">
        <x:v>T20</x:v>
      </x:c>
      <x:c r="H42" s="18" t="str">
        <x:v>India</x:v>
      </x:c>
      <x:c r="I42" s="18" t="str">
        <x:v>Royal Challengers Bengaluru v Gujarat Titans</x:v>
      </x:c>
      <x:c r="J42" s="20" t="str"/>
      <x:c r="K42" s="18" t="str"/>
      <x:c r="L42" s="20" t="str">
        <x:v>India</x:v>
      </x:c>
      <x:c r="M42" s="18" t="str">
        <x:v>2026-04-24T14:00Z</x:v>
      </x:c>
      <x:c r="N42" s="18" t="str">
        <x:v>1529277</x:v>
      </x:c>
      <x:c r="O42" s="18" t="str">
        <x:v>Royal Challengers Bengaluru v Gujarat Titans</x:v>
      </x:c>
      <x:c r="P42" s="18" t="str">
        <x:v>T20</x:v>
      </x:c>
      <x:c r="Q42" s="18" t="str">
        <x:v>2026-04-24T14:00Z</x:v>
      </x:c>
      <x:c r="R42" s="18" t="str">
        <x:v>post</x:v>
      </x:c>
      <x:c r="S42" s="18" t="str">
        <x:v>RCB won by 5 wkts (7b rem)</x:v>
      </x:c>
      <x:c r="T42" s="18" t="str">
        <x:v>Royal Challengers Bengaluru</x:v>
      </x:c>
      <x:c r="U42" s="18" t="str">
        <x:v>Gujarat Titans</x:v>
      </x:c>
      <x:c r="V42" s="20" t="str">
        <x:v>206/5 (18.5/20 ov, target 206)</x:v>
      </x:c>
      <x:c r="W42" s="20" t="str">
        <x:v>205/3</x:v>
      </x:c>
      <x:c r="X42" s="18" t="str">
        <x:v>Royal Challengers Bengaluru</x:v>
      </x:c>
      <x:c r="Y42" s="18" t="str">
        <x:v>M.Chinnaswamy Stadium, Bengaluru</x:v>
      </x:c>
      <x:c r="Z42" s="18" t="str">
        <x:v>Bengaluru</x:v>
      </x:c>
      <x:c r="AA42" s="18" t="str">
        <x:v>Virat Kohli</x:v>
      </x:c>
      <x:c r="AB42" s="18" t="str">
        <x:v>cricket</x:v>
      </x:c>
      <x:c r="AC42" s="18" t="n">
        <x:v>2026</x:v>
      </x:c>
      <x:c r="AD42" s="18" t="str">
        <x:v>IPL</x:v>
      </x:c>
      <x:c r="AE42" s="18" t="str">
        <x:v>{"id":"1529277","uid":"s:200~e:1529277~c:1529277","description":"34th Match","shortDescription":"34th Match, (N) at Bengaluru","date":"2026-04-24T14:00Z","endDate":"2026-04-25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matches","eventType":"T20"},"venue":{"id":"57897","fullName":"M.Chinnaswamy Stadium, Bengaluru","address":{"city":"Bengaluru","state":"","country":"India","summary":"M.Chinnaswamy Stadium, Karnataka State Cricket Association, Mahatma Gandhi Road, Bangalore - 560001"},"capacity":40000,"indoor":false},"competitors":[{"id":"335970","uid":"s:200~e:1529277~c:152927</x:v>
      </x:c>
      <x:c r="AF42" s="18" t="str">
        <x:v>COMPLETE_BOUNDED_PERIOD</x:v>
      </x:c>
      <x:c r="AG42" s="18" t="str">
        <x:v>Complete IPL 2026 ESPN scoreboard</x:v>
      </x:c>
      <x:c r="AH42" s="18" t="str"/>
      <x:c r="AI42" s="18" t="str"/>
      <x:c r="AJ42" s="20" t="n">
        <x:v>74</x:v>
      </x:c>
      <x:c r="AK42" s="19" t="n">
        <x:f>IFERROR(TODAY()-DATEVALUE(C42),"")</x:f>
        <x:v>139</x:v>
      </x:c>
      <x:c r="AL42" s="21" t="n">
        <x:f>ROUND(COUNTA(A42:K42)/11*100,0)</x:f>
        <x:v>100</x:v>
      </x:c>
      <x:c r="AM42" s="18" t="str">
        <x:v>ESPN public scoreboard service</x:v>
      </x:c>
      <x:c r="AN42" s="22" t="str">
        <x:v>https://www.espn.in/cricket/series/8048/scorecard/1529277/royal-challengers-bengaluru-vs-gujarat-titans-34th-match-indian-premier-league-2026</x:v>
      </x:c>
      <x:c r="AO42" s="18" t="str">
        <x:v>2026-04-24</x:v>
      </x:c>
      <x:c r="AP42" s="18" t="n">
        <x:v>46275.416216736114</x:v>
      </x:c>
      <x:c r="AQ42" s="18" t="str">
        <x:v>independent_public</x:v>
      </x:c>
      <x:c r="AR42" s="18" t="str">
        <x:v>READY</x:v>
      </x:c>
    </x:row>
    <x:row r="43">
      <x:c r="A43" s="18" t="str">
        <x:v>NYT-59-d91d24b6483c8218</x:v>
      </x:c>
      <x:c r="B43" s="18" t="str">
        <x:v>Delhi Capitals v Punjab Kings</x:v>
      </x:c>
      <x:c r="C43" s="18" t="str">
        <x:v>2026-04-25</x:v>
      </x:c>
      <x:c r="D43" s="18" t="n">
        <x:v>2026</x:v>
      </x:c>
      <x:c r="E43" s="18" t="str">
        <x:v>2026-04</x:v>
      </x:c>
      <x:c r="F43" s="18" t="str">
        <x:v>post</x:v>
      </x:c>
      <x:c r="G43" s="18" t="str">
        <x:v>T20</x:v>
      </x:c>
      <x:c r="H43" s="18" t="str">
        <x:v>India</x:v>
      </x:c>
      <x:c r="I43" s="18" t="str">
        <x:v>Delhi Capitals v Punjab Kings</x:v>
      </x:c>
      <x:c r="J43" s="20" t="str"/>
      <x:c r="K43" s="18" t="str"/>
      <x:c r="L43" s="20" t="str">
        <x:v>India</x:v>
      </x:c>
      <x:c r="M43" s="18" t="str">
        <x:v>2026-04-25T10:00Z</x:v>
      </x:c>
      <x:c r="N43" s="18" t="str">
        <x:v>1529278</x:v>
      </x:c>
      <x:c r="O43" s="18" t="str">
        <x:v>Delhi Capitals v Punjab Kings</x:v>
      </x:c>
      <x:c r="P43" s="18" t="str">
        <x:v>T20</x:v>
      </x:c>
      <x:c r="Q43" s="18" t="str">
        <x:v>2026-04-25T10:00Z</x:v>
      </x:c>
      <x:c r="R43" s="18" t="str">
        <x:v>post</x:v>
      </x:c>
      <x:c r="S43" s="18" t="str">
        <x:v>PBKS won by 6 wkts (7b rem)</x:v>
      </x:c>
      <x:c r="T43" s="18" t="str">
        <x:v>Delhi Capitals</x:v>
      </x:c>
      <x:c r="U43" s="18" t="str">
        <x:v>Punjab Kings</x:v>
      </x:c>
      <x:c r="V43" s="20" t="str">
        <x:v>264/2</x:v>
      </x:c>
      <x:c r="W43" s="20" t="str">
        <x:v>265/4 (18.5/20 ov, target 265)</x:v>
      </x:c>
      <x:c r="X43" s="18" t="str">
        <x:v>Punjab Kings</x:v>
      </x:c>
      <x:c r="Y43" s="18" t="str">
        <x:v>Arun Jaitley Stadium, Delhi</x:v>
      </x:c>
      <x:c r="Z43" s="18" t="str">
        <x:v>Delhi</x:v>
      </x:c>
      <x:c r="AA43" s="18" t="str">
        <x:v>KL Rahul</x:v>
      </x:c>
      <x:c r="AB43" s="18" t="str">
        <x:v>cricket</x:v>
      </x:c>
      <x:c r="AC43" s="18" t="n">
        <x:v>2026</x:v>
      </x:c>
      <x:c r="AD43" s="18" t="str">
        <x:v>IPL</x:v>
      </x:c>
      <x:c r="AE43" s="18" t="str">
        <x:v>{"id":"1529278","uid":"s:200~e:1529278~c:1529278","description":"35th Match","shortDescription":"35th Match, (D/N) at Delhi","date":"2026-04-25T10:00Z","endDate":"2026-04-26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matches","eventType":"T20"},"venue":{"id":"58040","fullName":"Arun Jaitley Stadium, Delhi","address":{"city":"Delhi","state":"","country":"India","summary":"Delhi District Cricket Association (DDCA), Feroz Shah Kotla ground, Bahadur Shah Zafar Marg, New Delhi - 110002 (Phone: 011 2331 9323)"},"capacity":55000,"indoor":false},"competitors":[{"id":"335975","uid":"</x:v>
      </x:c>
      <x:c r="AF43" s="18" t="str">
        <x:v>COMPLETE_BOUNDED_PERIOD</x:v>
      </x:c>
      <x:c r="AG43" s="18" t="str">
        <x:v>Complete IPL 2026 ESPN scoreboard</x:v>
      </x:c>
      <x:c r="AH43" s="18" t="str"/>
      <x:c r="AI43" s="18" t="str"/>
      <x:c r="AJ43" s="20" t="n">
        <x:v>74</x:v>
      </x:c>
      <x:c r="AK43" s="19" t="n">
        <x:f>IFERROR(TODAY()-DATEVALUE(C43),"")</x:f>
        <x:v>138</x:v>
      </x:c>
      <x:c r="AL43" s="21" t="n">
        <x:f>ROUND(COUNTA(A43:K43)/11*100,0)</x:f>
        <x:v>100</x:v>
      </x:c>
      <x:c r="AM43" s="18" t="str">
        <x:v>ESPN public scoreboard service</x:v>
      </x:c>
      <x:c r="AN43" s="22" t="str">
        <x:v>https://www.espn.in/cricket/series/8048/scorecard/1529278/delhi-capitals-vs-punjab-kings-35th-match-indian-premier-league-2026</x:v>
      </x:c>
      <x:c r="AO43" s="18" t="str">
        <x:v>2026-04-25</x:v>
      </x:c>
      <x:c r="AP43" s="18" t="n">
        <x:v>46275.416216736114</x:v>
      </x:c>
      <x:c r="AQ43" s="18" t="str">
        <x:v>independent_public</x:v>
      </x:c>
      <x:c r="AR43" s="18" t="str">
        <x:v>READY</x:v>
      </x:c>
    </x:row>
    <x:row r="44">
      <x:c r="A44" s="18" t="str">
        <x:v>NYT-59-21ff66dc13126828</x:v>
      </x:c>
      <x:c r="B44" s="18" t="str">
        <x:v>Rajasthan Royals v Sunrisers Hyderabad</x:v>
      </x:c>
      <x:c r="C44" s="18" t="str">
        <x:v>2026-04-25</x:v>
      </x:c>
      <x:c r="D44" s="18" t="n">
        <x:v>2026</x:v>
      </x:c>
      <x:c r="E44" s="18" t="str">
        <x:v>2026-04</x:v>
      </x:c>
      <x:c r="F44" s="18" t="str">
        <x:v>post</x:v>
      </x:c>
      <x:c r="G44" s="18" t="str">
        <x:v>T20</x:v>
      </x:c>
      <x:c r="H44" s="18" t="str">
        <x:v>India</x:v>
      </x:c>
      <x:c r="I44" s="18" t="str">
        <x:v>Rajasthan Royals v Sunrisers Hyderabad</x:v>
      </x:c>
      <x:c r="J44" s="20" t="str"/>
      <x:c r="K44" s="18" t="str"/>
      <x:c r="L44" s="20" t="str">
        <x:v>India</x:v>
      </x:c>
      <x:c r="M44" s="18" t="str">
        <x:v>2026-04-25T14:00Z</x:v>
      </x:c>
      <x:c r="N44" s="18" t="str">
        <x:v>1529279</x:v>
      </x:c>
      <x:c r="O44" s="18" t="str">
        <x:v>Rajasthan Royals v Sunrisers Hyderabad</x:v>
      </x:c>
      <x:c r="P44" s="18" t="str">
        <x:v>T20</x:v>
      </x:c>
      <x:c r="Q44" s="18" t="str">
        <x:v>2026-04-25T14:00Z</x:v>
      </x:c>
      <x:c r="R44" s="18" t="str">
        <x:v>post</x:v>
      </x:c>
      <x:c r="S44" s="18" t="str">
        <x:v>SRH won by 5 wkts (9b rem)</x:v>
      </x:c>
      <x:c r="T44" s="18" t="str">
        <x:v>Rajasthan Royals</x:v>
      </x:c>
      <x:c r="U44" s="18" t="str">
        <x:v>Sunrisers Hyderabad</x:v>
      </x:c>
      <x:c r="V44" s="20" t="str">
        <x:v>228/6</x:v>
      </x:c>
      <x:c r="W44" s="20" t="str">
        <x:v>229/5 (18.3/20 ov, target 229)</x:v>
      </x:c>
      <x:c r="X44" s="18" t="str">
        <x:v>Sunrisers Hyderabad</x:v>
      </x:c>
      <x:c r="Y44" s="18" t="str">
        <x:v>Sawai Mansingh Stadium, Jaipur</x:v>
      </x:c>
      <x:c r="Z44" s="18" t="str">
        <x:v>Jaipur</x:v>
      </x:c>
      <x:c r="AA44" s="18" t="str">
        <x:v>Ishan Kishan</x:v>
      </x:c>
      <x:c r="AB44" s="18" t="str">
        <x:v>cricket</x:v>
      </x:c>
      <x:c r="AC44" s="18" t="n">
        <x:v>2026</x:v>
      </x:c>
      <x:c r="AD44" s="18" t="str">
        <x:v>IPL</x:v>
      </x:c>
      <x:c r="AE44" s="18" t="str">
        <x:v>{"id":"1529279","uid":"s:200~e:1529279~c:1529279","description":"36th Match","shortDescription":"36th Match, (N) at Jaipur","date":"2026-04-25T14:00Z","endDate":"2026-04-26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matches","eventType":"T20"},"venue":{"id":"58162","fullName":"Sawai Mansingh Stadium, Jaipur","address":{"city":"Jaipur","state":"","country":"India","summary":""},"capacity":0,"indoor":false},"competitors":[{"id":"335977","uid":"s:200~e:1529279~c:1529279~t:335977","type":"team","order":1,"homeAway":"home","winner":"false","score":"228/6","team":{"id":"335977","u</x:v>
      </x:c>
      <x:c r="AF44" s="18" t="str">
        <x:v>COMPLETE_BOUNDED_PERIOD</x:v>
      </x:c>
      <x:c r="AG44" s="18" t="str">
        <x:v>Complete IPL 2026 ESPN scoreboard</x:v>
      </x:c>
      <x:c r="AH44" s="18" t="str"/>
      <x:c r="AI44" s="18" t="str"/>
      <x:c r="AJ44" s="20" t="n">
        <x:v>74</x:v>
      </x:c>
      <x:c r="AK44" s="19" t="n">
        <x:f>IFERROR(TODAY()-DATEVALUE(C44),"")</x:f>
        <x:v>138</x:v>
      </x:c>
      <x:c r="AL44" s="21" t="n">
        <x:f>ROUND(COUNTA(A44:K44)/11*100,0)</x:f>
        <x:v>100</x:v>
      </x:c>
      <x:c r="AM44" s="18" t="str">
        <x:v>ESPN public scoreboard service</x:v>
      </x:c>
      <x:c r="AN44" s="22" t="str">
        <x:v>https://www.espn.in/cricket/series/8048/scorecard/1529279/rajasthan-royals-vs-sunrisers-hyderabad-36th-match-indian-premier-league-2026</x:v>
      </x:c>
      <x:c r="AO44" s="18" t="str">
        <x:v>2026-04-25</x:v>
      </x:c>
      <x:c r="AP44" s="18" t="n">
        <x:v>46275.416216736114</x:v>
      </x:c>
      <x:c r="AQ44" s="18" t="str">
        <x:v>independent_public</x:v>
      </x:c>
      <x:c r="AR44" s="18" t="str">
        <x:v>READY</x:v>
      </x:c>
    </x:row>
    <x:row r="45">
      <x:c r="A45" s="18" t="str">
        <x:v>NYT-59-e9fea1de674a2356</x:v>
      </x:c>
      <x:c r="B45" s="18" t="str">
        <x:v>Chennai Super Kings v Gujarat Titans</x:v>
      </x:c>
      <x:c r="C45" s="18" t="str">
        <x:v>2026-04-26</x:v>
      </x:c>
      <x:c r="D45" s="18" t="n">
        <x:v>2026</x:v>
      </x:c>
      <x:c r="E45" s="18" t="str">
        <x:v>2026-04</x:v>
      </x:c>
      <x:c r="F45" s="18" t="str">
        <x:v>post</x:v>
      </x:c>
      <x:c r="G45" s="18" t="str">
        <x:v>T20</x:v>
      </x:c>
      <x:c r="H45" s="18" t="str">
        <x:v>India</x:v>
      </x:c>
      <x:c r="I45" s="18" t="str">
        <x:v>Chennai Super Kings v Gujarat Titans</x:v>
      </x:c>
      <x:c r="J45" s="20" t="str"/>
      <x:c r="K45" s="18" t="str"/>
      <x:c r="L45" s="20" t="str">
        <x:v>India</x:v>
      </x:c>
      <x:c r="M45" s="18" t="str">
        <x:v>2026-04-26T10:00Z</x:v>
      </x:c>
      <x:c r="N45" s="18" t="str">
        <x:v>1529280</x:v>
      </x:c>
      <x:c r="O45" s="18" t="str">
        <x:v>Chennai Super Kings v Gujarat Titans</x:v>
      </x:c>
      <x:c r="P45" s="18" t="str">
        <x:v>T20</x:v>
      </x:c>
      <x:c r="Q45" s="18" t="str">
        <x:v>2026-04-26T10:00Z</x:v>
      </x:c>
      <x:c r="R45" s="18" t="str">
        <x:v>post</x:v>
      </x:c>
      <x:c r="S45" s="18" t="str">
        <x:v>GT won by 8 wkts (20b rem)</x:v>
      </x:c>
      <x:c r="T45" s="18" t="str">
        <x:v>Chennai Super Kings</x:v>
      </x:c>
      <x:c r="U45" s="18" t="str">
        <x:v>Gujarat Titans</x:v>
      </x:c>
      <x:c r="V45" s="20" t="str">
        <x:v>158/7</x:v>
      </x:c>
      <x:c r="W45" s="20" t="str">
        <x:v>162/2 (16.4/20 ov, target 159)</x:v>
      </x:c>
      <x:c r="X45" s="18" t="str">
        <x:v>Gujarat Titans</x:v>
      </x:c>
      <x:c r="Y45" s="18" t="str">
        <x:v>MA Chidambaram Stadium, Chepauk, Chennai</x:v>
      </x:c>
      <x:c r="Z45" s="18" t="str">
        <x:v>Chennai</x:v>
      </x:c>
      <x:c r="AA45" s="18" t="str">
        <x:v>Kagiso Rabada</x:v>
      </x:c>
      <x:c r="AB45" s="18" t="str">
        <x:v>cricket</x:v>
      </x:c>
      <x:c r="AC45" s="18" t="n">
        <x:v>2026</x:v>
      </x:c>
      <x:c r="AD45" s="18" t="str">
        <x:v>IPL</x:v>
      </x:c>
      <x:c r="AE45" s="18" t="str">
        <x:v>{"id":"1529280","uid":"s:200~e:1529280~c:1529280","description":"37th Match","shortDescription":"37th Match, (D/N) at Chennai","date":"2026-04-26T10:00Z","endDate":"2026-04-27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matches","eventType":"T20"},"venue":{"id":"58008","fullName":"MA Chidambaram Stadium, Chepauk, Chennai","address":{"city":"Chennai","state":"","country":"India","summary":""},"capacity":38000,"indoor":false},"competitors":[{"id":"335974","uid":"s:200~e:1529280~c:1529280~t:335974","type":"team","order":1,"homeAway":"home","winner":"false","score":"158/7","team"</x:v>
      </x:c>
      <x:c r="AF45" s="18" t="str">
        <x:v>COMPLETE_BOUNDED_PERIOD</x:v>
      </x:c>
      <x:c r="AG45" s="18" t="str">
        <x:v>Complete IPL 2026 ESPN scoreboard</x:v>
      </x:c>
      <x:c r="AH45" s="18" t="str"/>
      <x:c r="AI45" s="18" t="str"/>
      <x:c r="AJ45" s="20" t="n">
        <x:v>74</x:v>
      </x:c>
      <x:c r="AK45" s="19" t="n">
        <x:f>IFERROR(TODAY()-DATEVALUE(C45),"")</x:f>
        <x:v>137</x:v>
      </x:c>
      <x:c r="AL45" s="21" t="n">
        <x:f>ROUND(COUNTA(A45:K45)/11*100,0)</x:f>
        <x:v>100</x:v>
      </x:c>
      <x:c r="AM45" s="18" t="str">
        <x:v>ESPN public scoreboard service</x:v>
      </x:c>
      <x:c r="AN45" s="22" t="str">
        <x:v>https://www.espn.in/cricket/series/8048/scorecard/1529280/chennai-super-kings-vs-gujarat-titans-37th-match-indian-premier-league-2026</x:v>
      </x:c>
      <x:c r="AO45" s="18" t="str">
        <x:v>2026-04-26</x:v>
      </x:c>
      <x:c r="AP45" s="18" t="n">
        <x:v>46275.416216736114</x:v>
      </x:c>
      <x:c r="AQ45" s="18" t="str">
        <x:v>independent_public</x:v>
      </x:c>
      <x:c r="AR45" s="18" t="str">
        <x:v>READY</x:v>
      </x:c>
    </x:row>
    <x:row r="46">
      <x:c r="A46" s="18" t="str">
        <x:v>NYT-59-5cddb47986f3b8cb</x:v>
      </x:c>
      <x:c r="B46" s="18" t="str">
        <x:v>Lucknow Super Giants v Kolkata Knight Riders</x:v>
      </x:c>
      <x:c r="C46" s="18" t="str">
        <x:v>2026-04-26</x:v>
      </x:c>
      <x:c r="D46" s="18" t="n">
        <x:v>2026</x:v>
      </x:c>
      <x:c r="E46" s="18" t="str">
        <x:v>2026-04</x:v>
      </x:c>
      <x:c r="F46" s="18" t="str">
        <x:v>post</x:v>
      </x:c>
      <x:c r="G46" s="18" t="str">
        <x:v>T20</x:v>
      </x:c>
      <x:c r="H46" s="18" t="str">
        <x:v>India</x:v>
      </x:c>
      <x:c r="I46" s="18" t="str">
        <x:v>Lucknow Super Giants v Kolkata Knight Riders</x:v>
      </x:c>
      <x:c r="J46" s="20" t="str"/>
      <x:c r="K46" s="18" t="str"/>
      <x:c r="L46" s="20" t="str">
        <x:v>India</x:v>
      </x:c>
      <x:c r="M46" s="18" t="str">
        <x:v>2026-04-26T14:00Z</x:v>
      </x:c>
      <x:c r="N46" s="18" t="str">
        <x:v>1529281</x:v>
      </x:c>
      <x:c r="O46" s="18" t="str">
        <x:v>Lucknow Super Giants v Kolkata Knight Riders</x:v>
      </x:c>
      <x:c r="P46" s="18" t="str">
        <x:v>T20</x:v>
      </x:c>
      <x:c r="Q46" s="18" t="str">
        <x:v>2026-04-26T14:00Z</x:v>
      </x:c>
      <x:c r="R46" s="18" t="str">
        <x:v>post</x:v>
      </x:c>
      <x:c r="S46" s="18" t="str">
        <x:v>Match tied (KKR won the Super Over)</x:v>
      </x:c>
      <x:c r="T46" s="18" t="str">
        <x:v>Lucknow Super Giants</x:v>
      </x:c>
      <x:c r="U46" s="18" t="str">
        <x:v>Kolkata Knight Riders</x:v>
      </x:c>
      <x:c r="V46" s="20" t="str">
        <x:v>155/8 (20 ov)</x:v>
      </x:c>
      <x:c r="W46" s="20" t="str">
        <x:v>155/7</x:v>
      </x:c>
      <x:c r="X46" s="18" t="str"/>
      <x:c r="Y46" s="18" t="str">
        <x:v>Bharat Ratna Shri Atal Bihari Vajpayee Ekana Cricket Stadium, Lucknow</x:v>
      </x:c>
      <x:c r="Z46" s="18" t="str">
        <x:v>Lucknow</x:v>
      </x:c>
      <x:c r="AA46" s="18" t="str">
        <x:v>Rinku Singh</x:v>
      </x:c>
      <x:c r="AB46" s="18" t="str">
        <x:v>cricket</x:v>
      </x:c>
      <x:c r="AC46" s="18" t="n">
        <x:v>2026</x:v>
      </x:c>
      <x:c r="AD46" s="18" t="str">
        <x:v>IPL</x:v>
      </x:c>
      <x:c r="AE46" s="18" t="str">
        <x:v>{"id":"1529281","uid":"s:200~e:1529281~c:1529281","description":"38th Match","shortDescription":"38th Match, (N) at Lucknow","date":"2026-04-26T14:00Z","endDate":"2026-04-27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matches","eventType":"T20"},"venue":{"id":"1070094","fullName":"Bharat Ratna Shri Atal Bihari Vajpayee Ekana Cricket Stadium, Lucknow","address":{"city":"Lucknow","state":"","country":"India","summary":"Ekana Sportz City, Sector 7 Gomti Nagar Ext, Amar Shaheed Path, Lucknow, Uttar Pradesh 226010"},"capacity":50000,"indoor":false},"competitors":[{"id":"1298768","</x:v>
      </x:c>
      <x:c r="AF46" s="18" t="str">
        <x:v>COMPLETE_BOUNDED_PERIOD</x:v>
      </x:c>
      <x:c r="AG46" s="18" t="str">
        <x:v>Complete IPL 2026 ESPN scoreboard</x:v>
      </x:c>
      <x:c r="AH46" s="18" t="str"/>
      <x:c r="AI46" s="18" t="str"/>
      <x:c r="AJ46" s="20" t="n">
        <x:v>74</x:v>
      </x:c>
      <x:c r="AK46" s="19" t="n">
        <x:f>IFERROR(TODAY()-DATEVALUE(C46),"")</x:f>
        <x:v>137</x:v>
      </x:c>
      <x:c r="AL46" s="21" t="n">
        <x:f>ROUND(COUNTA(A46:K46)/11*100,0)</x:f>
        <x:v>100</x:v>
      </x:c>
      <x:c r="AM46" s="18" t="str">
        <x:v>ESPN public scoreboard service</x:v>
      </x:c>
      <x:c r="AN46" s="22" t="str">
        <x:v>https://www.espn.in/cricket/series/8048/scorecard/1529281/lucknow-super-giants-vs-kolkata-knight-riders-38th-match-indian-premier-league-2026</x:v>
      </x:c>
      <x:c r="AO46" s="18" t="str">
        <x:v>2026-04-26</x:v>
      </x:c>
      <x:c r="AP46" s="18" t="n">
        <x:v>46275.416216736114</x:v>
      </x:c>
      <x:c r="AQ46" s="18" t="str">
        <x:v>independent_public</x:v>
      </x:c>
      <x:c r="AR46" s="18" t="str">
        <x:v>READY</x:v>
      </x:c>
    </x:row>
    <x:row r="47">
      <x:c r="A47" s="18" t="str">
        <x:v>NYT-59-2bb11c954da83ea9</x:v>
      </x:c>
      <x:c r="B47" s="18" t="str">
        <x:v>Delhi Capitals v Royal Challengers Bengaluru</x:v>
      </x:c>
      <x:c r="C47" s="18" t="str">
        <x:v>2026-04-27</x:v>
      </x:c>
      <x:c r="D47" s="18" t="n">
        <x:v>2026</x:v>
      </x:c>
      <x:c r="E47" s="18" t="str">
        <x:v>2026-04</x:v>
      </x:c>
      <x:c r="F47" s="18" t="str">
        <x:v>post</x:v>
      </x:c>
      <x:c r="G47" s="18" t="str">
        <x:v>T20</x:v>
      </x:c>
      <x:c r="H47" s="18" t="str">
        <x:v>India</x:v>
      </x:c>
      <x:c r="I47" s="18" t="str">
        <x:v>Delhi Capitals v Royal Challengers Bengaluru</x:v>
      </x:c>
      <x:c r="J47" s="20" t="str"/>
      <x:c r="K47" s="18" t="str"/>
      <x:c r="L47" s="20" t="str">
        <x:v>India</x:v>
      </x:c>
      <x:c r="M47" s="18" t="str">
        <x:v>2026-04-27T14:00Z</x:v>
      </x:c>
      <x:c r="N47" s="18" t="str">
        <x:v>1529282</x:v>
      </x:c>
      <x:c r="O47" s="18" t="str">
        <x:v>Delhi Capitals v Royal Challengers Bengaluru</x:v>
      </x:c>
      <x:c r="P47" s="18" t="str">
        <x:v>T20</x:v>
      </x:c>
      <x:c r="Q47" s="18" t="str">
        <x:v>2026-04-27T14:00Z</x:v>
      </x:c>
      <x:c r="R47" s="18" t="str">
        <x:v>post</x:v>
      </x:c>
      <x:c r="S47" s="18" t="str">
        <x:v>RCB won by 9 wkts (81b rem)</x:v>
      </x:c>
      <x:c r="T47" s="18" t="str">
        <x:v>Delhi Capitals</x:v>
      </x:c>
      <x:c r="U47" s="18" t="str">
        <x:v>Royal Challengers Bengaluru</x:v>
      </x:c>
      <x:c r="V47" s="20" t="str">
        <x:v>75</x:v>
      </x:c>
      <x:c r="W47" s="20" t="str">
        <x:v>77/1 (6.3/20 ov, target 76)</x:v>
      </x:c>
      <x:c r="X47" s="18" t="str">
        <x:v>Royal Challengers Bengaluru</x:v>
      </x:c>
      <x:c r="Y47" s="18" t="str">
        <x:v>Arun Jaitley Stadium, Delhi</x:v>
      </x:c>
      <x:c r="Z47" s="18" t="str">
        <x:v>Delhi</x:v>
      </x:c>
      <x:c r="AA47" s="18" t="str">
        <x:v>Josh Hazlewood</x:v>
      </x:c>
      <x:c r="AB47" s="18" t="str">
        <x:v>cricket</x:v>
      </x:c>
      <x:c r="AC47" s="18" t="n">
        <x:v>2026</x:v>
      </x:c>
      <x:c r="AD47" s="18" t="str">
        <x:v>IPL</x:v>
      </x:c>
      <x:c r="AE47" s="18" t="str">
        <x:v>{"id":"1529282","uid":"s:200~e:1529282~c:1529282","description":"39th Match","shortDescription":"39th Match, (N) at Delhi","date":"2026-04-27T14:00Z","endDate":"2026-04-28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matches","eventType":"T20"},"venue":{"id":"58040","fullName":"Arun Jaitley Stadium, Delhi","address":{"city":"Delhi","state":"","country":"India","summary":"Delhi District Cricket Association (DDCA), Feroz Shah Kotla ground, Bahadur Shah Zafar Marg, New Delhi - 110002 (Phone: 011 2331 9323)"},"capacity":55000,"indoor":false},"competitors":[{"id":"335975","uid":"s:</x:v>
      </x:c>
      <x:c r="AF47" s="18" t="str">
        <x:v>COMPLETE_BOUNDED_PERIOD</x:v>
      </x:c>
      <x:c r="AG47" s="18" t="str">
        <x:v>Complete IPL 2026 ESPN scoreboard</x:v>
      </x:c>
      <x:c r="AH47" s="18" t="str"/>
      <x:c r="AI47" s="18" t="str"/>
      <x:c r="AJ47" s="20" t="n">
        <x:v>74</x:v>
      </x:c>
      <x:c r="AK47" s="19" t="n">
        <x:f>IFERROR(TODAY()-DATEVALUE(C47),"")</x:f>
        <x:v>136</x:v>
      </x:c>
      <x:c r="AL47" s="21" t="n">
        <x:f>ROUND(COUNTA(A47:K47)/11*100,0)</x:f>
        <x:v>100</x:v>
      </x:c>
      <x:c r="AM47" s="18" t="str">
        <x:v>ESPN public scoreboard service</x:v>
      </x:c>
      <x:c r="AN47" s="22" t="str">
        <x:v>https://www.espn.in/cricket/series/8048/scorecard/1529282/delhi-capitals-vs-royal-challengers-bengaluru-39th-match-indian-premier-league-2026</x:v>
      </x:c>
      <x:c r="AO47" s="18" t="str">
        <x:v>2026-04-27</x:v>
      </x:c>
      <x:c r="AP47" s="18" t="n">
        <x:v>46275.416216736114</x:v>
      </x:c>
      <x:c r="AQ47" s="18" t="str">
        <x:v>independent_public</x:v>
      </x:c>
      <x:c r="AR47" s="18" t="str">
        <x:v>READY</x:v>
      </x:c>
    </x:row>
    <x:row r="48">
      <x:c r="A48" s="18" t="str">
        <x:v>NYT-59-42eed2bd77f1b5ba</x:v>
      </x:c>
      <x:c r="B48" s="18" t="str">
        <x:v>Punjab Kings v Rajasthan Royals</x:v>
      </x:c>
      <x:c r="C48" s="18" t="str">
        <x:v>2026-04-28</x:v>
      </x:c>
      <x:c r="D48" s="18" t="n">
        <x:v>2026</x:v>
      </x:c>
      <x:c r="E48" s="18" t="str">
        <x:v>2026-04</x:v>
      </x:c>
      <x:c r="F48" s="18" t="str">
        <x:v>post</x:v>
      </x:c>
      <x:c r="G48" s="18" t="str">
        <x:v>T20</x:v>
      </x:c>
      <x:c r="H48" s="18" t="str">
        <x:v>India</x:v>
      </x:c>
      <x:c r="I48" s="18" t="str">
        <x:v>Punjab Kings v Rajasthan Royals</x:v>
      </x:c>
      <x:c r="J48" s="20" t="str"/>
      <x:c r="K48" s="18" t="str"/>
      <x:c r="L48" s="20" t="str">
        <x:v>India</x:v>
      </x:c>
      <x:c r="M48" s="18" t="str">
        <x:v>2026-04-28T14:00Z</x:v>
      </x:c>
      <x:c r="N48" s="18" t="str">
        <x:v>1529283</x:v>
      </x:c>
      <x:c r="O48" s="18" t="str">
        <x:v>Punjab Kings v Rajasthan Royals</x:v>
      </x:c>
      <x:c r="P48" s="18" t="str">
        <x:v>T20</x:v>
      </x:c>
      <x:c r="Q48" s="18" t="str">
        <x:v>2026-04-28T14:00Z</x:v>
      </x:c>
      <x:c r="R48" s="18" t="str">
        <x:v>post</x:v>
      </x:c>
      <x:c r="S48" s="18" t="str">
        <x:v>RR won by 6 wkts (4b rem)</x:v>
      </x:c>
      <x:c r="T48" s="18" t="str">
        <x:v>Punjab Kings</x:v>
      </x:c>
      <x:c r="U48" s="18" t="str">
        <x:v>Rajasthan Royals</x:v>
      </x:c>
      <x:c r="V48" s="20" t="str">
        <x:v>222/4</x:v>
      </x:c>
      <x:c r="W48" s="20" t="str">
        <x:v>228/4 (19.2/20 ov, target 223)</x:v>
      </x:c>
      <x:c r="X48" s="18" t="str">
        <x:v>Rajasthan Royals</x:v>
      </x:c>
      <x:c r="Y48" s="18" t="str">
        <x:v>Maharaja Yadavindra Singh International Cricket Stadium, New Chandigarh</x:v>
      </x:c>
      <x:c r="Z48" s="18" t="str">
        <x:v>New Chandigarh</x:v>
      </x:c>
      <x:c r="AA48" s="18" t="str">
        <x:v>Donovan Ferreira</x:v>
      </x:c>
      <x:c r="AB48" s="18" t="str">
        <x:v>cricket</x:v>
      </x:c>
      <x:c r="AC48" s="18" t="n">
        <x:v>2026</x:v>
      </x:c>
      <x:c r="AD48" s="18" t="str">
        <x:v>IPL</x:v>
      </x:c>
      <x:c r="AE48" s="18" t="str">
        <x:v>{"id":"1529283","uid":"s:200~e:1529283~c:1529283","description":"40th Match","shortDescription":"40th Match, (N) at New Chandigarh","date":"2026-04-28T14:00Z","endDate":"2026-04-29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matches","eventType":"T20"},"venue":{"id":"1290799","fullName":"Maharaja Yadavindra Singh International Cricket Stadium, New Chandigarh","address":{"city":"New Chandigarh","state":"","country":"India","summary":"Mullanpur, Tira, Punjab 140901 India"},"capacity":38000,"indoor":false},"competitors":[{"id":"335973","uid":"s:200~e:1529283~c:1529283~t:335973",</x:v>
      </x:c>
      <x:c r="AF48" s="18" t="str">
        <x:v>COMPLETE_BOUNDED_PERIOD</x:v>
      </x:c>
      <x:c r="AG48" s="18" t="str">
        <x:v>Complete IPL 2026 ESPN scoreboard</x:v>
      </x:c>
      <x:c r="AH48" s="18" t="str"/>
      <x:c r="AI48" s="18" t="str"/>
      <x:c r="AJ48" s="20" t="n">
        <x:v>74</x:v>
      </x:c>
      <x:c r="AK48" s="19" t="n">
        <x:f>IFERROR(TODAY()-DATEVALUE(C48),"")</x:f>
        <x:v>135</x:v>
      </x:c>
      <x:c r="AL48" s="21" t="n">
        <x:f>ROUND(COUNTA(A48:K48)/11*100,0)</x:f>
        <x:v>100</x:v>
      </x:c>
      <x:c r="AM48" s="18" t="str">
        <x:v>ESPN public scoreboard service</x:v>
      </x:c>
      <x:c r="AN48" s="22" t="str">
        <x:v>https://www.espn.in/cricket/series/8048/scorecard/1529283/punjab-kings-vs-rajasthan-royals-40th-match-indian-premier-league-2026</x:v>
      </x:c>
      <x:c r="AO48" s="18" t="str">
        <x:v>2026-04-28</x:v>
      </x:c>
      <x:c r="AP48" s="18" t="n">
        <x:v>46275.416216736114</x:v>
      </x:c>
      <x:c r="AQ48" s="18" t="str">
        <x:v>independent_public</x:v>
      </x:c>
      <x:c r="AR48" s="18" t="str">
        <x:v>READY</x:v>
      </x:c>
    </x:row>
    <x:row r="49">
      <x:c r="A49" s="18" t="str">
        <x:v>NYT-59-250f49074e1ae272</x:v>
      </x:c>
      <x:c r="B49" s="18" t="str">
        <x:v>Mumbai Indians v Sunrisers Hyderabad</x:v>
      </x:c>
      <x:c r="C49" s="18" t="str">
        <x:v>2026-04-29</x:v>
      </x:c>
      <x:c r="D49" s="18" t="n">
        <x:v>2026</x:v>
      </x:c>
      <x:c r="E49" s="18" t="str">
        <x:v>2026-04</x:v>
      </x:c>
      <x:c r="F49" s="18" t="str">
        <x:v>post</x:v>
      </x:c>
      <x:c r="G49" s="18" t="str">
        <x:v>T20</x:v>
      </x:c>
      <x:c r="H49" s="18" t="str">
        <x:v>India</x:v>
      </x:c>
      <x:c r="I49" s="18" t="str">
        <x:v>Mumbai Indians v Sunrisers Hyderabad</x:v>
      </x:c>
      <x:c r="J49" s="20" t="str"/>
      <x:c r="K49" s="18" t="str"/>
      <x:c r="L49" s="20" t="str">
        <x:v>India</x:v>
      </x:c>
      <x:c r="M49" s="18" t="str">
        <x:v>2026-04-29T14:00Z</x:v>
      </x:c>
      <x:c r="N49" s="18" t="str">
        <x:v>1529284</x:v>
      </x:c>
      <x:c r="O49" s="18" t="str">
        <x:v>Mumbai Indians v Sunrisers Hyderabad</x:v>
      </x:c>
      <x:c r="P49" s="18" t="str">
        <x:v>T20</x:v>
      </x:c>
      <x:c r="Q49" s="18" t="str">
        <x:v>2026-04-29T14:00Z</x:v>
      </x:c>
      <x:c r="R49" s="18" t="str">
        <x:v>post</x:v>
      </x:c>
      <x:c r="S49" s="18" t="str">
        <x:v>SRH won by 6 wkts (8b rem)</x:v>
      </x:c>
      <x:c r="T49" s="18" t="str">
        <x:v>Mumbai Indians</x:v>
      </x:c>
      <x:c r="U49" s="18" t="str">
        <x:v>Sunrisers Hyderabad</x:v>
      </x:c>
      <x:c r="V49" s="20" t="str">
        <x:v>243/5</x:v>
      </x:c>
      <x:c r="W49" s="20" t="str">
        <x:v>249/4 (18.4/20 ov, target 244)</x:v>
      </x:c>
      <x:c r="X49" s="18" t="str">
        <x:v>Sunrisers Hyderabad</x:v>
      </x:c>
      <x:c r="Y49" s="18" t="str">
        <x:v>Wankhede Stadium, Mumbai</x:v>
      </x:c>
      <x:c r="Z49" s="18" t="str">
        <x:v>Mumbai</x:v>
      </x:c>
      <x:c r="AA49" s="18" t="str">
        <x:v>Heinrich Klaasen</x:v>
      </x:c>
      <x:c r="AB49" s="18" t="str">
        <x:v>cricket</x:v>
      </x:c>
      <x:c r="AC49" s="18" t="n">
        <x:v>2026</x:v>
      </x:c>
      <x:c r="AD49" s="18" t="str">
        <x:v>IPL</x:v>
      </x:c>
      <x:c r="AE49" s="18" t="str">
        <x:v>{"id":"1529284","uid":"s:200~e:1529284~c:1529284","description":"41st Match","shortDescription":"41st Match, (N) at Mumbai","date":"2026-04-29T14:00Z","endDate":"2026-04-30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matches","eventType":"T20"},"venue":{"id":"58324","fullName":"Wankhede Stadium, Mumbai","address":{"city":"Mumbai","state":"","country":"India","summary":"Mumbai Cricket Association, Wankhede Stadium, D Road, Churchgate, Mumbai - 400020 (Phone: 022 2281 1795/7876/9910)"},"capacity":32000,"indoor":false},"competitors":[{"id":"335978","uid":"s:200~e:1529284~c:15292</x:v>
      </x:c>
      <x:c r="AF49" s="18" t="str">
        <x:v>COMPLETE_BOUNDED_PERIOD</x:v>
      </x:c>
      <x:c r="AG49" s="18" t="str">
        <x:v>Complete IPL 2026 ESPN scoreboard</x:v>
      </x:c>
      <x:c r="AH49" s="18" t="str"/>
      <x:c r="AI49" s="18" t="str"/>
      <x:c r="AJ49" s="20" t="n">
        <x:v>74</x:v>
      </x:c>
      <x:c r="AK49" s="19" t="n">
        <x:f>IFERROR(TODAY()-DATEVALUE(C49),"")</x:f>
        <x:v>134</x:v>
      </x:c>
      <x:c r="AL49" s="21" t="n">
        <x:f>ROUND(COUNTA(A49:K49)/11*100,0)</x:f>
        <x:v>100</x:v>
      </x:c>
      <x:c r="AM49" s="18" t="str">
        <x:v>ESPN public scoreboard service</x:v>
      </x:c>
      <x:c r="AN49" s="22" t="str">
        <x:v>https://www.espn.in/cricket/series/8048/scorecard/1529284/mumbai-indians-vs-sunrisers-hyderabad-41st-match-indian-premier-league-2026</x:v>
      </x:c>
      <x:c r="AO49" s="18" t="str">
        <x:v>2026-04-29</x:v>
      </x:c>
      <x:c r="AP49" s="18" t="n">
        <x:v>46275.416216736114</x:v>
      </x:c>
      <x:c r="AQ49" s="18" t="str">
        <x:v>independent_public</x:v>
      </x:c>
      <x:c r="AR49" s="18" t="str">
        <x:v>READY</x:v>
      </x:c>
    </x:row>
    <x:row r="50">
      <x:c r="A50" s="18" t="str">
        <x:v>NYT-59-57a8809b5ea09455</x:v>
      </x:c>
      <x:c r="B50" s="18" t="str">
        <x:v>Gujarat Titans v Royal Challengers Bengaluru</x:v>
      </x:c>
      <x:c r="C50" s="18" t="str">
        <x:v>2026-04-30</x:v>
      </x:c>
      <x:c r="D50" s="18" t="n">
        <x:v>2026</x:v>
      </x:c>
      <x:c r="E50" s="18" t="str">
        <x:v>2026-04</x:v>
      </x:c>
      <x:c r="F50" s="18" t="str">
        <x:v>post</x:v>
      </x:c>
      <x:c r="G50" s="18" t="str">
        <x:v>T20</x:v>
      </x:c>
      <x:c r="H50" s="18" t="str">
        <x:v>India</x:v>
      </x:c>
      <x:c r="I50" s="18" t="str">
        <x:v>Gujarat Titans v Royal Challengers Bengaluru</x:v>
      </x:c>
      <x:c r="J50" s="20" t="str"/>
      <x:c r="K50" s="18" t="str"/>
      <x:c r="L50" s="20" t="str">
        <x:v>India</x:v>
      </x:c>
      <x:c r="M50" s="18" t="str">
        <x:v>2026-04-30T14:00Z</x:v>
      </x:c>
      <x:c r="N50" s="18" t="str">
        <x:v>1529285</x:v>
      </x:c>
      <x:c r="O50" s="18" t="str">
        <x:v>Gujarat Titans v Royal Challengers Bengaluru</x:v>
      </x:c>
      <x:c r="P50" s="18" t="str">
        <x:v>T20</x:v>
      </x:c>
      <x:c r="Q50" s="18" t="str">
        <x:v>2026-04-30T14:00Z</x:v>
      </x:c>
      <x:c r="R50" s="18" t="str">
        <x:v>post</x:v>
      </x:c>
      <x:c r="S50" s="18" t="str">
        <x:v>GT won by 4 wkts (25b rem)</x:v>
      </x:c>
      <x:c r="T50" s="18" t="str">
        <x:v>Gujarat Titans</x:v>
      </x:c>
      <x:c r="U50" s="18" t="str">
        <x:v>Royal Challengers Bengaluru</x:v>
      </x:c>
      <x:c r="V50" s="20" t="str">
        <x:v>158/6 (15.5/20 ov, target 156)</x:v>
      </x:c>
      <x:c r="W50" s="20" t="str">
        <x:v>155</x:v>
      </x:c>
      <x:c r="X50" s="18" t="str">
        <x:v>Gujarat Titans</x:v>
      </x:c>
      <x:c r="Y50" s="18" t="str">
        <x:v>Narendra Modi Stadium, Motera, Ahmedabad</x:v>
      </x:c>
      <x:c r="Z50" s="18" t="str">
        <x:v>Ahmedabad</x:v>
      </x:c>
      <x:c r="AA50" s="18" t="str">
        <x:v>Jason Holder</x:v>
      </x:c>
      <x:c r="AB50" s="18" t="str">
        <x:v>cricket</x:v>
      </x:c>
      <x:c r="AC50" s="18" t="n">
        <x:v>2026</x:v>
      </x:c>
      <x:c r="AD50" s="18" t="str">
        <x:v>IPL</x:v>
      </x:c>
      <x:c r="AE50" s="18" t="str">
        <x:v>{"id":"1529285","uid":"s:200~e:1529285~c:1529285","description":"42nd Match","shortDescription":"42nd Match, (N) at Ahmedabad","date":"2026-04-30T14:00Z","endDate":"2026-05-01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matches","eventType":"T20"},"venue":{"id":"57851","fullName":"Narendra Modi Stadium, Motera, Ahmedabad","address":{"city":"Ahmedabad","state":"","country":"India","summary":""},"capacity":132000,"indoor":false},"competitors":[{"id":"1298769","uid":"s:200~e:1529285~c:1529285~t:1298769","type":"team","order":2,"homeAway":"home","winner":"true","score":"158/6 (15</x:v>
      </x:c>
      <x:c r="AF50" s="18" t="str">
        <x:v>COMPLETE_BOUNDED_PERIOD</x:v>
      </x:c>
      <x:c r="AG50" s="18" t="str">
        <x:v>Complete IPL 2026 ESPN scoreboard</x:v>
      </x:c>
      <x:c r="AH50" s="18" t="str"/>
      <x:c r="AI50" s="18" t="str"/>
      <x:c r="AJ50" s="20" t="n">
        <x:v>74</x:v>
      </x:c>
      <x:c r="AK50" s="19" t="n">
        <x:f>IFERROR(TODAY()-DATEVALUE(C50),"")</x:f>
        <x:v>133</x:v>
      </x:c>
      <x:c r="AL50" s="21" t="n">
        <x:f>ROUND(COUNTA(A50:K50)/11*100,0)</x:f>
        <x:v>100</x:v>
      </x:c>
      <x:c r="AM50" s="18" t="str">
        <x:v>ESPN public scoreboard service</x:v>
      </x:c>
      <x:c r="AN50" s="22" t="str">
        <x:v>https://www.espn.in/cricket/series/8048/scorecard/1529285/gujarat-titans-vs-royal-challengers-bengaluru-42nd-match-indian-premier-league-2026</x:v>
      </x:c>
      <x:c r="AO50" s="18" t="str">
        <x:v>2026-04-30</x:v>
      </x:c>
      <x:c r="AP50" s="18" t="n">
        <x:v>46275.416216736114</x:v>
      </x:c>
      <x:c r="AQ50" s="18" t="str">
        <x:v>independent_public</x:v>
      </x:c>
      <x:c r="AR50" s="18" t="str">
        <x:v>READY</x:v>
      </x:c>
    </x:row>
    <x:row r="51">
      <x:c r="A51" s="18" t="str">
        <x:v>NYT-59-9775e514e166a17d</x:v>
      </x:c>
      <x:c r="B51" s="18" t="str">
        <x:v>Rajasthan Royals v Delhi Capitals</x:v>
      </x:c>
      <x:c r="C51" s="18" t="str">
        <x:v>2026-05-01</x:v>
      </x:c>
      <x:c r="D51" s="18" t="n">
        <x:v>2026</x:v>
      </x:c>
      <x:c r="E51" s="18" t="str">
        <x:v>2026-05</x:v>
      </x:c>
      <x:c r="F51" s="18" t="str">
        <x:v>post</x:v>
      </x:c>
      <x:c r="G51" s="18" t="str">
        <x:v>T20</x:v>
      </x:c>
      <x:c r="H51" s="18" t="str">
        <x:v>India</x:v>
      </x:c>
      <x:c r="I51" s="18" t="str">
        <x:v>Rajasthan Royals v Delhi Capitals</x:v>
      </x:c>
      <x:c r="J51" s="20" t="str"/>
      <x:c r="K51" s="18" t="str"/>
      <x:c r="L51" s="20" t="str">
        <x:v>India</x:v>
      </x:c>
      <x:c r="M51" s="18" t="str">
        <x:v>2026-05-01T14:00Z</x:v>
      </x:c>
      <x:c r="N51" s="18" t="str">
        <x:v>1529286</x:v>
      </x:c>
      <x:c r="O51" s="18" t="str">
        <x:v>Rajasthan Royals v Delhi Capitals</x:v>
      </x:c>
      <x:c r="P51" s="18" t="str">
        <x:v>T20</x:v>
      </x:c>
      <x:c r="Q51" s="18" t="str">
        <x:v>2026-05-01T14:00Z</x:v>
      </x:c>
      <x:c r="R51" s="18" t="str">
        <x:v>post</x:v>
      </x:c>
      <x:c r="S51" s="18" t="str">
        <x:v>DC won by 7 wkts (5b rem)</x:v>
      </x:c>
      <x:c r="T51" s="18" t="str">
        <x:v>Rajasthan Royals</x:v>
      </x:c>
      <x:c r="U51" s="18" t="str">
        <x:v>Delhi Capitals</x:v>
      </x:c>
      <x:c r="V51" s="20" t="str">
        <x:v>225/6</x:v>
      </x:c>
      <x:c r="W51" s="20" t="str">
        <x:v>226/3 (19.1/20 ov, target 226)</x:v>
      </x:c>
      <x:c r="X51" s="18" t="str">
        <x:v>Delhi Capitals</x:v>
      </x:c>
      <x:c r="Y51" s="18" t="str">
        <x:v>Sawai Mansingh Stadium, Jaipur</x:v>
      </x:c>
      <x:c r="Z51" s="18" t="str">
        <x:v>Jaipur</x:v>
      </x:c>
      <x:c r="AA51" s="18" t="str">
        <x:v>KL Rahul</x:v>
      </x:c>
      <x:c r="AB51" s="18" t="str">
        <x:v>cricket</x:v>
      </x:c>
      <x:c r="AC51" s="18" t="n">
        <x:v>2026</x:v>
      </x:c>
      <x:c r="AD51" s="18" t="str">
        <x:v>IPL</x:v>
      </x:c>
      <x:c r="AE51" s="18" t="str">
        <x:v>{"id":"1529286","uid":"s:200~e:1529286~c:1529286","description":"43rd Match","shortDescription":"43rd Match, (N) at Jaipur","date":"2026-05-01T14:00Z","endDate":"2026-05-02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matches","eventType":"T20"},"venue":{"id":"58162","fullName":"Sawai Mansingh Stadium, Jaipur","address":{"city":"Jaipur","state":"","country":"India","summary":""},"capacity":0,"indoor":false},"competitors":[{"id":"335977","uid":"s:200~e:1529286~c:1529286~t:335977","type":"team","order":1,"homeAway":"home","winner":"false","score":"225/6","team":{"id":"335977","u</x:v>
      </x:c>
      <x:c r="AF51" s="18" t="str">
        <x:v>COMPLETE_BOUNDED_PERIOD</x:v>
      </x:c>
      <x:c r="AG51" s="18" t="str">
        <x:v>Complete IPL 2026 ESPN scoreboard</x:v>
      </x:c>
      <x:c r="AH51" s="18" t="str"/>
      <x:c r="AI51" s="18" t="str"/>
      <x:c r="AJ51" s="20" t="n">
        <x:v>74</x:v>
      </x:c>
      <x:c r="AK51" s="19" t="n">
        <x:f>IFERROR(TODAY()-DATEVALUE(C51),"")</x:f>
        <x:v>132</x:v>
      </x:c>
      <x:c r="AL51" s="21" t="n">
        <x:f>ROUND(COUNTA(A51:K51)/11*100,0)</x:f>
        <x:v>100</x:v>
      </x:c>
      <x:c r="AM51" s="18" t="str">
        <x:v>ESPN public scoreboard service</x:v>
      </x:c>
      <x:c r="AN51" s="22" t="str">
        <x:v>https://www.espn.in/cricket/series/8048/scorecard/1529286/rajasthan-royals-vs-delhi-capitals-43rd-match-indian-premier-league-2026</x:v>
      </x:c>
      <x:c r="AO51" s="18" t="str">
        <x:v>2026-05-01</x:v>
      </x:c>
      <x:c r="AP51" s="18" t="n">
        <x:v>46275.416216736114</x:v>
      </x:c>
      <x:c r="AQ51" s="18" t="str">
        <x:v>independent_public</x:v>
      </x:c>
      <x:c r="AR51" s="18" t="str">
        <x:v>READY</x:v>
      </x:c>
    </x:row>
    <x:row r="52">
      <x:c r="A52" s="18" t="str">
        <x:v>NYT-59-32c9bcc8028124d0</x:v>
      </x:c>
      <x:c r="B52" s="18" t="str">
        <x:v>Chennai Super Kings v Mumbai Indians</x:v>
      </x:c>
      <x:c r="C52" s="18" t="str">
        <x:v>2026-05-02</x:v>
      </x:c>
      <x:c r="D52" s="18" t="n">
        <x:v>2026</x:v>
      </x:c>
      <x:c r="E52" s="18" t="str">
        <x:v>2026-05</x:v>
      </x:c>
      <x:c r="F52" s="18" t="str">
        <x:v>post</x:v>
      </x:c>
      <x:c r="G52" s="18" t="str">
        <x:v>T20</x:v>
      </x:c>
      <x:c r="H52" s="18" t="str">
        <x:v>India</x:v>
      </x:c>
      <x:c r="I52" s="18" t="str">
        <x:v>Chennai Super Kings v Mumbai Indians</x:v>
      </x:c>
      <x:c r="J52" s="20" t="str"/>
      <x:c r="K52" s="18" t="str"/>
      <x:c r="L52" s="20" t="str">
        <x:v>India</x:v>
      </x:c>
      <x:c r="M52" s="18" t="str">
        <x:v>2026-05-02T14:00Z</x:v>
      </x:c>
      <x:c r="N52" s="18" t="str">
        <x:v>1529287</x:v>
      </x:c>
      <x:c r="O52" s="18" t="str">
        <x:v>Chennai Super Kings v Mumbai Indians</x:v>
      </x:c>
      <x:c r="P52" s="18" t="str">
        <x:v>T20</x:v>
      </x:c>
      <x:c r="Q52" s="18" t="str">
        <x:v>2026-05-02T14:00Z</x:v>
      </x:c>
      <x:c r="R52" s="18" t="str">
        <x:v>post</x:v>
      </x:c>
      <x:c r="S52" s="18" t="str">
        <x:v>CSK won by 8 wkts (11b rem)</x:v>
      </x:c>
      <x:c r="T52" s="18" t="str">
        <x:v>Chennai Super Kings</x:v>
      </x:c>
      <x:c r="U52" s="18" t="str">
        <x:v>Mumbai Indians</x:v>
      </x:c>
      <x:c r="V52" s="20" t="str">
        <x:v>160/2 (18.1/20 ov, target 160)</x:v>
      </x:c>
      <x:c r="W52" s="20" t="str">
        <x:v>159/7</x:v>
      </x:c>
      <x:c r="X52" s="18" t="str">
        <x:v>Chennai Super Kings</x:v>
      </x:c>
      <x:c r="Y52" s="18" t="str">
        <x:v>MA Chidambaram Stadium, Chepauk, Chennai</x:v>
      </x:c>
      <x:c r="Z52" s="18" t="str">
        <x:v>Chennai</x:v>
      </x:c>
      <x:c r="AA52" s="18" t="str">
        <x:v>Ruturaj Gaikwad</x:v>
      </x:c>
      <x:c r="AB52" s="18" t="str">
        <x:v>cricket</x:v>
      </x:c>
      <x:c r="AC52" s="18" t="n">
        <x:v>2026</x:v>
      </x:c>
      <x:c r="AD52" s="18" t="str">
        <x:v>IPL</x:v>
      </x:c>
      <x:c r="AE52" s="18" t="str">
        <x:v>{"id":"1529287","uid":"s:200~e:1529287~c:1529287","description":"44th Match","shortDescription":"44th Match, (N) at Chennai","date":"2026-05-02T14:00Z","endDate":"2026-05-03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matches","eventType":"T20"},"venue":{"id":"58008","fullName":"MA Chidambaram Stadium, Chepauk, Chennai","address":{"city":"Chennai","state":"","country":"India","summary":""},"capacity":38000,"indoor":false},"competitors":[{"id":"335974","uid":"s:200~e:1529287~c:1529287~t:335974","type":"team","order":2,"homeAway":"home","winner":"true","score":"160/2 (18.1/20 o</x:v>
      </x:c>
      <x:c r="AF52" s="18" t="str">
        <x:v>COMPLETE_BOUNDED_PERIOD</x:v>
      </x:c>
      <x:c r="AG52" s="18" t="str">
        <x:v>Complete IPL 2026 ESPN scoreboard</x:v>
      </x:c>
      <x:c r="AH52" s="18" t="str"/>
      <x:c r="AI52" s="18" t="str"/>
      <x:c r="AJ52" s="20" t="n">
        <x:v>74</x:v>
      </x:c>
      <x:c r="AK52" s="19" t="n">
        <x:f>IFERROR(TODAY()-DATEVALUE(C52),"")</x:f>
        <x:v>131</x:v>
      </x:c>
      <x:c r="AL52" s="21" t="n">
        <x:f>ROUND(COUNTA(A52:K52)/11*100,0)</x:f>
        <x:v>100</x:v>
      </x:c>
      <x:c r="AM52" s="18" t="str">
        <x:v>ESPN public scoreboard service</x:v>
      </x:c>
      <x:c r="AN52" s="22" t="str">
        <x:v>https://www.espn.in/cricket/series/8048/scorecard/1529287/chennai-super-kings-vs-mumbai-indians-44th-match-indian-premier-league-2026</x:v>
      </x:c>
      <x:c r="AO52" s="18" t="str">
        <x:v>2026-05-02</x:v>
      </x:c>
      <x:c r="AP52" s="18" t="n">
        <x:v>46275.416216736114</x:v>
      </x:c>
      <x:c r="AQ52" s="18" t="str">
        <x:v>independent_public</x:v>
      </x:c>
      <x:c r="AR52" s="18" t="str">
        <x:v>READY</x:v>
      </x:c>
    </x:row>
    <x:row r="53">
      <x:c r="A53" s="18" t="str">
        <x:v>NYT-59-1a6428d68d7b4a75</x:v>
      </x:c>
      <x:c r="B53" s="18" t="str">
        <x:v>Sunrisers Hyderabad v Kolkata Knight Riders</x:v>
      </x:c>
      <x:c r="C53" s="18" t="str">
        <x:v>2026-05-03</x:v>
      </x:c>
      <x:c r="D53" s="18" t="n">
        <x:v>2026</x:v>
      </x:c>
      <x:c r="E53" s="18" t="str">
        <x:v>2026-05</x:v>
      </x:c>
      <x:c r="F53" s="18" t="str">
        <x:v>post</x:v>
      </x:c>
      <x:c r="G53" s="18" t="str">
        <x:v>T20</x:v>
      </x:c>
      <x:c r="H53" s="18" t="str">
        <x:v>India</x:v>
      </x:c>
      <x:c r="I53" s="18" t="str">
        <x:v>Sunrisers Hyderabad v Kolkata Knight Riders</x:v>
      </x:c>
      <x:c r="J53" s="20" t="str"/>
      <x:c r="K53" s="18" t="str"/>
      <x:c r="L53" s="20" t="str">
        <x:v>India</x:v>
      </x:c>
      <x:c r="M53" s="18" t="str">
        <x:v>2026-05-03T10:00Z</x:v>
      </x:c>
      <x:c r="N53" s="18" t="str">
        <x:v>1529288</x:v>
      </x:c>
      <x:c r="O53" s="18" t="str">
        <x:v>Sunrisers Hyderabad v Kolkata Knight Riders</x:v>
      </x:c>
      <x:c r="P53" s="18" t="str">
        <x:v>T20</x:v>
      </x:c>
      <x:c r="Q53" s="18" t="str">
        <x:v>2026-05-03T10:00Z</x:v>
      </x:c>
      <x:c r="R53" s="18" t="str">
        <x:v>post</x:v>
      </x:c>
      <x:c r="S53" s="18" t="str">
        <x:v>KKR won by 7 wkts (10b rem)</x:v>
      </x:c>
      <x:c r="T53" s="18" t="str">
        <x:v>Sunrisers Hyderabad</x:v>
      </x:c>
      <x:c r="U53" s="18" t="str">
        <x:v>Kolkata Knight Riders</x:v>
      </x:c>
      <x:c r="V53" s="20" t="str">
        <x:v>165</x:v>
      </x:c>
      <x:c r="W53" s="20" t="str">
        <x:v>169/3 (18.2/20 ov, target 166)</x:v>
      </x:c>
      <x:c r="X53" s="18" t="str">
        <x:v>Kolkata Knight Riders</x:v>
      </x:c>
      <x:c r="Y53" s="18" t="str">
        <x:v>Rajiv Gandhi International Stadium, Uppal, Hyderabad</x:v>
      </x:c>
      <x:c r="Z53" s="18" t="str">
        <x:v>Hyderabad</x:v>
      </x:c>
      <x:c r="AA53" s="18" t="str">
        <x:v>Varun Chakravarthy</x:v>
      </x:c>
      <x:c r="AB53" s="18" t="str">
        <x:v>cricket</x:v>
      </x:c>
      <x:c r="AC53" s="18" t="n">
        <x:v>2026</x:v>
      </x:c>
      <x:c r="AD53" s="18" t="str">
        <x:v>IPL</x:v>
      </x:c>
      <x:c r="AE53" s="18" t="str">
        <x:v>{"id":"1529288","uid":"s:200~e:1529288~c:1529288","description":"45th Match","shortDescription":"45th Match, (D/N) at Hyderabad","date":"2026-05-03T10:00Z","endDate":"2026-05-04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matches","eventType":"T20"},"venue":{"id":"58142","fullName":"Rajiv Gandhi International Stadium, Uppal, Hyderabad","address":{"city":"Hyderabad","state":"","country":"India","summary":""},"capacity":0,"indoor":false},"competitors":[{"id":"628333","uid":"s:200~e:1529288~c:1529288~t:628333","type":"team","order":1,"homeAway":"home","winner":"false","score":"1</x:v>
      </x:c>
      <x:c r="AF53" s="18" t="str">
        <x:v>COMPLETE_BOUNDED_PERIOD</x:v>
      </x:c>
      <x:c r="AG53" s="18" t="str">
        <x:v>Complete IPL 2026 ESPN scoreboard</x:v>
      </x:c>
      <x:c r="AH53" s="18" t="str"/>
      <x:c r="AI53" s="18" t="str"/>
      <x:c r="AJ53" s="20" t="n">
        <x:v>74</x:v>
      </x:c>
      <x:c r="AK53" s="19" t="n">
        <x:f>IFERROR(TODAY()-DATEVALUE(C53),"")</x:f>
        <x:v>130</x:v>
      </x:c>
      <x:c r="AL53" s="21" t="n">
        <x:f>ROUND(COUNTA(A53:K53)/11*100,0)</x:f>
        <x:v>100</x:v>
      </x:c>
      <x:c r="AM53" s="18" t="str">
        <x:v>ESPN public scoreboard service</x:v>
      </x:c>
      <x:c r="AN53" s="22" t="str">
        <x:v>https://www.espn.in/cricket/series/8048/scorecard/1529288/sunrisers-hyderabad-vs-kolkata-knight-riders-45th-match-indian-premier-league-2026</x:v>
      </x:c>
      <x:c r="AO53" s="18" t="str">
        <x:v>2026-05-03</x:v>
      </x:c>
      <x:c r="AP53" s="18" t="n">
        <x:v>46275.416216736114</x:v>
      </x:c>
      <x:c r="AQ53" s="18" t="str">
        <x:v>independent_public</x:v>
      </x:c>
      <x:c r="AR53" s="18" t="str">
        <x:v>READY</x:v>
      </x:c>
    </x:row>
    <x:row r="54">
      <x:c r="A54" s="18" t="str">
        <x:v>NYT-59-f5901b628c025990</x:v>
      </x:c>
      <x:c r="B54" s="18" t="str">
        <x:v>Gujarat Titans v Punjab Kings</x:v>
      </x:c>
      <x:c r="C54" s="18" t="str">
        <x:v>2026-05-03</x:v>
      </x:c>
      <x:c r="D54" s="18" t="n">
        <x:v>2026</x:v>
      </x:c>
      <x:c r="E54" s="18" t="str">
        <x:v>2026-05</x:v>
      </x:c>
      <x:c r="F54" s="18" t="str">
        <x:v>post</x:v>
      </x:c>
      <x:c r="G54" s="18" t="str">
        <x:v>T20</x:v>
      </x:c>
      <x:c r="H54" s="18" t="str">
        <x:v>India</x:v>
      </x:c>
      <x:c r="I54" s="18" t="str">
        <x:v>Gujarat Titans v Punjab Kings</x:v>
      </x:c>
      <x:c r="J54" s="20" t="str"/>
      <x:c r="K54" s="18" t="str"/>
      <x:c r="L54" s="20" t="str">
        <x:v>India</x:v>
      </x:c>
      <x:c r="M54" s="18" t="str">
        <x:v>2026-05-03T14:00Z</x:v>
      </x:c>
      <x:c r="N54" s="18" t="str">
        <x:v>1529289</x:v>
      </x:c>
      <x:c r="O54" s="18" t="str">
        <x:v>Gujarat Titans v Punjab Kings</x:v>
      </x:c>
      <x:c r="P54" s="18" t="str">
        <x:v>T20</x:v>
      </x:c>
      <x:c r="Q54" s="18" t="str">
        <x:v>2026-05-03T14:00Z</x:v>
      </x:c>
      <x:c r="R54" s="18" t="str">
        <x:v>post</x:v>
      </x:c>
      <x:c r="S54" s="18" t="str">
        <x:v>GT won by 4 wkts (1b rem)</x:v>
      </x:c>
      <x:c r="T54" s="18" t="str">
        <x:v>Gujarat Titans</x:v>
      </x:c>
      <x:c r="U54" s="18" t="str">
        <x:v>Punjab Kings</x:v>
      </x:c>
      <x:c r="V54" s="20" t="str">
        <x:v>167/6 (19.5/20 ov, target 164)</x:v>
      </x:c>
      <x:c r="W54" s="20" t="str">
        <x:v>163/9</x:v>
      </x:c>
      <x:c r="X54" s="18" t="str">
        <x:v>Gujarat Titans</x:v>
      </x:c>
      <x:c r="Y54" s="18" t="str">
        <x:v>Narendra Modi Stadium, Motera, Ahmedabad</x:v>
      </x:c>
      <x:c r="Z54" s="18" t="str">
        <x:v>Ahmedabad</x:v>
      </x:c>
      <x:c r="AA54" s="18" t="str">
        <x:v>Jason Holder</x:v>
      </x:c>
      <x:c r="AB54" s="18" t="str">
        <x:v>cricket</x:v>
      </x:c>
      <x:c r="AC54" s="18" t="n">
        <x:v>2026</x:v>
      </x:c>
      <x:c r="AD54" s="18" t="str">
        <x:v>IPL</x:v>
      </x:c>
      <x:c r="AE54" s="18" t="str">
        <x:v>{"id":"1529289","uid":"s:200~e:1529289~c:1529289","description":"46th Match","shortDescription":"46th Match, (N) at Ahmedabad","date":"2026-05-03T14:00Z","endDate":"2026-05-04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matches","eventType":"T20"},"venue":{"id":"57851","fullName":"Narendra Modi Stadium, Motera, Ahmedabad","address":{"city":"Ahmedabad","state":"","country":"India","summary":""},"capacity":132000,"indoor":false},"competitors":[{"id":"1298769","uid":"s:200~e:1529289~c:1529289~t:1298769","type":"team","order":2,"homeAway":"home","winner":"true","score":"167/6 (19</x:v>
      </x:c>
      <x:c r="AF54" s="18" t="str">
        <x:v>COMPLETE_BOUNDED_PERIOD</x:v>
      </x:c>
      <x:c r="AG54" s="18" t="str">
        <x:v>Complete IPL 2026 ESPN scoreboard</x:v>
      </x:c>
      <x:c r="AH54" s="18" t="str"/>
      <x:c r="AI54" s="18" t="str"/>
      <x:c r="AJ54" s="20" t="n">
        <x:v>74</x:v>
      </x:c>
      <x:c r="AK54" s="19" t="n">
        <x:f>IFERROR(TODAY()-DATEVALUE(C54),"")</x:f>
        <x:v>130</x:v>
      </x:c>
      <x:c r="AL54" s="21" t="n">
        <x:f>ROUND(COUNTA(A54:K54)/11*100,0)</x:f>
        <x:v>100</x:v>
      </x:c>
      <x:c r="AM54" s="18" t="str">
        <x:v>ESPN public scoreboard service</x:v>
      </x:c>
      <x:c r="AN54" s="22" t="str">
        <x:v>https://www.espn.in/cricket/series/8048/scorecard/1529289/gujarat-titans-vs-punjab-kings-46th-match-indian-premier-league-2026</x:v>
      </x:c>
      <x:c r="AO54" s="18" t="str">
        <x:v>2026-05-03</x:v>
      </x:c>
      <x:c r="AP54" s="18" t="n">
        <x:v>46275.416216736114</x:v>
      </x:c>
      <x:c r="AQ54" s="18" t="str">
        <x:v>independent_public</x:v>
      </x:c>
      <x:c r="AR54" s="18" t="str">
        <x:v>READY</x:v>
      </x:c>
    </x:row>
    <x:row r="55">
      <x:c r="A55" s="18" t="str">
        <x:v>NYT-59-2763e969276fc65d</x:v>
      </x:c>
      <x:c r="B55" s="18" t="str">
        <x:v>Mumbai Indians v Lucknow Super Giants</x:v>
      </x:c>
      <x:c r="C55" s="18" t="str">
        <x:v>2026-05-04</x:v>
      </x:c>
      <x:c r="D55" s="18" t="n">
        <x:v>2026</x:v>
      </x:c>
      <x:c r="E55" s="18" t="str">
        <x:v>2026-05</x:v>
      </x:c>
      <x:c r="F55" s="18" t="str">
        <x:v>post</x:v>
      </x:c>
      <x:c r="G55" s="18" t="str">
        <x:v>T20</x:v>
      </x:c>
      <x:c r="H55" s="18" t="str">
        <x:v>India</x:v>
      </x:c>
      <x:c r="I55" s="18" t="str">
        <x:v>Mumbai Indians v Lucknow Super Giants</x:v>
      </x:c>
      <x:c r="J55" s="20" t="str"/>
      <x:c r="K55" s="18" t="str"/>
      <x:c r="L55" s="20" t="str">
        <x:v>India</x:v>
      </x:c>
      <x:c r="M55" s="18" t="str">
        <x:v>2026-05-04T14:00Z</x:v>
      </x:c>
      <x:c r="N55" s="18" t="str">
        <x:v>1529290</x:v>
      </x:c>
      <x:c r="O55" s="18" t="str">
        <x:v>Mumbai Indians v Lucknow Super Giants</x:v>
      </x:c>
      <x:c r="P55" s="18" t="str">
        <x:v>T20</x:v>
      </x:c>
      <x:c r="Q55" s="18" t="str">
        <x:v>2026-05-04T14:00Z</x:v>
      </x:c>
      <x:c r="R55" s="18" t="str">
        <x:v>post</x:v>
      </x:c>
      <x:c r="S55" s="18" t="str">
        <x:v>MI won by 6 wkts (8b rem)</x:v>
      </x:c>
      <x:c r="T55" s="18" t="str">
        <x:v>Mumbai Indians</x:v>
      </x:c>
      <x:c r="U55" s="18" t="str">
        <x:v>Lucknow Super Giants</x:v>
      </x:c>
      <x:c r="V55" s="20" t="str">
        <x:v>229/4 (18.4/20 ov, target 229)</x:v>
      </x:c>
      <x:c r="W55" s="20" t="str">
        <x:v>228/5</x:v>
      </x:c>
      <x:c r="X55" s="18" t="str">
        <x:v>Mumbai Indians</x:v>
      </x:c>
      <x:c r="Y55" s="18" t="str">
        <x:v>Wankhede Stadium, Mumbai</x:v>
      </x:c>
      <x:c r="Z55" s="18" t="str">
        <x:v>Mumbai</x:v>
      </x:c>
      <x:c r="AA55" s="18" t="str">
        <x:v>Ryan Rickelton</x:v>
      </x:c>
      <x:c r="AB55" s="18" t="str">
        <x:v>cricket</x:v>
      </x:c>
      <x:c r="AC55" s="18" t="n">
        <x:v>2026</x:v>
      </x:c>
      <x:c r="AD55" s="18" t="str">
        <x:v>IPL</x:v>
      </x:c>
      <x:c r="AE55" s="18" t="str">
        <x:v>{"id":"1529290","uid":"s:200~e:1529290~c:1529290","description":"47th Match","shortDescription":"47th Match, (N) at Mumbai","date":"2026-05-04T14:00Z","endDate":"2026-05-05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matches","eventType":"T20"},"venue":{"id":"58324","fullName":"Wankhede Stadium, Mumbai","address":{"city":"Mumbai","state":"","country":"India","summary":"Mumbai Cricket Association, Wankhede Stadium, D Road, Churchgate, Mumbai - 400020 (Phone: 022 2281 1795/7876/9910)"},"capacity":32000,"indoor":false},"competitors":[{"id":"335978","uid":"s:200~e:1529290~c:15292</x:v>
      </x:c>
      <x:c r="AF55" s="18" t="str">
        <x:v>COMPLETE_BOUNDED_PERIOD</x:v>
      </x:c>
      <x:c r="AG55" s="18" t="str">
        <x:v>Complete IPL 2026 ESPN scoreboard</x:v>
      </x:c>
      <x:c r="AH55" s="18" t="str"/>
      <x:c r="AI55" s="18" t="str"/>
      <x:c r="AJ55" s="20" t="n">
        <x:v>74</x:v>
      </x:c>
      <x:c r="AK55" s="19" t="n">
        <x:f>IFERROR(TODAY()-DATEVALUE(C55),"")</x:f>
        <x:v>129</x:v>
      </x:c>
      <x:c r="AL55" s="21" t="n">
        <x:f>ROUND(COUNTA(A55:K55)/11*100,0)</x:f>
        <x:v>100</x:v>
      </x:c>
      <x:c r="AM55" s="18" t="str">
        <x:v>ESPN public scoreboard service</x:v>
      </x:c>
      <x:c r="AN55" s="22" t="str">
        <x:v>https://www.espn.in/cricket/series/8048/scorecard/1529290/mumbai-indians-vs-lucknow-super-giants-47th-match-indian-premier-league-2026</x:v>
      </x:c>
      <x:c r="AO55" s="18" t="str">
        <x:v>2026-05-04</x:v>
      </x:c>
      <x:c r="AP55" s="18" t="n">
        <x:v>46275.416216736114</x:v>
      </x:c>
      <x:c r="AQ55" s="18" t="str">
        <x:v>independent_public</x:v>
      </x:c>
      <x:c r="AR55" s="18" t="str">
        <x:v>READY</x:v>
      </x:c>
    </x:row>
    <x:row r="56">
      <x:c r="A56" s="18" t="str">
        <x:v>NYT-59-b65e0cbaddfecd06</x:v>
      </x:c>
      <x:c r="B56" s="18" t="str">
        <x:v>Delhi Capitals v Chennai Super Kings</x:v>
      </x:c>
      <x:c r="C56" s="18" t="str">
        <x:v>2026-05-05</x:v>
      </x:c>
      <x:c r="D56" s="18" t="n">
        <x:v>2026</x:v>
      </x:c>
      <x:c r="E56" s="18" t="str">
        <x:v>2026-05</x:v>
      </x:c>
      <x:c r="F56" s="18" t="str">
        <x:v>post</x:v>
      </x:c>
      <x:c r="G56" s="18" t="str">
        <x:v>T20</x:v>
      </x:c>
      <x:c r="H56" s="18" t="str">
        <x:v>India</x:v>
      </x:c>
      <x:c r="I56" s="18" t="str">
        <x:v>Delhi Capitals v Chennai Super Kings</x:v>
      </x:c>
      <x:c r="J56" s="20" t="str"/>
      <x:c r="K56" s="18" t="str"/>
      <x:c r="L56" s="20" t="str">
        <x:v>India</x:v>
      </x:c>
      <x:c r="M56" s="18" t="str">
        <x:v>2026-05-05T14:00Z</x:v>
      </x:c>
      <x:c r="N56" s="18" t="str">
        <x:v>1529291</x:v>
      </x:c>
      <x:c r="O56" s="18" t="str">
        <x:v>Delhi Capitals v Chennai Super Kings</x:v>
      </x:c>
      <x:c r="P56" s="18" t="str">
        <x:v>T20</x:v>
      </x:c>
      <x:c r="Q56" s="18" t="str">
        <x:v>2026-05-05T14:00Z</x:v>
      </x:c>
      <x:c r="R56" s="18" t="str">
        <x:v>post</x:v>
      </x:c>
      <x:c r="S56" s="18" t="str">
        <x:v>CSK won by 8 wkts (15b rem)</x:v>
      </x:c>
      <x:c r="T56" s="18" t="str">
        <x:v>Delhi Capitals</x:v>
      </x:c>
      <x:c r="U56" s="18" t="str">
        <x:v>Chennai Super Kings</x:v>
      </x:c>
      <x:c r="V56" s="20" t="str">
        <x:v>155/7</x:v>
      </x:c>
      <x:c r="W56" s="20" t="str">
        <x:v>159/2 (17.3/20 ov, target 156)</x:v>
      </x:c>
      <x:c r="X56" s="18" t="str">
        <x:v>Chennai Super Kings</x:v>
      </x:c>
      <x:c r="Y56" s="18" t="str">
        <x:v>Arun Jaitley Stadium, Delhi</x:v>
      </x:c>
      <x:c r="Z56" s="18" t="str">
        <x:v>Delhi</x:v>
      </x:c>
      <x:c r="AA56" s="18" t="str">
        <x:v>Sanju Samson</x:v>
      </x:c>
      <x:c r="AB56" s="18" t="str">
        <x:v>cricket</x:v>
      </x:c>
      <x:c r="AC56" s="18" t="n">
        <x:v>2026</x:v>
      </x:c>
      <x:c r="AD56" s="18" t="str">
        <x:v>IPL</x:v>
      </x:c>
      <x:c r="AE56" s="18" t="str">
        <x:v>{"id":"1529291","uid":"s:200~e:1529291~c:1529291","description":"48th Match","shortDescription":"48th Match, (N) at Delhi","date":"2026-05-05T14:00Z","endDate":"2026-05-06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matches","eventType":"T20"},"venue":{"id":"58040","fullName":"Arun Jaitley Stadium, Delhi","address":{"city":"Delhi","state":"","country":"India","summary":"Delhi District Cricket Association (DDCA), Feroz Shah Kotla ground, Bahadur Shah Zafar Marg, New Delhi - 110002 (Phone: 011 2331 9323)"},"capacity":55000,"indoor":false},"competitors":[{"id":"335975","uid":"s:</x:v>
      </x:c>
      <x:c r="AF56" s="18" t="str">
        <x:v>COMPLETE_BOUNDED_PERIOD</x:v>
      </x:c>
      <x:c r="AG56" s="18" t="str">
        <x:v>Complete IPL 2026 ESPN scoreboard</x:v>
      </x:c>
      <x:c r="AH56" s="18" t="str"/>
      <x:c r="AI56" s="18" t="str"/>
      <x:c r="AJ56" s="20" t="n">
        <x:v>74</x:v>
      </x:c>
      <x:c r="AK56" s="19" t="n">
        <x:f>IFERROR(TODAY()-DATEVALUE(C56),"")</x:f>
        <x:v>128</x:v>
      </x:c>
      <x:c r="AL56" s="21" t="n">
        <x:f>ROUND(COUNTA(A56:K56)/11*100,0)</x:f>
        <x:v>100</x:v>
      </x:c>
      <x:c r="AM56" s="18" t="str">
        <x:v>ESPN public scoreboard service</x:v>
      </x:c>
      <x:c r="AN56" s="22" t="str">
        <x:v>https://www.espn.in/cricket/series/8048/scorecard/1529291/delhi-capitals-vs-chennai-super-kings-48th-match-indian-premier-league-2026</x:v>
      </x:c>
      <x:c r="AO56" s="18" t="str">
        <x:v>2026-05-05</x:v>
      </x:c>
      <x:c r="AP56" s="18" t="n">
        <x:v>46275.416216736114</x:v>
      </x:c>
      <x:c r="AQ56" s="18" t="str">
        <x:v>independent_public</x:v>
      </x:c>
      <x:c r="AR56" s="18" t="str">
        <x:v>READY</x:v>
      </x:c>
    </x:row>
    <x:row r="57">
      <x:c r="A57" s="18" t="str">
        <x:v>NYT-59-5f91b538f0ed5c47</x:v>
      </x:c>
      <x:c r="B57" s="18" t="str">
        <x:v>Sunrisers Hyderabad v Punjab Kings</x:v>
      </x:c>
      <x:c r="C57" s="18" t="str">
        <x:v>2026-05-06</x:v>
      </x:c>
      <x:c r="D57" s="18" t="n">
        <x:v>2026</x:v>
      </x:c>
      <x:c r="E57" s="18" t="str">
        <x:v>2026-05</x:v>
      </x:c>
      <x:c r="F57" s="18" t="str">
        <x:v>post</x:v>
      </x:c>
      <x:c r="G57" s="18" t="str">
        <x:v>T20</x:v>
      </x:c>
      <x:c r="H57" s="18" t="str">
        <x:v>India</x:v>
      </x:c>
      <x:c r="I57" s="18" t="str">
        <x:v>Sunrisers Hyderabad v Punjab Kings</x:v>
      </x:c>
      <x:c r="J57" s="20" t="str"/>
      <x:c r="K57" s="18" t="str"/>
      <x:c r="L57" s="20" t="str">
        <x:v>India</x:v>
      </x:c>
      <x:c r="M57" s="18" t="str">
        <x:v>2026-05-06T14:00Z</x:v>
      </x:c>
      <x:c r="N57" s="18" t="str">
        <x:v>1529292</x:v>
      </x:c>
      <x:c r="O57" s="18" t="str">
        <x:v>Sunrisers Hyderabad v Punjab Kings</x:v>
      </x:c>
      <x:c r="P57" s="18" t="str">
        <x:v>T20</x:v>
      </x:c>
      <x:c r="Q57" s="18" t="str">
        <x:v>2026-05-06T14:00Z</x:v>
      </x:c>
      <x:c r="R57" s="18" t="str">
        <x:v>post</x:v>
      </x:c>
      <x:c r="S57" s="18" t="str">
        <x:v>SRH won by 33 runs</x:v>
      </x:c>
      <x:c r="T57" s="18" t="str">
        <x:v>Sunrisers Hyderabad</x:v>
      </x:c>
      <x:c r="U57" s="18" t="str">
        <x:v>Punjab Kings</x:v>
      </x:c>
      <x:c r="V57" s="20" t="str">
        <x:v>235/4</x:v>
      </x:c>
      <x:c r="W57" s="20" t="str">
        <x:v>202/7 (20 ov, target 236)</x:v>
      </x:c>
      <x:c r="X57" s="18" t="str">
        <x:v>Sunrisers Hyderabad</x:v>
      </x:c>
      <x:c r="Y57" s="18" t="str">
        <x:v>Rajiv Gandhi International Stadium, Uppal, Hyderabad</x:v>
      </x:c>
      <x:c r="Z57" s="18" t="str">
        <x:v>Hyderabad</x:v>
      </x:c>
      <x:c r="AA57" s="18" t="str">
        <x:v>Pat Cummins</x:v>
      </x:c>
      <x:c r="AB57" s="18" t="str">
        <x:v>cricket</x:v>
      </x:c>
      <x:c r="AC57" s="18" t="n">
        <x:v>2026</x:v>
      </x:c>
      <x:c r="AD57" s="18" t="str">
        <x:v>IPL</x:v>
      </x:c>
      <x:c r="AE57" s="18" t="str">
        <x:v>{"id":"1529292","uid":"s:200~e:1529292~c:1529292","description":"49th Match","shortDescription":"49th Match, (N) at Hyderabad","date":"2026-05-06T14:00Z","endDate":"2026-05-07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matches","eventType":"T20"},"venue":{"id":"58142","fullName":"Rajiv Gandhi International Stadium, Uppal, Hyderabad","address":{"city":"Hyderabad","state":"","country":"India","summary":""},"capacity":0,"indoor":false},"competitors":[{"id":"628333","uid":"s:200~e:1529292~c:1529292~t:628333","type":"team","order":1,"homeAway":"home","winner":"true","score":"235/</x:v>
      </x:c>
      <x:c r="AF57" s="18" t="str">
        <x:v>COMPLETE_BOUNDED_PERIOD</x:v>
      </x:c>
      <x:c r="AG57" s="18" t="str">
        <x:v>Complete IPL 2026 ESPN scoreboard</x:v>
      </x:c>
      <x:c r="AH57" s="18" t="str"/>
      <x:c r="AI57" s="18" t="str"/>
      <x:c r="AJ57" s="20" t="n">
        <x:v>74</x:v>
      </x:c>
      <x:c r="AK57" s="19" t="n">
        <x:f>IFERROR(TODAY()-DATEVALUE(C57),"")</x:f>
        <x:v>127</x:v>
      </x:c>
      <x:c r="AL57" s="21" t="n">
        <x:f>ROUND(COUNTA(A57:K57)/11*100,0)</x:f>
        <x:v>100</x:v>
      </x:c>
      <x:c r="AM57" s="18" t="str">
        <x:v>ESPN public scoreboard service</x:v>
      </x:c>
      <x:c r="AN57" s="22" t="str">
        <x:v>https://www.espn.in/cricket/series/8048/scorecard/1529292/sunrisers-hyderabad-vs-punjab-kings-49th-match-indian-premier-league-2026</x:v>
      </x:c>
      <x:c r="AO57" s="18" t="str">
        <x:v>2026-05-06</x:v>
      </x:c>
      <x:c r="AP57" s="18" t="n">
        <x:v>46275.416216736114</x:v>
      </x:c>
      <x:c r="AQ57" s="18" t="str">
        <x:v>independent_public</x:v>
      </x:c>
      <x:c r="AR57" s="18" t="str">
        <x:v>READY</x:v>
      </x:c>
    </x:row>
    <x:row r="58">
      <x:c r="A58" s="18" t="str">
        <x:v>NYT-59-ec72b0c2412a051d</x:v>
      </x:c>
      <x:c r="B58" s="18" t="str">
        <x:v>Lucknow Super Giants v Royal Challengers Bengaluru</x:v>
      </x:c>
      <x:c r="C58" s="18" t="str">
        <x:v>2026-05-07</x:v>
      </x:c>
      <x:c r="D58" s="18" t="n">
        <x:v>2026</x:v>
      </x:c>
      <x:c r="E58" s="18" t="str">
        <x:v>2026-05</x:v>
      </x:c>
      <x:c r="F58" s="18" t="str">
        <x:v>post</x:v>
      </x:c>
      <x:c r="G58" s="18" t="str">
        <x:v>T20</x:v>
      </x:c>
      <x:c r="H58" s="18" t="str">
        <x:v>India</x:v>
      </x:c>
      <x:c r="I58" s="18" t="str">
        <x:v>Lucknow Super Giants v Royal Challengers Bengaluru</x:v>
      </x:c>
      <x:c r="J58" s="20" t="str"/>
      <x:c r="K58" s="18" t="str"/>
      <x:c r="L58" s="20" t="str">
        <x:v>India</x:v>
      </x:c>
      <x:c r="M58" s="18" t="str">
        <x:v>2026-05-07T14:00Z</x:v>
      </x:c>
      <x:c r="N58" s="18" t="str">
        <x:v>1529293</x:v>
      </x:c>
      <x:c r="O58" s="18" t="str">
        <x:v>Lucknow Super Giants v Royal Challengers Bengaluru</x:v>
      </x:c>
      <x:c r="P58" s="18" t="str">
        <x:v>T20</x:v>
      </x:c>
      <x:c r="Q58" s="18" t="str">
        <x:v>2026-05-07T14:00Z</x:v>
      </x:c>
      <x:c r="R58" s="18" t="str">
        <x:v>post</x:v>
      </x:c>
      <x:c r="S58" s="18" t="str">
        <x:v>LSG won by 9 runs (DLS)</x:v>
      </x:c>
      <x:c r="T58" s="18" t="str">
        <x:v>Lucknow Super Giants</x:v>
      </x:c>
      <x:c r="U58" s="18" t="str">
        <x:v>Royal Challengers Bengaluru</x:v>
      </x:c>
      <x:c r="V58" s="20" t="str">
        <x:v>209/3 (19/19 ov)</x:v>
      </x:c>
      <x:c r="W58" s="20" t="str">
        <x:v>203/6 (19 ov, target 213)</x:v>
      </x:c>
      <x:c r="X58" s="18" t="str">
        <x:v>Lucknow Super Giants</x:v>
      </x:c>
      <x:c r="Y58" s="18" t="str">
        <x:v>Bharat Ratna Shri Atal Bihari Vajpayee Ekana Cricket Stadium, Lucknow</x:v>
      </x:c>
      <x:c r="Z58" s="18" t="str">
        <x:v>Lucknow</x:v>
      </x:c>
      <x:c r="AA58" s="18" t="str">
        <x:v>Mitchell Marsh</x:v>
      </x:c>
      <x:c r="AB58" s="18" t="str">
        <x:v>cricket</x:v>
      </x:c>
      <x:c r="AC58" s="18" t="n">
        <x:v>2026</x:v>
      </x:c>
      <x:c r="AD58" s="18" t="str">
        <x:v>IPL</x:v>
      </x:c>
      <x:c r="AE58" s="18" t="str">
        <x:v>{"id":"1529293","uid":"s:200~e:1529293~c:1529293","description":"50th Match","shortDescription":"50th Match, (N) at Lucknow","date":"2026-05-07T14:00Z","endDate":"2026-05-08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matches","eventType":"T20"},"venue":{"id":"1070094","fullName":"Bharat Ratna Shri Atal Bihari Vajpayee Ekana Cricket Stadium, Lucknow","address":{"city":"Lucknow","state":"","country":"India","summary":"Ekana Sportz City, Sector 7 Gomti Nagar Ext, Amar Shaheed Path, Lucknow, Uttar Pradesh 226010"},"capacity":50000,"indoor":false},"competitors":[{"id":"1298768","</x:v>
      </x:c>
      <x:c r="AF58" s="18" t="str">
        <x:v>COMPLETE_BOUNDED_PERIOD</x:v>
      </x:c>
      <x:c r="AG58" s="18" t="str">
        <x:v>Complete IPL 2026 ESPN scoreboard</x:v>
      </x:c>
      <x:c r="AH58" s="18" t="str"/>
      <x:c r="AI58" s="18" t="str"/>
      <x:c r="AJ58" s="20" t="n">
        <x:v>74</x:v>
      </x:c>
      <x:c r="AK58" s="19" t="n">
        <x:f>IFERROR(TODAY()-DATEVALUE(C58),"")</x:f>
        <x:v>126</x:v>
      </x:c>
      <x:c r="AL58" s="21" t="n">
        <x:f>ROUND(COUNTA(A58:K58)/11*100,0)</x:f>
        <x:v>100</x:v>
      </x:c>
      <x:c r="AM58" s="18" t="str">
        <x:v>ESPN public scoreboard service</x:v>
      </x:c>
      <x:c r="AN58" s="22" t="str">
        <x:v>https://www.espn.in/cricket/series/8048/scorecard/1529293/lucknow-super-giants-vs-royal-challengers-bengaluru-50th-match-indian-premier-league-2026</x:v>
      </x:c>
      <x:c r="AO58" s="18" t="str">
        <x:v>2026-05-07</x:v>
      </x:c>
      <x:c r="AP58" s="18" t="n">
        <x:v>46275.416216736114</x:v>
      </x:c>
      <x:c r="AQ58" s="18" t="str">
        <x:v>independent_public</x:v>
      </x:c>
      <x:c r="AR58" s="18" t="str">
        <x:v>READY</x:v>
      </x:c>
    </x:row>
    <x:row r="59">
      <x:c r="A59" s="18" t="str">
        <x:v>NYT-59-c56262e8f8724a9e</x:v>
      </x:c>
      <x:c r="B59" s="18" t="str">
        <x:v>Delhi Capitals v Kolkata Knight Riders</x:v>
      </x:c>
      <x:c r="C59" s="18" t="str">
        <x:v>2026-05-08</x:v>
      </x:c>
      <x:c r="D59" s="18" t="n">
        <x:v>2026</x:v>
      </x:c>
      <x:c r="E59" s="18" t="str">
        <x:v>2026-05</x:v>
      </x:c>
      <x:c r="F59" s="18" t="str">
        <x:v>post</x:v>
      </x:c>
      <x:c r="G59" s="18" t="str">
        <x:v>T20</x:v>
      </x:c>
      <x:c r="H59" s="18" t="str">
        <x:v>India</x:v>
      </x:c>
      <x:c r="I59" s="18" t="str">
        <x:v>Delhi Capitals v Kolkata Knight Riders</x:v>
      </x:c>
      <x:c r="J59" s="20" t="str"/>
      <x:c r="K59" s="18" t="str"/>
      <x:c r="L59" s="20" t="str">
        <x:v>India</x:v>
      </x:c>
      <x:c r="M59" s="18" t="str">
        <x:v>2026-05-08T14:00Z</x:v>
      </x:c>
      <x:c r="N59" s="18" t="str">
        <x:v>1529294</x:v>
      </x:c>
      <x:c r="O59" s="18" t="str">
        <x:v>Delhi Capitals v Kolkata Knight Riders</x:v>
      </x:c>
      <x:c r="P59" s="18" t="str">
        <x:v>T20</x:v>
      </x:c>
      <x:c r="Q59" s="18" t="str">
        <x:v>2026-05-08T14:00Z</x:v>
      </x:c>
      <x:c r="R59" s="18" t="str">
        <x:v>post</x:v>
      </x:c>
      <x:c r="S59" s="18" t="str">
        <x:v>KKR won by 8 wkts (34b rem)</x:v>
      </x:c>
      <x:c r="T59" s="18" t="str">
        <x:v>Delhi Capitals</x:v>
      </x:c>
      <x:c r="U59" s="18" t="str">
        <x:v>Kolkata Knight Riders</x:v>
      </x:c>
      <x:c r="V59" s="20" t="str">
        <x:v>142/8</x:v>
      </x:c>
      <x:c r="W59" s="20" t="str">
        <x:v>147/2 (14.2/20 ov, target 143)</x:v>
      </x:c>
      <x:c r="X59" s="18" t="str">
        <x:v>Kolkata Knight Riders</x:v>
      </x:c>
      <x:c r="Y59" s="18" t="str">
        <x:v>Arun Jaitley Stadium, Delhi</x:v>
      </x:c>
      <x:c r="Z59" s="18" t="str">
        <x:v>Delhi</x:v>
      </x:c>
      <x:c r="AA59" s="18" t="str">
        <x:v>Finn Allen</x:v>
      </x:c>
      <x:c r="AB59" s="18" t="str">
        <x:v>cricket</x:v>
      </x:c>
      <x:c r="AC59" s="18" t="n">
        <x:v>2026</x:v>
      </x:c>
      <x:c r="AD59" s="18" t="str">
        <x:v>IPL</x:v>
      </x:c>
      <x:c r="AE59" s="18" t="str">
        <x:v>{"id":"1529294","uid":"s:200~e:1529294~c:1529294","description":"51st Match","shortDescription":"51st Match, (N) at Delhi","date":"2026-05-08T14:00Z","endDate":"2026-05-09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matches","eventType":"T20"},"venue":{"id":"58040","fullName":"Arun Jaitley Stadium, Delhi","address":{"city":"Delhi","state":"","country":"India","summary":"Delhi District Cricket Association (DDCA), Feroz Shah Kotla ground, Bahadur Shah Zafar Marg, New Delhi - 110002 (Phone: 011 2331 9323)"},"capacity":55000,"indoor":false},"competitors":[{"id":"335975","uid":"s:</x:v>
      </x:c>
      <x:c r="AF59" s="18" t="str">
        <x:v>COMPLETE_BOUNDED_PERIOD</x:v>
      </x:c>
      <x:c r="AG59" s="18" t="str">
        <x:v>Complete IPL 2026 ESPN scoreboard</x:v>
      </x:c>
      <x:c r="AH59" s="18" t="str"/>
      <x:c r="AI59" s="18" t="str"/>
      <x:c r="AJ59" s="20" t="n">
        <x:v>74</x:v>
      </x:c>
      <x:c r="AK59" s="19" t="n">
        <x:f>IFERROR(TODAY()-DATEVALUE(C59),"")</x:f>
        <x:v>125</x:v>
      </x:c>
      <x:c r="AL59" s="21" t="n">
        <x:f>ROUND(COUNTA(A59:K59)/11*100,0)</x:f>
        <x:v>100</x:v>
      </x:c>
      <x:c r="AM59" s="18" t="str">
        <x:v>ESPN public scoreboard service</x:v>
      </x:c>
      <x:c r="AN59" s="22" t="str">
        <x:v>https://www.espn.in/cricket/series/8048/scorecard/1529294/delhi-capitals-vs-kolkata-knight-riders-51st-match-indian-premier-league-2026</x:v>
      </x:c>
      <x:c r="AO59" s="18" t="str">
        <x:v>2026-05-08</x:v>
      </x:c>
      <x:c r="AP59" s="18" t="n">
        <x:v>46275.416216736114</x:v>
      </x:c>
      <x:c r="AQ59" s="18" t="str">
        <x:v>independent_public</x:v>
      </x:c>
      <x:c r="AR59" s="18" t="str">
        <x:v>READY</x:v>
      </x:c>
    </x:row>
    <x:row r="60">
      <x:c r="A60" s="18" t="str">
        <x:v>NYT-59-1341e57db5681379</x:v>
      </x:c>
      <x:c r="B60" s="18" t="str">
        <x:v>Rajasthan Royals v Gujarat Titans</x:v>
      </x:c>
      <x:c r="C60" s="18" t="str">
        <x:v>2026-05-09</x:v>
      </x:c>
      <x:c r="D60" s="18" t="n">
        <x:v>2026</x:v>
      </x:c>
      <x:c r="E60" s="18" t="str">
        <x:v>2026-05</x:v>
      </x:c>
      <x:c r="F60" s="18" t="str">
        <x:v>post</x:v>
      </x:c>
      <x:c r="G60" s="18" t="str">
        <x:v>T20</x:v>
      </x:c>
      <x:c r="H60" s="18" t="str">
        <x:v>India</x:v>
      </x:c>
      <x:c r="I60" s="18" t="str">
        <x:v>Rajasthan Royals v Gujarat Titans</x:v>
      </x:c>
      <x:c r="J60" s="20" t="str"/>
      <x:c r="K60" s="18" t="str"/>
      <x:c r="L60" s="20" t="str">
        <x:v>India</x:v>
      </x:c>
      <x:c r="M60" s="18" t="str">
        <x:v>2026-05-09T14:00Z</x:v>
      </x:c>
      <x:c r="N60" s="18" t="str">
        <x:v>1529295</x:v>
      </x:c>
      <x:c r="O60" s="18" t="str">
        <x:v>Rajasthan Royals v Gujarat Titans</x:v>
      </x:c>
      <x:c r="P60" s="18" t="str">
        <x:v>T20</x:v>
      </x:c>
      <x:c r="Q60" s="18" t="str">
        <x:v>2026-05-09T14:00Z</x:v>
      </x:c>
      <x:c r="R60" s="18" t="str">
        <x:v>post</x:v>
      </x:c>
      <x:c r="S60" s="18" t="str">
        <x:v>GT won by 77 runs</x:v>
      </x:c>
      <x:c r="T60" s="18" t="str">
        <x:v>Rajasthan Royals</x:v>
      </x:c>
      <x:c r="U60" s="18" t="str">
        <x:v>Gujarat Titans</x:v>
      </x:c>
      <x:c r="V60" s="20" t="str">
        <x:v>152 (16.3/20 ov, target 230)</x:v>
      </x:c>
      <x:c r="W60" s="20" t="str">
        <x:v>229/4</x:v>
      </x:c>
      <x:c r="X60" s="18" t="str">
        <x:v>Gujarat Titans</x:v>
      </x:c>
      <x:c r="Y60" s="18" t="str">
        <x:v>Sawai Mansingh Stadium, Jaipur</x:v>
      </x:c>
      <x:c r="Z60" s="18" t="str">
        <x:v>Jaipur</x:v>
      </x:c>
      <x:c r="AA60" s="18" t="str">
        <x:v>Rashid Khan</x:v>
      </x:c>
      <x:c r="AB60" s="18" t="str">
        <x:v>cricket</x:v>
      </x:c>
      <x:c r="AC60" s="18" t="n">
        <x:v>2026</x:v>
      </x:c>
      <x:c r="AD60" s="18" t="str">
        <x:v>IPL</x:v>
      </x:c>
      <x:c r="AE60" s="18" t="str">
        <x:v>{"id":"1529295","uid":"s:200~e:1529295~c:1529295","description":"52nd Match","shortDescription":"52nd Match, (N) at Jaipur","date":"2026-05-09T14:00Z","endDate":"2026-05-10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matches","eventType":"T20"},"venue":{"id":"58162","fullName":"Sawai Mansingh Stadium, Jaipur","address":{"city":"Jaipur","state":"","country":"India","summary":""},"capacity":0,"indoor":false},"competitors":[{"id":"335977","uid":"s:200~e:1529295~c:1529295~t:335977","type":"team","order":2,"homeAway":"home","winner":"false","score":"152 (16.3/20 ov, target 230)","</x:v>
      </x:c>
      <x:c r="AF60" s="18" t="str">
        <x:v>COMPLETE_BOUNDED_PERIOD</x:v>
      </x:c>
      <x:c r="AG60" s="18" t="str">
        <x:v>Complete IPL 2026 ESPN scoreboard</x:v>
      </x:c>
      <x:c r="AH60" s="18" t="str"/>
      <x:c r="AI60" s="18" t="str"/>
      <x:c r="AJ60" s="20" t="n">
        <x:v>74</x:v>
      </x:c>
      <x:c r="AK60" s="19" t="n">
        <x:f>IFERROR(TODAY()-DATEVALUE(C60),"")</x:f>
        <x:v>124</x:v>
      </x:c>
      <x:c r="AL60" s="21" t="n">
        <x:f>ROUND(COUNTA(A60:K60)/11*100,0)</x:f>
        <x:v>100</x:v>
      </x:c>
      <x:c r="AM60" s="18" t="str">
        <x:v>ESPN public scoreboard service</x:v>
      </x:c>
      <x:c r="AN60" s="22" t="str">
        <x:v>https://www.espn.in/cricket/series/8048/scorecard/1529295/rajasthan-royals-vs-gujarat-titans-52nd-match-indian-premier-league-2026</x:v>
      </x:c>
      <x:c r="AO60" s="18" t="str">
        <x:v>2026-05-09</x:v>
      </x:c>
      <x:c r="AP60" s="18" t="n">
        <x:v>46275.416216736114</x:v>
      </x:c>
      <x:c r="AQ60" s="18" t="str">
        <x:v>independent_public</x:v>
      </x:c>
      <x:c r="AR60" s="18" t="str">
        <x:v>READY</x:v>
      </x:c>
    </x:row>
    <x:row r="61">
      <x:c r="A61" s="18" t="str">
        <x:v>NYT-59-ec024696fe4cbbad</x:v>
      </x:c>
      <x:c r="B61" s="18" t="str">
        <x:v>Chennai Super Kings v Lucknow Super Giants</x:v>
      </x:c>
      <x:c r="C61" s="18" t="str">
        <x:v>2026-05-10</x:v>
      </x:c>
      <x:c r="D61" s="18" t="n">
        <x:v>2026</x:v>
      </x:c>
      <x:c r="E61" s="18" t="str">
        <x:v>2026-05</x:v>
      </x:c>
      <x:c r="F61" s="18" t="str">
        <x:v>post</x:v>
      </x:c>
      <x:c r="G61" s="18" t="str">
        <x:v>T20</x:v>
      </x:c>
      <x:c r="H61" s="18" t="str">
        <x:v>India</x:v>
      </x:c>
      <x:c r="I61" s="18" t="str">
        <x:v>Chennai Super Kings v Lucknow Super Giants</x:v>
      </x:c>
      <x:c r="J61" s="20" t="str"/>
      <x:c r="K61" s="18" t="str"/>
      <x:c r="L61" s="20" t="str">
        <x:v>India</x:v>
      </x:c>
      <x:c r="M61" s="18" t="str">
        <x:v>2026-05-10T10:00Z</x:v>
      </x:c>
      <x:c r="N61" s="18" t="str">
        <x:v>1529296</x:v>
      </x:c>
      <x:c r="O61" s="18" t="str">
        <x:v>Chennai Super Kings v Lucknow Super Giants</x:v>
      </x:c>
      <x:c r="P61" s="18" t="str">
        <x:v>T20</x:v>
      </x:c>
      <x:c r="Q61" s="18" t="str">
        <x:v>2026-05-10T10:00Z</x:v>
      </x:c>
      <x:c r="R61" s="18" t="str">
        <x:v>post</x:v>
      </x:c>
      <x:c r="S61" s="18" t="str">
        <x:v>CSK won by 5 wkts (4b rem)</x:v>
      </x:c>
      <x:c r="T61" s="18" t="str">
        <x:v>Chennai Super Kings</x:v>
      </x:c>
      <x:c r="U61" s="18" t="str">
        <x:v>Lucknow Super Giants</x:v>
      </x:c>
      <x:c r="V61" s="20" t="str">
        <x:v>208/5 (19.2/20 ov, target 204)</x:v>
      </x:c>
      <x:c r="W61" s="20" t="str">
        <x:v>203/8</x:v>
      </x:c>
      <x:c r="X61" s="18" t="str">
        <x:v>Chennai Super Kings</x:v>
      </x:c>
      <x:c r="Y61" s="18" t="str">
        <x:v>MA Chidambaram Stadium, Chepauk, Chennai</x:v>
      </x:c>
      <x:c r="Z61" s="18" t="str">
        <x:v>Chennai</x:v>
      </x:c>
      <x:c r="AA61" s="18" t="str">
        <x:v>Jamie Overton</x:v>
      </x:c>
      <x:c r="AB61" s="18" t="str">
        <x:v>cricket</x:v>
      </x:c>
      <x:c r="AC61" s="18" t="n">
        <x:v>2026</x:v>
      </x:c>
      <x:c r="AD61" s="18" t="str">
        <x:v>IPL</x:v>
      </x:c>
      <x:c r="AE61" s="18" t="str">
        <x:v>{"id":"1529296","uid":"s:200~e:1529296~c:1529296","description":"53rd Match","shortDescription":"53rd Match, (D/N) at Chennai","date":"2026-05-10T10:00Z","endDate":"2026-05-11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matches","eventType":"T20"},"venue":{"id":"58008","fullName":"MA Chidambaram Stadium, Chepauk, Chennai","address":{"city":"Chennai","state":"","country":"India","summary":""},"capacity":38000,"indoor":false},"competitors":[{"id":"335974","uid":"s:200~e:1529296~c:1529296~t:335974","type":"team","order":2,"homeAway":"home","winner":"true","score":"208/5 (19.2/20</x:v>
      </x:c>
      <x:c r="AF61" s="18" t="str">
        <x:v>COMPLETE_BOUNDED_PERIOD</x:v>
      </x:c>
      <x:c r="AG61" s="18" t="str">
        <x:v>Complete IPL 2026 ESPN scoreboard</x:v>
      </x:c>
      <x:c r="AH61" s="18" t="str"/>
      <x:c r="AI61" s="18" t="str"/>
      <x:c r="AJ61" s="20" t="n">
        <x:v>74</x:v>
      </x:c>
      <x:c r="AK61" s="19" t="n">
        <x:f>IFERROR(TODAY()-DATEVALUE(C61),"")</x:f>
        <x:v>123</x:v>
      </x:c>
      <x:c r="AL61" s="21" t="n">
        <x:f>ROUND(COUNTA(A61:K61)/11*100,0)</x:f>
        <x:v>100</x:v>
      </x:c>
      <x:c r="AM61" s="18" t="str">
        <x:v>ESPN public scoreboard service</x:v>
      </x:c>
      <x:c r="AN61" s="22" t="str">
        <x:v>https://www.espn.in/cricket/series/8048/scorecard/1529296/chennai-super-kings-vs-lucknow-super-giants-53rd-match-indian-premier-league-2026</x:v>
      </x:c>
      <x:c r="AO61" s="18" t="str">
        <x:v>2026-05-10</x:v>
      </x:c>
      <x:c r="AP61" s="18" t="n">
        <x:v>46275.416216736114</x:v>
      </x:c>
      <x:c r="AQ61" s="18" t="str">
        <x:v>independent_public</x:v>
      </x:c>
      <x:c r="AR61" s="18" t="str">
        <x:v>READY</x:v>
      </x:c>
    </x:row>
    <x:row r="62">
      <x:c r="A62" s="18" t="str">
        <x:v>NYT-59-a1648a532c11b152</x:v>
      </x:c>
      <x:c r="B62" s="18" t="str">
        <x:v>Royal Challengers Bengaluru v Mumbai Indians</x:v>
      </x:c>
      <x:c r="C62" s="18" t="str">
        <x:v>2026-05-10</x:v>
      </x:c>
      <x:c r="D62" s="18" t="n">
        <x:v>2026</x:v>
      </x:c>
      <x:c r="E62" s="18" t="str">
        <x:v>2026-05</x:v>
      </x:c>
      <x:c r="F62" s="18" t="str">
        <x:v>post</x:v>
      </x:c>
      <x:c r="G62" s="18" t="str">
        <x:v>T20</x:v>
      </x:c>
      <x:c r="H62" s="18" t="str">
        <x:v>India</x:v>
      </x:c>
      <x:c r="I62" s="18" t="str">
        <x:v>Royal Challengers Bengaluru v Mumbai Indians</x:v>
      </x:c>
      <x:c r="J62" s="20" t="str"/>
      <x:c r="K62" s="18" t="str"/>
      <x:c r="L62" s="20" t="str">
        <x:v>India</x:v>
      </x:c>
      <x:c r="M62" s="18" t="str">
        <x:v>2026-05-10T14:00Z</x:v>
      </x:c>
      <x:c r="N62" s="18" t="str">
        <x:v>1529297</x:v>
      </x:c>
      <x:c r="O62" s="18" t="str">
        <x:v>Royal Challengers Bengaluru v Mumbai Indians</x:v>
      </x:c>
      <x:c r="P62" s="18" t="str">
        <x:v>T20</x:v>
      </x:c>
      <x:c r="Q62" s="18" t="str">
        <x:v>2026-05-10T14:00Z</x:v>
      </x:c>
      <x:c r="R62" s="18" t="str">
        <x:v>post</x:v>
      </x:c>
      <x:c r="S62" s="18" t="str">
        <x:v>RCB won by 2 wkts (0b rem)</x:v>
      </x:c>
      <x:c r="T62" s="18" t="str">
        <x:v>Royal Challengers Bengaluru</x:v>
      </x:c>
      <x:c r="U62" s="18" t="str">
        <x:v>Mumbai Indians</x:v>
      </x:c>
      <x:c r="V62" s="20" t="str">
        <x:v>167/8 (20 ov, target 167)</x:v>
      </x:c>
      <x:c r="W62" s="20" t="str">
        <x:v>166/7</x:v>
      </x:c>
      <x:c r="X62" s="18" t="str">
        <x:v>Royal Challengers Bengaluru</x:v>
      </x:c>
      <x:c r="Y62" s="18" t="str">
        <x:v>Shaheed Veer Narayan Singh International Stadium, Raipur</x:v>
      </x:c>
      <x:c r="Z62" s="18" t="str">
        <x:v>Raipur</x:v>
      </x:c>
      <x:c r="AA62" s="18" t="str">
        <x:v>Bhuvneshwar Kumar</x:v>
      </x:c>
      <x:c r="AB62" s="18" t="str">
        <x:v>cricket</x:v>
      </x:c>
      <x:c r="AC62" s="18" t="n">
        <x:v>2026</x:v>
      </x:c>
      <x:c r="AD62" s="18" t="str">
        <x:v>IPL</x:v>
      </x:c>
      <x:c r="AE62" s="18" t="str">
        <x:v>{"id":"1529297","uid":"s:200~e:1529297~c:1529297","description":"54th Match","shortDescription":"54th Match, (N) at Raipur","date":"2026-05-10T14:00Z","endDate":"2026-05-11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matches","eventType":"T20"},"venue":{"id":"601879","fullName":"Shaheed Veer Narayan Singh International Stadium, Raipur","address":{"city":"Raipur","state":"","country":"India","summary":"Sector 3, Parsada-3, Naya Raipur, Chhattisgarh 492101, India"},"capacity":60000,"indoor":false},"competitors":[{"id":"335970","uid":"s:200~e:1529297~c:1529297~t:335970","type":"</x:v>
      </x:c>
      <x:c r="AF62" s="18" t="str">
        <x:v>COMPLETE_BOUNDED_PERIOD</x:v>
      </x:c>
      <x:c r="AG62" s="18" t="str">
        <x:v>Complete IPL 2026 ESPN scoreboard</x:v>
      </x:c>
      <x:c r="AH62" s="18" t="str"/>
      <x:c r="AI62" s="18" t="str"/>
      <x:c r="AJ62" s="20" t="n">
        <x:v>74</x:v>
      </x:c>
      <x:c r="AK62" s="19" t="n">
        <x:f>IFERROR(TODAY()-DATEVALUE(C62),"")</x:f>
        <x:v>123</x:v>
      </x:c>
      <x:c r="AL62" s="21" t="n">
        <x:f>ROUND(COUNTA(A62:K62)/11*100,0)</x:f>
        <x:v>100</x:v>
      </x:c>
      <x:c r="AM62" s="18" t="str">
        <x:v>ESPN public scoreboard service</x:v>
      </x:c>
      <x:c r="AN62" s="22" t="str">
        <x:v>https://www.espn.in/cricket/series/8048/scorecard/1529297/royal-challengers-bengaluru-vs-mumbai-indians-54th-match-indian-premier-league-2026</x:v>
      </x:c>
      <x:c r="AO62" s="18" t="str">
        <x:v>2026-05-10</x:v>
      </x:c>
      <x:c r="AP62" s="18" t="n">
        <x:v>46275.416216736114</x:v>
      </x:c>
      <x:c r="AQ62" s="18" t="str">
        <x:v>independent_public</x:v>
      </x:c>
      <x:c r="AR62" s="18" t="str">
        <x:v>READY</x:v>
      </x:c>
    </x:row>
    <x:row r="63">
      <x:c r="A63" s="18" t="str">
        <x:v>NYT-59-ed92b2c240106f45</x:v>
      </x:c>
      <x:c r="B63" s="18" t="str">
        <x:v>Punjab Kings v Delhi Capitals</x:v>
      </x:c>
      <x:c r="C63" s="18" t="str">
        <x:v>2026-05-11</x:v>
      </x:c>
      <x:c r="D63" s="18" t="n">
        <x:v>2026</x:v>
      </x:c>
      <x:c r="E63" s="18" t="str">
        <x:v>2026-05</x:v>
      </x:c>
      <x:c r="F63" s="18" t="str">
        <x:v>post</x:v>
      </x:c>
      <x:c r="G63" s="18" t="str">
        <x:v>T20</x:v>
      </x:c>
      <x:c r="H63" s="18" t="str">
        <x:v>India</x:v>
      </x:c>
      <x:c r="I63" s="18" t="str">
        <x:v>Punjab Kings v Delhi Capitals</x:v>
      </x:c>
      <x:c r="J63" s="20" t="str"/>
      <x:c r="K63" s="18" t="str"/>
      <x:c r="L63" s="20" t="str">
        <x:v>India</x:v>
      </x:c>
      <x:c r="M63" s="18" t="str">
        <x:v>2026-05-11T14:00Z</x:v>
      </x:c>
      <x:c r="N63" s="18" t="str">
        <x:v>1529298</x:v>
      </x:c>
      <x:c r="O63" s="18" t="str">
        <x:v>Punjab Kings v Delhi Capitals</x:v>
      </x:c>
      <x:c r="P63" s="18" t="str">
        <x:v>T20</x:v>
      </x:c>
      <x:c r="Q63" s="18" t="str">
        <x:v>2026-05-11T14:00Z</x:v>
      </x:c>
      <x:c r="R63" s="18" t="str">
        <x:v>post</x:v>
      </x:c>
      <x:c r="S63" s="18" t="str">
        <x:v>DC won by 3 wkts (6b rem)</x:v>
      </x:c>
      <x:c r="T63" s="18" t="str">
        <x:v>Punjab Kings</x:v>
      </x:c>
      <x:c r="U63" s="18" t="str">
        <x:v>Delhi Capitals</x:v>
      </x:c>
      <x:c r="V63" s="20" t="str">
        <x:v>210/5</x:v>
      </x:c>
      <x:c r="W63" s="20" t="str">
        <x:v>216/7 (19/20 ov, target 211)</x:v>
      </x:c>
      <x:c r="X63" s="18" t="str">
        <x:v>Delhi Capitals</x:v>
      </x:c>
      <x:c r="Y63" s="18" t="str">
        <x:v>Himachal Pradesh Cricket Association Stadium, Dharamsala</x:v>
      </x:c>
      <x:c r="Z63" s="18" t="str">
        <x:v>Dharamsala</x:v>
      </x:c>
      <x:c r="AA63" s="18" t="str">
        <x:v>Madhav Tiwari</x:v>
      </x:c>
      <x:c r="AB63" s="18" t="str">
        <x:v>cricket</x:v>
      </x:c>
      <x:c r="AC63" s="18" t="n">
        <x:v>2026</x:v>
      </x:c>
      <x:c r="AD63" s="18" t="str">
        <x:v>IPL</x:v>
      </x:c>
      <x:c r="AE63" s="18" t="str">
        <x:v>{"id":"1529298","uid":"s:200~e:1529298~c:1529298","description":"55th Match","shortDescription":"55th Match, (N) at Dharamsala","date":"2026-05-11T14:00Z","endDate":"2026-05-12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matches","eventType":"T20"},"venue":{"id":"58056","fullName":"Himachal Pradesh Cricket Association Stadium, Dharamsala","address":{"city":"Dharamsala","state":"","country":"India","summary":"Dharamshala, Kangra, Himachal Pradesh 176215 India"},"capacity":21200,"indoor":false},"competitors":[{"id":"335973","uid":"s:200~e:1529298~c:1529298~t:335973","type":"tea</x:v>
      </x:c>
      <x:c r="AF63" s="18" t="str">
        <x:v>COMPLETE_BOUNDED_PERIOD</x:v>
      </x:c>
      <x:c r="AG63" s="18" t="str">
        <x:v>Complete IPL 2026 ESPN scoreboard</x:v>
      </x:c>
      <x:c r="AH63" s="18" t="str"/>
      <x:c r="AI63" s="18" t="str"/>
      <x:c r="AJ63" s="20" t="n">
        <x:v>74</x:v>
      </x:c>
      <x:c r="AK63" s="19" t="n">
        <x:f>IFERROR(TODAY()-DATEVALUE(C63),"")</x:f>
        <x:v>122</x:v>
      </x:c>
      <x:c r="AL63" s="21" t="n">
        <x:f>ROUND(COUNTA(A63:K63)/11*100,0)</x:f>
        <x:v>100</x:v>
      </x:c>
      <x:c r="AM63" s="18" t="str">
        <x:v>ESPN public scoreboard service</x:v>
      </x:c>
      <x:c r="AN63" s="22" t="str">
        <x:v>https://www.espn.in/cricket/series/8048/scorecard/1529298/punjab-kings-vs-delhi-capitals-55th-match-indian-premier-league-2026</x:v>
      </x:c>
      <x:c r="AO63" s="18" t="str">
        <x:v>2026-05-11</x:v>
      </x:c>
      <x:c r="AP63" s="18" t="n">
        <x:v>46275.416216736114</x:v>
      </x:c>
      <x:c r="AQ63" s="18" t="str">
        <x:v>independent_public</x:v>
      </x:c>
      <x:c r="AR63" s="18" t="str">
        <x:v>READY</x:v>
      </x:c>
    </x:row>
    <x:row r="64">
      <x:c r="A64" s="18" t="str">
        <x:v>NYT-59-b5d2e0f17bc64d02</x:v>
      </x:c>
      <x:c r="B64" s="18" t="str">
        <x:v>Gujarat Titans v Sunrisers Hyderabad</x:v>
      </x:c>
      <x:c r="C64" s="18" t="str">
        <x:v>2026-05-12</x:v>
      </x:c>
      <x:c r="D64" s="18" t="n">
        <x:v>2026</x:v>
      </x:c>
      <x:c r="E64" s="18" t="str">
        <x:v>2026-05</x:v>
      </x:c>
      <x:c r="F64" s="18" t="str">
        <x:v>post</x:v>
      </x:c>
      <x:c r="G64" s="18" t="str">
        <x:v>T20</x:v>
      </x:c>
      <x:c r="H64" s="18" t="str">
        <x:v>India</x:v>
      </x:c>
      <x:c r="I64" s="18" t="str">
        <x:v>Gujarat Titans v Sunrisers Hyderabad</x:v>
      </x:c>
      <x:c r="J64" s="20" t="str"/>
      <x:c r="K64" s="18" t="str"/>
      <x:c r="L64" s="20" t="str">
        <x:v>India</x:v>
      </x:c>
      <x:c r="M64" s="18" t="str">
        <x:v>2026-05-12T14:00Z</x:v>
      </x:c>
      <x:c r="N64" s="18" t="str">
        <x:v>1529299</x:v>
      </x:c>
      <x:c r="O64" s="18" t="str">
        <x:v>Gujarat Titans v Sunrisers Hyderabad</x:v>
      </x:c>
      <x:c r="P64" s="18" t="str">
        <x:v>T20</x:v>
      </x:c>
      <x:c r="Q64" s="18" t="str">
        <x:v>2026-05-12T14:00Z</x:v>
      </x:c>
      <x:c r="R64" s="18" t="str">
        <x:v>post</x:v>
      </x:c>
      <x:c r="S64" s="18" t="str">
        <x:v>GT won by 82 runs</x:v>
      </x:c>
      <x:c r="T64" s="18" t="str">
        <x:v>Gujarat Titans</x:v>
      </x:c>
      <x:c r="U64" s="18" t="str">
        <x:v>Sunrisers Hyderabad</x:v>
      </x:c>
      <x:c r="V64" s="20" t="str">
        <x:v>168/5</x:v>
      </x:c>
      <x:c r="W64" s="20" t="str">
        <x:v>86 (14.5/20 ov, target 169)</x:v>
      </x:c>
      <x:c r="X64" s="18" t="str">
        <x:v>Gujarat Titans</x:v>
      </x:c>
      <x:c r="Y64" s="18" t="str">
        <x:v>Narendra Modi Stadium, Motera, Ahmedabad</x:v>
      </x:c>
      <x:c r="Z64" s="18" t="str">
        <x:v>Ahmedabad</x:v>
      </x:c>
      <x:c r="AA64" s="18" t="str">
        <x:v>Kagiso Rabada</x:v>
      </x:c>
      <x:c r="AB64" s="18" t="str">
        <x:v>cricket</x:v>
      </x:c>
      <x:c r="AC64" s="18" t="n">
        <x:v>2026</x:v>
      </x:c>
      <x:c r="AD64" s="18" t="str">
        <x:v>IPL</x:v>
      </x:c>
      <x:c r="AE64" s="18" t="str">
        <x:v>{"id":"1529299","uid":"s:200~e:1529299~c:1529299","description":"56th Match","shortDescription":"56th Match, (N) at Ahmedabad","date":"2026-05-12T14:00Z","endDate":"2026-05-13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matches","eventType":"T20"},"venue":{"id":"57851","fullName":"Narendra Modi Stadium, Motera, Ahmedabad","address":{"city":"Ahmedabad","state":"","country":"India","summary":""},"capacity":132000,"indoor":false},"competitors":[{"id":"1298769","uid":"s:200~e:1529299~c:1529299~t:1298769","type":"team","order":1,"homeAway":"home","winner":"true","score":"168/5","t</x:v>
      </x:c>
      <x:c r="AF64" s="18" t="str">
        <x:v>COMPLETE_BOUNDED_PERIOD</x:v>
      </x:c>
      <x:c r="AG64" s="18" t="str">
        <x:v>Complete IPL 2026 ESPN scoreboard</x:v>
      </x:c>
      <x:c r="AH64" s="18" t="str"/>
      <x:c r="AI64" s="18" t="str"/>
      <x:c r="AJ64" s="20" t="n">
        <x:v>74</x:v>
      </x:c>
      <x:c r="AK64" s="19" t="n">
        <x:f>IFERROR(TODAY()-DATEVALUE(C64),"")</x:f>
        <x:v>121</x:v>
      </x:c>
      <x:c r="AL64" s="21" t="n">
        <x:f>ROUND(COUNTA(A64:K64)/11*100,0)</x:f>
        <x:v>100</x:v>
      </x:c>
      <x:c r="AM64" s="18" t="str">
        <x:v>ESPN public scoreboard service</x:v>
      </x:c>
      <x:c r="AN64" s="22" t="str">
        <x:v>https://www.espn.in/cricket/series/8048/scorecard/1529299/gujarat-titans-vs-sunrisers-hyderabad-56th-match-indian-premier-league-2026</x:v>
      </x:c>
      <x:c r="AO64" s="18" t="str">
        <x:v>2026-05-12</x:v>
      </x:c>
      <x:c r="AP64" s="18" t="n">
        <x:v>46275.416216736114</x:v>
      </x:c>
      <x:c r="AQ64" s="18" t="str">
        <x:v>independent_public</x:v>
      </x:c>
      <x:c r="AR64" s="18" t="str">
        <x:v>READY</x:v>
      </x:c>
    </x:row>
    <x:row r="65">
      <x:c r="A65" s="18" t="str">
        <x:v>NYT-59-bfcf844c5b57d9f5</x:v>
      </x:c>
      <x:c r="B65" s="18" t="str">
        <x:v>Royal Challengers Bengaluru v Kolkata Knight Riders</x:v>
      </x:c>
      <x:c r="C65" s="18" t="str">
        <x:v>2026-05-13</x:v>
      </x:c>
      <x:c r="D65" s="18" t="n">
        <x:v>2026</x:v>
      </x:c>
      <x:c r="E65" s="18" t="str">
        <x:v>2026-05</x:v>
      </x:c>
      <x:c r="F65" s="18" t="str">
        <x:v>post</x:v>
      </x:c>
      <x:c r="G65" s="18" t="str">
        <x:v>T20</x:v>
      </x:c>
      <x:c r="H65" s="18" t="str">
        <x:v>India</x:v>
      </x:c>
      <x:c r="I65" s="18" t="str">
        <x:v>Royal Challengers Bengaluru v Kolkata Knight Riders</x:v>
      </x:c>
      <x:c r="J65" s="20" t="str"/>
      <x:c r="K65" s="18" t="str"/>
      <x:c r="L65" s="20" t="str">
        <x:v>India</x:v>
      </x:c>
      <x:c r="M65" s="18" t="str">
        <x:v>2026-05-13T14:00Z</x:v>
      </x:c>
      <x:c r="N65" s="18" t="str">
        <x:v>1529300</x:v>
      </x:c>
      <x:c r="O65" s="18" t="str">
        <x:v>Royal Challengers Bengaluru v Kolkata Knight Riders</x:v>
      </x:c>
      <x:c r="P65" s="18" t="str">
        <x:v>T20</x:v>
      </x:c>
      <x:c r="Q65" s="18" t="str">
        <x:v>2026-05-13T14:00Z</x:v>
      </x:c>
      <x:c r="R65" s="18" t="str">
        <x:v>post</x:v>
      </x:c>
      <x:c r="S65" s="18" t="str">
        <x:v>RCB won by 6 wkts (5b rem)</x:v>
      </x:c>
      <x:c r="T65" s="18" t="str">
        <x:v>Royal Challengers Bengaluru</x:v>
      </x:c>
      <x:c r="U65" s="18" t="str">
        <x:v>Kolkata Knight Riders</x:v>
      </x:c>
      <x:c r="V65" s="20" t="str">
        <x:v>194/4 (19.1/20 ov, target 193)</x:v>
      </x:c>
      <x:c r="W65" s="20" t="str">
        <x:v>192/4</x:v>
      </x:c>
      <x:c r="X65" s="18" t="str">
        <x:v>Royal Challengers Bengaluru</x:v>
      </x:c>
      <x:c r="Y65" s="18" t="str">
        <x:v>Shaheed Veer Narayan Singh International Stadium, Raipur</x:v>
      </x:c>
      <x:c r="Z65" s="18" t="str">
        <x:v>Raipur</x:v>
      </x:c>
      <x:c r="AA65" s="18" t="str">
        <x:v>Virat Kohli</x:v>
      </x:c>
      <x:c r="AB65" s="18" t="str">
        <x:v>cricket</x:v>
      </x:c>
      <x:c r="AC65" s="18" t="n">
        <x:v>2026</x:v>
      </x:c>
      <x:c r="AD65" s="18" t="str">
        <x:v>IPL</x:v>
      </x:c>
      <x:c r="AE65" s="18" t="str">
        <x:v>{"id":"1529300","uid":"s:200~e:1529300~c:1529300","description":"57th Match","shortDescription":"57th Match, (N) at Raipur","date":"2026-05-13T14:00Z","endDate":"2026-05-14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matches","eventType":"T20"},"venue":{"id":"601879","fullName":"Shaheed Veer Narayan Singh International Stadium, Raipur","address":{"city":"Raipur","state":"","country":"India","summary":"Sector 3, Parsada-3, Naya Raipur, Chhattisgarh 492101, India"},"capacity":60000,"indoor":false},"competitors":[{"id":"335970","uid":"s:200~e:1529300~c:1529300~t:335970","type":"</x:v>
      </x:c>
      <x:c r="AF65" s="18" t="str">
        <x:v>COMPLETE_BOUNDED_PERIOD</x:v>
      </x:c>
      <x:c r="AG65" s="18" t="str">
        <x:v>Complete IPL 2026 ESPN scoreboard</x:v>
      </x:c>
      <x:c r="AH65" s="18" t="str"/>
      <x:c r="AI65" s="18" t="str"/>
      <x:c r="AJ65" s="20" t="n">
        <x:v>74</x:v>
      </x:c>
      <x:c r="AK65" s="19" t="n">
        <x:f>IFERROR(TODAY()-DATEVALUE(C65),"")</x:f>
        <x:v>120</x:v>
      </x:c>
      <x:c r="AL65" s="21" t="n">
        <x:f>ROUND(COUNTA(A65:K65)/11*100,0)</x:f>
        <x:v>100</x:v>
      </x:c>
      <x:c r="AM65" s="18" t="str">
        <x:v>ESPN public scoreboard service</x:v>
      </x:c>
      <x:c r="AN65" s="22" t="str">
        <x:v>https://www.espn.in/cricket/series/8048/scorecard/1529300/royal-challengers-bengaluru-vs-kolkata-knight-riders-57th-match-indian-premier-league-2026</x:v>
      </x:c>
      <x:c r="AO65" s="18" t="str">
        <x:v>2026-05-13</x:v>
      </x:c>
      <x:c r="AP65" s="18" t="n">
        <x:v>46275.416216736114</x:v>
      </x:c>
      <x:c r="AQ65" s="18" t="str">
        <x:v>independent_public</x:v>
      </x:c>
      <x:c r="AR65" s="18" t="str">
        <x:v>READY</x:v>
      </x:c>
    </x:row>
    <x:row r="66">
      <x:c r="A66" s="18" t="str">
        <x:v>NYT-59-3f688510186c29da</x:v>
      </x:c>
      <x:c r="B66" s="18" t="str">
        <x:v>Punjab Kings v Mumbai Indians</x:v>
      </x:c>
      <x:c r="C66" s="18" t="str">
        <x:v>2026-05-14</x:v>
      </x:c>
      <x:c r="D66" s="18" t="n">
        <x:v>2026</x:v>
      </x:c>
      <x:c r="E66" s="18" t="str">
        <x:v>2026-05</x:v>
      </x:c>
      <x:c r="F66" s="18" t="str">
        <x:v>post</x:v>
      </x:c>
      <x:c r="G66" s="18" t="str">
        <x:v>T20</x:v>
      </x:c>
      <x:c r="H66" s="18" t="str">
        <x:v>India</x:v>
      </x:c>
      <x:c r="I66" s="18" t="str">
        <x:v>Punjab Kings v Mumbai Indians</x:v>
      </x:c>
      <x:c r="J66" s="20" t="str"/>
      <x:c r="K66" s="18" t="str"/>
      <x:c r="L66" s="20" t="str">
        <x:v>India</x:v>
      </x:c>
      <x:c r="M66" s="18" t="str">
        <x:v>2026-05-14T14:00Z</x:v>
      </x:c>
      <x:c r="N66" s="18" t="str">
        <x:v>1529301</x:v>
      </x:c>
      <x:c r="O66" s="18" t="str">
        <x:v>Punjab Kings v Mumbai Indians</x:v>
      </x:c>
      <x:c r="P66" s="18" t="str">
        <x:v>T20</x:v>
      </x:c>
      <x:c r="Q66" s="18" t="str">
        <x:v>2026-05-14T14:00Z</x:v>
      </x:c>
      <x:c r="R66" s="18" t="str">
        <x:v>post</x:v>
      </x:c>
      <x:c r="S66" s="18" t="str">
        <x:v>MI won by 6 wkts (1b rem)</x:v>
      </x:c>
      <x:c r="T66" s="18" t="str">
        <x:v>Punjab Kings</x:v>
      </x:c>
      <x:c r="U66" s="18" t="str">
        <x:v>Mumbai Indians</x:v>
      </x:c>
      <x:c r="V66" s="20" t="str">
        <x:v>200/8</x:v>
      </x:c>
      <x:c r="W66" s="20" t="str">
        <x:v>205/4 (19.5/20 ov, target 201)</x:v>
      </x:c>
      <x:c r="X66" s="18" t="str">
        <x:v>Mumbai Indians</x:v>
      </x:c>
      <x:c r="Y66" s="18" t="str">
        <x:v>Himachal Pradesh Cricket Association Stadium, Dharamsala</x:v>
      </x:c>
      <x:c r="Z66" s="18" t="str">
        <x:v>Dharamsala</x:v>
      </x:c>
      <x:c r="AA66" s="18" t="str">
        <x:v>Tilak Varma</x:v>
      </x:c>
      <x:c r="AB66" s="18" t="str">
        <x:v>cricket</x:v>
      </x:c>
      <x:c r="AC66" s="18" t="n">
        <x:v>2026</x:v>
      </x:c>
      <x:c r="AD66" s="18" t="str">
        <x:v>IPL</x:v>
      </x:c>
      <x:c r="AE66" s="18" t="str">
        <x:v>{"id":"1529301","uid":"s:200~e:1529301~c:1529301","description":"58th Match","shortDescription":"58th Match, (N) at Dharamsala","date":"2026-05-14T14:00Z","endDate":"2026-05-15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matches","eventType":"T20"},"venue":{"id":"58056","fullName":"Himachal Pradesh Cricket Association Stadium, Dharamsala","address":{"city":"Dharamsala","state":"","country":"India","summary":"Dharamshala, Kangra, Himachal Pradesh 176215 India"},"capacity":21200,"indoor":false},"competitors":[{"id":"335973","uid":"s:200~e:1529301~c:1529301~t:335973","type":"tea</x:v>
      </x:c>
      <x:c r="AF66" s="18" t="str">
        <x:v>COMPLETE_BOUNDED_PERIOD</x:v>
      </x:c>
      <x:c r="AG66" s="18" t="str">
        <x:v>Complete IPL 2026 ESPN scoreboard</x:v>
      </x:c>
      <x:c r="AH66" s="18" t="str"/>
      <x:c r="AI66" s="18" t="str"/>
      <x:c r="AJ66" s="20" t="n">
        <x:v>74</x:v>
      </x:c>
      <x:c r="AK66" s="19" t="n">
        <x:f>IFERROR(TODAY()-DATEVALUE(C66),"")</x:f>
        <x:v>119</x:v>
      </x:c>
      <x:c r="AL66" s="21" t="n">
        <x:f>ROUND(COUNTA(A66:K66)/11*100,0)</x:f>
        <x:v>100</x:v>
      </x:c>
      <x:c r="AM66" s="18" t="str">
        <x:v>ESPN public scoreboard service</x:v>
      </x:c>
      <x:c r="AN66" s="22" t="str">
        <x:v>https://www.espn.in/cricket/series/8048/scorecard/1529301/punjab-kings-vs-mumbai-indians-58th-match-indian-premier-league-2026</x:v>
      </x:c>
      <x:c r="AO66" s="18" t="str">
        <x:v>2026-05-14</x:v>
      </x:c>
      <x:c r="AP66" s="18" t="n">
        <x:v>46275.416216736114</x:v>
      </x:c>
      <x:c r="AQ66" s="18" t="str">
        <x:v>independent_public</x:v>
      </x:c>
      <x:c r="AR66" s="18" t="str">
        <x:v>READY</x:v>
      </x:c>
    </x:row>
    <x:row r="67">
      <x:c r="A67" s="18" t="str">
        <x:v>NYT-59-1c7f186e53b24323</x:v>
      </x:c>
      <x:c r="B67" s="18" t="str">
        <x:v>Lucknow Super Giants v Chennai Super Kings</x:v>
      </x:c>
      <x:c r="C67" s="18" t="str">
        <x:v>2026-05-15</x:v>
      </x:c>
      <x:c r="D67" s="18" t="n">
        <x:v>2026</x:v>
      </x:c>
      <x:c r="E67" s="18" t="str">
        <x:v>2026-05</x:v>
      </x:c>
      <x:c r="F67" s="18" t="str">
        <x:v>post</x:v>
      </x:c>
      <x:c r="G67" s="18" t="str">
        <x:v>T20</x:v>
      </x:c>
      <x:c r="H67" s="18" t="str">
        <x:v>India</x:v>
      </x:c>
      <x:c r="I67" s="18" t="str">
        <x:v>Lucknow Super Giants v Chennai Super Kings</x:v>
      </x:c>
      <x:c r="J67" s="20" t="str"/>
      <x:c r="K67" s="18" t="str"/>
      <x:c r="L67" s="20" t="str">
        <x:v>India</x:v>
      </x:c>
      <x:c r="M67" s="18" t="str">
        <x:v>2026-05-15T14:00Z</x:v>
      </x:c>
      <x:c r="N67" s="18" t="str">
        <x:v>1529302</x:v>
      </x:c>
      <x:c r="O67" s="18" t="str">
        <x:v>Lucknow Super Giants v Chennai Super Kings</x:v>
      </x:c>
      <x:c r="P67" s="18" t="str">
        <x:v>T20</x:v>
      </x:c>
      <x:c r="Q67" s="18" t="str">
        <x:v>2026-05-15T14:00Z</x:v>
      </x:c>
      <x:c r="R67" s="18" t="str">
        <x:v>post</x:v>
      </x:c>
      <x:c r="S67" s="18" t="str">
        <x:v>LSG won by 7 wkts (20b rem)</x:v>
      </x:c>
      <x:c r="T67" s="18" t="str">
        <x:v>Lucknow Super Giants</x:v>
      </x:c>
      <x:c r="U67" s="18" t="str">
        <x:v>Chennai Super Kings</x:v>
      </x:c>
      <x:c r="V67" s="20" t="str">
        <x:v>188/3 (16.4/20 ov, target 188)</x:v>
      </x:c>
      <x:c r="W67" s="20" t="str">
        <x:v>187/5</x:v>
      </x:c>
      <x:c r="X67" s="18" t="str">
        <x:v>Lucknow Super Giants</x:v>
      </x:c>
      <x:c r="Y67" s="18" t="str">
        <x:v>Bharat Ratna Shri Atal Bihari Vajpayee Ekana Cricket Stadium, Lucknow</x:v>
      </x:c>
      <x:c r="Z67" s="18" t="str">
        <x:v>Lucknow</x:v>
      </x:c>
      <x:c r="AA67" s="18" t="str">
        <x:v>Mitchell Marsh</x:v>
      </x:c>
      <x:c r="AB67" s="18" t="str">
        <x:v>cricket</x:v>
      </x:c>
      <x:c r="AC67" s="18" t="n">
        <x:v>2026</x:v>
      </x:c>
      <x:c r="AD67" s="18" t="str">
        <x:v>IPL</x:v>
      </x:c>
      <x:c r="AE67" s="18" t="str">
        <x:v>{"id":"1529302","uid":"s:200~e:1529302~c:1529302","description":"59th Match","shortDescription":"59th Match, (N) at Lucknow","date":"2026-05-15T14:00Z","endDate":"2026-05-16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matches","eventType":"T20"},"venue":{"id":"1070094","fullName":"Bharat Ratna Shri Atal Bihari Vajpayee Ekana Cricket Stadium, Lucknow","address":{"city":"Lucknow","state":"","country":"India","summary":"Ekana Sportz City, Sector 7 Gomti Nagar Ext, Amar Shaheed Path, Lucknow, Uttar Pradesh 226010"},"capacity":50000,"indoor":false},"competitors":[{"id":"1298768","</x:v>
      </x:c>
      <x:c r="AF67" s="18" t="str">
        <x:v>COMPLETE_BOUNDED_PERIOD</x:v>
      </x:c>
      <x:c r="AG67" s="18" t="str">
        <x:v>Complete IPL 2026 ESPN scoreboard</x:v>
      </x:c>
      <x:c r="AH67" s="18" t="str"/>
      <x:c r="AI67" s="18" t="str"/>
      <x:c r="AJ67" s="20" t="n">
        <x:v>74</x:v>
      </x:c>
      <x:c r="AK67" s="19" t="n">
        <x:f>IFERROR(TODAY()-DATEVALUE(C67),"")</x:f>
        <x:v>118</x:v>
      </x:c>
      <x:c r="AL67" s="21" t="n">
        <x:f>ROUND(COUNTA(A67:K67)/11*100,0)</x:f>
        <x:v>100</x:v>
      </x:c>
      <x:c r="AM67" s="18" t="str">
        <x:v>ESPN public scoreboard service</x:v>
      </x:c>
      <x:c r="AN67" s="22" t="str">
        <x:v>https://www.espn.in/cricket/series/8048/scorecard/1529302/lucknow-super-giants-vs-chennai-super-kings-59th-match-indian-premier-league-2026</x:v>
      </x:c>
      <x:c r="AO67" s="18" t="str">
        <x:v>2026-05-15</x:v>
      </x:c>
      <x:c r="AP67" s="18" t="n">
        <x:v>46275.416216736114</x:v>
      </x:c>
      <x:c r="AQ67" s="18" t="str">
        <x:v>independent_public</x:v>
      </x:c>
      <x:c r="AR67" s="18" t="str">
        <x:v>READY</x:v>
      </x:c>
    </x:row>
    <x:row r="68">
      <x:c r="A68" s="18" t="str">
        <x:v>NYT-59-78810c19d31655a2</x:v>
      </x:c>
      <x:c r="B68" s="18" t="str">
        <x:v>Kolkata Knight Riders v Gujarat Titans</x:v>
      </x:c>
      <x:c r="C68" s="18" t="str">
        <x:v>2026-05-16</x:v>
      </x:c>
      <x:c r="D68" s="18" t="n">
        <x:v>2026</x:v>
      </x:c>
      <x:c r="E68" s="18" t="str">
        <x:v>2026-05</x:v>
      </x:c>
      <x:c r="F68" s="18" t="str">
        <x:v>post</x:v>
      </x:c>
      <x:c r="G68" s="18" t="str">
        <x:v>T20</x:v>
      </x:c>
      <x:c r="H68" s="18" t="str">
        <x:v>India</x:v>
      </x:c>
      <x:c r="I68" s="18" t="str">
        <x:v>Kolkata Knight Riders v Gujarat Titans</x:v>
      </x:c>
      <x:c r="J68" s="20" t="str"/>
      <x:c r="K68" s="18" t="str"/>
      <x:c r="L68" s="20" t="str">
        <x:v>India</x:v>
      </x:c>
      <x:c r="M68" s="18" t="str">
        <x:v>2026-05-16T14:00Z</x:v>
      </x:c>
      <x:c r="N68" s="18" t="str">
        <x:v>1529303</x:v>
      </x:c>
      <x:c r="O68" s="18" t="str">
        <x:v>Kolkata Knight Riders v Gujarat Titans</x:v>
      </x:c>
      <x:c r="P68" s="18" t="str">
        <x:v>T20</x:v>
      </x:c>
      <x:c r="Q68" s="18" t="str">
        <x:v>2026-05-16T14:00Z</x:v>
      </x:c>
      <x:c r="R68" s="18" t="str">
        <x:v>post</x:v>
      </x:c>
      <x:c r="S68" s="18" t="str">
        <x:v>KKR won by 29 runs</x:v>
      </x:c>
      <x:c r="T68" s="18" t="str">
        <x:v>Kolkata Knight Riders</x:v>
      </x:c>
      <x:c r="U68" s="18" t="str">
        <x:v>Gujarat Titans</x:v>
      </x:c>
      <x:c r="V68" s="20" t="str">
        <x:v>247/2</x:v>
      </x:c>
      <x:c r="W68" s="20" t="str">
        <x:v>218/4 (20 ov, target 248)</x:v>
      </x:c>
      <x:c r="X68" s="18" t="str">
        <x:v>Kolkata Knight Riders</x:v>
      </x:c>
      <x:c r="Y68" s="18" t="str">
        <x:v>Eden Gardens, Kolkata</x:v>
      </x:c>
      <x:c r="Z68" s="18" t="str">
        <x:v>Kolkata</x:v>
      </x:c>
      <x:c r="AA68" s="18" t="str">
        <x:v>Sunil Narine</x:v>
      </x:c>
      <x:c r="AB68" s="18" t="str">
        <x:v>cricket</x:v>
      </x:c>
      <x:c r="AC68" s="18" t="n">
        <x:v>2026</x:v>
      </x:c>
      <x:c r="AD68" s="18" t="str">
        <x:v>IPL</x:v>
      </x:c>
      <x:c r="AE68" s="18" t="str">
        <x:v>{"id":"1529303","uid":"s:200~e:1529303~c:1529303","description":"60th Match","shortDescription":"60th Match, (N) at Kolkata","date":"2026-05-16T14:00Z","endDate":"2026-05-17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matches","eventType":"T20"},"venue":{"id":"57980","fullName":"Eden Gardens, Kolkata","address":{"city":"Kolkata","state":"","country":"India","summary":"The Cricket Association of Bengal, DR BC Roy Club House, Eden Gardens, Kolkata - 700021"},"capacity":66000,"indoor":false},"competitors":[{"id":"335971","uid":"s:200~e:1529303~c:1529303~t:335971","type":"team","</x:v>
      </x:c>
      <x:c r="AF68" s="18" t="str">
        <x:v>COMPLETE_BOUNDED_PERIOD</x:v>
      </x:c>
      <x:c r="AG68" s="18" t="str">
        <x:v>Complete IPL 2026 ESPN scoreboard</x:v>
      </x:c>
      <x:c r="AH68" s="18" t="str"/>
      <x:c r="AI68" s="18" t="str"/>
      <x:c r="AJ68" s="20" t="n">
        <x:v>74</x:v>
      </x:c>
      <x:c r="AK68" s="19" t="n">
        <x:f>IFERROR(TODAY()-DATEVALUE(C68),"")</x:f>
        <x:v>117</x:v>
      </x:c>
      <x:c r="AL68" s="21" t="n">
        <x:f>ROUND(COUNTA(A68:K68)/11*100,0)</x:f>
        <x:v>100</x:v>
      </x:c>
      <x:c r="AM68" s="18" t="str">
        <x:v>ESPN public scoreboard service</x:v>
      </x:c>
      <x:c r="AN68" s="22" t="str">
        <x:v>https://www.espn.in/cricket/series/8048/scorecard/1529303/kolkata-knight-riders-vs-gujarat-titans-60th-match-indian-premier-league-2026</x:v>
      </x:c>
      <x:c r="AO68" s="18" t="str">
        <x:v>2026-05-16</x:v>
      </x:c>
      <x:c r="AP68" s="18" t="n">
        <x:v>46275.416216736114</x:v>
      </x:c>
      <x:c r="AQ68" s="18" t="str">
        <x:v>independent_public</x:v>
      </x:c>
      <x:c r="AR68" s="18" t="str">
        <x:v>READY</x:v>
      </x:c>
    </x:row>
    <x:row r="69">
      <x:c r="A69" s="18" t="str">
        <x:v>NYT-59-7c436df02cdf4baf</x:v>
      </x:c>
      <x:c r="B69" s="18" t="str">
        <x:v>Punjab Kings v Royal Challengers Bengaluru</x:v>
      </x:c>
      <x:c r="C69" s="18" t="str">
        <x:v>2026-05-17</x:v>
      </x:c>
      <x:c r="D69" s="18" t="n">
        <x:v>2026</x:v>
      </x:c>
      <x:c r="E69" s="18" t="str">
        <x:v>2026-05</x:v>
      </x:c>
      <x:c r="F69" s="18" t="str">
        <x:v>post</x:v>
      </x:c>
      <x:c r="G69" s="18" t="str">
        <x:v>T20</x:v>
      </x:c>
      <x:c r="H69" s="18" t="str">
        <x:v>India</x:v>
      </x:c>
      <x:c r="I69" s="18" t="str">
        <x:v>Punjab Kings v Royal Challengers Bengaluru</x:v>
      </x:c>
      <x:c r="J69" s="20" t="str"/>
      <x:c r="K69" s="18" t="str"/>
      <x:c r="L69" s="20" t="str">
        <x:v>India</x:v>
      </x:c>
      <x:c r="M69" s="18" t="str">
        <x:v>2026-05-17T10:00Z</x:v>
      </x:c>
      <x:c r="N69" s="18" t="str">
        <x:v>1529304</x:v>
      </x:c>
      <x:c r="O69" s="18" t="str">
        <x:v>Punjab Kings v Royal Challengers Bengaluru</x:v>
      </x:c>
      <x:c r="P69" s="18" t="str">
        <x:v>T20</x:v>
      </x:c>
      <x:c r="Q69" s="18" t="str">
        <x:v>2026-05-17T10:00Z</x:v>
      </x:c>
      <x:c r="R69" s="18" t="str">
        <x:v>post</x:v>
      </x:c>
      <x:c r="S69" s="18" t="str">
        <x:v>RCB won by 23 runs</x:v>
      </x:c>
      <x:c r="T69" s="18" t="str">
        <x:v>Punjab Kings</x:v>
      </x:c>
      <x:c r="U69" s="18" t="str">
        <x:v>Royal Challengers Bengaluru</x:v>
      </x:c>
      <x:c r="V69" s="20" t="str">
        <x:v>199/8 (20 ov, target 223)</x:v>
      </x:c>
      <x:c r="W69" s="20" t="str">
        <x:v>222/4</x:v>
      </x:c>
      <x:c r="X69" s="18" t="str">
        <x:v>Royal Challengers Bengaluru</x:v>
      </x:c>
      <x:c r="Y69" s="18" t="str">
        <x:v>Himachal Pradesh Cricket Association Stadium, Dharamsala</x:v>
      </x:c>
      <x:c r="Z69" s="18" t="str">
        <x:v>Dharamsala</x:v>
      </x:c>
      <x:c r="AA69" s="18" t="str">
        <x:v>Venkatesh Iyer</x:v>
      </x:c>
      <x:c r="AB69" s="18" t="str">
        <x:v>cricket</x:v>
      </x:c>
      <x:c r="AC69" s="18" t="n">
        <x:v>2026</x:v>
      </x:c>
      <x:c r="AD69" s="18" t="str">
        <x:v>IPL</x:v>
      </x:c>
      <x:c r="AE69" s="18" t="str">
        <x:v>{"id":"1529304","uid":"s:200~e:1529304~c:1529304","description":"61st Match","shortDescription":"61st Match, (D/N) at Dharamsala","date":"2026-05-17T10:00Z","endDate":"2026-05-18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matches","eventType":"T20"},"venue":{"id":"58056","fullName":"Himachal Pradesh Cricket Association Stadium, Dharamsala","address":{"city":"Dharamsala","state":"","country":"India","summary":"Dharamshala, Kangra, Himachal Pradesh 176215 India"},"capacity":21200,"indoor":false},"competitors":[{"id":"335973","uid":"s:200~e:1529304~c:1529304~t:335973","type":"t</x:v>
      </x:c>
      <x:c r="AF69" s="18" t="str">
        <x:v>COMPLETE_BOUNDED_PERIOD</x:v>
      </x:c>
      <x:c r="AG69" s="18" t="str">
        <x:v>Complete IPL 2026 ESPN scoreboard</x:v>
      </x:c>
      <x:c r="AH69" s="18" t="str"/>
      <x:c r="AI69" s="18" t="str"/>
      <x:c r="AJ69" s="20" t="n">
        <x:v>74</x:v>
      </x:c>
      <x:c r="AK69" s="19" t="n">
        <x:f>IFERROR(TODAY()-DATEVALUE(C69),"")</x:f>
        <x:v>116</x:v>
      </x:c>
      <x:c r="AL69" s="21" t="n">
        <x:f>ROUND(COUNTA(A69:K69)/11*100,0)</x:f>
        <x:v>100</x:v>
      </x:c>
      <x:c r="AM69" s="18" t="str">
        <x:v>ESPN public scoreboard service</x:v>
      </x:c>
      <x:c r="AN69" s="22" t="str">
        <x:v>https://www.espn.in/cricket/series/8048/scorecard/1529304/punjab-kings-vs-royal-challengers-bengaluru-61st-match-indian-premier-league-2026</x:v>
      </x:c>
      <x:c r="AO69" s="18" t="str">
        <x:v>2026-05-17</x:v>
      </x:c>
      <x:c r="AP69" s="18" t="n">
        <x:v>46275.416216736114</x:v>
      </x:c>
      <x:c r="AQ69" s="18" t="str">
        <x:v>independent_public</x:v>
      </x:c>
      <x:c r="AR69" s="18" t="str">
        <x:v>READY</x:v>
      </x:c>
    </x:row>
    <x:row r="70">
      <x:c r="A70" s="18" t="str">
        <x:v>NYT-59-e7399e1919dc80a7</x:v>
      </x:c>
      <x:c r="B70" s="18" t="str">
        <x:v>Delhi Capitals v Rajasthan Royals</x:v>
      </x:c>
      <x:c r="C70" s="18" t="str">
        <x:v>2026-05-17</x:v>
      </x:c>
      <x:c r="D70" s="18" t="n">
        <x:v>2026</x:v>
      </x:c>
      <x:c r="E70" s="18" t="str">
        <x:v>2026-05</x:v>
      </x:c>
      <x:c r="F70" s="18" t="str">
        <x:v>post</x:v>
      </x:c>
      <x:c r="G70" s="18" t="str">
        <x:v>T20</x:v>
      </x:c>
      <x:c r="H70" s="18" t="str">
        <x:v>India</x:v>
      </x:c>
      <x:c r="I70" s="18" t="str">
        <x:v>Delhi Capitals v Rajasthan Royals</x:v>
      </x:c>
      <x:c r="J70" s="20" t="str"/>
      <x:c r="K70" s="18" t="str"/>
      <x:c r="L70" s="20" t="str">
        <x:v>India</x:v>
      </x:c>
      <x:c r="M70" s="18" t="str">
        <x:v>2026-05-17T14:00Z</x:v>
      </x:c>
      <x:c r="N70" s="18" t="str">
        <x:v>1529305</x:v>
      </x:c>
      <x:c r="O70" s="18" t="str">
        <x:v>Delhi Capitals v Rajasthan Royals</x:v>
      </x:c>
      <x:c r="P70" s="18" t="str">
        <x:v>T20</x:v>
      </x:c>
      <x:c r="Q70" s="18" t="str">
        <x:v>2026-05-17T14:00Z</x:v>
      </x:c>
      <x:c r="R70" s="18" t="str">
        <x:v>post</x:v>
      </x:c>
      <x:c r="S70" s="18" t="str">
        <x:v>DC won by 5 wkts (4b rem)</x:v>
      </x:c>
      <x:c r="T70" s="18" t="str">
        <x:v>Delhi Capitals</x:v>
      </x:c>
      <x:c r="U70" s="18" t="str">
        <x:v>Rajasthan Royals</x:v>
      </x:c>
      <x:c r="V70" s="20" t="str">
        <x:v>197/5 (19.2/20 ov, target 194)</x:v>
      </x:c>
      <x:c r="W70" s="20" t="str">
        <x:v>193/8</x:v>
      </x:c>
      <x:c r="X70" s="18" t="str">
        <x:v>Delhi Capitals</x:v>
      </x:c>
      <x:c r="Y70" s="18" t="str">
        <x:v>Arun Jaitley Stadium, Delhi</x:v>
      </x:c>
      <x:c r="Z70" s="18" t="str">
        <x:v>Delhi</x:v>
      </x:c>
      <x:c r="AA70" s="18" t="str">
        <x:v>Mitchell Starc</x:v>
      </x:c>
      <x:c r="AB70" s="18" t="str">
        <x:v>cricket</x:v>
      </x:c>
      <x:c r="AC70" s="18" t="n">
        <x:v>2026</x:v>
      </x:c>
      <x:c r="AD70" s="18" t="str">
        <x:v>IPL</x:v>
      </x:c>
      <x:c r="AE70" s="18" t="str">
        <x:v>{"id":"1529305","uid":"s:200~e:1529305~c:1529305","description":"62nd Match","shortDescription":"62nd Match, (N) at Delhi","date":"2026-05-17T14:00Z","endDate":"2026-05-18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matches","eventType":"T20"},"venue":{"id":"58040","fullName":"Arun Jaitley Stadium, Delhi","address":{"city":"Delhi","state":"","country":"India","summary":"Delhi District Cricket Association (DDCA), Feroz Shah Kotla ground, Bahadur Shah Zafar Marg, New Delhi - 110002 (Phone: 011 2331 9323)"},"capacity":55000,"indoor":false},"competitors":[{"id":"335975","uid":"s:</x:v>
      </x:c>
      <x:c r="AF70" s="18" t="str">
        <x:v>COMPLETE_BOUNDED_PERIOD</x:v>
      </x:c>
      <x:c r="AG70" s="18" t="str">
        <x:v>Complete IPL 2026 ESPN scoreboard</x:v>
      </x:c>
      <x:c r="AH70" s="18" t="str"/>
      <x:c r="AI70" s="18" t="str"/>
      <x:c r="AJ70" s="20" t="n">
        <x:v>74</x:v>
      </x:c>
      <x:c r="AK70" s="19" t="n">
        <x:f>IFERROR(TODAY()-DATEVALUE(C70),"")</x:f>
        <x:v>116</x:v>
      </x:c>
      <x:c r="AL70" s="21" t="n">
        <x:f>ROUND(COUNTA(A70:K70)/11*100,0)</x:f>
        <x:v>100</x:v>
      </x:c>
      <x:c r="AM70" s="18" t="str">
        <x:v>ESPN public scoreboard service</x:v>
      </x:c>
      <x:c r="AN70" s="22" t="str">
        <x:v>https://www.espn.in/cricket/series/8048/scorecard/1529305/delhi-capitals-vs-rajasthan-royals-62nd-match-indian-premier-league-2026</x:v>
      </x:c>
      <x:c r="AO70" s="18" t="str">
        <x:v>2026-05-17</x:v>
      </x:c>
      <x:c r="AP70" s="18" t="n">
        <x:v>46275.416216736114</x:v>
      </x:c>
      <x:c r="AQ70" s="18" t="str">
        <x:v>independent_public</x:v>
      </x:c>
      <x:c r="AR70" s="18" t="str">
        <x:v>READY</x:v>
      </x:c>
    </x:row>
    <x:row r="71">
      <x:c r="A71" s="18" t="str">
        <x:v>NYT-59-1871cce47465e235</x:v>
      </x:c>
      <x:c r="B71" s="18" t="str">
        <x:v>Chennai Super Kings v Sunrisers Hyderabad</x:v>
      </x:c>
      <x:c r="C71" s="18" t="str">
        <x:v>2026-05-18</x:v>
      </x:c>
      <x:c r="D71" s="18" t="n">
        <x:v>2026</x:v>
      </x:c>
      <x:c r="E71" s="18" t="str">
        <x:v>2026-05</x:v>
      </x:c>
      <x:c r="F71" s="18" t="str">
        <x:v>post</x:v>
      </x:c>
      <x:c r="G71" s="18" t="str">
        <x:v>T20</x:v>
      </x:c>
      <x:c r="H71" s="18" t="str">
        <x:v>India</x:v>
      </x:c>
      <x:c r="I71" s="18" t="str">
        <x:v>Chennai Super Kings v Sunrisers Hyderabad</x:v>
      </x:c>
      <x:c r="J71" s="20" t="str"/>
      <x:c r="K71" s="18" t="str"/>
      <x:c r="L71" s="20" t="str">
        <x:v>India</x:v>
      </x:c>
      <x:c r="M71" s="18" t="str">
        <x:v>2026-05-18T14:00Z</x:v>
      </x:c>
      <x:c r="N71" s="18" t="str">
        <x:v>1529306</x:v>
      </x:c>
      <x:c r="O71" s="18" t="str">
        <x:v>Chennai Super Kings v Sunrisers Hyderabad</x:v>
      </x:c>
      <x:c r="P71" s="18" t="str">
        <x:v>T20</x:v>
      </x:c>
      <x:c r="Q71" s="18" t="str">
        <x:v>2026-05-18T14:00Z</x:v>
      </x:c>
      <x:c r="R71" s="18" t="str">
        <x:v>post</x:v>
      </x:c>
      <x:c r="S71" s="18" t="str">
        <x:v>SRH won by 5 wkts (6b rem)</x:v>
      </x:c>
      <x:c r="T71" s="18" t="str">
        <x:v>Chennai Super Kings</x:v>
      </x:c>
      <x:c r="U71" s="18" t="str">
        <x:v>Sunrisers Hyderabad</x:v>
      </x:c>
      <x:c r="V71" s="20" t="str">
        <x:v>180/7</x:v>
      </x:c>
      <x:c r="W71" s="20" t="str">
        <x:v>181/5 (19/20 ov, target 181)</x:v>
      </x:c>
      <x:c r="X71" s="18" t="str">
        <x:v>Sunrisers Hyderabad</x:v>
      </x:c>
      <x:c r="Y71" s="18" t="str">
        <x:v>MA Chidambaram Stadium, Chepauk, Chennai</x:v>
      </x:c>
      <x:c r="Z71" s="18" t="str">
        <x:v>Chennai</x:v>
      </x:c>
      <x:c r="AA71" s="18" t="str">
        <x:v>Ishan Kishan</x:v>
      </x:c>
      <x:c r="AB71" s="18" t="str">
        <x:v>cricket</x:v>
      </x:c>
      <x:c r="AC71" s="18" t="n">
        <x:v>2026</x:v>
      </x:c>
      <x:c r="AD71" s="18" t="str">
        <x:v>IPL</x:v>
      </x:c>
      <x:c r="AE71" s="18" t="str">
        <x:v>{"id":"1529306","uid":"s:200~e:1529306~c:1529306","description":"63rd Match","shortDescription":"63rd Match, (N) at Chennai","date":"2026-05-18T14:00Z","endDate":"2026-05-19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matches","eventType":"T20"},"venue":{"id":"58008","fullName":"MA Chidambaram Stadium, Chepauk, Chennai","address":{"city":"Chennai","state":"","country":"India","summary":""},"capacity":38000,"indoor":false},"competitors":[{"id":"335974","uid":"s:200~e:1529306~c:1529306~t:335974","type":"team","order":1,"homeAway":"home","winner":"false","score":"180/7","team":{</x:v>
      </x:c>
      <x:c r="AF71" s="18" t="str">
        <x:v>COMPLETE_BOUNDED_PERIOD</x:v>
      </x:c>
      <x:c r="AG71" s="18" t="str">
        <x:v>Complete IPL 2026 ESPN scoreboard</x:v>
      </x:c>
      <x:c r="AH71" s="18" t="str"/>
      <x:c r="AI71" s="18" t="str"/>
      <x:c r="AJ71" s="20" t="n">
        <x:v>74</x:v>
      </x:c>
      <x:c r="AK71" s="19" t="n">
        <x:f>IFERROR(TODAY()-DATEVALUE(C71),"")</x:f>
        <x:v>115</x:v>
      </x:c>
      <x:c r="AL71" s="21" t="n">
        <x:f>ROUND(COUNTA(A71:K71)/11*100,0)</x:f>
        <x:v>100</x:v>
      </x:c>
      <x:c r="AM71" s="18" t="str">
        <x:v>ESPN public scoreboard service</x:v>
      </x:c>
      <x:c r="AN71" s="22" t="str">
        <x:v>https://www.espn.in/cricket/series/8048/scorecard/1529306/chennai-super-kings-vs-sunrisers-hyderabad-63rd-match-indian-premier-league-2026</x:v>
      </x:c>
      <x:c r="AO71" s="18" t="str">
        <x:v>2026-05-18</x:v>
      </x:c>
      <x:c r="AP71" s="18" t="n">
        <x:v>46275.416216736114</x:v>
      </x:c>
      <x:c r="AQ71" s="18" t="str">
        <x:v>independent_public</x:v>
      </x:c>
      <x:c r="AR71" s="18" t="str">
        <x:v>READY</x:v>
      </x:c>
    </x:row>
    <x:row r="72">
      <x:c r="A72" s="18" t="str">
        <x:v>NYT-59-daae0b5f168d33d8</x:v>
      </x:c>
      <x:c r="B72" s="18" t="str">
        <x:v>Rajasthan Royals v Lucknow Super Giants</x:v>
      </x:c>
      <x:c r="C72" s="18" t="str">
        <x:v>2026-05-19</x:v>
      </x:c>
      <x:c r="D72" s="18" t="n">
        <x:v>2026</x:v>
      </x:c>
      <x:c r="E72" s="18" t="str">
        <x:v>2026-05</x:v>
      </x:c>
      <x:c r="F72" s="18" t="str">
        <x:v>post</x:v>
      </x:c>
      <x:c r="G72" s="18" t="str">
        <x:v>T20</x:v>
      </x:c>
      <x:c r="H72" s="18" t="str">
        <x:v>India</x:v>
      </x:c>
      <x:c r="I72" s="18" t="str">
        <x:v>Rajasthan Royals v Lucknow Super Giants</x:v>
      </x:c>
      <x:c r="J72" s="20" t="str"/>
      <x:c r="K72" s="18" t="str"/>
      <x:c r="L72" s="20" t="str">
        <x:v>India</x:v>
      </x:c>
      <x:c r="M72" s="18" t="str">
        <x:v>2026-05-19T14:00Z</x:v>
      </x:c>
      <x:c r="N72" s="18" t="str">
        <x:v>1529307</x:v>
      </x:c>
      <x:c r="O72" s="18" t="str">
        <x:v>Rajasthan Royals v Lucknow Super Giants</x:v>
      </x:c>
      <x:c r="P72" s="18" t="str">
        <x:v>T20</x:v>
      </x:c>
      <x:c r="Q72" s="18" t="str">
        <x:v>2026-05-19T14:00Z</x:v>
      </x:c>
      <x:c r="R72" s="18" t="str">
        <x:v>post</x:v>
      </x:c>
      <x:c r="S72" s="18" t="str">
        <x:v>RR won by 7 wkts (5b rem)</x:v>
      </x:c>
      <x:c r="T72" s="18" t="str">
        <x:v>Rajasthan Royals</x:v>
      </x:c>
      <x:c r="U72" s="18" t="str">
        <x:v>Lucknow Super Giants</x:v>
      </x:c>
      <x:c r="V72" s="20" t="str">
        <x:v>225/3 (19.1/20 ov, target 221)</x:v>
      </x:c>
      <x:c r="W72" s="20" t="str">
        <x:v>220/5</x:v>
      </x:c>
      <x:c r="X72" s="18" t="str">
        <x:v>Rajasthan Royals</x:v>
      </x:c>
      <x:c r="Y72" s="18" t="str">
        <x:v>Sawai Mansingh Stadium, Jaipur</x:v>
      </x:c>
      <x:c r="Z72" s="18" t="str">
        <x:v>Jaipur</x:v>
      </x:c>
      <x:c r="AA72" s="18" t="str">
        <x:v>Vaibhav Sooryavanshi</x:v>
      </x:c>
      <x:c r="AB72" s="18" t="str">
        <x:v>cricket</x:v>
      </x:c>
      <x:c r="AC72" s="18" t="n">
        <x:v>2026</x:v>
      </x:c>
      <x:c r="AD72" s="18" t="str">
        <x:v>IPL</x:v>
      </x:c>
      <x:c r="AE72" s="18" t="str">
        <x:v>{"id":"1529307","uid":"s:200~e:1529307~c:1529307","description":"64th Match","shortDescription":"64th Match, (N) at Jaipur","date":"2026-05-19T14:00Z","endDate":"2026-05-20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matches","eventType":"T20"},"venue":{"id":"58162","fullName":"Sawai Mansingh Stadium, Jaipur","address":{"city":"Jaipur","state":"","country":"India","summary":""},"capacity":0,"indoor":false},"competitors":[{"id":"335977","uid":"s:200~e:1529307~c:1529307~t:335977","type":"team","order":2,"homeAway":"home","winner":"true","score":"225/3 (19.1/20 ov, target 221)",</x:v>
      </x:c>
      <x:c r="AF72" s="18" t="str">
        <x:v>COMPLETE_BOUNDED_PERIOD</x:v>
      </x:c>
      <x:c r="AG72" s="18" t="str">
        <x:v>Complete IPL 2026 ESPN scoreboard</x:v>
      </x:c>
      <x:c r="AH72" s="18" t="str"/>
      <x:c r="AI72" s="18" t="str"/>
      <x:c r="AJ72" s="20" t="n">
        <x:v>74</x:v>
      </x:c>
      <x:c r="AK72" s="19" t="n">
        <x:f>IFERROR(TODAY()-DATEVALUE(C72),"")</x:f>
        <x:v>114</x:v>
      </x:c>
      <x:c r="AL72" s="21" t="n">
        <x:f>ROUND(COUNTA(A72:K72)/11*100,0)</x:f>
        <x:v>100</x:v>
      </x:c>
      <x:c r="AM72" s="18" t="str">
        <x:v>ESPN public scoreboard service</x:v>
      </x:c>
      <x:c r="AN72" s="22" t="str">
        <x:v>https://www.espn.in/cricket/series/8048/scorecard/1529307/rajasthan-royals-vs-lucknow-super-giants-64th-match-indian-premier-league-2026</x:v>
      </x:c>
      <x:c r="AO72" s="18" t="str">
        <x:v>2026-05-19</x:v>
      </x:c>
      <x:c r="AP72" s="18" t="n">
        <x:v>46275.416216736114</x:v>
      </x:c>
      <x:c r="AQ72" s="18" t="str">
        <x:v>independent_public</x:v>
      </x:c>
      <x:c r="AR72" s="18" t="str">
        <x:v>READY</x:v>
      </x:c>
    </x:row>
    <x:row r="73">
      <x:c r="A73" s="18" t="str">
        <x:v>NYT-59-d768243285a0c1e2</x:v>
      </x:c>
      <x:c r="B73" s="18" t="str">
        <x:v>Kolkata Knight Riders v Mumbai Indians</x:v>
      </x:c>
      <x:c r="C73" s="18" t="str">
        <x:v>2026-05-20</x:v>
      </x:c>
      <x:c r="D73" s="18" t="n">
        <x:v>2026</x:v>
      </x:c>
      <x:c r="E73" s="18" t="str">
        <x:v>2026-05</x:v>
      </x:c>
      <x:c r="F73" s="18" t="str">
        <x:v>post</x:v>
      </x:c>
      <x:c r="G73" s="18" t="str">
        <x:v>T20</x:v>
      </x:c>
      <x:c r="H73" s="18" t="str">
        <x:v>India</x:v>
      </x:c>
      <x:c r="I73" s="18" t="str">
        <x:v>Kolkata Knight Riders v Mumbai Indians</x:v>
      </x:c>
      <x:c r="J73" s="20" t="str"/>
      <x:c r="K73" s="18" t="str"/>
      <x:c r="L73" s="20" t="str">
        <x:v>India</x:v>
      </x:c>
      <x:c r="M73" s="18" t="str">
        <x:v>2026-05-20T14:00Z</x:v>
      </x:c>
      <x:c r="N73" s="18" t="str">
        <x:v>1529308</x:v>
      </x:c>
      <x:c r="O73" s="18" t="str">
        <x:v>Kolkata Knight Riders v Mumbai Indians</x:v>
      </x:c>
      <x:c r="P73" s="18" t="str">
        <x:v>T20</x:v>
      </x:c>
      <x:c r="Q73" s="18" t="str">
        <x:v>2026-05-20T14:00Z</x:v>
      </x:c>
      <x:c r="R73" s="18" t="str">
        <x:v>post</x:v>
      </x:c>
      <x:c r="S73" s="18" t="str">
        <x:v>KKR won by 4 wkts (7b rem)</x:v>
      </x:c>
      <x:c r="T73" s="18" t="str">
        <x:v>Kolkata Knight Riders</x:v>
      </x:c>
      <x:c r="U73" s="18" t="str">
        <x:v>Mumbai Indians</x:v>
      </x:c>
      <x:c r="V73" s="20" t="str">
        <x:v>148/6 (18.5/20 ov, target 148)</x:v>
      </x:c>
      <x:c r="W73" s="20" t="str">
        <x:v>147/8</x:v>
      </x:c>
      <x:c r="X73" s="18" t="str">
        <x:v>Kolkata Knight Riders</x:v>
      </x:c>
      <x:c r="Y73" s="18" t="str">
        <x:v>Eden Gardens, Kolkata</x:v>
      </x:c>
      <x:c r="Z73" s="18" t="str">
        <x:v>Kolkata</x:v>
      </x:c>
      <x:c r="AA73" s="18" t="str">
        <x:v>Manish Pandey</x:v>
      </x:c>
      <x:c r="AB73" s="18" t="str">
        <x:v>cricket</x:v>
      </x:c>
      <x:c r="AC73" s="18" t="n">
        <x:v>2026</x:v>
      </x:c>
      <x:c r="AD73" s="18" t="str">
        <x:v>IPL</x:v>
      </x:c>
      <x:c r="AE73" s="18" t="str">
        <x:v>{"id":"1529308","uid":"s:200~e:1529308~c:1529308","description":"65th Match","shortDescription":"65th Match, (N) at Kolkata","date":"2026-05-20T14:00Z","endDate":"2026-05-21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matches","eventType":"T20"},"venue":{"id":"57980","fullName":"Eden Gardens, Kolkata","address":{"city":"Kolkata","state":"","country":"India","summary":"The Cricket Association of Bengal, DR BC Roy Club House, Eden Gardens, Kolkata - 700021"},"capacity":66000,"indoor":false},"competitors":[{"id":"335971","uid":"s:200~e:1529308~c:1529308~t:335971","type":"team","</x:v>
      </x:c>
      <x:c r="AF73" s="18" t="str">
        <x:v>COMPLETE_BOUNDED_PERIOD</x:v>
      </x:c>
      <x:c r="AG73" s="18" t="str">
        <x:v>Complete IPL 2026 ESPN scoreboard</x:v>
      </x:c>
      <x:c r="AH73" s="18" t="str"/>
      <x:c r="AI73" s="18" t="str"/>
      <x:c r="AJ73" s="20" t="n">
        <x:v>74</x:v>
      </x:c>
      <x:c r="AK73" s="19" t="n">
        <x:f>IFERROR(TODAY()-DATEVALUE(C73),"")</x:f>
        <x:v>113</x:v>
      </x:c>
      <x:c r="AL73" s="21" t="n">
        <x:f>ROUND(COUNTA(A73:K73)/11*100,0)</x:f>
        <x:v>100</x:v>
      </x:c>
      <x:c r="AM73" s="18" t="str">
        <x:v>ESPN public scoreboard service</x:v>
      </x:c>
      <x:c r="AN73" s="22" t="str">
        <x:v>https://www.espn.in/cricket/series/8048/scorecard/1529308/kolkata-knight-riders-vs-mumbai-indians-65th-match-indian-premier-league-2026</x:v>
      </x:c>
      <x:c r="AO73" s="18" t="str">
        <x:v>2026-05-20</x:v>
      </x:c>
      <x:c r="AP73" s="18" t="n">
        <x:v>46275.416216736114</x:v>
      </x:c>
      <x:c r="AQ73" s="18" t="str">
        <x:v>independent_public</x:v>
      </x:c>
      <x:c r="AR73" s="18" t="str">
        <x:v>READY</x:v>
      </x:c>
    </x:row>
    <x:row r="74">
      <x:c r="A74" s="18" t="str">
        <x:v>NYT-59-33226164ce309110</x:v>
      </x:c>
      <x:c r="B74" s="18" t="str">
        <x:v>Gujarat Titans v Chennai Super Kings</x:v>
      </x:c>
      <x:c r="C74" s="18" t="str">
        <x:v>2026-05-21</x:v>
      </x:c>
      <x:c r="D74" s="18" t="n">
        <x:v>2026</x:v>
      </x:c>
      <x:c r="E74" s="18" t="str">
        <x:v>2026-05</x:v>
      </x:c>
      <x:c r="F74" s="18" t="str">
        <x:v>post</x:v>
      </x:c>
      <x:c r="G74" s="18" t="str">
        <x:v>T20</x:v>
      </x:c>
      <x:c r="H74" s="18" t="str">
        <x:v>India</x:v>
      </x:c>
      <x:c r="I74" s="18" t="str">
        <x:v>Gujarat Titans v Chennai Super Kings</x:v>
      </x:c>
      <x:c r="J74" s="20" t="str"/>
      <x:c r="K74" s="18" t="str"/>
      <x:c r="L74" s="20" t="str">
        <x:v>India</x:v>
      </x:c>
      <x:c r="M74" s="18" t="str">
        <x:v>2026-05-21T14:00Z</x:v>
      </x:c>
      <x:c r="N74" s="18" t="str">
        <x:v>1529309</x:v>
      </x:c>
      <x:c r="O74" s="18" t="str">
        <x:v>Gujarat Titans v Chennai Super Kings</x:v>
      </x:c>
      <x:c r="P74" s="18" t="str">
        <x:v>T20</x:v>
      </x:c>
      <x:c r="Q74" s="18" t="str">
        <x:v>2026-05-21T14:00Z</x:v>
      </x:c>
      <x:c r="R74" s="18" t="str">
        <x:v>post</x:v>
      </x:c>
      <x:c r="S74" s="18" t="str">
        <x:v>GT won by 89 runs</x:v>
      </x:c>
      <x:c r="T74" s="18" t="str">
        <x:v>Gujarat Titans</x:v>
      </x:c>
      <x:c r="U74" s="18" t="str">
        <x:v>Chennai Super Kings</x:v>
      </x:c>
      <x:c r="V74" s="20" t="str">
        <x:v>229/4</x:v>
      </x:c>
      <x:c r="W74" s="20" t="str">
        <x:v>140 (13.4/20 ov, target 230)</x:v>
      </x:c>
      <x:c r="X74" s="18" t="str">
        <x:v>Gujarat Titans</x:v>
      </x:c>
      <x:c r="Y74" s="18" t="str">
        <x:v>Narendra Modi Stadium, Motera, Ahmedabad</x:v>
      </x:c>
      <x:c r="Z74" s="18" t="str">
        <x:v>Ahmedabad</x:v>
      </x:c>
      <x:c r="AA74" s="18" t="str">
        <x:v>Mohammed Siraj</x:v>
      </x:c>
      <x:c r="AB74" s="18" t="str">
        <x:v>cricket</x:v>
      </x:c>
      <x:c r="AC74" s="18" t="n">
        <x:v>2026</x:v>
      </x:c>
      <x:c r="AD74" s="18" t="str">
        <x:v>IPL</x:v>
      </x:c>
      <x:c r="AE74" s="18" t="str">
        <x:v>{"id":"1529309","uid":"s:200~e:1529309~c:1529309","description":"66th Match","shortDescription":"66th Match, (N) at Ahmedabad","date":"2026-05-21T14:00Z","endDate":"2026-05-22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matches","eventType":"T20"},"venue":{"id":"57851","fullName":"Narendra Modi Stadium, Motera, Ahmedabad","address":{"city":"Ahmedabad","state":"","country":"India","summary":""},"capacity":132000,"indoor":false},"competitors":[{"id":"1298769","uid":"s:200~e:1529309~c:1529309~t:1298769","type":"team","order":1,"homeAway":"home","winner":"true","score":"229/4","t</x:v>
      </x:c>
      <x:c r="AF74" s="18" t="str">
        <x:v>COMPLETE_BOUNDED_PERIOD</x:v>
      </x:c>
      <x:c r="AG74" s="18" t="str">
        <x:v>Complete IPL 2026 ESPN scoreboard</x:v>
      </x:c>
      <x:c r="AH74" s="18" t="str"/>
      <x:c r="AI74" s="18" t="str"/>
      <x:c r="AJ74" s="20" t="n">
        <x:v>74</x:v>
      </x:c>
      <x:c r="AK74" s="19" t="n">
        <x:f>IFERROR(TODAY()-DATEVALUE(C74),"")</x:f>
        <x:v>112</x:v>
      </x:c>
      <x:c r="AL74" s="21" t="n">
        <x:f>ROUND(COUNTA(A74:K74)/11*100,0)</x:f>
        <x:v>100</x:v>
      </x:c>
      <x:c r="AM74" s="18" t="str">
        <x:v>ESPN public scoreboard service</x:v>
      </x:c>
      <x:c r="AN74" s="22" t="str">
        <x:v>https://www.espn.in/cricket/series/8048/scorecard/1529309/gujarat-titans-vs-chennai-super-kings-66th-match-indian-premier-league-2026</x:v>
      </x:c>
      <x:c r="AO74" s="18" t="str">
        <x:v>2026-05-21</x:v>
      </x:c>
      <x:c r="AP74" s="18" t="n">
        <x:v>46275.416216736114</x:v>
      </x:c>
      <x:c r="AQ74" s="18" t="str">
        <x:v>independent_public</x:v>
      </x:c>
      <x:c r="AR74" s="18" t="str">
        <x:v>READY</x:v>
      </x:c>
    </x:row>
    <x:row r="75">
      <x:c r="A75" s="18" t="str">
        <x:v>NYT-59-7b213f372011e6a3</x:v>
      </x:c>
      <x:c r="B75" s="18" t="str">
        <x:v>Sunrisers Hyderabad v Royal Challengers Bengaluru</x:v>
      </x:c>
      <x:c r="C75" s="18" t="str">
        <x:v>2026-05-22</x:v>
      </x:c>
      <x:c r="D75" s="18" t="n">
        <x:v>2026</x:v>
      </x:c>
      <x:c r="E75" s="18" t="str">
        <x:v>2026-05</x:v>
      </x:c>
      <x:c r="F75" s="18" t="str">
        <x:v>post</x:v>
      </x:c>
      <x:c r="G75" s="18" t="str">
        <x:v>T20</x:v>
      </x:c>
      <x:c r="H75" s="18" t="str">
        <x:v>India</x:v>
      </x:c>
      <x:c r="I75" s="18" t="str">
        <x:v>Sunrisers Hyderabad v Royal Challengers Bengaluru</x:v>
      </x:c>
      <x:c r="J75" s="20" t="str"/>
      <x:c r="K75" s="18" t="str"/>
      <x:c r="L75" s="20" t="str">
        <x:v>India</x:v>
      </x:c>
      <x:c r="M75" s="18" t="str">
        <x:v>2026-05-22T14:00Z</x:v>
      </x:c>
      <x:c r="N75" s="18" t="str">
        <x:v>1529310</x:v>
      </x:c>
      <x:c r="O75" s="18" t="str">
        <x:v>Sunrisers Hyderabad v Royal Challengers Bengaluru</x:v>
      </x:c>
      <x:c r="P75" s="18" t="str">
        <x:v>T20</x:v>
      </x:c>
      <x:c r="Q75" s="18" t="str">
        <x:v>2026-05-22T14:00Z</x:v>
      </x:c>
      <x:c r="R75" s="18" t="str">
        <x:v>post</x:v>
      </x:c>
      <x:c r="S75" s="18" t="str">
        <x:v>SRH won by 55 runs</x:v>
      </x:c>
      <x:c r="T75" s="18" t="str">
        <x:v>Sunrisers Hyderabad</x:v>
      </x:c>
      <x:c r="U75" s="18" t="str">
        <x:v>Royal Challengers Bengaluru</x:v>
      </x:c>
      <x:c r="V75" s="20" t="str">
        <x:v>255/4</x:v>
      </x:c>
      <x:c r="W75" s="20" t="str">
        <x:v>200/4 (20 ov, target 256)</x:v>
      </x:c>
      <x:c r="X75" s="18" t="str">
        <x:v>Sunrisers Hyderabad</x:v>
      </x:c>
      <x:c r="Y75" s="18" t="str">
        <x:v>Rajiv Gandhi International Stadium, Uppal, Hyderabad</x:v>
      </x:c>
      <x:c r="Z75" s="18" t="str">
        <x:v>Hyderabad</x:v>
      </x:c>
      <x:c r="AA75" s="18" t="str">
        <x:v>Ishan Kishan</x:v>
      </x:c>
      <x:c r="AB75" s="18" t="str">
        <x:v>cricket</x:v>
      </x:c>
      <x:c r="AC75" s="18" t="n">
        <x:v>2026</x:v>
      </x:c>
      <x:c r="AD75" s="18" t="str">
        <x:v>IPL</x:v>
      </x:c>
      <x:c r="AE75" s="18" t="str">
        <x:v>{"id":"1529310","uid":"s:200~e:1529310~c:1529310","description":"67th Match","shortDescription":"67th Match, (N) at Hyderabad","date":"2026-05-22T14:00Z","endDate":"2026-05-23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matches","eventType":"T20"},"venue":{"id":"58142","fullName":"Rajiv Gandhi International Stadium, Uppal, Hyderabad","address":{"city":"Hyderabad","state":"","country":"India","summary":""},"capacity":0,"indoor":false},"competitors":[{"id":"628333","uid":"s:200~e:1529310~c:1529310~t:628333","type":"team","order":1,"homeAway":"home","winner":"true","score":"255/</x:v>
      </x:c>
      <x:c r="AF75" s="18" t="str">
        <x:v>COMPLETE_BOUNDED_PERIOD</x:v>
      </x:c>
      <x:c r="AG75" s="18" t="str">
        <x:v>Complete IPL 2026 ESPN scoreboard</x:v>
      </x:c>
      <x:c r="AH75" s="18" t="str"/>
      <x:c r="AI75" s="18" t="str"/>
      <x:c r="AJ75" s="20" t="n">
        <x:v>74</x:v>
      </x:c>
      <x:c r="AK75" s="19" t="n">
        <x:f>IFERROR(TODAY()-DATEVALUE(C75),"")</x:f>
        <x:v>111</x:v>
      </x:c>
      <x:c r="AL75" s="21" t="n">
        <x:f>ROUND(COUNTA(A75:K75)/11*100,0)</x:f>
        <x:v>100</x:v>
      </x:c>
      <x:c r="AM75" s="18" t="str">
        <x:v>ESPN public scoreboard service</x:v>
      </x:c>
      <x:c r="AN75" s="22" t="str">
        <x:v>https://www.espn.in/cricket/series/8048/scorecard/1529310/sunrisers-hyderabad-vs-royal-challengers-bengaluru-67th-match-indian-premier-league-2026</x:v>
      </x:c>
      <x:c r="AO75" s="18" t="str">
        <x:v>2026-05-22</x:v>
      </x:c>
      <x:c r="AP75" s="18" t="n">
        <x:v>46275.416216736114</x:v>
      </x:c>
      <x:c r="AQ75" s="18" t="str">
        <x:v>independent_public</x:v>
      </x:c>
      <x:c r="AR75" s="18" t="str">
        <x:v>READY</x:v>
      </x:c>
    </x:row>
    <x:row r="76">
      <x:c r="A76" s="18" t="str">
        <x:v>NYT-59-b86786b19083ed6f</x:v>
      </x:c>
      <x:c r="B76" s="18" t="str">
        <x:v>Lucknow Super Giants v Punjab Kings</x:v>
      </x:c>
      <x:c r="C76" s="18" t="str">
        <x:v>2026-05-23</x:v>
      </x:c>
      <x:c r="D76" s="18" t="n">
        <x:v>2026</x:v>
      </x:c>
      <x:c r="E76" s="18" t="str">
        <x:v>2026-05</x:v>
      </x:c>
      <x:c r="F76" s="18" t="str">
        <x:v>post</x:v>
      </x:c>
      <x:c r="G76" s="18" t="str">
        <x:v>T20</x:v>
      </x:c>
      <x:c r="H76" s="18" t="str">
        <x:v>India</x:v>
      </x:c>
      <x:c r="I76" s="18" t="str">
        <x:v>Lucknow Super Giants v Punjab Kings</x:v>
      </x:c>
      <x:c r="J76" s="20" t="str"/>
      <x:c r="K76" s="18" t="str"/>
      <x:c r="L76" s="20" t="str">
        <x:v>India</x:v>
      </x:c>
      <x:c r="M76" s="18" t="str">
        <x:v>2026-05-23T14:00Z</x:v>
      </x:c>
      <x:c r="N76" s="18" t="str">
        <x:v>1529311</x:v>
      </x:c>
      <x:c r="O76" s="18" t="str">
        <x:v>Lucknow Super Giants v Punjab Kings</x:v>
      </x:c>
      <x:c r="P76" s="18" t="str">
        <x:v>T20</x:v>
      </x:c>
      <x:c r="Q76" s="18" t="str">
        <x:v>2026-05-23T14:00Z</x:v>
      </x:c>
      <x:c r="R76" s="18" t="str">
        <x:v>post</x:v>
      </x:c>
      <x:c r="S76" s="18" t="str">
        <x:v>PBKS won by 7 wkts (12b rem)</x:v>
      </x:c>
      <x:c r="T76" s="18" t="str">
        <x:v>Lucknow Super Giants</x:v>
      </x:c>
      <x:c r="U76" s="18" t="str">
        <x:v>Punjab Kings</x:v>
      </x:c>
      <x:c r="V76" s="20" t="str">
        <x:v>196/6</x:v>
      </x:c>
      <x:c r="W76" s="20" t="str">
        <x:v>200/3 (18/20 ov, target 197)</x:v>
      </x:c>
      <x:c r="X76" s="18" t="str">
        <x:v>Punjab Kings</x:v>
      </x:c>
      <x:c r="Y76" s="18" t="str">
        <x:v>Bharat Ratna Shri Atal Bihari Vajpayee Ekana Cricket Stadium, Lucknow</x:v>
      </x:c>
      <x:c r="Z76" s="18" t="str">
        <x:v>Lucknow</x:v>
      </x:c>
      <x:c r="AA76" s="18" t="str">
        <x:v>Shreyas Iyer</x:v>
      </x:c>
      <x:c r="AB76" s="18" t="str">
        <x:v>cricket</x:v>
      </x:c>
      <x:c r="AC76" s="18" t="n">
        <x:v>2026</x:v>
      </x:c>
      <x:c r="AD76" s="18" t="str">
        <x:v>IPL</x:v>
      </x:c>
      <x:c r="AE76" s="18" t="str">
        <x:v>{"id":"1529311","uid":"s:200~e:1529311~c:1529311","description":"68th Match","shortDescription":"68th Match, (N) at Lucknow","date":"2026-05-23T14:00Z","endDate":"2026-05-24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matches","eventType":"T20"},"venue":{"id":"1070094","fullName":"Bharat Ratna Shri Atal Bihari Vajpayee Ekana Cricket Stadium, Lucknow","address":{"city":"Lucknow","state":"","country":"India","summary":"Ekana Sportz City, Sector 7 Gomti Nagar Ext, Amar Shaheed Path, Lucknow, Uttar Pradesh 226010"},"capacity":50000,"indoor":false},"competitors":[{"id":"1298768","</x:v>
      </x:c>
      <x:c r="AF76" s="18" t="str">
        <x:v>COMPLETE_BOUNDED_PERIOD</x:v>
      </x:c>
      <x:c r="AG76" s="18" t="str">
        <x:v>Complete IPL 2026 ESPN scoreboard</x:v>
      </x:c>
      <x:c r="AH76" s="18" t="str"/>
      <x:c r="AI76" s="18" t="str"/>
      <x:c r="AJ76" s="20" t="n">
        <x:v>74</x:v>
      </x:c>
      <x:c r="AK76" s="19" t="n">
        <x:f>IFERROR(TODAY()-DATEVALUE(C76),"")</x:f>
        <x:v>110</x:v>
      </x:c>
      <x:c r="AL76" s="21" t="n">
        <x:f>ROUND(COUNTA(A76:K76)/11*100,0)</x:f>
        <x:v>100</x:v>
      </x:c>
      <x:c r="AM76" s="18" t="str">
        <x:v>ESPN public scoreboard service</x:v>
      </x:c>
      <x:c r="AN76" s="22" t="str">
        <x:v>https://www.espn.in/cricket/series/8048/scorecard/1529311/lucknow-super-giants-vs-punjab-kings-68th-match-indian-premier-league-2026</x:v>
      </x:c>
      <x:c r="AO76" s="18" t="str">
        <x:v>2026-05-23</x:v>
      </x:c>
      <x:c r="AP76" s="18" t="n">
        <x:v>46275.416216736114</x:v>
      </x:c>
      <x:c r="AQ76" s="18" t="str">
        <x:v>independent_public</x:v>
      </x:c>
      <x:c r="AR76" s="18" t="str">
        <x:v>READY</x:v>
      </x:c>
    </x:row>
    <x:row r="77">
      <x:c r="A77" s="18" t="str">
        <x:v>NYT-59-bd6238b52500ce58</x:v>
      </x:c>
      <x:c r="B77" s="18" t="str">
        <x:v>Mumbai Indians v Rajasthan Royals</x:v>
      </x:c>
      <x:c r="C77" s="18" t="str">
        <x:v>2026-05-24</x:v>
      </x:c>
      <x:c r="D77" s="18" t="n">
        <x:v>2026</x:v>
      </x:c>
      <x:c r="E77" s="18" t="str">
        <x:v>2026-05</x:v>
      </x:c>
      <x:c r="F77" s="18" t="str">
        <x:v>post</x:v>
      </x:c>
      <x:c r="G77" s="18" t="str">
        <x:v>T20</x:v>
      </x:c>
      <x:c r="H77" s="18" t="str">
        <x:v>India</x:v>
      </x:c>
      <x:c r="I77" s="18" t="str">
        <x:v>Mumbai Indians v Rajasthan Royals</x:v>
      </x:c>
      <x:c r="J77" s="20" t="str"/>
      <x:c r="K77" s="18" t="str"/>
      <x:c r="L77" s="20" t="str">
        <x:v>India</x:v>
      </x:c>
      <x:c r="M77" s="18" t="str">
        <x:v>2026-05-24T10:00Z</x:v>
      </x:c>
      <x:c r="N77" s="18" t="str">
        <x:v>1529312</x:v>
      </x:c>
      <x:c r="O77" s="18" t="str">
        <x:v>Mumbai Indians v Rajasthan Royals</x:v>
      </x:c>
      <x:c r="P77" s="18" t="str">
        <x:v>T20</x:v>
      </x:c>
      <x:c r="Q77" s="18" t="str">
        <x:v>2026-05-24T10:00Z</x:v>
      </x:c>
      <x:c r="R77" s="18" t="str">
        <x:v>post</x:v>
      </x:c>
      <x:c r="S77" s="18" t="str">
        <x:v>RR won by 30 runs</x:v>
      </x:c>
      <x:c r="T77" s="18" t="str">
        <x:v>Mumbai Indians</x:v>
      </x:c>
      <x:c r="U77" s="18" t="str">
        <x:v>Rajasthan Royals</x:v>
      </x:c>
      <x:c r="V77" s="20" t="str">
        <x:v>175/9 (20 ov, target 206)</x:v>
      </x:c>
      <x:c r="W77" s="20" t="str">
        <x:v>205/8</x:v>
      </x:c>
      <x:c r="X77" s="18" t="str">
        <x:v>Rajasthan Royals</x:v>
      </x:c>
      <x:c r="Y77" s="18" t="str">
        <x:v>Wankhede Stadium, Mumbai</x:v>
      </x:c>
      <x:c r="Z77" s="18" t="str">
        <x:v>Mumbai</x:v>
      </x:c>
      <x:c r="AA77" s="18" t="str">
        <x:v>Jofra Archer</x:v>
      </x:c>
      <x:c r="AB77" s="18" t="str">
        <x:v>cricket</x:v>
      </x:c>
      <x:c r="AC77" s="18" t="n">
        <x:v>2026</x:v>
      </x:c>
      <x:c r="AD77" s="18" t="str">
        <x:v>IPL</x:v>
      </x:c>
      <x:c r="AE77" s="18" t="str">
        <x:v>{"id":"1529312","uid":"s:200~e:1529312~c:1529312","description":"69th Match","shortDescription":"69th Match, (D/N) at Mumbai","date":"2026-05-24T10:00Z","endDate":"2026-05-25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matches","eventType":"T20"},"venue":{"id":"58324","fullName":"Wankhede Stadium, Mumbai","address":{"city":"Mumbai","state":"","country":"India","summary":"Mumbai Cricket Association, Wankhede Stadium, D Road, Churchgate, Mumbai - 400020 (Phone: 022 2281 1795/7876/9910)"},"capacity":32000,"indoor":false},"competitors":[{"id":"335978","uid":"s:200~e:1529312~c:152</x:v>
      </x:c>
      <x:c r="AF77" s="18" t="str">
        <x:v>COMPLETE_BOUNDED_PERIOD</x:v>
      </x:c>
      <x:c r="AG77" s="18" t="str">
        <x:v>Complete IPL 2026 ESPN scoreboard</x:v>
      </x:c>
      <x:c r="AH77" s="18" t="str"/>
      <x:c r="AI77" s="18" t="str"/>
      <x:c r="AJ77" s="20" t="n">
        <x:v>74</x:v>
      </x:c>
      <x:c r="AK77" s="19" t="n">
        <x:f>IFERROR(TODAY()-DATEVALUE(C77),"")</x:f>
        <x:v>109</x:v>
      </x:c>
      <x:c r="AL77" s="21" t="n">
        <x:f>ROUND(COUNTA(A77:K77)/11*100,0)</x:f>
        <x:v>100</x:v>
      </x:c>
      <x:c r="AM77" s="18" t="str">
        <x:v>ESPN public scoreboard service</x:v>
      </x:c>
      <x:c r="AN77" s="22" t="str">
        <x:v>https://www.espn.in/cricket/series/8048/scorecard/1529312/mumbai-indians-vs-rajasthan-royals-69th-match-indian-premier-league-2026</x:v>
      </x:c>
      <x:c r="AO77" s="18" t="str">
        <x:v>2026-05-24</x:v>
      </x:c>
      <x:c r="AP77" s="18" t="n">
        <x:v>46275.416216736114</x:v>
      </x:c>
      <x:c r="AQ77" s="18" t="str">
        <x:v>independent_public</x:v>
      </x:c>
      <x:c r="AR77" s="18" t="str">
        <x:v>READY</x:v>
      </x:c>
    </x:row>
    <x:row r="78">
      <x:c r="A78" s="18" t="str">
        <x:v>NYT-59-b06e716603870ad4</x:v>
      </x:c>
      <x:c r="B78" s="18" t="str">
        <x:v>Kolkata Knight Riders v Delhi Capitals</x:v>
      </x:c>
      <x:c r="C78" s="18" t="str">
        <x:v>2026-05-24</x:v>
      </x:c>
      <x:c r="D78" s="18" t="n">
        <x:v>2026</x:v>
      </x:c>
      <x:c r="E78" s="18" t="str">
        <x:v>2026-05</x:v>
      </x:c>
      <x:c r="F78" s="18" t="str">
        <x:v>post</x:v>
      </x:c>
      <x:c r="G78" s="18" t="str">
        <x:v>T20</x:v>
      </x:c>
      <x:c r="H78" s="18" t="str">
        <x:v>India</x:v>
      </x:c>
      <x:c r="I78" s="18" t="str">
        <x:v>Kolkata Knight Riders v Delhi Capitals</x:v>
      </x:c>
      <x:c r="J78" s="20" t="str"/>
      <x:c r="K78" s="18" t="str"/>
      <x:c r="L78" s="20" t="str">
        <x:v>India</x:v>
      </x:c>
      <x:c r="M78" s="18" t="str">
        <x:v>2026-05-24T14:00Z</x:v>
      </x:c>
      <x:c r="N78" s="18" t="str">
        <x:v>1529313</x:v>
      </x:c>
      <x:c r="O78" s="18" t="str">
        <x:v>Kolkata Knight Riders v Delhi Capitals</x:v>
      </x:c>
      <x:c r="P78" s="18" t="str">
        <x:v>T20</x:v>
      </x:c>
      <x:c r="Q78" s="18" t="str">
        <x:v>2026-05-24T14:00Z</x:v>
      </x:c>
      <x:c r="R78" s="18" t="str">
        <x:v>post</x:v>
      </x:c>
      <x:c r="S78" s="18" t="str">
        <x:v>DC won by 40 runs</x:v>
      </x:c>
      <x:c r="T78" s="18" t="str">
        <x:v>Kolkata Knight Riders</x:v>
      </x:c>
      <x:c r="U78" s="18" t="str">
        <x:v>Delhi Capitals</x:v>
      </x:c>
      <x:c r="V78" s="20" t="str">
        <x:v>163 (18.4/20 ov, target 204)</x:v>
      </x:c>
      <x:c r="W78" s="20" t="str">
        <x:v>203/5</x:v>
      </x:c>
      <x:c r="X78" s="18" t="str">
        <x:v>Delhi Capitals</x:v>
      </x:c>
      <x:c r="Y78" s="18" t="str">
        <x:v>Eden Gardens, Kolkata</x:v>
      </x:c>
      <x:c r="Z78" s="18" t="str">
        <x:v>Kolkata</x:v>
      </x:c>
      <x:c r="AA78" s="18" t="str">
        <x:v>Kuldeep Yadav</x:v>
      </x:c>
      <x:c r="AB78" s="18" t="str">
        <x:v>cricket</x:v>
      </x:c>
      <x:c r="AC78" s="18" t="n">
        <x:v>2026</x:v>
      </x:c>
      <x:c r="AD78" s="18" t="str">
        <x:v>IPL</x:v>
      </x:c>
      <x:c r="AE78" s="18" t="str">
        <x:v>{"id":"1529313","uid":"s:200~e:1529313~c:1529313","description":"70th Match","shortDescription":"70th Match, (N) at Kolkata","date":"2026-05-24T14:00Z","endDate":"2026-05-25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matches","eventType":"T20"},"venue":{"id":"57980","fullName":"Eden Gardens, Kolkata","address":{"city":"Kolkata","state":"","country":"India","summary":"The Cricket Association of Bengal, DR BC Roy Club House, Eden Gardens, Kolkata - 700021"},"capacity":66000,"indoor":false},"competitors":[{"id":"335971","uid":"s:200~e:1529313~c:1529313~t:335971","type":"team","</x:v>
      </x:c>
      <x:c r="AF78" s="18" t="str">
        <x:v>COMPLETE_BOUNDED_PERIOD</x:v>
      </x:c>
      <x:c r="AG78" s="18" t="str">
        <x:v>Complete IPL 2026 ESPN scoreboard</x:v>
      </x:c>
      <x:c r="AH78" s="18" t="str"/>
      <x:c r="AI78" s="18" t="str"/>
      <x:c r="AJ78" s="20" t="n">
        <x:v>74</x:v>
      </x:c>
      <x:c r="AK78" s="19" t="n">
        <x:f>IFERROR(TODAY()-DATEVALUE(C78),"")</x:f>
        <x:v>109</x:v>
      </x:c>
      <x:c r="AL78" s="21" t="n">
        <x:f>ROUND(COUNTA(A78:K78)/11*100,0)</x:f>
        <x:v>100</x:v>
      </x:c>
      <x:c r="AM78" s="18" t="str">
        <x:v>ESPN public scoreboard service</x:v>
      </x:c>
      <x:c r="AN78" s="22" t="str">
        <x:v>https://www.espn.in/cricket/series/8048/scorecard/1529313/kolkata-knight-riders-vs-delhi-capitals-70th-match-indian-premier-league-2026</x:v>
      </x:c>
      <x:c r="AO78" s="18" t="str">
        <x:v>2026-05-24</x:v>
      </x:c>
      <x:c r="AP78" s="18" t="n">
        <x:v>46275.416216736114</x:v>
      </x:c>
      <x:c r="AQ78" s="18" t="str">
        <x:v>independent_public</x:v>
      </x:c>
      <x:c r="AR78" s="18" t="str">
        <x:v>READY</x:v>
      </x:c>
    </x:row>
    <x:row r="79">
      <x:c r="A79" s="18" t="str">
        <x:v>NYT-59-58e9a66fdf445cd4</x:v>
      </x:c>
      <x:c r="B79" s="18" t="str">
        <x:v>Royal Challengers Bengaluru v Gujarat Titans</x:v>
      </x:c>
      <x:c r="C79" s="18" t="str">
        <x:v>2026-05-26</x:v>
      </x:c>
      <x:c r="D79" s="18" t="n">
        <x:v>2026</x:v>
      </x:c>
      <x:c r="E79" s="18" t="str">
        <x:v>2026-05</x:v>
      </x:c>
      <x:c r="F79" s="18" t="str">
        <x:v>post</x:v>
      </x:c>
      <x:c r="G79" s="18" t="str">
        <x:v>T20</x:v>
      </x:c>
      <x:c r="H79" s="18" t="str">
        <x:v>India</x:v>
      </x:c>
      <x:c r="I79" s="18" t="str">
        <x:v>Royal Challengers Bengaluru v Gujarat Titans</x:v>
      </x:c>
      <x:c r="J79" s="20" t="str"/>
      <x:c r="K79" s="18" t="str"/>
      <x:c r="L79" s="20" t="str">
        <x:v>India</x:v>
      </x:c>
      <x:c r="M79" s="18" t="str">
        <x:v>2026-05-26T14:00Z</x:v>
      </x:c>
      <x:c r="N79" s="18" t="str">
        <x:v>1535462</x:v>
      </x:c>
      <x:c r="O79" s="18" t="str">
        <x:v>Royal Challengers Bengaluru v Gujarat Titans</x:v>
      </x:c>
      <x:c r="P79" s="18" t="str">
        <x:v>T20</x:v>
      </x:c>
      <x:c r="Q79" s="18" t="str">
        <x:v>2026-05-26T14:00Z</x:v>
      </x:c>
      <x:c r="R79" s="18" t="str">
        <x:v>post</x:v>
      </x:c>
      <x:c r="S79" s="18" t="str">
        <x:v>RCB won by 92 runs</x:v>
      </x:c>
      <x:c r="T79" s="18" t="str">
        <x:v>Royal Challengers Bengaluru</x:v>
      </x:c>
      <x:c r="U79" s="18" t="str">
        <x:v>Gujarat Titans</x:v>
      </x:c>
      <x:c r="V79" s="20" t="str">
        <x:v>254/5</x:v>
      </x:c>
      <x:c r="W79" s="20" t="str">
        <x:v>162 (19.3/20 ov, target 255)</x:v>
      </x:c>
      <x:c r="X79" s="18" t="str">
        <x:v>Royal Challengers Bengaluru</x:v>
      </x:c>
      <x:c r="Y79" s="18" t="str">
        <x:v>Himachal Pradesh Cricket Association Stadium, Dharamsala</x:v>
      </x:c>
      <x:c r="Z79" s="18" t="str">
        <x:v>Dharamsala</x:v>
      </x:c>
      <x:c r="AA79" s="18" t="str">
        <x:v>Rajat Patidar</x:v>
      </x:c>
      <x:c r="AB79" s="18" t="str">
        <x:v>cricket</x:v>
      </x:c>
      <x:c r="AC79" s="18" t="n">
        <x:v>2026</x:v>
      </x:c>
      <x:c r="AD79" s="18" t="str">
        <x:v>IPL</x:v>
      </x:c>
      <x:c r="AE79" s="18" t="str">
        <x:v>{"id":"1535462","uid":"s:200~e:1535462~c:1535462","description":"Qualifier 1","shortDescription":"Qualifier 1, (N) at Dharamsala","date":"2026-05-26T14:00Z","endDate":"2026-05-27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matches","eventType":"T20"},"venue":{"id":"58056","fullName":"Himachal Pradesh Cricket Association Stadium, Dharamsala","address":{"city":"Dharamsala","state":"","country":"India","summary":"Dharamshala, Kangra, Himachal Pradesh 176215 India"},"capacity":21200,"indoor":false},"competitors":[{"id":"335970","uid":"s:200~e:1535462~c:1535462~t:335970","type":"t</x:v>
      </x:c>
      <x:c r="AF79" s="18" t="str">
        <x:v>COMPLETE_BOUNDED_PERIOD</x:v>
      </x:c>
      <x:c r="AG79" s="18" t="str">
        <x:v>Complete IPL 2026 ESPN scoreboard</x:v>
      </x:c>
      <x:c r="AH79" s="18" t="str"/>
      <x:c r="AI79" s="18" t="str"/>
      <x:c r="AJ79" s="20" t="n">
        <x:v>74</x:v>
      </x:c>
      <x:c r="AK79" s="19" t="n">
        <x:f>IFERROR(TODAY()-DATEVALUE(C79),"")</x:f>
        <x:v>107</x:v>
      </x:c>
      <x:c r="AL79" s="21" t="n">
        <x:f>ROUND(COUNTA(A79:K79)/11*100,0)</x:f>
        <x:v>100</x:v>
      </x:c>
      <x:c r="AM79" s="18" t="str">
        <x:v>ESPN public scoreboard service</x:v>
      </x:c>
      <x:c r="AN79" s="22" t="str">
        <x:v>https://www.espn.in/cricket/series/8048/scorecard/1535462/royal-challengers-bengaluru-vs-gujarat-titans-qualifier-1-indian-premier-league-2026</x:v>
      </x:c>
      <x:c r="AO79" s="18" t="str">
        <x:v>2026-05-26</x:v>
      </x:c>
      <x:c r="AP79" s="18" t="n">
        <x:v>46275.416216736114</x:v>
      </x:c>
      <x:c r="AQ79" s="18" t="str">
        <x:v>independent_public</x:v>
      </x:c>
      <x:c r="AR79" s="18" t="str">
        <x:v>READY</x:v>
      </x:c>
    </x:row>
    <x:row r="80">
      <x:c r="A80" s="18" t="str">
        <x:v>NYT-59-ff9122af675649e3</x:v>
      </x:c>
      <x:c r="B80" s="18" t="str">
        <x:v>Rajasthan Royals v Sunrisers Hyderabad</x:v>
      </x:c>
      <x:c r="C80" s="18" t="str">
        <x:v>2026-05-27</x:v>
      </x:c>
      <x:c r="D80" s="18" t="n">
        <x:v>2026</x:v>
      </x:c>
      <x:c r="E80" s="18" t="str">
        <x:v>2026-05</x:v>
      </x:c>
      <x:c r="F80" s="18" t="str">
        <x:v>post</x:v>
      </x:c>
      <x:c r="G80" s="18" t="str">
        <x:v>T20</x:v>
      </x:c>
      <x:c r="H80" s="18" t="str">
        <x:v>India</x:v>
      </x:c>
      <x:c r="I80" s="18" t="str">
        <x:v>Rajasthan Royals v Sunrisers Hyderabad</x:v>
      </x:c>
      <x:c r="J80" s="20" t="str"/>
      <x:c r="K80" s="18" t="str"/>
      <x:c r="L80" s="20" t="str">
        <x:v>India</x:v>
      </x:c>
      <x:c r="M80" s="18" t="str">
        <x:v>2026-05-27T14:00Z</x:v>
      </x:c>
      <x:c r="N80" s="18" t="str">
        <x:v>1535463</x:v>
      </x:c>
      <x:c r="O80" s="18" t="str">
        <x:v>Rajasthan Royals v Sunrisers Hyderabad</x:v>
      </x:c>
      <x:c r="P80" s="18" t="str">
        <x:v>T20</x:v>
      </x:c>
      <x:c r="Q80" s="18" t="str">
        <x:v>2026-05-27T14:00Z</x:v>
      </x:c>
      <x:c r="R80" s="18" t="str">
        <x:v>post</x:v>
      </x:c>
      <x:c r="S80" s="18" t="str">
        <x:v>RR won by 47 runs</x:v>
      </x:c>
      <x:c r="T80" s="18" t="str">
        <x:v>Rajasthan Royals</x:v>
      </x:c>
      <x:c r="U80" s="18" t="str">
        <x:v>Sunrisers Hyderabad</x:v>
      </x:c>
      <x:c r="V80" s="20" t="str">
        <x:v>243/8</x:v>
      </x:c>
      <x:c r="W80" s="20" t="str">
        <x:v>196 (19.2/20 ov, target 244)</x:v>
      </x:c>
      <x:c r="X80" s="18" t="str">
        <x:v>Rajasthan Royals</x:v>
      </x:c>
      <x:c r="Y80" s="18" t="str">
        <x:v>Maharaja Yadavindra Singh International Cricket Stadium, New Chandigarh</x:v>
      </x:c>
      <x:c r="Z80" s="18" t="str">
        <x:v>New Chandigarh</x:v>
      </x:c>
      <x:c r="AA80" s="18" t="str">
        <x:v>Vaibhav Sooryavanshi</x:v>
      </x:c>
      <x:c r="AB80" s="18" t="str">
        <x:v>cricket</x:v>
      </x:c>
      <x:c r="AC80" s="18" t="n">
        <x:v>2026</x:v>
      </x:c>
      <x:c r="AD80" s="18" t="str">
        <x:v>IPL</x:v>
      </x:c>
      <x:c r="AE80" s="18" t="str">
        <x:v>{"id":"1535463","uid":"s:200~e:1535463~c:1535463","description":"Eliminator","shortDescription":"Eliminator, (N) at New Chandigarh","date":"2026-05-27T14:00Z","endDate":"2026-05-28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matches","eventType":"T20"},"venue":{"id":"1290799","fullName":"Maharaja Yadavindra Singh International Cricket Stadium, New Chandigarh","address":{"city":"New Chandigarh","state":"","country":"India","summary":"Mullanpur, Tira, Punjab 140901 India"},"capacity":38000,"indoor":false},"competitors":[{"id":"335977","uid":"s:200~e:1535463~c:1535463~t:335977",</x:v>
      </x:c>
      <x:c r="AF80" s="18" t="str">
        <x:v>COMPLETE_BOUNDED_PERIOD</x:v>
      </x:c>
      <x:c r="AG80" s="18" t="str">
        <x:v>Complete IPL 2026 ESPN scoreboard</x:v>
      </x:c>
      <x:c r="AH80" s="18" t="str"/>
      <x:c r="AI80" s="18" t="str"/>
      <x:c r="AJ80" s="20" t="n">
        <x:v>74</x:v>
      </x:c>
      <x:c r="AK80" s="19" t="n">
        <x:f>IFERROR(TODAY()-DATEVALUE(C80),"")</x:f>
        <x:v>106</x:v>
      </x:c>
      <x:c r="AL80" s="21" t="n">
        <x:f>ROUND(COUNTA(A80:K80)/11*100,0)</x:f>
        <x:v>100</x:v>
      </x:c>
      <x:c r="AM80" s="18" t="str">
        <x:v>ESPN public scoreboard service</x:v>
      </x:c>
      <x:c r="AN80" s="22" t="str">
        <x:v>https://www.espn.in/cricket/series/8048/scorecard/1535463/rajasthan-royals-vs-sunrisers-hyderabad-eliminator-indian-premier-league-2026</x:v>
      </x:c>
      <x:c r="AO80" s="18" t="str">
        <x:v>2026-05-27</x:v>
      </x:c>
      <x:c r="AP80" s="18" t="n">
        <x:v>46275.416216736114</x:v>
      </x:c>
      <x:c r="AQ80" s="18" t="str">
        <x:v>independent_public</x:v>
      </x:c>
      <x:c r="AR80" s="18" t="str">
        <x:v>READY</x:v>
      </x:c>
    </x:row>
    <x:row r="81">
      <x:c r="A81" s="18" t="str">
        <x:v>NYT-59-498ae2dd4b2fbbd2</x:v>
      </x:c>
      <x:c r="B81" s="18" t="str">
        <x:v>Gujarat Titans v Rajasthan Royals</x:v>
      </x:c>
      <x:c r="C81" s="18" t="str">
        <x:v>2026-05-29</x:v>
      </x:c>
      <x:c r="D81" s="18" t="n">
        <x:v>2026</x:v>
      </x:c>
      <x:c r="E81" s="18" t="str">
        <x:v>2026-05</x:v>
      </x:c>
      <x:c r="F81" s="18" t="str">
        <x:v>post</x:v>
      </x:c>
      <x:c r="G81" s="18" t="str">
        <x:v>T20</x:v>
      </x:c>
      <x:c r="H81" s="18" t="str">
        <x:v>India</x:v>
      </x:c>
      <x:c r="I81" s="18" t="str">
        <x:v>Gujarat Titans v Rajasthan Royals</x:v>
      </x:c>
      <x:c r="J81" s="20" t="str"/>
      <x:c r="K81" s="18" t="str"/>
      <x:c r="L81" s="20" t="str">
        <x:v>India</x:v>
      </x:c>
      <x:c r="M81" s="18" t="str">
        <x:v>2026-05-29T14:00Z</x:v>
      </x:c>
      <x:c r="N81" s="18" t="str">
        <x:v>1535464</x:v>
      </x:c>
      <x:c r="O81" s="18" t="str">
        <x:v>Gujarat Titans v Rajasthan Royals</x:v>
      </x:c>
      <x:c r="P81" s="18" t="str">
        <x:v>T20</x:v>
      </x:c>
      <x:c r="Q81" s="18" t="str">
        <x:v>2026-05-29T14:00Z</x:v>
      </x:c>
      <x:c r="R81" s="18" t="str">
        <x:v>post</x:v>
      </x:c>
      <x:c r="S81" s="18" t="str">
        <x:v>GT won by 7 wkts (8b rem)</x:v>
      </x:c>
      <x:c r="T81" s="18" t="str">
        <x:v>Gujarat Titans</x:v>
      </x:c>
      <x:c r="U81" s="18" t="str">
        <x:v>Rajasthan Royals</x:v>
      </x:c>
      <x:c r="V81" s="20" t="str">
        <x:v>219/3 (18.4/20 ov, target 215)</x:v>
      </x:c>
      <x:c r="W81" s="20" t="str">
        <x:v>214/6</x:v>
      </x:c>
      <x:c r="X81" s="18" t="str">
        <x:v>Gujarat Titans</x:v>
      </x:c>
      <x:c r="Y81" s="18" t="str">
        <x:v>Maharaja Yadavindra Singh International Cricket Stadium, New Chandigarh</x:v>
      </x:c>
      <x:c r="Z81" s="18" t="str">
        <x:v>New Chandigarh</x:v>
      </x:c>
      <x:c r="AA81" s="18" t="str">
        <x:v>Shubman Gill</x:v>
      </x:c>
      <x:c r="AB81" s="18" t="str">
        <x:v>cricket</x:v>
      </x:c>
      <x:c r="AC81" s="18" t="n">
        <x:v>2026</x:v>
      </x:c>
      <x:c r="AD81" s="18" t="str">
        <x:v>IPL</x:v>
      </x:c>
      <x:c r="AE81" s="18" t="str">
        <x:v>{"id":"1535464","uid":"s:200~e:1535464~c:1535464","description":"Qualifier 2","shortDescription":"Qualifier 2, (N) at New Chandigarh","date":"2026-05-29T14:00Z","endDate":"2026-05-30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matches","eventType":"T20"},"venue":{"id":"1290799","fullName":"Maharaja Yadavindra Singh International Cricket Stadium, New Chandigarh","address":{"city":"New Chandigarh","state":"","country":"India","summary":"Mullanpur, Tira, Punjab 140901 India"},"capacity":38000,"indoor":false},"competitors":[{"id":"1298769","uid":"s:200~e:1535464~c:1535464~t:12987</x:v>
      </x:c>
      <x:c r="AF81" s="18" t="str">
        <x:v>COMPLETE_BOUNDED_PERIOD</x:v>
      </x:c>
      <x:c r="AG81" s="18" t="str">
        <x:v>Complete IPL 2026 ESPN scoreboard</x:v>
      </x:c>
      <x:c r="AH81" s="18" t="str"/>
      <x:c r="AI81" s="18" t="str"/>
      <x:c r="AJ81" s="20" t="n">
        <x:v>74</x:v>
      </x:c>
      <x:c r="AK81" s="19" t="n">
        <x:f>IFERROR(TODAY()-DATEVALUE(C81),"")</x:f>
        <x:v>104</x:v>
      </x:c>
      <x:c r="AL81" s="21" t="n">
        <x:f>ROUND(COUNTA(A81:K81)/11*100,0)</x:f>
        <x:v>100</x:v>
      </x:c>
      <x:c r="AM81" s="18" t="str">
        <x:v>ESPN public scoreboard service</x:v>
      </x:c>
      <x:c r="AN81" s="22" t="str">
        <x:v>https://www.espn.in/cricket/series/8048/scorecard/1535464/gujarat-titans-vs-rajasthan-royals-qualifier-2-indian-premier-league-2026</x:v>
      </x:c>
      <x:c r="AO81" s="18" t="str">
        <x:v>2026-05-29</x:v>
      </x:c>
      <x:c r="AP81" s="18" t="n">
        <x:v>46275.416216736114</x:v>
      </x:c>
      <x:c r="AQ81" s="18" t="str">
        <x:v>independent_public</x:v>
      </x:c>
      <x:c r="AR81" s="18" t="str">
        <x:v>READY</x:v>
      </x:c>
    </x:row>
    <x:row r="82">
      <x:c r="A82" s="18" t="str">
        <x:v>NYT-59-3d1ae43d22d26a67</x:v>
      </x:c>
      <x:c r="B82" s="18" t="str">
        <x:v>Royal Challengers Bengaluru v Gujarat Titans</x:v>
      </x:c>
      <x:c r="C82" s="18" t="str">
        <x:v>2026-05-31</x:v>
      </x:c>
      <x:c r="D82" s="18" t="n">
        <x:v>2026</x:v>
      </x:c>
      <x:c r="E82" s="18" t="str">
        <x:v>2026-05</x:v>
      </x:c>
      <x:c r="F82" s="18" t="str">
        <x:v>post</x:v>
      </x:c>
      <x:c r="G82" s="18" t="str">
        <x:v>T20</x:v>
      </x:c>
      <x:c r="H82" s="18" t="str">
        <x:v>India</x:v>
      </x:c>
      <x:c r="I82" s="18" t="str">
        <x:v>Royal Challengers Bengaluru v Gujarat Titans</x:v>
      </x:c>
      <x:c r="J82" s="20" t="str"/>
      <x:c r="K82" s="18" t="str"/>
      <x:c r="L82" s="20" t="str">
        <x:v>India</x:v>
      </x:c>
      <x:c r="M82" s="18" t="str">
        <x:v>2026-05-31T14:00Z</x:v>
      </x:c>
      <x:c r="N82" s="18" t="str">
        <x:v>1535465</x:v>
      </x:c>
      <x:c r="O82" s="18" t="str">
        <x:v>Royal Challengers Bengaluru v Gujarat Titans</x:v>
      </x:c>
      <x:c r="P82" s="18" t="str">
        <x:v>T20</x:v>
      </x:c>
      <x:c r="Q82" s="18" t="str">
        <x:v>2026-05-31T14:00Z</x:v>
      </x:c>
      <x:c r="R82" s="18" t="str">
        <x:v>post</x:v>
      </x:c>
      <x:c r="S82" s="18" t="str">
        <x:v>RCB won by 5 wkts (12b rem)</x:v>
      </x:c>
      <x:c r="T82" s="18" t="str">
        <x:v>Royal Challengers Bengaluru</x:v>
      </x:c>
      <x:c r="U82" s="18" t="str">
        <x:v>Gujarat Titans</x:v>
      </x:c>
      <x:c r="V82" s="20" t="str">
        <x:v>161/5 (18/20 ov, target 156)</x:v>
      </x:c>
      <x:c r="W82" s="20" t="str">
        <x:v>155/8</x:v>
      </x:c>
      <x:c r="X82" s="18" t="str">
        <x:v>Royal Challengers Bengaluru</x:v>
      </x:c>
      <x:c r="Y82" s="18" t="str">
        <x:v>Narendra Modi Stadium, Motera, Ahmedabad</x:v>
      </x:c>
      <x:c r="Z82" s="18" t="str">
        <x:v>Ahmedabad</x:v>
      </x:c>
      <x:c r="AA82" s="18" t="str">
        <x:v>Virat Kohli</x:v>
      </x:c>
      <x:c r="AB82" s="18" t="str">
        <x:v>cricket</x:v>
      </x:c>
      <x:c r="AC82" s="18" t="n">
        <x:v>2026</x:v>
      </x:c>
      <x:c r="AD82" s="18" t="str">
        <x:v>IPL</x:v>
      </x:c>
      <x:c r="AE82" s="18" t="str">
        <x:v>{"id":"1535465","uid":"s:200~e:1535465~c:1535465","description":"Final","shortDescription":"Final, (N) at Ahmedabad","date":"2026-05-31T14:00Z","endDate":"2026-06-01T23:59Z","timeValid":true,"neutralSite":true,"attendance":0,"conferenceCompetition":false,"playByPlayAvailable":false,"fastcastAvailable":false,"recent":false,"class":{"internationalClassId":"0","generalClassId":"6","generalClassCard":"Twenty20","name":"Twenty20 matches","eventType":"T20"},"venue":{"id":"57851","fullName":"Narendra Modi Stadium, Motera, Ahmedabad","address":{"city":"Ahmedabad","state":"","country":"India","summary":""},"capacity":132000,"indoor":false},"competitors":[{"id":"335970","uid":"s:200~e:1535465~c:1535465~t:335970","type":"team","order":2,"homeAway":"home","winner":"true","score":"161/5 (18/20 ov, targ</x:v>
      </x:c>
      <x:c r="AF82" s="18" t="str">
        <x:v>COMPLETE_BOUNDED_PERIOD</x:v>
      </x:c>
      <x:c r="AG82" s="18" t="str">
        <x:v>Complete IPL 2026 ESPN scoreboard</x:v>
      </x:c>
      <x:c r="AH82" s="18" t="str"/>
      <x:c r="AI82" s="18" t="str"/>
      <x:c r="AJ82" s="20" t="n">
        <x:v>74</x:v>
      </x:c>
      <x:c r="AK82" s="19" t="n">
        <x:f>IFERROR(TODAY()-DATEVALUE(C82),"")</x:f>
        <x:v>102</x:v>
      </x:c>
      <x:c r="AL82" s="21" t="n">
        <x:f>ROUND(COUNTA(A82:K82)/11*100,0)</x:f>
        <x:v>100</x:v>
      </x:c>
      <x:c r="AM82" s="18" t="str">
        <x:v>ESPN public scoreboard service</x:v>
      </x:c>
      <x:c r="AN82" s="22" t="str">
        <x:v>https://www.espn.in/cricket/series/8048/scorecard/1535465/royal-challengers-bengaluru-vs-gujarat-titans-final-indian-premier-league-2026</x:v>
      </x:c>
      <x:c r="AO82" s="18" t="str">
        <x:v>2026-05-31</x:v>
      </x:c>
      <x:c r="AP82" s="18" t="n">
        <x:v>46275.416216736114</x:v>
      </x:c>
      <x:c r="AQ82" s="18" t="str">
        <x:v>independent_public</x:v>
      </x:c>
      <x:c r="AR82" s="18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31709f2ae3ce4c41"/>
  <x:tableParts count="1">
    <x:tablePart xmlns:r="http://schemas.openxmlformats.org/officeDocument/2006/relationships" r:id="R859c59fa3e7d45b3"/>
  </x:tableParts>
</x:worksheet>
</file>