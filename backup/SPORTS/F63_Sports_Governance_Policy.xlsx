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256591b1f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3 Sports Governance &amp; Policy" sheetId="1" r:id="R7a0d29542e8d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65911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65911"/>
      </x:patternFill>
    </x:fill>
  </x:fills>
  <x:borders count="3">
    <x:border/>
    <x:border>
      <x:bottom style="medium">
        <x:color rgb="FFC6591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53204bf814658" /><Relationship Type="http://schemas.openxmlformats.org/officeDocument/2006/relationships/theme" Target="/xl/theme/theme1.xml" Id="R9f7f015b7aaa4e19" /><Relationship Type="http://schemas.openxmlformats.org/officeDocument/2006/relationships/sharedStrings" Target="/xl/sharedStrings.xml" Id="Rbe704510c454409f" /><Relationship Type="http://schemas.openxmlformats.org/officeDocument/2006/relationships/worksheet" Target="/xl/worksheets/sheet1.xml" Id="R7a0d29542e8d4b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d69026528943a6" /><Relationship Type="http://schemas.openxmlformats.org/officeDocument/2006/relationships/chart" Target="/xl/drawings/charts/chart2.xml" Id="Rbc756fad7b3a4266" /><Relationship Type="http://schemas.openxmlformats.org/officeDocument/2006/relationships/chart" Target="/xl/drawings/charts/chart3.xml" Id="R202e792b931e4e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Governance actions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'F63 Sports Governance &amp; Policy'!$AZ$3:$AZ$12</c:f>
              <c:strCache>
                <c:ptCount val="0"/>
              </c:strCache>
            </c:strRef>
          </c:cat>
          <c:val>
            <c:numRef>
              <c:f>'F63 Sports Governance &amp; Policy'!$BA$3:$BA$12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Actions by federation and issue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'F63 Sports Governance &amp; Policy'!$BC$3</c:f>
              <c:strCache>
                <c:ptCount val="0"/>
              </c:strCache>
            </c:strRef>
          </c:cat>
          <c:val>
            <c:numRef>
              <c:f>'F63 Sports Governance &amp; Policy'!$BD$3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Election and compliance calendar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'F63 Sports Governance &amp; Policy'!$BF$3:$BF$14</c:f>
              <c:strCache>
                <c:ptCount val="0"/>
              </c:strCache>
            </c:strRef>
          </c:cat>
          <c:val>
            <c:numRef>
              <c:f>'F63 Sports Governance &amp; Policy'!$BG$3:$BG$14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d69026528943a6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756fad7b3a426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2e792b931e4e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ports_63_clean_a45ce0" displayName="T_sports_63_clean_a45ce0" ref="A8:AC42" headerRowCount="1" totalsRowCount="0" totalsRowShown="0">
  <x:tableColumns count="29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title"/>
    <x:tableColumn id="13" name="publisher"/>
    <x:tableColumn id="14" name="query"/>
    <x:tableColumn id="15" name="published_at"/>
    <x:tableColumn id="16" name="publisher_url"/>
    <x:tableColumn id="17" name="coverage_status"/>
    <x:tableColumn id="18" name="coverage_scope"/>
    <x:tableColumn id="19" name="coverage_start"/>
    <x:tableColumn id="20" name="coverage_end"/>
    <x:tableColumn id="21" name="universe_count"/>
    <x:tableColumn id="22" name="record_age_days"/>
    <x:tableColumn id="23" name="record_completeness_pct"/>
    <x:tableColumn id="24" name="source_provider"/>
    <x:tableColumn id="25" name="source_url"/>
    <x:tableColumn id="26" name="source_published_at"/>
    <x:tableColumn id="27" name="source_retrieved_at"/>
    <x:tableColumn id="28" name="provenance"/>
    <x:tableColumn id="29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13f99363cc47c0" /><Relationship Type="http://schemas.openxmlformats.org/officeDocument/2006/relationships/table" Target="/xl/tables/table1.xml" Id="R64f071df1b19402a" /></Relationships>
</file>

<file path=xl/worksheets/sheet1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42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5" customHeight="1">
      <x:c r="A1" s="4" t="str">
        <x:v>Sports Governance &amp; Policy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34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2026-08-29</x:v>
      </x:c>
      <x:c r="BA3" s="18" t="n">
        <x:v>3</x:v>
      </x:c>
      <x:c r="BC3" s="18" t="str">
        <x:v>India sports ministry federation policy gover</x:v>
      </x:c>
      <x:c r="BD3" s="18" t="n">
        <x:v>34</x:v>
      </x:c>
      <x:c r="BF3" s="18" t="str">
        <x:v>Rediff</x:v>
      </x:c>
      <x:c r="BG3" s="18" t="n">
        <x:v>4</x:v>
      </x:c>
    </x:row>
    <x:row r="4">
      <x:c r="A4" s="9" t="str">
        <x:v>Records</x:v>
      </x:c>
      <x:c r="B4" s="10" t="n">
        <x:v>34</x:v>
      </x:c>
      <x:c r="C4" s="9" t="str">
        <x:v>Dated records</x:v>
      </x:c>
      <x:c r="D4" s="10" t="n">
        <x:v>34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2026-09-10</x:v>
      </x:c>
      <x:c r="AZ4" s="18" t="str">
        <x:v>2026-09-01</x:v>
      </x:c>
      <x:c r="BA4" s="18" t="n">
        <x:v>1</x:v>
      </x:c>
      <x:c r="BF4" s="18" t="str">
        <x:v>thebridge.in</x:v>
      </x:c>
      <x:c r="BG4" s="18" t="n">
        <x:v>3</x:v>
      </x:c>
    </x:row>
    <x:row r="5">
      <x:c r="AZ5" s="18" t="str">
        <x:v>2026-09-02</x:v>
      </x:c>
      <x:c r="BA5" s="18" t="n">
        <x:v>1</x:v>
      </x:c>
      <x:c r="BF5" s="18" t="str">
        <x:v>thenewsmill.com</x:v>
      </x:c>
      <x:c r="BG5" s="18" t="n">
        <x:v>2</x:v>
      </x:c>
    </x:row>
    <x:row r="6">
      <x:c r="AZ6" s="18" t="str">
        <x:v>2026-09-03</x:v>
      </x:c>
      <x:c r="BA6" s="18" t="n">
        <x:v>2</x:v>
      </x:c>
      <x:c r="BF6" s="18" t="str">
        <x:v>India Today</x:v>
      </x:c>
      <x:c r="BG6" s="18" t="n">
        <x:v>2</x:v>
      </x:c>
    </x:row>
    <x:row r="7">
      <x:c r="AZ7" s="18" t="str">
        <x:v>2026-09-04</x:v>
      </x:c>
      <x:c r="BA7" s="18" t="n">
        <x:v>3</x:v>
      </x:c>
      <x:c r="BF7" s="18" t="str">
        <x:v>inkl</x:v>
      </x:c>
      <x:c r="BG7" s="18" t="n">
        <x:v>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title</x:v>
      </x:c>
      <x:c r="M8" s="15" t="str">
        <x:v>publisher</x:v>
      </x:c>
      <x:c r="N8" s="15" t="str">
        <x:v>query</x:v>
      </x:c>
      <x:c r="O8" s="15" t="str">
        <x:v>published_at</x:v>
      </x:c>
      <x:c r="P8" s="15" t="str">
        <x:v>publisher_url</x:v>
      </x:c>
      <x:c r="Q8" s="15" t="str">
        <x:v>coverage_status</x:v>
      </x:c>
      <x:c r="R8" s="15" t="str">
        <x:v>coverage_scope</x:v>
      </x:c>
      <x:c r="S8" s="15" t="str">
        <x:v>coverage_start</x:v>
      </x:c>
      <x:c r="T8" s="15" t="str">
        <x:v>coverage_end</x:v>
      </x:c>
      <x:c r="U8" s="15" t="str">
        <x:v>universe_count</x:v>
      </x:c>
      <x:c r="V8" s="15" t="str">
        <x:v>record_age_days</x:v>
      </x:c>
      <x:c r="W8" s="15" t="str">
        <x:v>record_completeness_pct</x:v>
      </x:c>
      <x:c r="X8" s="15" t="str">
        <x:v>source_provider</x:v>
      </x:c>
      <x:c r="Y8" s="15" t="str">
        <x:v>source_url</x:v>
      </x:c>
      <x:c r="Z8" s="15" t="str">
        <x:v>source_published_at</x:v>
      </x:c>
      <x:c r="AA8" s="15" t="str">
        <x:v>source_retrieved_at</x:v>
      </x:c>
      <x:c r="AB8" s="15" t="str">
        <x:v>provenance</x:v>
      </x:c>
      <x:c r="AC8" s="15" t="str">
        <x:v>quality_status</x:v>
      </x:c>
      <x:c r="AZ8" s="18" t="str">
        <x:v>2026-09-06</x:v>
      </x:c>
      <x:c r="BA8" s="18" t="n">
        <x:v>1</x:v>
      </x:c>
      <x:c r="BF8" s="18" t="str">
        <x:v>GK Today</x:v>
      </x:c>
      <x:c r="BG8" s="18" t="n">
        <x:v>1</x:v>
      </x:c>
    </x:row>
    <x:row r="9">
      <x:c r="A9" s="18" t="str">
        <x:v>NYT-63-c227a1bd8604738e</x:v>
      </x:c>
      <x:c r="B9" s="18" t="str">
        <x:v>Indian Sports Governing Bodies: IOA, SAI and NSFs - GK Today</x:v>
      </x:c>
      <x:c r="C9" s="18" t="str">
        <x:v>2026-09-04</x:v>
      </x:c>
      <x:c r="D9" s="18" t="n">
        <x:v>2026</x:v>
      </x:c>
      <x:c r="E9" s="18" t="str">
        <x:v>2026-09</x:v>
      </x:c>
      <x:c r="F9" s="18" t="str"/>
      <x:c r="G9" s="18" t="str">
        <x:v>India sports ministry federation policy governance</x:v>
      </x:c>
      <x:c r="H9" s="18" t="str"/>
      <x:c r="I9" s="18" t="str">
        <x:v>GK Today</x:v>
      </x:c>
      <x:c r="J9" s="20" t="str"/>
      <x:c r="K9" s="18" t="str"/>
      <x:c r="L9" s="18" t="str">
        <x:v>Indian Sports Governing Bodies: IOA, SAI and NSFs - GK Today</x:v>
      </x:c>
      <x:c r="M9" s="18" t="str">
        <x:v>GK Today</x:v>
      </x:c>
      <x:c r="N9" s="18" t="str">
        <x:v>India sports ministry federation policy governance</x:v>
      </x:c>
      <x:c r="O9" s="18" t="n">
        <x:v>46269.291666666664</x:v>
      </x:c>
      <x:c r="P9" s="18" t="str">
        <x:v>https://www.gktoday.in</x:v>
      </x:c>
      <x:c r="Q9" s="18" t="str">
        <x:v>DEFINED_TERMINAL_OR_FEED_SCOPE</x:v>
      </x:c>
      <x:c r="R9" s="18" t="str">
        <x:v>news_sports_governance_14d.json — published records loaded</x:v>
      </x:c>
      <x:c r="S9" s="18" t="str"/>
      <x:c r="T9" s="18" t="str"/>
      <x:c r="U9" s="20" t="n">
        <x:v>34</x:v>
      </x:c>
      <x:c r="V9" s="19" t="n">
        <x:f>IFERROR(TODAY()-DATEVALUE(C9),"")</x:f>
        <x:v>6</x:v>
      </x:c>
      <x:c r="W9" s="21" t="n">
        <x:f>ROUND(COUNTA(A9:K9)/11*100,0)</x:f>
        <x:v>100</x:v>
      </x:c>
      <x:c r="X9" s="18" t="str">
        <x:v>Google News RSS</x:v>
      </x:c>
      <x:c r="Y9" s="22" t="str">
        <x:v>https://news.google.com/rss/articles/CBMie0FVX3lxTE1LWnl6M0ptQlRsdVNqekkzdmFpakc5ZTRfd2VGUG5TUmlaOTJ5MmtVa3VnQkVKd3BYSTBFWkZaakI4S2Q2cWswNEh3bXJmWjJDRGl5REltdERaWnFXQzgyQnFta3djOERjZDA3bFNGbTJHcnp4aDdlZlY5cw?oc=5</x:v>
      </x:c>
      <x:c r="Z9" s="18" t="n">
        <x:v>46269.291666666664</x:v>
      </x:c>
      <x:c r="AA9" s="18" t="n">
        <x:v>46275.38862103009</x:v>
      </x:c>
      <x:c r="AB9" s="18" t="str">
        <x:v>public_rss</x:v>
      </x:c>
      <x:c r="AC9" s="18" t="str">
        <x:v>READY</x:v>
      </x:c>
      <x:c r="AZ9" s="18" t="str">
        <x:v>2026-09-07</x:v>
      </x:c>
      <x:c r="BA9" s="18" t="n">
        <x:v>2</x:v>
      </x:c>
      <x:c r="BF9" s="18" t="str">
        <x:v>The Times of India</x:v>
      </x:c>
      <x:c r="BG9" s="18" t="n">
        <x:v>1</x:v>
      </x:c>
    </x:row>
    <x:row r="10">
      <x:c r="A10" s="18" t="str">
        <x:v>NYT-63-a23f39fce8c3cccf</x:v>
      </x:c>
      <x:c r="B10" s="18" t="str">
        <x:v>Delhi High Court Order Prompts Sports Ministry To Seek New Yogasana Federation Applications - Rediff</x:v>
      </x:c>
      <x:c r="C10" s="18" t="str">
        <x:v>2026-09-04</x:v>
      </x:c>
      <x:c r="D10" s="18" t="n">
        <x:v>2026</x:v>
      </x:c>
      <x:c r="E10" s="18" t="str">
        <x:v>2026-09</x:v>
      </x:c>
      <x:c r="F10" s="18" t="str"/>
      <x:c r="G10" s="18" t="str">
        <x:v>India sports ministry federation policy governance</x:v>
      </x:c>
      <x:c r="H10" s="18" t="str"/>
      <x:c r="I10" s="18" t="str">
        <x:v>Rediff</x:v>
      </x:c>
      <x:c r="J10" s="20" t="str"/>
      <x:c r="K10" s="18" t="str"/>
      <x:c r="L10" s="18" t="str">
        <x:v>Delhi High Court Order Prompts Sports Ministry To Seek New Yogasana Federation Applications - Rediff</x:v>
      </x:c>
      <x:c r="M10" s="18" t="str">
        <x:v>Rediff</x:v>
      </x:c>
      <x:c r="N10" s="18" t="str">
        <x:v>India sports ministry federation policy governance</x:v>
      </x:c>
      <x:c r="O10" s="18" t="n">
        <x:v>46269.29072916666</x:v>
      </x:c>
      <x:c r="P10" s="18" t="str">
        <x:v>https://www.rediff.com</x:v>
      </x:c>
      <x:c r="Q10" s="18" t="str">
        <x:v>DEFINED_TERMINAL_OR_FEED_SCOPE</x:v>
      </x:c>
      <x:c r="R10" s="18" t="str">
        <x:v>news_sports_governance_14d.json — published records loaded</x:v>
      </x:c>
      <x:c r="S10" s="18" t="str"/>
      <x:c r="T10" s="18" t="str"/>
      <x:c r="U10" s="20" t="n">
        <x:v>34</x:v>
      </x:c>
      <x:c r="V10" s="19" t="n">
        <x:f>IFERROR(TODAY()-DATEVALUE(C10),"")</x:f>
        <x:v>6</x:v>
      </x:c>
      <x:c r="W10" s="21" t="n">
        <x:f>ROUND(COUNTA(A10:K10)/11*100,0)</x:f>
        <x:v>100</x:v>
      </x:c>
      <x:c r="X10" s="18" t="str">
        <x:v>Google News RSS</x:v>
      </x:c>
      <x:c r="Y10" s="22" t="str">
        <x:v>https://news.google.com/rss/articles/CBMiqwFBVV95cUxQZ282NXJlSmpRdEpob2paM2FvT2ZLdlVYUmZGUG9LaTFuTWlsdzM1bGNZSXgtcTliWVQxTkFSdzBtRll2dHRiNXpkUG9GdU1aR0lWYUpoYmtMQW5vX1E5dHp4NXFaS053Z2Vkbk9iQm5SMFRlN0tNOTJYWi10YmVjSTdnX1hPUEdpN3AteGtvOEdrOS1nazdjWENFVDA4TzFYSkZ1cmdUNUFSQkHSAa4BQVVfeXFMT21aUmtfcFd2SXpQSTdUVF9hR1lvMHNWaHhkdVNlMUx0YjFPMk1jdUNLdzFVLVRlZnNCbkRud3B4QU12cVlXOFY2Wjk2V2JEejlYU1RPbklJY0Y0VVdYV1lyRXZBR096eVh4UzhaVjdQbi1rX2JQUkdQQVgtTlRDazV4TmV3Zi1YbnFrblEwaHJvQXlNaTRBTktESkhCUFJLUVRzcUxSYURKN0FkdmdB?oc=5</x:v>
      </x:c>
      <x:c r="Z10" s="18" t="n">
        <x:v>46269.29072916666</x:v>
      </x:c>
      <x:c r="AA10" s="18" t="n">
        <x:v>46275.38862103009</x:v>
      </x:c>
      <x:c r="AB10" s="18" t="str">
        <x:v>public_rss</x:v>
      </x:c>
      <x:c r="AC10" s="18" t="str">
        <x:v>READY</x:v>
      </x:c>
      <x:c r="AZ10" s="18" t="str">
        <x:v>2026-09-08</x:v>
      </x:c>
      <x:c r="BA10" s="18" t="n">
        <x:v>11</x:v>
      </x:c>
      <x:c r="BF10" s="18" t="str">
        <x:v>The Tribune</x:v>
      </x:c>
      <x:c r="BG10" s="18" t="n">
        <x:v>1</x:v>
      </x:c>
    </x:row>
    <x:row r="11">
      <x:c r="A11" s="18" t="str">
        <x:v>NYT-63-ff2debcdb73ff39c</x:v>
      </x:c>
      <x:c r="B11" s="18" t="str">
        <x:v>Why shouldn’t National Sports Governance Act apply to BCCI, state bodies, asks Supreme Court - The Times of India</x:v>
      </x:c>
      <x:c r="C11" s="18" t="str">
        <x:v>2026-09-09</x:v>
      </x:c>
      <x:c r="D11" s="18" t="n">
        <x:v>2026</x:v>
      </x:c>
      <x:c r="E11" s="18" t="str">
        <x:v>2026-09</x:v>
      </x:c>
      <x:c r="F11" s="18" t="str"/>
      <x:c r="G11" s="18" t="str">
        <x:v>India sports ministry federation policy governance</x:v>
      </x:c>
      <x:c r="H11" s="18" t="str"/>
      <x:c r="I11" s="18" t="str">
        <x:v>The Times of India</x:v>
      </x:c>
      <x:c r="J11" s="20" t="str"/>
      <x:c r="K11" s="18" t="str"/>
      <x:c r="L11" s="18" t="str">
        <x:v>Why shouldn’t National Sports Governance Act apply to BCCI, state bodies, asks Supreme Court - The Times of India</x:v>
      </x:c>
      <x:c r="M11" s="18" t="str">
        <x:v>The Times of India</x:v>
      </x:c>
      <x:c r="N11" s="18" t="str">
        <x:v>India sports ministry federation policy governance</x:v>
      </x:c>
      <x:c r="O11" s="18" t="n">
        <x:v>46274.1375</x:v>
      </x:c>
      <x:c r="P11" s="18" t="str">
        <x:v>https://timesofindia.indiatimes.com</x:v>
      </x:c>
      <x:c r="Q11" s="18" t="str">
        <x:v>DEFINED_TERMINAL_OR_FEED_SCOPE</x:v>
      </x:c>
      <x:c r="R11" s="18" t="str">
        <x:v>news_sports_governance_14d.json — published records loaded</x:v>
      </x:c>
      <x:c r="S11" s="18" t="str"/>
      <x:c r="T11" s="18" t="str"/>
      <x:c r="U11" s="20" t="n">
        <x:v>34</x:v>
      </x:c>
      <x:c r="V11" s="19" t="n">
        <x:f>IFERROR(TODAY()-DATEVALUE(C11),"")</x:f>
        <x:v>1</x:v>
      </x:c>
      <x:c r="W11" s="21" t="n">
        <x:f>ROUND(COUNTA(A11:K11)/11*100,0)</x:f>
        <x:v>100</x:v>
      </x:c>
      <x:c r="X11" s="18" t="str">
        <x:v>Google News RSS</x:v>
      </x:c>
      <x:c r="Y11" s="22" t="str">
        <x:v>https://news.google.com/rss/articles/CBMigAJBVV95cUxPZW10SUE4TWJCeDdpc3dtc0JyZG1yblp0M052dnIxWTRqMHhja2FDb05FS1N2cWxRN1pvV2JxN3RUcWhzZXhQYXY1RjBmTEtPRkFwa0cyS3VRTmFEYnNYbjVlV1RiV3JpWF9PRGJzWVB0aFZIXzZrUFVZY0N1Y1haeFJHemhLdDFoZDJteEdkVGpja21kWkI4bUI0dkZpUmJVaU9Qb3pyZ3JMZTg5UjdZcDlQdTV4b0VRWjVvcVBUSHFIdHVRc0w2REt4Zmg1YjNiLWtkdWhYb1lZUkprMUZDcVBKaVBwT1hJaG1CV3FxVVY2bG9xRWVJM2w5SHBOdkpj0gGGAkFVX3lxTE8xdV9QcDJMX2xYMU5weGkzT0FielpqSXNoN1F4QXBhQVRPWlR0c0M4anlJNjJudHRfdzlBcjBTV2JJOU9WVzJrRVZhUkZ2WkJnVkcxbzBYQlUtaW5UV2JwM01DV1o0RkNGWnBRcmVFVHlmTU1ON0p6Rm9IR2piOW9nNWQwMlJtRVY5VjE3SUJkYnNhNzd5SG41WFUxRnRyTWNrR2xyUzJZTWlDai1CNDYwUFRNUWJzWFVHZEw1WWRFb09ZbTNNdDFVcV9UR2V4X29kTlBtcU5IYlgxQzJsQVVhTnpRQkVrNld0M0ZydTcxYXZMWjJENkdkczhXbVZYY3lLN0JMbkE?oc=5</x:v>
      </x:c>
      <x:c r="Z11" s="18" t="n">
        <x:v>46274.1375</x:v>
      </x:c>
      <x:c r="AA11" s="18" t="n">
        <x:v>46275.38862103009</x:v>
      </x:c>
      <x:c r="AB11" s="18" t="str">
        <x:v>public_rss</x:v>
      </x:c>
      <x:c r="AC11" s="18" t="str">
        <x:v>READY</x:v>
      </x:c>
      <x:c r="AZ11" s="18" t="str">
        <x:v>2026-09-09</x:v>
      </x:c>
      <x:c r="BA11" s="18" t="n">
        <x:v>9</x:v>
      </x:c>
      <x:c r="BF11" s="18" t="str">
        <x:v>facebook.com</x:v>
      </x:c>
      <x:c r="BG11" s="18" t="n">
        <x:v>1</x:v>
      </x:c>
    </x:row>
    <x:row r="12">
      <x:c r="A12" s="18" t="str">
        <x:v>NYT-63-63540c648232f260</x:v>
      </x:c>
      <x:c r="B12" s="18" t="str">
        <x:v>MEA clarifies India’s participation in 2027 South Asian Games in Pakistan follows sports ministry policy - thenewsmill.com</x:v>
      </x:c>
      <x:c r="C12" s="18" t="str">
        <x:v>2026-09-08</x:v>
      </x:c>
      <x:c r="D12" s="18" t="n">
        <x:v>2026</x:v>
      </x:c>
      <x:c r="E12" s="18" t="str">
        <x:v>2026-09</x:v>
      </x:c>
      <x:c r="F12" s="18" t="str"/>
      <x:c r="G12" s="18" t="str">
        <x:v>India sports ministry federation policy governance</x:v>
      </x:c>
      <x:c r="H12" s="18" t="str"/>
      <x:c r="I12" s="18" t="str">
        <x:v>thenewsmill.com</x:v>
      </x:c>
      <x:c r="J12" s="20" t="str"/>
      <x:c r="K12" s="18" t="str"/>
      <x:c r="L12" s="18" t="str">
        <x:v>MEA clarifies India’s participation in 2027 South Asian Games in Pakistan follows sports ministry policy - thenewsmill.com</x:v>
      </x:c>
      <x:c r="M12" s="18" t="str">
        <x:v>thenewsmill.com</x:v>
      </x:c>
      <x:c r="N12" s="18" t="str">
        <x:v>India sports ministry federation policy governance</x:v>
      </x:c>
      <x:c r="O12" s="18" t="n">
        <x:v>46273.52396990741</x:v>
      </x:c>
      <x:c r="P12" s="18" t="str">
        <x:v>https://thenewsmill.com</x:v>
      </x:c>
      <x:c r="Q12" s="18" t="str">
        <x:v>DEFINED_TERMINAL_OR_FEED_SCOPE</x:v>
      </x:c>
      <x:c r="R12" s="18" t="str">
        <x:v>news_sports_governance_14d.json — published records loaded</x:v>
      </x:c>
      <x:c r="S12" s="18" t="str"/>
      <x:c r="T12" s="18" t="str"/>
      <x:c r="U12" s="20" t="n">
        <x:v>34</x:v>
      </x:c>
      <x:c r="V12" s="19" t="n">
        <x:f>IFERROR(TODAY()-DATEVALUE(C12),"")</x:f>
        <x:v>2</x:v>
      </x:c>
      <x:c r="W12" s="21" t="n">
        <x:f>ROUND(COUNTA(A12:K12)/11*100,0)</x:f>
        <x:v>100</x:v>
      </x:c>
      <x:c r="X12" s="18" t="str">
        <x:v>Google News RSS</x:v>
      </x:c>
      <x:c r="Y12" s="22" t="str">
        <x:v>https://news.google.com/rss/articles/CBMi0gFBVV95cUxPaXNtNnd0SmF3cnMxektMVUxvS1JjYWlPSzdoWU5Nb3lPVWF5VXJUT0JJcmxzUkR2Ym9FdDU0ODBqWG1zTEFmTEhhZUpoTGNvZ0djS1REZTQ5UDVEY2ZZOGNMbTlkclgyekFCSWcwT1NfMmRfTm8yclNHMWx0YXFZb256djVmcEg3amRadmhxcFVOVUZxZUhKVVFabnJHVEtnbnNsQnljd2k5ZG5GVkZyank0N2NHOXVDQzJrVTdhaWRjLWN6US04bnhQRWlqUEhxS1E?oc=5</x:v>
      </x:c>
      <x:c r="Z12" s="18" t="n">
        <x:v>46273.52396990741</x:v>
      </x:c>
      <x:c r="AA12" s="18" t="n">
        <x:v>46275.38862103009</x:v>
      </x:c>
      <x:c r="AB12" s="18" t="str">
        <x:v>public_rss</x:v>
      </x:c>
      <x:c r="AC12" s="18" t="str">
        <x:v>READY</x:v>
      </x:c>
      <x:c r="AZ12" s="18" t="str">
        <x:v>2026-09-10</x:v>
      </x:c>
      <x:c r="BA12" s="18" t="n">
        <x:v>1</x:v>
      </x:c>
      <x:c r="BF12" s="18" t="str">
        <x:v>Firstpost</x:v>
      </x:c>
      <x:c r="BG12" s="18" t="n">
        <x:v>1</x:v>
      </x:c>
    </x:row>
    <x:row r="13">
      <x:c r="A13" s="18" t="str">
        <x:v>NYT-63-b552ec453f20b5a2</x:v>
      </x:c>
      <x:c r="B13" s="18" t="str">
        <x:v>SAF Games 2027 set to be held in Pakistan. Will India participate? - India Today</x:v>
      </x:c>
      <x:c r="C13" s="18" t="str">
        <x:v>2026-09-09</x:v>
      </x:c>
      <x:c r="D13" s="18" t="n">
        <x:v>2026</x:v>
      </x:c>
      <x:c r="E13" s="18" t="str">
        <x:v>2026-09</x:v>
      </x:c>
      <x:c r="F13" s="18" t="str"/>
      <x:c r="G13" s="18" t="str">
        <x:v>India sports ministry federation policy governance</x:v>
      </x:c>
      <x:c r="H13" s="18" t="str"/>
      <x:c r="I13" s="18" t="str">
        <x:v>India Today</x:v>
      </x:c>
      <x:c r="J13" s="20" t="str"/>
      <x:c r="K13" s="18" t="str"/>
      <x:c r="L13" s="18" t="str">
        <x:v>SAF Games 2027 set to be held in Pakistan. Will India participate? - India Today</x:v>
      </x:c>
      <x:c r="M13" s="18" t="str">
        <x:v>India Today</x:v>
      </x:c>
      <x:c r="N13" s="18" t="str">
        <x:v>India sports ministry federation policy governance</x:v>
      </x:c>
      <x:c r="O13" s="18" t="n">
        <x:v>46274.34508101852</x:v>
      </x:c>
      <x:c r="P13" s="18" t="str">
        <x:v>https://www.indiatoday.in</x:v>
      </x:c>
      <x:c r="Q13" s="18" t="str">
        <x:v>DEFINED_TERMINAL_OR_FEED_SCOPE</x:v>
      </x:c>
      <x:c r="R13" s="18" t="str">
        <x:v>news_sports_governance_14d.json — published records loaded</x:v>
      </x:c>
      <x:c r="S13" s="18" t="str"/>
      <x:c r="T13" s="18" t="str"/>
      <x:c r="U13" s="20" t="n">
        <x:v>34</x:v>
      </x:c>
      <x:c r="V13" s="19" t="n">
        <x:f>IFERROR(TODAY()-DATEVALUE(C13),"")</x:f>
        <x:v>1</x:v>
      </x:c>
      <x:c r="W13" s="21" t="n">
        <x:f>ROUND(COUNTA(A13:K13)/11*100,0)</x:f>
        <x:v>100</x:v>
      </x:c>
      <x:c r="X13" s="18" t="str">
        <x:v>Google News RSS</x:v>
      </x:c>
      <x:c r="Y13" s="22" t="str">
        <x:v>https://news.google.com/rss/articles/CBMirwFBVV95cUxQdWI3ZVVvQnN6dHNpb1VmbWpsY0YyQ3FQWHN1alh0WUdvenpPZzM2YktKRUpxS08yblFhWF91cmhHLUN2WURQTG82eFh4Y0tmaDlGVDYxTjhfcmc0bTZMeTVSZmxyYXVGMUtYcWE5QTNKQkkwVDV2bHRjVDEzMGtzRllVLTRnMHByOTI0QnF5Uzg0SG0zVXBqWW5XVXI3c1JBSm1OdVF2d1JadXEzWGNV?oc=5</x:v>
      </x:c>
      <x:c r="Z13" s="18" t="n">
        <x:v>46274.34508101852</x:v>
      </x:c>
      <x:c r="AA13" s="18" t="n">
        <x:v>46275.38862103009</x:v>
      </x:c>
      <x:c r="AB13" s="18" t="str">
        <x:v>public_rss</x:v>
      </x:c>
      <x:c r="AC13" s="18" t="str">
        <x:v>READY</x:v>
      </x:c>
      <x:c r="BF13" s="18" t="str">
        <x:v>Hindusthan Samachar English</x:v>
      </x:c>
      <x:c r="BG13" s="18" t="n">
        <x:v>1</x:v>
      </x:c>
    </x:row>
    <x:row r="14">
      <x:c r="A14" s="18" t="str">
        <x:v>NYT-63-9b7833212540aa95</x:v>
      </x:c>
      <x:c r="B14" s="18" t="str">
        <x:v>Guided by Sports Ministry policy: MEA clarifies Indias Stance on participating in 2027 SAF Games in Pakistan - The Tribune</x:v>
      </x:c>
      <x:c r="C14" s="18" t="str">
        <x:v>2026-09-08</x:v>
      </x:c>
      <x:c r="D14" s="18" t="n">
        <x:v>2026</x:v>
      </x:c>
      <x:c r="E14" s="18" t="str">
        <x:v>2026-09</x:v>
      </x:c>
      <x:c r="F14" s="18" t="str"/>
      <x:c r="G14" s="18" t="str">
        <x:v>India sports ministry federation policy governance</x:v>
      </x:c>
      <x:c r="H14" s="18" t="str"/>
      <x:c r="I14" s="18" t="str">
        <x:v>The Tribune</x:v>
      </x:c>
      <x:c r="J14" s="20" t="str"/>
      <x:c r="K14" s="18" t="str"/>
      <x:c r="L14" s="18" t="str">
        <x:v>Guided by Sports Ministry policy: MEA clarifies Indias Stance on participating in 2027 SAF Games in Pakistan - The Tribune</x:v>
      </x:c>
      <x:c r="M14" s="18" t="str">
        <x:v>The Tribune</x:v>
      </x:c>
      <x:c r="N14" s="18" t="str">
        <x:v>India sports ministry federation policy governance</x:v>
      </x:c>
      <x:c r="O14" s="18" t="n">
        <x:v>46273.51905092593</x:v>
      </x:c>
      <x:c r="P14" s="18" t="str">
        <x:v>https://www.tribuneindia.com</x:v>
      </x:c>
      <x:c r="Q14" s="18" t="str">
        <x:v>DEFINED_TERMINAL_OR_FEED_SCOPE</x:v>
      </x:c>
      <x:c r="R14" s="18" t="str">
        <x:v>news_sports_governance_14d.json — published records loaded</x:v>
      </x:c>
      <x:c r="S14" s="18" t="str"/>
      <x:c r="T14" s="18" t="str"/>
      <x:c r="U14" s="20" t="n">
        <x:v>34</x:v>
      </x:c>
      <x:c r="V14" s="19" t="n">
        <x:f>IFERROR(TODAY()-DATEVALUE(C14),"")</x:f>
        <x:v>2</x:v>
      </x:c>
      <x:c r="W14" s="21" t="n">
        <x:f>ROUND(COUNTA(A14:K14)/11*100,0)</x:f>
        <x:v>100</x:v>
      </x:c>
      <x:c r="X14" s="18" t="str">
        <x:v>Google News RSS</x:v>
      </x:c>
      <x:c r="Y14" s="22" t="str">
        <x:v>https://news.google.com/rss/articles/CBMi5wFBVV95cUxQaEZuRUFKa0dIdHdEbUttVjFDUHB1d056RlJFMHQ4TEZGQl9iQlBIQXRfNW1DRjlOUGdTaVdkWVhqMHU4QWdnRkF3dWJlNGp2amJ0ZUlqS0JtSUppMW52MDdyNkFacXpkTG9ValBvaFZIbE1ya2VUbFh6ZFk2cV96bnljMW1hTFIyU0dsTWFsUE1CSTVTTS14VXlyT1M4X29NZnV4ejdIOGNIYzkwYWJEMjcyTnk3eFBYS0poN0R0RU1HMnp3VnlvVTUwZDg5UFN0YUhYcHRseUl0aDhBVkFzMVg3WmNnTEXSAecBQVVfeXFMUGhGbkVBSmtHSHR3RG1LbVYxQ1BwdXdOekZSRTB0OExGRkJfYkJQSEF0XzVtQ0Y5TlBnU2lXZFlYajB1OEFnZ0ZBd3ViZTRqdmpidGVJaktCbUlKaTFudjA3cjZBWnF6ZExvVWpQb2hWSGxNcmtlVGxYemRZNnFfem55YzFtYUxSMlNHbE1hbFBNQkk1U00teFV5ck9TOF9vTWZ1eHo3SDhjSGM5MGFiRDI3Mk55N3hQWEtKaDdEdEVNRzJ6d1Z5b1U1MGQ4OVBTdGFIWHB0bHlJdGg4QVZBczFYN1pjZ0xF?oc=5</x:v>
      </x:c>
      <x:c r="Z14" s="18" t="n">
        <x:v>46273.51905092593</x:v>
      </x:c>
      <x:c r="AA14" s="18" t="n">
        <x:v>46275.38862103009</x:v>
      </x:c>
      <x:c r="AB14" s="18" t="str">
        <x:v>public_rss</x:v>
      </x:c>
      <x:c r="AC14" s="18" t="str">
        <x:v>READY</x:v>
      </x:c>
      <x:c r="BF14" s="18" t="str">
        <x:v>Nagaland Tribune</x:v>
      </x:c>
      <x:c r="BG14" s="18" t="n">
        <x:v>1</x:v>
      </x:c>
    </x:row>
    <x:row r="15">
      <x:c r="A15" s="18" t="str">
        <x:v>NYT-63-1f40ae71a06c452a</x:v>
      </x:c>
      <x:c r="B15" s="18" t="str">
        <x:v>10 days before the action gets underway in Japan!! 🤩🙌 India’s athletes will take on Asia’s best as they chase ultimate glory at the 2026 Asian Games. 🏆 - facebook.com</x:v>
      </x:c>
      <x:c r="C15" s="18" t="str">
        <x:v>2026-09-09</x:v>
      </x:c>
      <x:c r="D15" s="18" t="n">
        <x:v>2026</x:v>
      </x:c>
      <x:c r="E15" s="18" t="str">
        <x:v>2026-09</x:v>
      </x:c>
      <x:c r="F15" s="18" t="str"/>
      <x:c r="G15" s="18" t="str">
        <x:v>India sports ministry federation policy governance</x:v>
      </x:c>
      <x:c r="H15" s="18" t="str"/>
      <x:c r="I15" s="18" t="str">
        <x:v>facebook.com</x:v>
      </x:c>
      <x:c r="J15" s="20" t="str"/>
      <x:c r="K15" s="18" t="str"/>
      <x:c r="L15" s="18" t="str">
        <x:v>10 days before the action gets underway in Japan!! 🤩🙌 India’s athletes will take on Asia’s best as they chase ultimate glory at the 2026 Asian Games. 🏆 - facebook.com</x:v>
      </x:c>
      <x:c r="M15" s="18" t="str">
        <x:v>facebook.com</x:v>
      </x:c>
      <x:c r="N15" s="18" t="str">
        <x:v>India sports ministry federation policy governance</x:v>
      </x:c>
      <x:c r="O15" s="18" t="n">
        <x:v>46274.60115740741</x:v>
      </x:c>
      <x:c r="P15" s="18" t="str">
        <x:v>https://www.facebook.com</x:v>
      </x:c>
      <x:c r="Q15" s="18" t="str">
        <x:v>DEFINED_TERMINAL_OR_FEED_SCOPE</x:v>
      </x:c>
      <x:c r="R15" s="18" t="str">
        <x:v>news_sports_governance_14d.json — published records loaded</x:v>
      </x:c>
      <x:c r="S15" s="18" t="str"/>
      <x:c r="T15" s="18" t="str"/>
      <x:c r="U15" s="20" t="n">
        <x:v>34</x:v>
      </x:c>
      <x:c r="V15" s="19" t="n">
        <x:f>IFERROR(TODAY()-DATEVALUE(C15),"")</x:f>
        <x:v>1</x:v>
      </x:c>
      <x:c r="W15" s="21" t="n">
        <x:f>ROUND(COUNTA(A15:K15)/11*100,0)</x:f>
        <x:v>100</x:v>
      </x:c>
      <x:c r="X15" s="18" t="str">
        <x:v>Google News RSS</x:v>
      </x:c>
      <x:c r="Y15" s="22" t="str">
        <x:v>https://news.google.com/rss/articles/CBMi0wFBVV95cUxPTWxNakl6XzBIamkwR1hxOFd6elZOdGhoSkI0dnJ5dFZNYXFGcHNxOVZHN1hvQnkwRGNteEcyc0d4TjVNVmVfZ2hJQjdoLWFMeXZmZ1RRRTZ5bjBBLXNRNXM0b3JrSGVSSUpHSG5MdFk0N2tKaEZlcG84LVFFOTh3Rm9XR1ZYX244RERoZVVCZmo3Sm1DZFc2RktJbl9GY011czFiMm1QVWQtanpYclZvZ0hBdE9VQWZ2MV9fZ1g0WUFhby05bHlNSkpKVGlwVmk5TVRN?oc=5</x:v>
      </x:c>
      <x:c r="Z15" s="18" t="n">
        <x:v>46274.60115740741</x:v>
      </x:c>
      <x:c r="AA15" s="18" t="n">
        <x:v>46275.38862103009</x:v>
      </x:c>
      <x:c r="AB15" s="18" t="str">
        <x:v>public_rss</x:v>
      </x:c>
      <x:c r="AC15" s="18" t="str">
        <x:v>READY</x:v>
      </x:c>
    </x:row>
    <x:row r="16">
      <x:c r="A16" s="18" t="str">
        <x:v>NYT-63-a70d8187f2c37711</x:v>
      </x:c>
      <x:c r="B16" s="18" t="str">
        <x:v>Will India travel to Pakistan for 2027 South Asian Games? - thebridge.in</x:v>
      </x:c>
      <x:c r="C16" s="18" t="str">
        <x:v>2026-09-09</x:v>
      </x:c>
      <x:c r="D16" s="18" t="n">
        <x:v>2026</x:v>
      </x:c>
      <x:c r="E16" s="18" t="str">
        <x:v>2026-09</x:v>
      </x:c>
      <x:c r="F16" s="18" t="str"/>
      <x:c r="G16" s="18" t="str">
        <x:v>India sports ministry federation policy governance</x:v>
      </x:c>
      <x:c r="H16" s="18" t="str"/>
      <x:c r="I16" s="18" t="str">
        <x:v>thebridge.in</x:v>
      </x:c>
      <x:c r="J16" s="20" t="str"/>
      <x:c r="K16" s="18" t="str"/>
      <x:c r="L16" s="18" t="str">
        <x:v>Will India travel to Pakistan for 2027 South Asian Games? - thebridge.in</x:v>
      </x:c>
      <x:c r="M16" s="18" t="str">
        <x:v>thebridge.in</x:v>
      </x:c>
      <x:c r="N16" s="18" t="str">
        <x:v>India sports ministry federation policy governance</x:v>
      </x:c>
      <x:c r="O16" s="18" t="n">
        <x:v>46274.48939814815</x:v>
      </x:c>
      <x:c r="P16" s="18" t="str">
        <x:v>https://thebridge.in</x:v>
      </x:c>
      <x:c r="Q16" s="18" t="str">
        <x:v>DEFINED_TERMINAL_OR_FEED_SCOPE</x:v>
      </x:c>
      <x:c r="R16" s="18" t="str">
        <x:v>news_sports_governance_14d.json — published records loaded</x:v>
      </x:c>
      <x:c r="S16" s="18" t="str"/>
      <x:c r="T16" s="18" t="str"/>
      <x:c r="U16" s="20" t="n">
        <x:v>34</x:v>
      </x:c>
      <x:c r="V16" s="19" t="n">
        <x:f>IFERROR(TODAY()-DATEVALUE(C16),"")</x:f>
        <x:v>1</x:v>
      </x:c>
      <x:c r="W16" s="21" t="n">
        <x:f>ROUND(COUNTA(A16:K16)/11*100,0)</x:f>
        <x:v>100</x:v>
      </x:c>
      <x:c r="X16" s="18" t="str">
        <x:v>Google News RSS</x:v>
      </x:c>
      <x:c r="Y16" s="22" t="str">
        <x:v>https://news.google.com/rss/articles/CBMikAFBVV95cUxOSFZLa0pSLW9nSktvSW5odXdQcEZiRUJqTGs2NkRSZXdTTEF5UHdTX2NwMUdpb0FGcFI4TkV3MlFQbGNzUEFzbzV1UUJvRkVzNnF1T2llS2hiQVNoQlRMWmMzOE9WcV9BV0hPb1VFdXZaOS1QcUx6NVJKMXJXRDBkX2p0VTdRTUVXbTFiQmE5M1rSAZABQVVfeXFMTkhWS2tKUi1vZ0pLb0luaHV3UHBGYkVCakxrNjZEUmV3U0xBeVB3U19jcDFHaW9BRnBSOE5FdzJRUGxjc1BBc281dVFCb0ZFczZxdU9pZUtoYkFTaEJUTFpjMzhPVnFfQVdIT29VRXV2WjktUHFMejVSSjFyV0QwZF9qdFU3UU1FV20xYkJhOTNa?oc=5</x:v>
      </x:c>
      <x:c r="Z16" s="18" t="n">
        <x:v>46274.48939814815</x:v>
      </x:c>
      <x:c r="AA16" s="18" t="n">
        <x:v>46275.38862103009</x:v>
      </x:c>
      <x:c r="AB16" s="18" t="str">
        <x:v>public_rss</x:v>
      </x:c>
      <x:c r="AC16" s="18" t="str">
        <x:v>READY</x:v>
      </x:c>
    </x:row>
    <x:row r="17">
      <x:c r="A17" s="18" t="str">
        <x:v>NYT-63-2e246b71f001dfeb</x:v>
      </x:c>
      <x:c r="B17" s="18" t="str">
        <x:v>MEA breaks silence on India's involvement in Pakistan-hosted SAF Games 2027: 'Participation guided by...' - Firstpost</x:v>
      </x:c>
      <x:c r="C17" s="18" t="str">
        <x:v>2026-09-09</x:v>
      </x:c>
      <x:c r="D17" s="18" t="n">
        <x:v>2026</x:v>
      </x:c>
      <x:c r="E17" s="18" t="str">
        <x:v>2026-09</x:v>
      </x:c>
      <x:c r="F17" s="18" t="str"/>
      <x:c r="G17" s="18" t="str">
        <x:v>India sports ministry federation policy governance</x:v>
      </x:c>
      <x:c r="H17" s="18" t="str"/>
      <x:c r="I17" s="18" t="str">
        <x:v>Firstpost</x:v>
      </x:c>
      <x:c r="J17" s="20" t="str"/>
      <x:c r="K17" s="18" t="str"/>
      <x:c r="L17" s="18" t="str">
        <x:v>MEA breaks silence on India's involvement in Pakistan-hosted SAF Games 2027: 'Participation guided by...' - Firstpost</x:v>
      </x:c>
      <x:c r="M17" s="18" t="str">
        <x:v>Firstpost</x:v>
      </x:c>
      <x:c r="N17" s="18" t="str">
        <x:v>India sports ministry federation policy governance</x:v>
      </x:c>
      <x:c r="O17" s="18" t="n">
        <x:v>46274.42395833333</x:v>
      </x:c>
      <x:c r="P17" s="18" t="str">
        <x:v>https://www.firstpost.com</x:v>
      </x:c>
      <x:c r="Q17" s="18" t="str">
        <x:v>DEFINED_TERMINAL_OR_FEED_SCOPE</x:v>
      </x:c>
      <x:c r="R17" s="18" t="str">
        <x:v>news_sports_governance_14d.json — published records loaded</x:v>
      </x:c>
      <x:c r="S17" s="18" t="str"/>
      <x:c r="T17" s="18" t="str"/>
      <x:c r="U17" s="20" t="n">
        <x:v>34</x:v>
      </x:c>
      <x:c r="V17" s="19" t="n">
        <x:f>IFERROR(TODAY()-DATEVALUE(C17),"")</x:f>
        <x:v>1</x:v>
      </x:c>
      <x:c r="W17" s="21" t="n">
        <x:f>ROUND(COUNTA(A17:K17)/11*100,0)</x:f>
        <x:v>100</x:v>
      </x:c>
      <x:c r="X17" s="18" t="str">
        <x:v>Google News RSS</x:v>
      </x:c>
      <x:c r="Y17" s="22" t="str">
        <x:v>https://news.google.com/rss/articles/CBMi3gFBVV95cUxObExOMGNyRkw3dk5mVmJMMGFLb19xc2Z3ZnFseGdFZXExVmdLbGFYRkFpTjMxc195MGFtdjRfRXlHcHFyRklmWjJHVDZIaks4dFJEVnp0ODVJU3dGQWRNLVpQUEpZQmRHSF9pWnBlVFlKb0xpSzRNN08xQmNVbkNTcFUzeUxEOHhIMHdsbFN4OHJZenowYmtmQi1jbzZuQ3htUVROcGJscmRZSGt0N09xQ25Rd210U2tqdUJsZU1wa1hORmJLa3ZwS3VrU3pJYjJSUmtRWWlUNGEyR1Y3elHSAeMBQVVfeXFMUFZKbEt0V0lOMU1YM0doWmZrdG05Y0RqX3N3UmFpZ29VQjJRVzhEZ1JtTkIyYzVYZEFOSjBBMW90Zzl6Q09RdU5RQnZXeTRlR0steGlFbUFpUU5VMnlWdjRxdHlyTnBNenBmTmRMTFl3eFAtc2tVV0t0WHliT3BkZ2twN0VXUHdLdTZZNW8xOERoR2hUUEloWVM5Q2VvVkl6TU5wQ1hJSXl6Z3dielRpcWdvc2pZT2I4UmR6UFk1cXdxTndYOHRJZ3VlUU5RamVVZW5CRG1KckpSUFpkRHduYlVreEU?oc=5</x:v>
      </x:c>
      <x:c r="Z17" s="18" t="n">
        <x:v>46274.42395833333</x:v>
      </x:c>
      <x:c r="AA17" s="18" t="n">
        <x:v>46275.38862103009</x:v>
      </x:c>
      <x:c r="AB17" s="18" t="str">
        <x:v>public_rss</x:v>
      </x:c>
      <x:c r="AC17" s="18" t="str">
        <x:v>READY</x:v>
      </x:c>
    </x:row>
    <x:row r="18">
      <x:c r="A18" s="18" t="str">
        <x:v>NYT-63-e17b04049a5ecce3</x:v>
      </x:c>
      <x:c r="B18" s="18" t="str">
        <x:v>No Decision Yet on India’s Participation in South Asian Games 2027, MEA Clarifies - Hindusthan Samachar English</x:v>
      </x:c>
      <x:c r="C18" s="18" t="str">
        <x:v>2026-09-08</x:v>
      </x:c>
      <x:c r="D18" s="18" t="n">
        <x:v>2026</x:v>
      </x:c>
      <x:c r="E18" s="18" t="str">
        <x:v>2026-09</x:v>
      </x:c>
      <x:c r="F18" s="18" t="str"/>
      <x:c r="G18" s="18" t="str">
        <x:v>India sports ministry federation policy governance</x:v>
      </x:c>
      <x:c r="H18" s="18" t="str"/>
      <x:c r="I18" s="18" t="str">
        <x:v>Hindusthan Samachar English</x:v>
      </x:c>
      <x:c r="J18" s="20" t="str"/>
      <x:c r="K18" s="18" t="str"/>
      <x:c r="L18" s="18" t="str">
        <x:v>No Decision Yet on India’s Participation in South Asian Games 2027, MEA Clarifies - Hindusthan Samachar English</x:v>
      </x:c>
      <x:c r="M18" s="18" t="str">
        <x:v>Hindusthan Samachar English</x:v>
      </x:c>
      <x:c r="N18" s="18" t="str">
        <x:v>India sports ministry federation policy governance</x:v>
      </x:c>
      <x:c r="O18" s="18" t="n">
        <x:v>46273.56034722222</x:v>
      </x:c>
      <x:c r="P18" s="18" t="str">
        <x:v>https://english.hindusthansamachar.in</x:v>
      </x:c>
      <x:c r="Q18" s="18" t="str">
        <x:v>DEFINED_TERMINAL_OR_FEED_SCOPE</x:v>
      </x:c>
      <x:c r="R18" s="18" t="str">
        <x:v>news_sports_governance_14d.json — published records loaded</x:v>
      </x:c>
      <x:c r="S18" s="18" t="str"/>
      <x:c r="T18" s="18" t="str"/>
      <x:c r="U18" s="20" t="n">
        <x:v>34</x:v>
      </x:c>
      <x:c r="V18" s="19" t="n">
        <x:f>IFERROR(TODAY()-DATEVALUE(C18),"")</x:f>
        <x:v>2</x:v>
      </x:c>
      <x:c r="W18" s="21" t="n">
        <x:f>ROUND(COUNTA(A18:K18)/11*100,0)</x:f>
        <x:v>100</x:v>
      </x:c>
      <x:c r="X18" s="18" t="str">
        <x:v>Google News RSS</x:v>
      </x:c>
      <x:c r="Y18" s="22" t="str">
        <x:v>https://news.google.com/rss/articles/CBMikAFBVV95cUxQR0ZGMU5Xbl9nSThZOUNSa0MtQnM5N0lHZWxIUHdaMVRvVE56bmVhLTJtT0Z2Zkc1Q3cxZVVBUDA2X1RxVU5TS09RaVNuaDZJWFFqTHl6MUwxWlFlMnJ1ZWZFX2ZveUREcWtxSGlIdFBwa3dxS1BiQmwxN1lSNUVMR0V2dU00OGgwalBoVGF1ckc?oc=5</x:v>
      </x:c>
      <x:c r="Z18" s="18" t="n">
        <x:v>46273.56034722222</x:v>
      </x:c>
      <x:c r="AA18" s="18" t="n">
        <x:v>46275.38862103009</x:v>
      </x:c>
      <x:c r="AB18" s="18" t="str">
        <x:v>public_rss</x:v>
      </x:c>
      <x:c r="AC18" s="18" t="str">
        <x:v>READY</x:v>
      </x:c>
    </x:row>
    <x:row r="19">
      <x:c r="A19" s="18" t="str">
        <x:v>NYT-63-c45114d5635d6383</x:v>
      </x:c>
      <x:c r="B19" s="18" t="str">
        <x:v>Nagaland athletes shine at World Nomad Games in Kyrgyzstan - Nagaland Tribune</x:v>
      </x:c>
      <x:c r="C19" s="18" t="str">
        <x:v>2026-09-06</x:v>
      </x:c>
      <x:c r="D19" s="18" t="n">
        <x:v>2026</x:v>
      </x:c>
      <x:c r="E19" s="18" t="str">
        <x:v>2026-09</x:v>
      </x:c>
      <x:c r="F19" s="18" t="str"/>
      <x:c r="G19" s="18" t="str">
        <x:v>India sports ministry federation policy governance</x:v>
      </x:c>
      <x:c r="H19" s="18" t="str"/>
      <x:c r="I19" s="18" t="str">
        <x:v>Nagaland Tribune</x:v>
      </x:c>
      <x:c r="J19" s="20" t="str"/>
      <x:c r="K19" s="18" t="str"/>
      <x:c r="L19" s="18" t="str">
        <x:v>Nagaland athletes shine at World Nomad Games in Kyrgyzstan - Nagaland Tribune</x:v>
      </x:c>
      <x:c r="M19" s="18" t="str">
        <x:v>Nagaland Tribune</x:v>
      </x:c>
      <x:c r="N19" s="18" t="str">
        <x:v>India sports ministry federation policy governance</x:v>
      </x:c>
      <x:c r="O19" s="18" t="n">
        <x:v>46271.70759259259</x:v>
      </x:c>
      <x:c r="P19" s="18" t="str">
        <x:v>https://nagalandtribune.in</x:v>
      </x:c>
      <x:c r="Q19" s="18" t="str">
        <x:v>DEFINED_TERMINAL_OR_FEED_SCOPE</x:v>
      </x:c>
      <x:c r="R19" s="18" t="str">
        <x:v>news_sports_governance_14d.json — published records loaded</x:v>
      </x:c>
      <x:c r="S19" s="18" t="str"/>
      <x:c r="T19" s="18" t="str"/>
      <x:c r="U19" s="20" t="n">
        <x:v>34</x:v>
      </x:c>
      <x:c r="V19" s="19" t="n">
        <x:f>IFERROR(TODAY()-DATEVALUE(C19),"")</x:f>
        <x:v>4</x:v>
      </x:c>
      <x:c r="W19" s="21" t="n">
        <x:f>ROUND(COUNTA(A19:K19)/11*100,0)</x:f>
        <x:v>100</x:v>
      </x:c>
      <x:c r="X19" s="18" t="str">
        <x:v>Google News RSS</x:v>
      </x:c>
      <x:c r="Y19" s="22" t="str">
        <x:v>https://news.google.com/rss/articles/CBMijwFBVV95cUxPaWVWTW8yQk9YXzRNU0hLTlhMOWJIR0hoNWxTVTV4Qm4xMVhmRkJRWk15MEU4VUtMRGtCNHhzb1RpY2ZUT1Z2bTNwM1pFNk5aSVNPYnVIVTV1V282dUxUV3htUFZITEdSVnFKdGgzU3l3ZFo0bnBsWktFejMxcjRvZklFUWRlbFlnQzJ6REVxaw?oc=5</x:v>
      </x:c>
      <x:c r="Z19" s="18" t="n">
        <x:v>46271.70759259259</x:v>
      </x:c>
      <x:c r="AA19" s="18" t="n">
        <x:v>46275.38862103009</x:v>
      </x:c>
      <x:c r="AB19" s="18" t="str">
        <x:v>public_rss</x:v>
      </x:c>
      <x:c r="AC19" s="18" t="str">
        <x:v>READY</x:v>
      </x:c>
    </x:row>
    <x:row r="20">
      <x:c r="A20" s="18" t="str">
        <x:v>NYT-63-2aa087846c6728b8</x:v>
      </x:c>
      <x:c r="B20" s="18" t="str">
        <x:v>Delhi HC sets aside direction restraining All India Carrom Federation from using ‘India’ in name - ANI News</x:v>
      </x:c>
      <x:c r="C20" s="18" t="str">
        <x:v>2026-09-03</x:v>
      </x:c>
      <x:c r="D20" s="18" t="n">
        <x:v>2026</x:v>
      </x:c>
      <x:c r="E20" s="18" t="str">
        <x:v>2026-09</x:v>
      </x:c>
      <x:c r="F20" s="18" t="str"/>
      <x:c r="G20" s="18" t="str">
        <x:v>India sports ministry federation policy governance</x:v>
      </x:c>
      <x:c r="H20" s="18" t="str"/>
      <x:c r="I20" s="18" t="str">
        <x:v>ANI News</x:v>
      </x:c>
      <x:c r="J20" s="20" t="str"/>
      <x:c r="K20" s="18" t="str"/>
      <x:c r="L20" s="18" t="str">
        <x:v>Delhi HC sets aside direction restraining All India Carrom Federation from using ‘India’ in name - ANI News</x:v>
      </x:c>
      <x:c r="M20" s="18" t="str">
        <x:v>ANI News</x:v>
      </x:c>
      <x:c r="N20" s="18" t="str">
        <x:v>India sports ministry federation policy governance</x:v>
      </x:c>
      <x:c r="O20" s="18" t="n">
        <x:v>46268.37222222222</x:v>
      </x:c>
      <x:c r="P20" s="18" t="str">
        <x:v>https://www.aninews.in</x:v>
      </x:c>
      <x:c r="Q20" s="18" t="str">
        <x:v>DEFINED_TERMINAL_OR_FEED_SCOPE</x:v>
      </x:c>
      <x:c r="R20" s="18" t="str">
        <x:v>news_sports_governance_14d.json — published records loaded</x:v>
      </x:c>
      <x:c r="S20" s="18" t="str"/>
      <x:c r="T20" s="18" t="str"/>
      <x:c r="U20" s="20" t="n">
        <x:v>34</x:v>
      </x:c>
      <x:c r="V20" s="19" t="n">
        <x:f>IFERROR(TODAY()-DATEVALUE(C20),"")</x:f>
        <x:v>7</x:v>
      </x:c>
      <x:c r="W20" s="21" t="n">
        <x:f>ROUND(COUNTA(A20:K20)/11*100,0)</x:f>
        <x:v>100</x:v>
      </x:c>
      <x:c r="X20" s="18" t="str">
        <x:v>Google News RSS</x:v>
      </x:c>
      <x:c r="Y20" s="22" t="str">
        <x:v>https://news.google.com/rss/articles/CBMi-gFBVV95cUxNOF94SXpKRjdrYTZBN2RGMkFNTEtfQ2o3QVVSakgxQ0lXbnA2cjlCUWhxUmo4amEtUkt0WURfdVhLY3ZnRXJfNUZDSjBmQUoyejR0VnFPZnBpT3pCLWIycFMwcnlYNVBvZGVuTmp4UnlyQkY4Q3hndjk1NE5IV0lkc09CczA3VkItdjlLb0s1Tlg2UkpOSmhWbjVSXzQ5TC01NFgwbkh1LUpJQjRMcXVuWkFqZGZtendGRjNyWEQ3TEhhenE5Y2tOcW4tLXhLTkg5SUlNaFAwZUFXUXoyZzBjemc4N2l2R2Y0QVhRS181c0FfaGJ5bjloRXJ3?oc=5</x:v>
      </x:c>
      <x:c r="Z20" s="18" t="n">
        <x:v>46268.37222222222</x:v>
      </x:c>
      <x:c r="AA20" s="18" t="n">
        <x:v>46275.38862103009</x:v>
      </x:c>
      <x:c r="AB20" s="18" t="str">
        <x:v>public_rss</x:v>
      </x:c>
      <x:c r="AC20" s="18" t="str">
        <x:v>READY</x:v>
      </x:c>
    </x:row>
    <x:row r="21">
      <x:c r="A21" s="18" t="str">
        <x:v>NYT-63-76fe10cd7d9bc795</x:v>
      </x:c>
      <x:c r="B21" s="18" t="str">
        <x:v>Throwball: Why 4 international gold medals couldn't land Amardeep Kumar a job in Jharkhand - thebridge.in</x:v>
      </x:c>
      <x:c r="C21" s="18" t="str">
        <x:v>2026-09-10</x:v>
      </x:c>
      <x:c r="D21" s="18" t="n">
        <x:v>2026</x:v>
      </x:c>
      <x:c r="E21" s="18" t="str">
        <x:v>2026-09</x:v>
      </x:c>
      <x:c r="F21" s="18" t="str"/>
      <x:c r="G21" s="18" t="str">
        <x:v>India sports ministry federation policy governance</x:v>
      </x:c>
      <x:c r="H21" s="18" t="str"/>
      <x:c r="I21" s="18" t="str">
        <x:v>thebridge.in</x:v>
      </x:c>
      <x:c r="J21" s="20" t="str"/>
      <x:c r="K21" s="18" t="str"/>
      <x:c r="L21" s="18" t="str">
        <x:v>Throwball: Why 4 international gold medals couldn't land Amardeep Kumar a job in Jharkhand - thebridge.in</x:v>
      </x:c>
      <x:c r="M21" s="18" t="str">
        <x:v>thebridge.in</x:v>
      </x:c>
      <x:c r="N21" s="18" t="str">
        <x:v>India sports ministry federation policy governance</x:v>
      </x:c>
      <x:c r="O21" s="18" t="n">
        <x:v>46275.2465625</x:v>
      </x:c>
      <x:c r="P21" s="18" t="str">
        <x:v>https://thebridge.in</x:v>
      </x:c>
      <x:c r="Q21" s="18" t="str">
        <x:v>DEFINED_TERMINAL_OR_FEED_SCOPE</x:v>
      </x:c>
      <x:c r="R21" s="18" t="str">
        <x:v>news_sports_governance_14d.json — published records loaded</x:v>
      </x:c>
      <x:c r="S21" s="18" t="str"/>
      <x:c r="T21" s="18" t="str"/>
      <x:c r="U21" s="20" t="n">
        <x:v>34</x:v>
      </x:c>
      <x:c r="V21" s="19" t="n">
        <x:f>IFERROR(TODAY()-DATEVALUE(C21),"")</x:f>
        <x:v>0</x:v>
      </x:c>
      <x:c r="W21" s="21" t="n">
        <x:f>ROUND(COUNTA(A21:K21)/11*100,0)</x:f>
        <x:v>100</x:v>
      </x:c>
      <x:c r="X21" s="18" t="str">
        <x:v>Google News RSS</x:v>
      </x:c>
      <x:c r="Y21" s="22" t="str">
        <x:v>https://news.google.com/rss/articles/CBMiowFBVV95cUxPaVF4WW13cHNRUXVSa2lNanJ1LTB3TFRsRDJRdzQ2X2V1T2tMeHY4aDlpUi1rVWV0djQ1U21TVlJXTVQxTFZTUElwMGdoOGx6Mk1jOGw3SG1icm91YUx4dzFxaUhvVGpQbzZkWFo0cjJ2UUVMdUJXOXNTdHJiTDg4OVpvYTBoLWJnSW5pTGxtYUxnZGRFeUJ6RVV2cDRTamFEQk130gGjAUFVX3lxTE9pUXhZbXdwc1FRdVJraU1qcnUtMHdMVGxEMlF3NDZfZXVPa0x4djhoOWlSLWtVZXR2NDVTbVNWUldNVDFMVlNQSXAwZ2g4bHoyTWM4bDdIbWJyb3VhTHh3MXFpSG9UalBvNmRYWjRyMnZRRUx1Qlc5c1N0cmJMODg5Wm9hMGgtYmdJbmlMbG1hTGdkZEV5QnpFVXZwNFNqYURCTXc?oc=5</x:v>
      </x:c>
      <x:c r="Z21" s="18" t="n">
        <x:v>46275.2465625</x:v>
      </x:c>
      <x:c r="AA21" s="18" t="n">
        <x:v>46275.38862103009</x:v>
      </x:c>
      <x:c r="AB21" s="18" t="str">
        <x:v>public_rss</x:v>
      </x:c>
      <x:c r="AC21" s="18" t="str">
        <x:v>READY</x:v>
      </x:c>
    </x:row>
    <x:row r="22">
      <x:c r="A22" s="18" t="str">
        <x:v>NYT-63-3f9e3f4927d858bb</x:v>
      </x:c>
      <x:c r="B22" s="18" t="str">
        <x:v>Delhi High Court allows All India Carrom Federation to use ‘India’ in name - thenewsmill.com</x:v>
      </x:c>
      <x:c r="C22" s="18" t="str">
        <x:v>2026-09-03</x:v>
      </x:c>
      <x:c r="D22" s="18" t="n">
        <x:v>2026</x:v>
      </x:c>
      <x:c r="E22" s="18" t="str">
        <x:v>2026-09</x:v>
      </x:c>
      <x:c r="F22" s="18" t="str"/>
      <x:c r="G22" s="18" t="str">
        <x:v>India sports ministry federation policy governance</x:v>
      </x:c>
      <x:c r="H22" s="18" t="str"/>
      <x:c r="I22" s="18" t="str">
        <x:v>thenewsmill.com</x:v>
      </x:c>
      <x:c r="J22" s="20" t="str"/>
      <x:c r="K22" s="18" t="str"/>
      <x:c r="L22" s="18" t="str">
        <x:v>Delhi High Court allows All India Carrom Federation to use ‘India’ in name - thenewsmill.com</x:v>
      </x:c>
      <x:c r="M22" s="18" t="str">
        <x:v>thenewsmill.com</x:v>
      </x:c>
      <x:c r="N22" s="18" t="str">
        <x:v>India sports ministry federation policy governance</x:v>
      </x:c>
      <x:c r="O22" s="18" t="n">
        <x:v>46268.373090277775</x:v>
      </x:c>
      <x:c r="P22" s="18" t="str">
        <x:v>https://thenewsmill.com</x:v>
      </x:c>
      <x:c r="Q22" s="18" t="str">
        <x:v>DEFINED_TERMINAL_OR_FEED_SCOPE</x:v>
      </x:c>
      <x:c r="R22" s="18" t="str">
        <x:v>news_sports_governance_14d.json — published records loaded</x:v>
      </x:c>
      <x:c r="S22" s="18" t="str"/>
      <x:c r="T22" s="18" t="str"/>
      <x:c r="U22" s="20" t="n">
        <x:v>34</x:v>
      </x:c>
      <x:c r="V22" s="19" t="n">
        <x:f>IFERROR(TODAY()-DATEVALUE(C22),"")</x:f>
        <x:v>7</x:v>
      </x:c>
      <x:c r="W22" s="21" t="n">
        <x:f>ROUND(COUNTA(A22:K22)/11*100,0)</x:f>
        <x:v>100</x:v>
      </x:c>
      <x:c r="X22" s="18" t="str">
        <x:v>Google News RSS</x:v>
      </x:c>
      <x:c r="Y22" s="22" t="str">
        <x:v>https://news.google.com/rss/articles/CBMixAFBVV95cUxQTlNEbTBZUjZIZmhOMlAwR25razhtNXItOTZYcWR2ZnNSX21TMW1FZ3pwVVVwTC1qMFZubzkzYmt1VUZYSzlsR2ZVd1k4RVpXRkNOSXNEczNSZHFGUElRVnFGLUNWeTdNMWc5cEpRVm9UVGtROG9uaU1TUEhRa2lkUnh2cHFYWWVIR1N2OC1tbFpDZTNnU3ZPWnpuMWlYYjlfaldtbDhRbW9aODFJLUtqbGJGQU1GaEM5MGVDblV1czcxejY4?oc=5</x:v>
      </x:c>
      <x:c r="Z22" s="18" t="n">
        <x:v>46268.373090277775</x:v>
      </x:c>
      <x:c r="AA22" s="18" t="n">
        <x:v>46275.38862103009</x:v>
      </x:c>
      <x:c r="AB22" s="18" t="str">
        <x:v>public_rss</x:v>
      </x:c>
      <x:c r="AC22" s="18" t="str">
        <x:v>READY</x:v>
      </x:c>
    </x:row>
    <x:row r="23">
      <x:c r="A23" s="18" t="str">
        <x:v>NYT-63-8bc600315a270db7</x:v>
      </x:c>
      <x:c r="B23" s="18" t="str">
        <x:v>Ranjit Bajaj moves court over delayed elections in Indian football's governing body - India Today</x:v>
      </x:c>
      <x:c r="C23" s="18" t="str">
        <x:v>2026-09-08</x:v>
      </x:c>
      <x:c r="D23" s="18" t="n">
        <x:v>2026</x:v>
      </x:c>
      <x:c r="E23" s="18" t="str">
        <x:v>2026-09</x:v>
      </x:c>
      <x:c r="F23" s="18" t="str"/>
      <x:c r="G23" s="18" t="str">
        <x:v>India sports ministry federation policy governance</x:v>
      </x:c>
      <x:c r="H23" s="18" t="str"/>
      <x:c r="I23" s="18" t="str">
        <x:v>India Today</x:v>
      </x:c>
      <x:c r="J23" s="20" t="str"/>
      <x:c r="K23" s="18" t="str"/>
      <x:c r="L23" s="18" t="str">
        <x:v>Ranjit Bajaj moves court over delayed elections in Indian football's governing body - India Today</x:v>
      </x:c>
      <x:c r="M23" s="18" t="str">
        <x:v>India Today</x:v>
      </x:c>
      <x:c r="N23" s="18" t="str">
        <x:v>India sports ministry federation policy governance</x:v>
      </x:c>
      <x:c r="O23" s="18" t="n">
        <x:v>46273.59774305556</x:v>
      </x:c>
      <x:c r="P23" s="18" t="str">
        <x:v>https://www.indiatoday.in</x:v>
      </x:c>
      <x:c r="Q23" s="18" t="str">
        <x:v>DEFINED_TERMINAL_OR_FEED_SCOPE</x:v>
      </x:c>
      <x:c r="R23" s="18" t="str">
        <x:v>news_sports_governance_14d.json — published records loaded</x:v>
      </x:c>
      <x:c r="S23" s="18" t="str"/>
      <x:c r="T23" s="18" t="str"/>
      <x:c r="U23" s="20" t="n">
        <x:v>34</x:v>
      </x:c>
      <x:c r="V23" s="19" t="n">
        <x:f>IFERROR(TODAY()-DATEVALUE(C23),"")</x:f>
        <x:v>2</x:v>
      </x:c>
      <x:c r="W23" s="21" t="n">
        <x:f>ROUND(COUNTA(A23:K23)/11*100,0)</x:f>
        <x:v>100</x:v>
      </x:c>
      <x:c r="X23" s="18" t="str">
        <x:v>Google News RSS</x:v>
      </x:c>
      <x:c r="Y23" s="22" t="str">
        <x:v>https://news.google.com/rss/articles/CBMiuwFBVV95cUxQM0FFZEtYVjJGM05aUnZidTdNX2QwSEVpSnZvSTVkWFdXd2lZM3pncTNlYVVaY1U3RnFtYkpyZTVHNXpRcFQycUUzWFBsYlJxNGVJY01NbW51aFNNbVZSa3NNSlZFSWU4VkRsVG9PQ2JTVjBYZXVwRHRlcGdEcU14eG1SeGxnWjNWNmQxQWZjSXRHZkFkbzBnYWxTcGFabS1wcW9tc0VlRWxrYmJQQkNrRG9yUkxJUzFTRFRn0gHAAUFVX3lxTFB3bVAySmQ1cFNUdzNqY2VsdzZOQk9MRWpTMDZDeWVaamFVZUlXbVpreEx1WlFxRVRZcWtaVF9oRmNxNUh4bTJFX2RZX1dnN3c0Y0cyV1RDV05CVXEwOXZUX0lJZUxKZ0l0V3FhVlZMbmtXd3RHd2dSR3BoZDJQcHpCR1BxdTBFQ3BwenBzOVBraGRNZXZ3bUVrM1EteGNWRTE3ak1Vejc0THJUbUdKNjNJRW1pcGVlMUY5VEprRHZOaA?oc=5</x:v>
      </x:c>
      <x:c r="Z23" s="18" t="n">
        <x:v>46273.59774305556</x:v>
      </x:c>
      <x:c r="AA23" s="18" t="n">
        <x:v>46275.38862103009</x:v>
      </x:c>
      <x:c r="AB23" s="18" t="str">
        <x:v>public_rss</x:v>
      </x:c>
      <x:c r="AC23" s="18" t="str">
        <x:v>READY</x:v>
      </x:c>
    </x:row>
    <x:row r="24">
      <x:c r="A24" s="18" t="str">
        <x:v>NYT-63-e2643fbfe3aa08ab</x:v>
      </x:c>
      <x:c r="B24" s="18" t="str">
        <x:v>Sports Ministry invites applications for new Yogasana national federation - thebridge.in</x:v>
      </x:c>
      <x:c r="C24" s="18" t="str">
        <x:v>2026-09-04</x:v>
      </x:c>
      <x:c r="D24" s="18" t="n">
        <x:v>2026</x:v>
      </x:c>
      <x:c r="E24" s="18" t="str">
        <x:v>2026-09</x:v>
      </x:c>
      <x:c r="F24" s="18" t="str"/>
      <x:c r="G24" s="18" t="str">
        <x:v>India sports ministry federation policy governance</x:v>
      </x:c>
      <x:c r="H24" s="18" t="str"/>
      <x:c r="I24" s="18" t="str">
        <x:v>thebridge.in</x:v>
      </x:c>
      <x:c r="J24" s="20" t="str"/>
      <x:c r="K24" s="18" t="str"/>
      <x:c r="L24" s="18" t="str">
        <x:v>Sports Ministry invites applications for new Yogasana national federation - thebridge.in</x:v>
      </x:c>
      <x:c r="M24" s="18" t="str">
        <x:v>thebridge.in</x:v>
      </x:c>
      <x:c r="N24" s="18" t="str">
        <x:v>India sports ministry federation policy governance</x:v>
      </x:c>
      <x:c r="O24" s="18" t="n">
        <x:v>46269.31230324074</x:v>
      </x:c>
      <x:c r="P24" s="18" t="str">
        <x:v>https://thebridge.in</x:v>
      </x:c>
      <x:c r="Q24" s="18" t="str">
        <x:v>DEFINED_TERMINAL_OR_FEED_SCOPE</x:v>
      </x:c>
      <x:c r="R24" s="18" t="str">
        <x:v>news_sports_governance_14d.json — published records loaded</x:v>
      </x:c>
      <x:c r="S24" s="18" t="str"/>
      <x:c r="T24" s="18" t="str"/>
      <x:c r="U24" s="20" t="n">
        <x:v>34</x:v>
      </x:c>
      <x:c r="V24" s="19" t="n">
        <x:f>IFERROR(TODAY()-DATEVALUE(C24),"")</x:f>
        <x:v>6</x:v>
      </x:c>
      <x:c r="W24" s="21" t="n">
        <x:f>ROUND(COUNTA(A24:K24)/11*100,0)</x:f>
        <x:v>100</x:v>
      </x:c>
      <x:c r="X24" s="18" t="str">
        <x:v>Google News RSS</x:v>
      </x:c>
      <x:c r="Y24" s="22" t="str">
        <x:v>https://news.google.com/rss/articles/CBMikwFBVV95cUxOSVFfbTRLbWdneGMyTHVIcWEyZ2xWank5T3RXZlpZMWtUUDZsb0gtQktsR1N0M3RJTkxDSkdnT0FyNGRGUFphTlNaWFctNzdIUXVhTXJNdEI2T1o5U2VDMEJ0dUhvdkZCOFI0SHNjLTVnTDByVnd4WGlqRTQyTjJRZGk1aUpralhDVG9wZm9EaG1mbEHSAZgBQVVfeXFMUHdpVXdldmdRRGdENVBLYWhTWEF0Rmd0WmhpSGVuZHJVME5WRTg0aXREeDBqcVZfb3QySVkxbjhVamtzeEJYNWNwSy1Yejk2MkdQRE5OY29HazBpSHh6eFgtZUFwaHVaV0tQbi0yQmUwNzdMYlZDR3p1X2JBZUFRNnI3N19CMVFEa3hZeEkzWmpucmxJY2w0N20?oc=5</x:v>
      </x:c>
      <x:c r="Z24" s="18" t="n">
        <x:v>46269.31230324074</x:v>
      </x:c>
      <x:c r="AA24" s="18" t="n">
        <x:v>46275.38862103009</x:v>
      </x:c>
      <x:c r="AB24" s="18" t="str">
        <x:v>public_rss</x:v>
      </x:c>
      <x:c r="AC24" s="18" t="str">
        <x:v>READY</x:v>
      </x:c>
    </x:row>
    <x:row r="25">
      <x:c r="A25" s="18" t="str">
        <x:v>NYT-63-94f46e562cf76dfa</x:v>
      </x:c>
      <x:c r="B25" s="18" t="str">
        <x:v>Indian Olympic Association Set To Approve Key Constitutional Changes - Rediff</x:v>
      </x:c>
      <x:c r="C25" s="18" t="str">
        <x:v>2026-09-07</x:v>
      </x:c>
      <x:c r="D25" s="18" t="n">
        <x:v>2026</x:v>
      </x:c>
      <x:c r="E25" s="18" t="str">
        <x:v>2026-09</x:v>
      </x:c>
      <x:c r="F25" s="18" t="str"/>
      <x:c r="G25" s="18" t="str">
        <x:v>India sports ministry federation policy governance</x:v>
      </x:c>
      <x:c r="H25" s="18" t="str"/>
      <x:c r="I25" s="18" t="str">
        <x:v>Rediff</x:v>
      </x:c>
      <x:c r="J25" s="20" t="str"/>
      <x:c r="K25" s="18" t="str"/>
      <x:c r="L25" s="18" t="str">
        <x:v>Indian Olympic Association Set To Approve Key Constitutional Changes - Rediff</x:v>
      </x:c>
      <x:c r="M25" s="18" t="str">
        <x:v>Rediff</x:v>
      </x:c>
      <x:c r="N25" s="18" t="str">
        <x:v>India sports ministry federation policy governance</x:v>
      </x:c>
      <x:c r="O25" s="18" t="n">
        <x:v>46272.587905092594</x:v>
      </x:c>
      <x:c r="P25" s="18" t="str">
        <x:v>https://www.rediff.com</x:v>
      </x:c>
      <x:c r="Q25" s="18" t="str">
        <x:v>DEFINED_TERMINAL_OR_FEED_SCOPE</x:v>
      </x:c>
      <x:c r="R25" s="18" t="str">
        <x:v>news_sports_governance_14d.json — published records loaded</x:v>
      </x:c>
      <x:c r="S25" s="18" t="str"/>
      <x:c r="T25" s="18" t="str"/>
      <x:c r="U25" s="20" t="n">
        <x:v>34</x:v>
      </x:c>
      <x:c r="V25" s="19" t="n">
        <x:f>IFERROR(TODAY()-DATEVALUE(C25),"")</x:f>
        <x:v>3</x:v>
      </x:c>
      <x:c r="W25" s="21" t="n">
        <x:f>ROUND(COUNTA(A25:K25)/11*100,0)</x:f>
        <x:v>100</x:v>
      </x:c>
      <x:c r="X25" s="18" t="str">
        <x:v>Google News RSS</x:v>
      </x:c>
      <x:c r="Y25" s="22" t="str">
        <x:v>https://news.google.com/rss/articles/CBMirwFBVV95cUxOZTJLZVRlN2d6WnJ3Z2Q0eVlQT0otSE1DU3hYaERYeTBWR0NIaW1nUDBsTFYwc1I5Vl9wWm4wMXN1QXNoREpXMHI3ejBFNUlCMEZWV2FvYUoyMldOX0NhUHdTMFdieFFKazAzM3BuT0UxbFpDRDl0THl0U3M1MnNJR2cwSjlldnYzYXBaLWxwS2dDS290bnMxUE81M3p4QVpIWlZORzJKaFVaRkpfc04w0gGyAUFVX3lxTE5sOFVnZXBlb3Zha1J5ekNrQnpWWVZtNXZsZVhGZlFqbUJxWHpPTndUNDdFR3c2dHVrV2d0SGl4R2JfcjFoN25pNjc5SmhKS1I2dnA4cUFMeFB0QzBlVVZpZjlHak9xVWVLMmt2ZlhnTWdaQkt3bGpEMEx0bnItWGlEYlp3YUFnWkg3MThydEhobVA4aC1XbmhXaTMxdkdzSTZyMWF1dVRpNnRxTTBySThxNWc?oc=5</x:v>
      </x:c>
      <x:c r="Z25" s="18" t="n">
        <x:v>46272.587905092594</x:v>
      </x:c>
      <x:c r="AA25" s="18" t="n">
        <x:v>46275.38862103009</x:v>
      </x:c>
      <x:c r="AB25" s="18" t="str">
        <x:v>public_rss</x:v>
      </x:c>
      <x:c r="AC25" s="18" t="str">
        <x:v>READY</x:v>
      </x:c>
    </x:row>
    <x:row r="26">
      <x:c r="A26" s="18" t="str">
        <x:v>NYT-63-979641b4f2a24e45</x:v>
      </x:c>
      <x:c r="B26" s="18" t="str">
        <x:v>Indian Golf Union Aligns With National Sports Governance Act - Rediff</x:v>
      </x:c>
      <x:c r="C26" s="18" t="str">
        <x:v>2026-09-08</x:v>
      </x:c>
      <x:c r="D26" s="18" t="n">
        <x:v>2026</x:v>
      </x:c>
      <x:c r="E26" s="18" t="str">
        <x:v>2026-09</x:v>
      </x:c>
      <x:c r="F26" s="18" t="str"/>
      <x:c r="G26" s="18" t="str">
        <x:v>India sports ministry federation policy governance</x:v>
      </x:c>
      <x:c r="H26" s="18" t="str"/>
      <x:c r="I26" s="18" t="str">
        <x:v>Rediff</x:v>
      </x:c>
      <x:c r="J26" s="20" t="str"/>
      <x:c r="K26" s="18" t="str"/>
      <x:c r="L26" s="18" t="str">
        <x:v>Indian Golf Union Aligns With National Sports Governance Act - Rediff</x:v>
      </x:c>
      <x:c r="M26" s="18" t="str">
        <x:v>Rediff</x:v>
      </x:c>
      <x:c r="N26" s="18" t="str">
        <x:v>India sports ministry federation policy governance</x:v>
      </x:c>
      <x:c r="O26" s="18" t="n">
        <x:v>46273.4031712963</x:v>
      </x:c>
      <x:c r="P26" s="18" t="str">
        <x:v>https://www.rediff.com</x:v>
      </x:c>
      <x:c r="Q26" s="18" t="str">
        <x:v>DEFINED_TERMINAL_OR_FEED_SCOPE</x:v>
      </x:c>
      <x:c r="R26" s="18" t="str">
        <x:v>news_sports_governance_14d.json — published records loaded</x:v>
      </x:c>
      <x:c r="S26" s="18" t="str"/>
      <x:c r="T26" s="18" t="str"/>
      <x:c r="U26" s="20" t="n">
        <x:v>34</x:v>
      </x:c>
      <x:c r="V26" s="19" t="n">
        <x:f>IFERROR(TODAY()-DATEVALUE(C26),"")</x:f>
        <x:v>2</x:v>
      </x:c>
      <x:c r="W26" s="21" t="n">
        <x:f>ROUND(COUNTA(A26:K26)/11*100,0)</x:f>
        <x:v>100</x:v>
      </x:c>
      <x:c r="X26" s="18" t="str">
        <x:v>Google News RSS</x:v>
      </x:c>
      <x:c r="Y26" s="22" t="str">
        <x:v>https://news.google.com/rss/articles/CBMipgFBVV95cUxPOWtRbHhPRmVFTXdZSDUyY3lEYnR5OThoTzBRNzI5cXY2RlVmMmFwRDRIRG8yWlhFWG5qWUMyNWRmQTBWV2hyMnFHdW1hUWdPRUt2eFF2OTdySUFLSTdMelpnUnFnMWZDdFdsYWcwTUtMbnh1TzdMQUZIVUhORExpWW4zOEtOV05vMGxVSVpicWs0cDc4Q2hHQTFnSVJwSVloVmRPbFp30gGoAUFVX3lxTFA5NGRybDd6ZVdXMTNWMnRwVm1MSE5KZXVoTjNobGt2M1BfLUgxdGRBZ3dTZDFNSzczbWhDNFo0UzZDQWg1ZW8yRlRBcnR0T2RWeXVHblFoU1ZOS2hHbWhyWVowdEtGMW9rQTRZLU12cmRob1JPbEtZajVtWi03RDJ0SWQ2b2tCRjJsWTZlc2lhVEQtTWxneHVCMEVhNW9BUFY5ZEY3UVZVTA?oc=5</x:v>
      </x:c>
      <x:c r="Z26" s="18" t="n">
        <x:v>46273.4031712963</x:v>
      </x:c>
      <x:c r="AA26" s="18" t="n">
        <x:v>46275.38862103009</x:v>
      </x:c>
      <x:c r="AB26" s="18" t="str">
        <x:v>public_rss</x:v>
      </x:c>
      <x:c r="AC26" s="18" t="str">
        <x:v>READY</x:v>
      </x:c>
    </x:row>
    <x:row r="27">
      <x:c r="A27" s="18" t="str">
        <x:v>NYT-63-c2b9d025b3d81ebb</x:v>
      </x:c>
      <x:c r="B27" s="18" t="str">
        <x:v>Indian Olympic Association Aligns Constitution With National Sports Governance Act - Rediff</x:v>
      </x:c>
      <x:c r="C27" s="18" t="str">
        <x:v>2026-09-08</x:v>
      </x:c>
      <x:c r="D27" s="18" t="n">
        <x:v>2026</x:v>
      </x:c>
      <x:c r="E27" s="18" t="str">
        <x:v>2026-09</x:v>
      </x:c>
      <x:c r="F27" s="18" t="str"/>
      <x:c r="G27" s="18" t="str">
        <x:v>India sports ministry federation policy governance</x:v>
      </x:c>
      <x:c r="H27" s="18" t="str"/>
      <x:c r="I27" s="18" t="str">
        <x:v>Rediff</x:v>
      </x:c>
      <x:c r="J27" s="20" t="str"/>
      <x:c r="K27" s="18" t="str"/>
      <x:c r="L27" s="18" t="str">
        <x:v>Indian Olympic Association Aligns Constitution With National Sports Governance Act - Rediff</x:v>
      </x:c>
      <x:c r="M27" s="18" t="str">
        <x:v>Rediff</x:v>
      </x:c>
      <x:c r="N27" s="18" t="str">
        <x:v>India sports ministry federation policy governance</x:v>
      </x:c>
      <x:c r="O27" s="18" t="n">
        <x:v>46273.6387962963</x:v>
      </x:c>
      <x:c r="P27" s="18" t="str">
        <x:v>https://www.rediff.com</x:v>
      </x:c>
      <x:c r="Q27" s="18" t="str">
        <x:v>DEFINED_TERMINAL_OR_FEED_SCOPE</x:v>
      </x:c>
      <x:c r="R27" s="18" t="str">
        <x:v>news_sports_governance_14d.json — published records loaded</x:v>
      </x:c>
      <x:c r="S27" s="18" t="str"/>
      <x:c r="T27" s="18" t="str"/>
      <x:c r="U27" s="20" t="n">
        <x:v>34</x:v>
      </x:c>
      <x:c r="V27" s="19" t="n">
        <x:f>IFERROR(TODAY()-DATEVALUE(C27),"")</x:f>
        <x:v>2</x:v>
      </x:c>
      <x:c r="W27" s="21" t="n">
        <x:f>ROUND(COUNTA(A27:K27)/11*100,0)</x:f>
        <x:v>100</x:v>
      </x:c>
      <x:c r="X27" s="18" t="str">
        <x:v>Google News RSS</x:v>
      </x:c>
      <x:c r="Y27" s="22" t="str">
        <x:v>https://news.google.com/rss/articles/CBMipwFBVV95cUxNVWxKTG02Y1UySHBxTGk4bkFfYUdHWl9vOUZXTkp6d2F6RWVwWnptd2I5YmZvQV8wQ1d4cFdSY1c3ZDRwaThjY0NmVmJDRmhVSTVlRVhkRU0teU5zV1RYZ1hucTRKMEY4WEx1YkhRcUlxMl9FMDBibEYtTHB3RFlOdDRZM3AySnpmUnBOOG5LVnhja2dESkZ3TE0tVjdvV0FmbEpvX01rMNIBqgFBVV95cUxNMTlUbV9QSDdWVGU2Y2huOTBCRWdiOVRCOTZnbVNLQW5id2FuNkFicHo3eEFOOW9DQjBMTlhiYUNWQ3B5SFBuRHFGSE11bGpXT2tYa3Y2N1JiT0JGUnlTazNYX3FMMkRFQVBjUnQ2MTNxcFJoanpNYkNZU3RWaWtmYi03VFdXanBYU0c3U3lQZWZUdmE2R2ZqZWpNdEwzclJGUFhPckJTanhFUQ?oc=5</x:v>
      </x:c>
      <x:c r="Z27" s="18" t="n">
        <x:v>46273.6387962963</x:v>
      </x:c>
      <x:c r="AA27" s="18" t="n">
        <x:v>46275.38862103009</x:v>
      </x:c>
      <x:c r="AB27" s="18" t="str">
        <x:v>public_rss</x:v>
      </x:c>
      <x:c r="AC27" s="18" t="str">
        <x:v>READY</x:v>
      </x:c>
    </x:row>
    <x:row r="28">
      <x:c r="A28" s="18" t="str">
        <x:v>NYT-63-e4228b2307c9f56b</x:v>
      </x:c>
      <x:c r="B28" s="18" t="str">
        <x:v>39th National Games likely in March 2027 in Meghalaya - thegoan.net</x:v>
      </x:c>
      <x:c r="C28" s="18" t="str">
        <x:v>2026-09-08</x:v>
      </x:c>
      <x:c r="D28" s="18" t="n">
        <x:v>2026</x:v>
      </x:c>
      <x:c r="E28" s="18" t="str">
        <x:v>2026-09</x:v>
      </x:c>
      <x:c r="F28" s="18" t="str"/>
      <x:c r="G28" s="18" t="str">
        <x:v>India sports ministry federation policy governance</x:v>
      </x:c>
      <x:c r="H28" s="18" t="str"/>
      <x:c r="I28" s="18" t="str">
        <x:v>thegoan.net</x:v>
      </x:c>
      <x:c r="J28" s="20" t="str"/>
      <x:c r="K28" s="18" t="str"/>
      <x:c r="L28" s="18" t="str">
        <x:v>39th National Games likely in March 2027 in Meghalaya - thegoan.net</x:v>
      </x:c>
      <x:c r="M28" s="18" t="str">
        <x:v>thegoan.net</x:v>
      </x:c>
      <x:c r="N28" s="18" t="str">
        <x:v>India sports ministry federation policy governance</x:v>
      </x:c>
      <x:c r="O28" s="18" t="n">
        <x:v>46273.793969907405</x:v>
      </x:c>
      <x:c r="P28" s="18" t="str">
        <x:v>https://www.thegoan.net</x:v>
      </x:c>
      <x:c r="Q28" s="18" t="str">
        <x:v>DEFINED_TERMINAL_OR_FEED_SCOPE</x:v>
      </x:c>
      <x:c r="R28" s="18" t="str">
        <x:v>news_sports_governance_14d.json — published records loaded</x:v>
      </x:c>
      <x:c r="S28" s="18" t="str"/>
      <x:c r="T28" s="18" t="str"/>
      <x:c r="U28" s="20" t="n">
        <x:v>34</x:v>
      </x:c>
      <x:c r="V28" s="19" t="n">
        <x:f>IFERROR(TODAY()-DATEVALUE(C28),"")</x:f>
        <x:v>2</x:v>
      </x:c>
      <x:c r="W28" s="21" t="n">
        <x:f>ROUND(COUNTA(A28:K28)/11*100,0)</x:f>
        <x:v>100</x:v>
      </x:c>
      <x:c r="X28" s="18" t="str">
        <x:v>Google News RSS</x:v>
      </x:c>
      <x:c r="Y28" s="22" t="str">
        <x:v>https://news.google.com/rss/articles/CBMinAFBVV95cUxOZmpnaE55TUdhMm5mLXZ6SDJIbnNKcWVEZ21uampfRmtFRnBCaEh5bUo3QXdaeXE3RThJNmZRLTgxOTFRcGRFdUxOMm5HQmRiZjBlckZWaTBmZ2p1S2J0RGsyVjRRVDBJRG1INVlMNnRNcFFnM2FBaG52SEkzLThsd19ZbmVUcFhSZm1WU0xnQXdGam42cExONE1yOG8?oc=5</x:v>
      </x:c>
      <x:c r="Z28" s="18" t="n">
        <x:v>46273.793969907405</x:v>
      </x:c>
      <x:c r="AA28" s="18" t="n">
        <x:v>46275.38862103009</x:v>
      </x:c>
      <x:c r="AB28" s="18" t="str">
        <x:v>public_rss</x:v>
      </x:c>
      <x:c r="AC28" s="18" t="str">
        <x:v>READY</x:v>
      </x:c>
    </x:row>
    <x:row r="29">
      <x:c r="A29" s="18" t="str">
        <x:v>NYT-63-e46299bb2ce11867</x:v>
      </x:c>
      <x:c r="B29" s="18" t="str">
        <x:v>8th Central Pay Commission – Prayer by Retired Employees Welfare Association for amendment in ToR regarding revision of Pension and Family Pension - Staff News</x:v>
      </x:c>
      <x:c r="C29" s="18" t="str">
        <x:v>2026-09-08</x:v>
      </x:c>
      <x:c r="D29" s="18" t="n">
        <x:v>2026</x:v>
      </x:c>
      <x:c r="E29" s="18" t="str">
        <x:v>2026-09</x:v>
      </x:c>
      <x:c r="F29" s="18" t="str"/>
      <x:c r="G29" s="18" t="str">
        <x:v>India sports ministry federation policy governance</x:v>
      </x:c>
      <x:c r="H29" s="18" t="str"/>
      <x:c r="I29" s="18" t="str">
        <x:v>Staff News</x:v>
      </x:c>
      <x:c r="J29" s="20" t="str"/>
      <x:c r="K29" s="18" t="str"/>
      <x:c r="L29" s="18" t="str">
        <x:v>8th Central Pay Commission – Prayer by Retired Employees Welfare Association for amendment in ToR regarding revision of Pension and Family Pension - Staff News</x:v>
      </x:c>
      <x:c r="M29" s="18" t="str">
        <x:v>Staff News</x:v>
      </x:c>
      <x:c r="N29" s="18" t="str">
        <x:v>India sports ministry federation policy governance</x:v>
      </x:c>
      <x:c r="O29" s="18" t="n">
        <x:v>46273.14103009259</x:v>
      </x:c>
      <x:c r="P29" s="18" t="str">
        <x:v>https://www.staffnews.in</x:v>
      </x:c>
      <x:c r="Q29" s="18" t="str">
        <x:v>DEFINED_TERMINAL_OR_FEED_SCOPE</x:v>
      </x:c>
      <x:c r="R29" s="18" t="str">
        <x:v>news_sports_governance_14d.json — published records loaded</x:v>
      </x:c>
      <x:c r="S29" s="18" t="str"/>
      <x:c r="T29" s="18" t="str"/>
      <x:c r="U29" s="20" t="n">
        <x:v>34</x:v>
      </x:c>
      <x:c r="V29" s="19" t="n">
        <x:f>IFERROR(TODAY()-DATEVALUE(C29),"")</x:f>
        <x:v>2</x:v>
      </x:c>
      <x:c r="W29" s="21" t="n">
        <x:f>ROUND(COUNTA(A29:K29)/11*100,0)</x:f>
        <x:v>100</x:v>
      </x:c>
      <x:c r="X29" s="18" t="str">
        <x:v>Google News RSS</x:v>
      </x:c>
      <x:c r="Y29" s="22" t="str">
        <x:v>https://news.google.com/rss/articles/CBMisgFBVV95cUxOSm5hbkUxc3U0YTc5elZvZ2NYVG1mcWZwQk9IMk9IS2hfOXdMSXA1NVhvUTdSM1pMY3FzU0RNZG1Rdzlma1hySVBLMTBkNzd1eGRmcUpqZzZxWmtUSFVNQXltVjNwTV9xSFNNb3piMUJMQ2VIS2hSanAwcDB3VlhFN0FfNkU3TlFzd3ZhZ0drUTgtSm1Vc2I5SEpZTlI4RjR3MVZZRHhYdkYzSThUbHdiWUp3?oc=5</x:v>
      </x:c>
      <x:c r="Z29" s="18" t="n">
        <x:v>46273.14103009259</x:v>
      </x:c>
      <x:c r="AA29" s="18" t="n">
        <x:v>46275.38862103009</x:v>
      </x:c>
      <x:c r="AB29" s="18" t="str">
        <x:v>public_rss</x:v>
      </x:c>
      <x:c r="AC29" s="18" t="str">
        <x:v>READY</x:v>
      </x:c>
    </x:row>
    <x:row r="30">
      <x:c r="A30" s="18" t="str">
        <x:v>NYT-63-90407cdc972e1b49</x:v>
      </x:c>
      <x:c r="B30" s="18" t="str">
        <x:v>BCCI Vs Sports Governance Act Explained: Why OCA Elections Have Sparked A Governance Confusion - Outlook India</x:v>
      </x:c>
      <x:c r="C30" s="18" t="str">
        <x:v>2026-08-29</x:v>
      </x:c>
      <x:c r="D30" s="18" t="n">
        <x:v>2026</x:v>
      </x:c>
      <x:c r="E30" s="18" t="str">
        <x:v>2026-08</x:v>
      </x:c>
      <x:c r="F30" s="18" t="str"/>
      <x:c r="G30" s="18" t="str">
        <x:v>India sports ministry federation policy governance</x:v>
      </x:c>
      <x:c r="H30" s="18" t="str"/>
      <x:c r="I30" s="18" t="str">
        <x:v>Outlook India</x:v>
      </x:c>
      <x:c r="J30" s="20" t="str"/>
      <x:c r="K30" s="18" t="str"/>
      <x:c r="L30" s="18" t="str">
        <x:v>BCCI Vs Sports Governance Act Explained: Why OCA Elections Have Sparked A Governance Confusion - Outlook India</x:v>
      </x:c>
      <x:c r="M30" s="18" t="str">
        <x:v>Outlook India</x:v>
      </x:c>
      <x:c r="N30" s="18" t="str">
        <x:v>India sports ministry federation policy governance</x:v>
      </x:c>
      <x:c r="O30" s="18" t="n">
        <x:v>46263.291666666664</x:v>
      </x:c>
      <x:c r="P30" s="18" t="str">
        <x:v>https://www.outlookindia.com</x:v>
      </x:c>
      <x:c r="Q30" s="18" t="str">
        <x:v>DEFINED_TERMINAL_OR_FEED_SCOPE</x:v>
      </x:c>
      <x:c r="R30" s="18" t="str">
        <x:v>news_sports_governance_14d.json — published records loaded</x:v>
      </x:c>
      <x:c r="S30" s="18" t="str"/>
      <x:c r="T30" s="18" t="str"/>
      <x:c r="U30" s="20" t="n">
        <x:v>34</x:v>
      </x:c>
      <x:c r="V30" s="19" t="n">
        <x:f>IFERROR(TODAY()-DATEVALUE(C30),"")</x:f>
        <x:v>12</x:v>
      </x:c>
      <x:c r="W30" s="21" t="n">
        <x:f>ROUND(COUNTA(A30:K30)/11*100,0)</x:f>
        <x:v>100</x:v>
      </x:c>
      <x:c r="X30" s="18" t="str">
        <x:v>Google News RSS</x:v>
      </x:c>
      <x:c r="Y30" s="22" t="str">
        <x:v>https://news.google.com/rss/articles/CBMi0gFBVV95cUxOVXZUZUhXUjY0NDZ0ZW1XTW4tbjBFUUNXMnR6bnVtM18yNzF0UlV5blgyT1NVVGtjaUdNTnV1QllwMjRYazZLU0d2d0QxcHdncjNZN2ZtbjhWNHljY3R0MmtsMVd5b0plLW1jMnlKaTZBZFp4NmoyZFhZTGtWVENmR1FJdVVNWGgwUUdILVNaX3R2blViT2RwTWZpZnp3R1Fvd3VzR2Y4cjJhU3hHUENLaE5GOXY3T055bU5KbTlQcmRPV0FJYm9lV1Q3UWJ4VFMxWnfSAd8BQVVfeXFMT3ZIbnQzaEY4enZZRlJfbkowSTRkOU43b1FaYUk3NmlHYUdWay13WGxRQ2JPbkJ3dEE0Uno5S0w4TXpBTENpWVVGLXZydXFpdHN1QldZS2k5NmpBLV9URnFRYmNEZEVsR3hnSk5IYmNFbEppSk45ekZrVlluS2VtZUxkTGZDbHRFVXlpT3Z5YXhzTWdsbU9VbEVrSzRvYkpubXJRZW9aTm1pbFAxYUpjQnJuNzFUVzNTaG9mMnEwdlJHeGVGZnJnS2g5amRCYmRwXzdwaTZqczhFMUxLa1JuQQ?oc=5</x:v>
      </x:c>
      <x:c r="Z30" s="18" t="n">
        <x:v>46263.291666666664</x:v>
      </x:c>
      <x:c r="AA30" s="18" t="n">
        <x:v>46275.38862103009</x:v>
      </x:c>
      <x:c r="AB30" s="18" t="str">
        <x:v>public_rss</x:v>
      </x:c>
      <x:c r="AC30" s="18" t="str">
        <x:v>READY</x:v>
      </x:c>
    </x:row>
    <x:row r="31">
      <x:c r="A31" s="18" t="str">
        <x:v>NYT-63-6a5cca31eff5521b</x:v>
      </x:c>
      <x:c r="B31" s="18" t="str">
        <x:v>Sohra Half Marathon 2026 Draws 11,672 Runners - Passionate In Marketing</x:v>
      </x:c>
      <x:c r="C31" s="18" t="str">
        <x:v>2026-09-07</x:v>
      </x:c>
      <x:c r="D31" s="18" t="n">
        <x:v>2026</x:v>
      </x:c>
      <x:c r="E31" s="18" t="str">
        <x:v>2026-09</x:v>
      </x:c>
      <x:c r="F31" s="18" t="str"/>
      <x:c r="G31" s="18" t="str">
        <x:v>India sports ministry federation policy governance</x:v>
      </x:c>
      <x:c r="H31" s="18" t="str"/>
      <x:c r="I31" s="18" t="str">
        <x:v>Passionate In Marketing</x:v>
      </x:c>
      <x:c r="J31" s="20" t="str"/>
      <x:c r="K31" s="18" t="str"/>
      <x:c r="L31" s="18" t="str">
        <x:v>Sohra Half Marathon 2026 Draws 11,672 Runners - Passionate In Marketing</x:v>
      </x:c>
      <x:c r="M31" s="18" t="str">
        <x:v>Passionate In Marketing</x:v>
      </x:c>
      <x:c r="N31" s="18" t="str">
        <x:v>India sports ministry federation policy governance</x:v>
      </x:c>
      <x:c r="O31" s="18" t="n">
        <x:v>46272.408159722225</x:v>
      </x:c>
      <x:c r="P31" s="18" t="str">
        <x:v>https://www.passionateinmarketing.com</x:v>
      </x:c>
      <x:c r="Q31" s="18" t="str">
        <x:v>DEFINED_TERMINAL_OR_FEED_SCOPE</x:v>
      </x:c>
      <x:c r="R31" s="18" t="str">
        <x:v>news_sports_governance_14d.json — published records loaded</x:v>
      </x:c>
      <x:c r="S31" s="18" t="str"/>
      <x:c r="T31" s="18" t="str"/>
      <x:c r="U31" s="20" t="n">
        <x:v>34</x:v>
      </x:c>
      <x:c r="V31" s="19" t="n">
        <x:f>IFERROR(TODAY()-DATEVALUE(C31),"")</x:f>
        <x:v>3</x:v>
      </x:c>
      <x:c r="W31" s="21" t="n">
        <x:f>ROUND(COUNTA(A31:K31)/11*100,0)</x:f>
        <x:v>100</x:v>
      </x:c>
      <x:c r="X31" s="18" t="str">
        <x:v>Google News RSS</x:v>
      </x:c>
      <x:c r="Y31" s="22" t="str">
        <x:v>https://news.google.com/rss/articles/CBMingFBVV95cUxPVE5vLWFJeE55Q0ZuTWw4Szh5aFhlWEUwNDc3bFg4TnBaSEZsbW5xVVZQcW1LcVJkSHBFTllnaExvVGFKTU5GX1ZSRFMzR0NUREYyY2Q3c1NCRldVMS1fN2VJRXZzdVNlcnJwREpCRVNtNXNTbUdJVmpVR1BxWFN1V2JxTFU5ZThsRXJIZUlPblFDVTRXNHNRYzRKM1ByQQ?oc=5</x:v>
      </x:c>
      <x:c r="Z31" s="18" t="n">
        <x:v>46272.408159722225</x:v>
      </x:c>
      <x:c r="AA31" s="18" t="n">
        <x:v>46275.38862103009</x:v>
      </x:c>
      <x:c r="AB31" s="18" t="str">
        <x:v>public_rss</x:v>
      </x:c>
      <x:c r="AC31" s="18" t="str">
        <x:v>READY</x:v>
      </x:c>
    </x:row>
    <x:row r="32">
      <x:c r="A32" s="18" t="str">
        <x:v>NYT-63-94c198f511af3b56</x:v>
      </x:c>
      <x:c r="B32" s="18" t="str">
        <x:v>Amit Shah | Indian Politician, BJP Leader, Career, Family, &amp; Facts - Britannica</x:v>
      </x:c>
      <x:c r="C32" s="18" t="str">
        <x:v>2026-08-29</x:v>
      </x:c>
      <x:c r="D32" s="18" t="n">
        <x:v>2026</x:v>
      </x:c>
      <x:c r="E32" s="18" t="str">
        <x:v>2026-08</x:v>
      </x:c>
      <x:c r="F32" s="18" t="str"/>
      <x:c r="G32" s="18" t="str">
        <x:v>India sports ministry federation policy governance</x:v>
      </x:c>
      <x:c r="H32" s="18" t="str"/>
      <x:c r="I32" s="18" t="str">
        <x:v>Britannica</x:v>
      </x:c>
      <x:c r="J32" s="20" t="str"/>
      <x:c r="K32" s="18" t="str"/>
      <x:c r="L32" s="18" t="str">
        <x:v>Amit Shah | Indian Politician, BJP Leader, Career, Family, &amp; Facts - Britannica</x:v>
      </x:c>
      <x:c r="M32" s="18" t="str">
        <x:v>Britannica</x:v>
      </x:c>
      <x:c r="N32" s="18" t="str">
        <x:v>India sports ministry federation policy governance</x:v>
      </x:c>
      <x:c r="O32" s="18" t="n">
        <x:v>46263.291666666664</x:v>
      </x:c>
      <x:c r="P32" s="18" t="str">
        <x:v>https://www.britannica.com</x:v>
      </x:c>
      <x:c r="Q32" s="18" t="str">
        <x:v>DEFINED_TERMINAL_OR_FEED_SCOPE</x:v>
      </x:c>
      <x:c r="R32" s="18" t="str">
        <x:v>news_sports_governance_14d.json — published records loaded</x:v>
      </x:c>
      <x:c r="S32" s="18" t="str"/>
      <x:c r="T32" s="18" t="str"/>
      <x:c r="U32" s="20" t="n">
        <x:v>34</x:v>
      </x:c>
      <x:c r="V32" s="19" t="n">
        <x:f>IFERROR(TODAY()-DATEVALUE(C32),"")</x:f>
        <x:v>12</x:v>
      </x:c>
      <x:c r="W32" s="21" t="n">
        <x:f>ROUND(COUNTA(A32:K32)/11*100,0)</x:f>
        <x:v>100</x:v>
      </x:c>
      <x:c r="X32" s="18" t="str">
        <x:v>Google News RSS</x:v>
      </x:c>
      <x:c r="Y32" s="22" t="str">
        <x:v>https://news.google.com/rss/articles/CBMiWkFVX3lxTFBEcGE2dEkyd2pFbXl5R0RmTkh3VWs0TlVhN2U0Z056UmhFcnZrT3IyNVhFa0N6Z3JPX3czc3VjS3duZkZMRm52SlZIUlhLV2JYbW1ZS0FFd0IwZw?oc=5</x:v>
      </x:c>
      <x:c r="Z32" s="18" t="n">
        <x:v>46263.291666666664</x:v>
      </x:c>
      <x:c r="AA32" s="18" t="n">
        <x:v>46275.38862103009</x:v>
      </x:c>
      <x:c r="AB32" s="18" t="str">
        <x:v>public_rss</x:v>
      </x:c>
      <x:c r="AC32" s="18" t="str">
        <x:v>READY</x:v>
      </x:c>
    </x:row>
    <x:row r="33">
      <x:c r="A33" s="18" t="str">
        <x:v>NYT-63-42b7855b933d5ca7</x:v>
      </x:c>
      <x:c r="B33" s="18" t="str">
        <x:v>Delhi High Court Protects Due Process in Withdrawal of National Sports Federation Recognition - The Legal Affair</x:v>
      </x:c>
      <x:c r="C33" s="18" t="str">
        <x:v>2026-09-09</x:v>
      </x:c>
      <x:c r="D33" s="18" t="n">
        <x:v>2026</x:v>
      </x:c>
      <x:c r="E33" s="18" t="str">
        <x:v>2026-09</x:v>
      </x:c>
      <x:c r="F33" s="18" t="str"/>
      <x:c r="G33" s="18" t="str">
        <x:v>India sports ministry federation policy governance</x:v>
      </x:c>
      <x:c r="H33" s="18" t="str"/>
      <x:c r="I33" s="18" t="str">
        <x:v>The Legal Affair</x:v>
      </x:c>
      <x:c r="J33" s="20" t="str"/>
      <x:c r="K33" s="18" t="str"/>
      <x:c r="L33" s="18" t="str">
        <x:v>Delhi High Court Protects Due Process in Withdrawal of National Sports Federation Recognition - The Legal Affair</x:v>
      </x:c>
      <x:c r="M33" s="18" t="str">
        <x:v>The Legal Affair</x:v>
      </x:c>
      <x:c r="N33" s="18" t="str">
        <x:v>India sports ministry federation policy governance</x:v>
      </x:c>
      <x:c r="O33" s="18" t="n">
        <x:v>46274.18614583334</x:v>
      </x:c>
      <x:c r="P33" s="18" t="str">
        <x:v>https://thelegalaffair.com</x:v>
      </x:c>
      <x:c r="Q33" s="18" t="str">
        <x:v>DEFINED_TERMINAL_OR_FEED_SCOPE</x:v>
      </x:c>
      <x:c r="R33" s="18" t="str">
        <x:v>news_sports_governance_14d.json — published records loaded</x:v>
      </x:c>
      <x:c r="S33" s="18" t="str"/>
      <x:c r="T33" s="18" t="str"/>
      <x:c r="U33" s="20" t="n">
        <x:v>34</x:v>
      </x:c>
      <x:c r="V33" s="19" t="n">
        <x:f>IFERROR(TODAY()-DATEVALUE(C33),"")</x:f>
        <x:v>1</x:v>
      </x:c>
      <x:c r="W33" s="21" t="n">
        <x:f>ROUND(COUNTA(A33:K33)/11*100,0)</x:f>
        <x:v>100</x:v>
      </x:c>
      <x:c r="X33" s="18" t="str">
        <x:v>Google News RSS</x:v>
      </x:c>
      <x:c r="Y33" s="22" t="str">
        <x:v>https://news.google.com/rss/articles/CBMixAFBVV95cUxNb3VPS0ZUM2dweUlVcTBpb1FKalhwUDZ2VWZGRmwxR0dYc1FqMnZSbHdweEZUQnAxRlF2U0toRHpGNktQaEdhZ2ZJU3UxSVQyWDhONm9ZSzdxQ01ZLWY0YWN6Z01xOFZYRDNpQVh6a3piT2QwY2JrVEVtWU9ybzVhS3JlZ2N2RWhzVjNINEtTbjBxcHJYVG91SHRzWnNXMDE0WTBpWVQ3THNua0thaVZ6dFJfZ2Y5dVU2Rm9POUIwbHlISi1i?oc=5</x:v>
      </x:c>
      <x:c r="Z33" s="18" t="n">
        <x:v>46274.18614583334</x:v>
      </x:c>
      <x:c r="AA33" s="18" t="n">
        <x:v>46275.38862103009</x:v>
      </x:c>
      <x:c r="AB33" s="18" t="str">
        <x:v>public_rss</x:v>
      </x:c>
      <x:c r="AC33" s="18" t="str">
        <x:v>READY</x:v>
      </x:c>
    </x:row>
    <x:row r="34">
      <x:c r="A34" s="18" t="str">
        <x:v>NYT-63-88032cac93213f0b</x:v>
      </x:c>
      <x:c r="B34" s="18" t="str">
        <x:v>India Set for Asian Games Glory: 2026 Contingent Receives Heartfelt Send-Off - Devdiscourse</x:v>
      </x:c>
      <x:c r="C34" s="18" t="str">
        <x:v>2026-09-08</x:v>
      </x:c>
      <x:c r="D34" s="18" t="n">
        <x:v>2026</x:v>
      </x:c>
      <x:c r="E34" s="18" t="str">
        <x:v>2026-09</x:v>
      </x:c>
      <x:c r="F34" s="18" t="str"/>
      <x:c r="G34" s="18" t="str">
        <x:v>India sports ministry federation policy governance</x:v>
      </x:c>
      <x:c r="H34" s="18" t="str"/>
      <x:c r="I34" s="18" t="str">
        <x:v>Devdiscourse</x:v>
      </x:c>
      <x:c r="J34" s="20" t="str"/>
      <x:c r="K34" s="18" t="str"/>
      <x:c r="L34" s="18" t="str">
        <x:v>India Set for Asian Games Glory: 2026 Contingent Receives Heartfelt Send-Off - Devdiscourse</x:v>
      </x:c>
      <x:c r="M34" s="18" t="str">
        <x:v>Devdiscourse</x:v>
      </x:c>
      <x:c r="N34" s="18" t="str">
        <x:v>India sports ministry federation policy governance</x:v>
      </x:c>
      <x:c r="O34" s="18" t="n">
        <x:v>46273.61054398148</x:v>
      </x:c>
      <x:c r="P34" s="18" t="str">
        <x:v>https://www.devdiscourse.com</x:v>
      </x:c>
      <x:c r="Q34" s="18" t="str">
        <x:v>DEFINED_TERMINAL_OR_FEED_SCOPE</x:v>
      </x:c>
      <x:c r="R34" s="18" t="str">
        <x:v>news_sports_governance_14d.json — published records loaded</x:v>
      </x:c>
      <x:c r="S34" s="18" t="str"/>
      <x:c r="T34" s="18" t="str"/>
      <x:c r="U34" s="20" t="n">
        <x:v>34</x:v>
      </x:c>
      <x:c r="V34" s="19" t="n">
        <x:f>IFERROR(TODAY()-DATEVALUE(C34),"")</x:f>
        <x:v>2</x:v>
      </x:c>
      <x:c r="W34" s="21" t="n">
        <x:f>ROUND(COUNTA(A34:K34)/11*100,0)</x:f>
        <x:v>100</x:v>
      </x:c>
      <x:c r="X34" s="18" t="str">
        <x:v>Google News RSS</x:v>
      </x:c>
      <x:c r="Y34" s="22" t="str">
        <x:v>https://news.google.com/rss/articles/CBMi0wFBVV95cUxPN0s0T2FWREhhNl82V1hyYU9kVlh5OXdhZ2ZfYVBXcmFUX09yeWRiSEVlZ2FuN2otZWpiQ1N2NVB6bGNvVEQtcGMxVlVrblBVLURKakFlSmJPS0NXbmZmb2Z2T3llNkxEUnVGbTR4SjI3SWpvMFMtUlZEOHc5U1NRTG9PWGVQODdCLU8wdUZoZnl1bFhRblJQNlZHN0hlcHRsay1QNEdjMm01N3d4S05hYmhUMm4xWGx3ZmhLTzl1VXJnY0E1U2hNTnNLM09XeG1ZOHdz0gHTAUFVX3lxTE83SzRPYVZESGE2XzZXWHJhT2RWWHk5d2FnZl9hUFdyYVRfT3J5ZGJIRWVnYW43ai1lamJDU3Y1UHpsY29URC1wYzFWVWtuUFUtREpqQWVKYk9LQ1duZmZvZnZPeWU2TERSdUZtNHhKMjdJam8wUy1SVkQ4dzlTU1FMb09YZVA4N0ItTzB1RmhmeXVsWFFuUlA2Vkc3SGVwdGxrLVA0R2MybTU3d3hLTmFiaFQybjFYbHdmaEtPOXVVcmdjQTVTaE1Oc0szT1d4bVk4d3M?oc=5</x:v>
      </x:c>
      <x:c r="Z34" s="18" t="n">
        <x:v>46273.61054398148</x:v>
      </x:c>
      <x:c r="AA34" s="18" t="n">
        <x:v>46275.38862103009</x:v>
      </x:c>
      <x:c r="AB34" s="18" t="str">
        <x:v>public_rss</x:v>
      </x:c>
      <x:c r="AC34" s="18" t="str">
        <x:v>READY</x:v>
      </x:c>
    </x:row>
    <x:row r="35">
      <x:c r="A35" s="18" t="str">
        <x:v>NYT-63-34ab98673e08e725</x:v>
      </x:c>
      <x:c r="B35" s="18" t="str">
        <x:v>India's participation in int'l tournament guided by sports ministry policy: MEA on SAF 2027 in Pak - inkl</x:v>
      </x:c>
      <x:c r="C35" s="18" t="str">
        <x:v>2026-09-08</x:v>
      </x:c>
      <x:c r="D35" s="18" t="n">
        <x:v>2026</x:v>
      </x:c>
      <x:c r="E35" s="18" t="str">
        <x:v>2026-09</x:v>
      </x:c>
      <x:c r="F35" s="18" t="str"/>
      <x:c r="G35" s="18" t="str">
        <x:v>India sports ministry federation policy governance</x:v>
      </x:c>
      <x:c r="H35" s="18" t="str"/>
      <x:c r="I35" s="18" t="str">
        <x:v>inkl</x:v>
      </x:c>
      <x:c r="J35" s="20" t="str"/>
      <x:c r="K35" s="18" t="str"/>
      <x:c r="L35" s="18" t="str">
        <x:v>India's participation in int'l tournament guided by sports ministry policy: MEA on SAF 2027 in Pak - inkl</x:v>
      </x:c>
      <x:c r="M35" s="18" t="str">
        <x:v>inkl</x:v>
      </x:c>
      <x:c r="N35" s="18" t="str">
        <x:v>India sports ministry federation policy governance</x:v>
      </x:c>
      <x:c r="O35" s="18" t="n">
        <x:v>46273.70347222222</x:v>
      </x:c>
      <x:c r="P35" s="18" t="str">
        <x:v>https://www.inkl.com</x:v>
      </x:c>
      <x:c r="Q35" s="18" t="str">
        <x:v>DEFINED_TERMINAL_OR_FEED_SCOPE</x:v>
      </x:c>
      <x:c r="R35" s="18" t="str">
        <x:v>news_sports_governance_14d.json — published records loaded</x:v>
      </x:c>
      <x:c r="S35" s="18" t="str"/>
      <x:c r="T35" s="18" t="str"/>
      <x:c r="U35" s="20" t="n">
        <x:v>34</x:v>
      </x:c>
      <x:c r="V35" s="19" t="n">
        <x:f>IFERROR(TODAY()-DATEVALUE(C35),"")</x:f>
        <x:v>2</x:v>
      </x:c>
      <x:c r="W35" s="21" t="n">
        <x:f>ROUND(COUNTA(A35:K35)/11*100,0)</x:f>
        <x:v>100</x:v>
      </x:c>
      <x:c r="X35" s="18" t="str">
        <x:v>Google News RSS</x:v>
      </x:c>
      <x:c r="Y35" s="22" t="str">
        <x:v>https://news.google.com/rss/articles/CBMivgFBVV95cUxPYUh1UW5MZFR6cFJCWXpVdkRLdlllV0ljOUk0UVo4eU5HNFZxTkFIUWJuUUxrUVZMRWdscmhySUVqZUtzd1hrY25CYkV2VGRYUE1ZVC1pRUo0TmpDZlcwR2RPcE9ERUhqcGMtakl4OXN6cnliRGJBSHJBS0h5S0Y5QXd0bUYzdkhGRHhkZWxLdzZsZVgwMl8wSXhIaXVHaWtBd1N3Y1AtLVJENWYwTUYxbmlvNVBEMndkT0FkNF9B?oc=5</x:v>
      </x:c>
      <x:c r="Z35" s="18" t="n">
        <x:v>46273.70347222222</x:v>
      </x:c>
      <x:c r="AA35" s="18" t="n">
        <x:v>46275.38862103009</x:v>
      </x:c>
      <x:c r="AB35" s="18" t="str">
        <x:v>public_rss</x:v>
      </x:c>
      <x:c r="AC35" s="18" t="str">
        <x:v>READY</x:v>
      </x:c>
    </x:row>
    <x:row r="36">
      <x:c r="A36" s="18" t="str">
        <x:v>NYT-63-216051cdaf5a4abf</x:v>
      </x:c>
      <x:c r="B36" s="18" t="str">
        <x:v>5 countries FIFA banned over government interference in football - Vanguard News</x:v>
      </x:c>
      <x:c r="C36" s="18" t="str">
        <x:v>2026-09-01</x:v>
      </x:c>
      <x:c r="D36" s="18" t="n">
        <x:v>2026</x:v>
      </x:c>
      <x:c r="E36" s="18" t="str">
        <x:v>2026-09</x:v>
      </x:c>
      <x:c r="F36" s="18" t="str"/>
      <x:c r="G36" s="18" t="str">
        <x:v>India sports ministry federation policy governance</x:v>
      </x:c>
      <x:c r="H36" s="18" t="str"/>
      <x:c r="I36" s="18" t="str">
        <x:v>Vanguard News</x:v>
      </x:c>
      <x:c r="J36" s="20" t="str"/>
      <x:c r="K36" s="18" t="str"/>
      <x:c r="L36" s="18" t="str">
        <x:v>5 countries FIFA banned over government interference in football - Vanguard News</x:v>
      </x:c>
      <x:c r="M36" s="18" t="str">
        <x:v>Vanguard News</x:v>
      </x:c>
      <x:c r="N36" s="18" t="str">
        <x:v>India sports ministry federation policy governance</x:v>
      </x:c>
      <x:c r="O36" s="18" t="n">
        <x:v>46266.613275462965</x:v>
      </x:c>
      <x:c r="P36" s="18" t="str">
        <x:v>https://www.vanguardngr.com</x:v>
      </x:c>
      <x:c r="Q36" s="18" t="str">
        <x:v>DEFINED_TERMINAL_OR_FEED_SCOPE</x:v>
      </x:c>
      <x:c r="R36" s="18" t="str">
        <x:v>news_sports_governance_14d.json — published records loaded</x:v>
      </x:c>
      <x:c r="S36" s="18" t="str"/>
      <x:c r="T36" s="18" t="str"/>
      <x:c r="U36" s="20" t="n">
        <x:v>34</x:v>
      </x:c>
      <x:c r="V36" s="19" t="n">
        <x:f>IFERROR(TODAY()-DATEVALUE(C36),"")</x:f>
        <x:v>9</x:v>
      </x:c>
      <x:c r="W36" s="21" t="n">
        <x:f>ROUND(COUNTA(A36:K36)/11*100,0)</x:f>
        <x:v>100</x:v>
      </x:c>
      <x:c r="X36" s="18" t="str">
        <x:v>Google News RSS</x:v>
      </x:c>
      <x:c r="Y36" s="22" t="str">
        <x:v>https://news.google.com/rss/articles/CBMiowFBVV95cUxOZ2toN1VyTTN5eFYxbTNjTzdpU0RDSWs0Z2IwMmdLS3Y3N0k3NUE0LTUxaVZwams1MXRhcGNCZ1VBUGtzWHA2bTdpNUMyZDBJaGFzUndxeWFlVGprLTZzQjZ3MkhDaVhyTm1YUUdEcDFtMVdqUTEyNTFOYkRkbkJ2bGl2YlZITTZOQURFNnJSWndlbDhUUW8xTENwMU1kcDhvSEdr0gGoAUFVX3lxTE9KQWhVTmExSzZUZDgxQUFUTGNQdTJ1M1d3a1ZycDU0bV9jX2xRVTM3WlA4Y3RKdzg2MGRhakpVc3BKcGMtQjdOR1NpYVBLWFJ6RkhlR3hDYVNCYWViWDFhR2Z4bVlEQnJXdDhMRW9famdtUVJwRnZ6ZGdjYVRiNmI1ZzY0anBRQ1l3X3VqODFWLXlVQ19CbDhLbnoxYVpIeUU1VXdVZ2xzMA?oc=5</x:v>
      </x:c>
      <x:c r="Z36" s="18" t="n">
        <x:v>46266.613275462965</x:v>
      </x:c>
      <x:c r="AA36" s="18" t="n">
        <x:v>46275.38862103009</x:v>
      </x:c>
      <x:c r="AB36" s="18" t="str">
        <x:v>public_rss</x:v>
      </x:c>
      <x:c r="AC36" s="18" t="str">
        <x:v>READY</x:v>
      </x:c>
    </x:row>
    <x:row r="37">
      <x:c r="A37" s="18" t="str">
        <x:v>NYT-63-3813360f2aaf12e0</x:v>
      </x:c>
      <x:c r="B37" s="18" t="str">
        <x:v>Trump administration fires prosecutor in dropped case against politically linked Indian billionaire - NBC News</x:v>
      </x:c>
      <x:c r="C37" s="18" t="str">
        <x:v>2026-09-09</x:v>
      </x:c>
      <x:c r="D37" s="18" t="n">
        <x:v>2026</x:v>
      </x:c>
      <x:c r="E37" s="18" t="str">
        <x:v>2026-09</x:v>
      </x:c>
      <x:c r="F37" s="18" t="str"/>
      <x:c r="G37" s="18" t="str">
        <x:v>India sports ministry federation policy governance</x:v>
      </x:c>
      <x:c r="H37" s="18" t="str"/>
      <x:c r="I37" s="18" t="str">
        <x:v>NBC News</x:v>
      </x:c>
      <x:c r="J37" s="20" t="str"/>
      <x:c r="K37" s="18" t="str"/>
      <x:c r="L37" s="18" t="str">
        <x:v>Trump administration fires prosecutor in dropped case against politically linked Indian billionaire - NBC News</x:v>
      </x:c>
      <x:c r="M37" s="18" t="str">
        <x:v>NBC News</x:v>
      </x:c>
      <x:c r="N37" s="18" t="str">
        <x:v>India sports ministry federation policy governance</x:v>
      </x:c>
      <x:c r="O37" s="18" t="n">
        <x:v>46274.848599537036</x:v>
      </x:c>
      <x:c r="P37" s="18" t="str">
        <x:v>https://www.nbcnews.com</x:v>
      </x:c>
      <x:c r="Q37" s="18" t="str">
        <x:v>DEFINED_TERMINAL_OR_FEED_SCOPE</x:v>
      </x:c>
      <x:c r="R37" s="18" t="str">
        <x:v>news_sports_governance_14d.json — published records loaded</x:v>
      </x:c>
      <x:c r="S37" s="18" t="str"/>
      <x:c r="T37" s="18" t="str"/>
      <x:c r="U37" s="20" t="n">
        <x:v>34</x:v>
      </x:c>
      <x:c r="V37" s="19" t="n">
        <x:f>IFERROR(TODAY()-DATEVALUE(C37),"")</x:f>
        <x:v>1</x:v>
      </x:c>
      <x:c r="W37" s="21" t="n">
        <x:f>ROUND(COUNTA(A37:K37)/11*100,0)</x:f>
        <x:v>100</x:v>
      </x:c>
      <x:c r="X37" s="18" t="str">
        <x:v>Google News RSS</x:v>
      </x:c>
      <x:c r="Y37" s="22" t="str">
        <x:v>https://news.google.com/rss/articles/CBMizAFBVV95cUxPVlZoeUFjLTZMUEFNUzFuandDVkhYWTZRbDJVQlhLLWZLdjFPQTBPRmx4bjVRLWNYYzhWMFB5RUp0QU1VQXhpWkZuSWpjMHRabnhSZ29BMHpENXdnZTlFR19qRXdPenhRQU0xcmJpMW1ya1VRRllKQVptS3NvRVhPalNlbnhHQ1hzaktZQ1B5ZmFSYlZqWndvamUzT05Vb1YyOHNSMG5zMXY5VFJDM3hFNEQ5VnljTW5NdzhWNUluRXFFOE1WLXpSUU5LOWk?oc=5</x:v>
      </x:c>
      <x:c r="Z37" s="18" t="n">
        <x:v>46274.848599537036</x:v>
      </x:c>
      <x:c r="AA37" s="18" t="n">
        <x:v>46275.38862103009</x:v>
      </x:c>
      <x:c r="AB37" s="18" t="str">
        <x:v>public_rss</x:v>
      </x:c>
      <x:c r="AC37" s="18" t="str">
        <x:v>READY</x:v>
      </x:c>
    </x:row>
    <x:row r="38">
      <x:c r="A38" s="18" t="str">
        <x:v>NYT-63-b348be5077a97ea4</x:v>
      </x:c>
      <x:c r="B38" s="18" t="str">
        <x:v>Federal judge tosses Trump lawsuit over trans athletes in California school sports - inkl</x:v>
      </x:c>
      <x:c r="C38" s="18" t="str">
        <x:v>2026-09-02</x:v>
      </x:c>
      <x:c r="D38" s="18" t="n">
        <x:v>2026</x:v>
      </x:c>
      <x:c r="E38" s="18" t="str">
        <x:v>2026-09</x:v>
      </x:c>
      <x:c r="F38" s="18" t="str"/>
      <x:c r="G38" s="18" t="str">
        <x:v>India sports ministry federation policy governance</x:v>
      </x:c>
      <x:c r="H38" s="18" t="str"/>
      <x:c r="I38" s="18" t="str">
        <x:v>inkl</x:v>
      </x:c>
      <x:c r="J38" s="20" t="str"/>
      <x:c r="K38" s="18" t="str"/>
      <x:c r="L38" s="18" t="str">
        <x:v>Federal judge tosses Trump lawsuit over trans athletes in California school sports - inkl</x:v>
      </x:c>
      <x:c r="M38" s="18" t="str">
        <x:v>inkl</x:v>
      </x:c>
      <x:c r="N38" s="18" t="str">
        <x:v>India sports ministry federation policy governance</x:v>
      </x:c>
      <x:c r="O38" s="18" t="n">
        <x:v>46267.18783564815</x:v>
      </x:c>
      <x:c r="P38" s="18" t="str">
        <x:v>https://www.inkl.com</x:v>
      </x:c>
      <x:c r="Q38" s="18" t="str">
        <x:v>DEFINED_TERMINAL_OR_FEED_SCOPE</x:v>
      </x:c>
      <x:c r="R38" s="18" t="str">
        <x:v>news_sports_governance_14d.json — published records loaded</x:v>
      </x:c>
      <x:c r="S38" s="18" t="str"/>
      <x:c r="T38" s="18" t="str"/>
      <x:c r="U38" s="20" t="n">
        <x:v>34</x:v>
      </x:c>
      <x:c r="V38" s="19" t="n">
        <x:f>IFERROR(TODAY()-DATEVALUE(C38),"")</x:f>
        <x:v>8</x:v>
      </x:c>
      <x:c r="W38" s="21" t="n">
        <x:f>ROUND(COUNTA(A38:K38)/11*100,0)</x:f>
        <x:v>100</x:v>
      </x:c>
      <x:c r="X38" s="18" t="str">
        <x:v>Google News RSS</x:v>
      </x:c>
      <x:c r="Y38" s="22" t="str">
        <x:v>https://news.google.com/rss/articles/CBMitAFBVV95cUxNZDNwOE8zY1gtWVA0ZllBYWhKbUhQVnI2VlRXVlgzOTNFaElsdTFxV21uWVo2OW9lMklwTzdzRHVnZ1dUOFVFMTJZN1dZSVpTVXl6T2ptQVJOWFJ2ODBoS3E5Tmp0UnliLTB0eG9USGl5OXpocmZQaGdJYkl1X0hNQW1uMUp3NGJBUm5TMzd1RUhqcmZBM3M5eDA0OXg1QUtNT0F0ek1tXzhSVS1zOWZLb2VJT2o?oc=5</x:v>
      </x:c>
      <x:c r="Z38" s="18" t="n">
        <x:v>46267.18783564815</x:v>
      </x:c>
      <x:c r="AA38" s="18" t="n">
        <x:v>46275.38862103009</x:v>
      </x:c>
      <x:c r="AB38" s="18" t="str">
        <x:v>public_rss</x:v>
      </x:c>
      <x:c r="AC38" s="18" t="str">
        <x:v>READY</x:v>
      </x:c>
    </x:row>
    <x:row r="39">
      <x:c r="A39" s="18" t="str">
        <x:v>NYT-63-44f5e2f5a80ede32</x:v>
      </x:c>
      <x:c r="B39" s="18" t="str">
        <x:v>Analysis | Rich in talent, poor in support: Kerala’s sports crisis - Onmanorama</x:v>
      </x:c>
      <x:c r="C39" s="18" t="str">
        <x:v>2026-08-29</x:v>
      </x:c>
      <x:c r="D39" s="18" t="n">
        <x:v>2026</x:v>
      </x:c>
      <x:c r="E39" s="18" t="str">
        <x:v>2026-08</x:v>
      </x:c>
      <x:c r="F39" s="18" t="str"/>
      <x:c r="G39" s="18" t="str">
        <x:v>India sports ministry federation policy governance</x:v>
      </x:c>
      <x:c r="H39" s="18" t="str"/>
      <x:c r="I39" s="18" t="str">
        <x:v>Onmanorama</x:v>
      </x:c>
      <x:c r="J39" s="20" t="str"/>
      <x:c r="K39" s="18" t="str"/>
      <x:c r="L39" s="18" t="str">
        <x:v>Analysis | Rich in talent, poor in support: Kerala’s sports crisis - Onmanorama</x:v>
      </x:c>
      <x:c r="M39" s="18" t="str">
        <x:v>Onmanorama</x:v>
      </x:c>
      <x:c r="N39" s="18" t="str">
        <x:v>India sports ministry federation policy governance</x:v>
      </x:c>
      <x:c r="O39" s="18" t="n">
        <x:v>46263.291666666664</x:v>
      </x:c>
      <x:c r="P39" s="18" t="str">
        <x:v>https://www.onmanorama.com</x:v>
      </x:c>
      <x:c r="Q39" s="18" t="str">
        <x:v>DEFINED_TERMINAL_OR_FEED_SCOPE</x:v>
      </x:c>
      <x:c r="R39" s="18" t="str">
        <x:v>news_sports_governance_14d.json — published records loaded</x:v>
      </x:c>
      <x:c r="S39" s="18" t="str"/>
      <x:c r="T39" s="18" t="str"/>
      <x:c r="U39" s="20" t="n">
        <x:v>34</x:v>
      </x:c>
      <x:c r="V39" s="19" t="n">
        <x:f>IFERROR(TODAY()-DATEVALUE(C39),"")</x:f>
        <x:v>12</x:v>
      </x:c>
      <x:c r="W39" s="21" t="n">
        <x:f>ROUND(COUNTA(A39:K39)/11*100,0)</x:f>
        <x:v>100</x:v>
      </x:c>
      <x:c r="X39" s="18" t="str">
        <x:v>Google News RSS</x:v>
      </x:c>
      <x:c r="Y39" s="22" t="str">
        <x:v>https://news.google.com/rss/articles/CBMiuAFBVV95cUxPbHZORjQxVzRXalJEbzVIT05mNFJtMnY0M3JFM3pIZFhLZU1ta2huZ015TVVlUXNjNVg1VkNCbTMtRDVFYkVvTDA5cDNKUGZ3eWVPZUpYdkQ2Wi0za3VaRkFndm1NNzNXOE5IRmNhc1RFNUZFRWxFZnd1angwQzlkdFA4UDUtWVdvN1dmaDFTaENTZFNhckRXWTQyMzVHeUFUNDB4MnNsYXp4a05zc2JraHhrd0JYUHcx0gG4AUFVX3lxTE9sdk5GNDFXNFdqUkRvNUhPTmY0Um0ydjQzckUzekhkWEtlTW1raG5nTXlNVWVRc2M1WDVWQ0JtMy1ENUViRW9MMDlwM0pQZnd5ZU9lSlh2RDZaLTNrdVpGQWd2bU03M1c4TkhGY2FzVEU1RkVFbEVmd3VqeDBDOWR0UDhQNS1ZV283V2ZoMVNoQ1NkU2FyRFdZNDIzNUd5QVQ0MHgyc2xhenhrTnNzYmtoeGt3QlhQdzE?oc=5</x:v>
      </x:c>
      <x:c r="Z39" s="18" t="n">
        <x:v>46263.291666666664</x:v>
      </x:c>
      <x:c r="AA39" s="18" t="n">
        <x:v>46275.38862103009</x:v>
      </x:c>
      <x:c r="AB39" s="18" t="str">
        <x:v>public_rss</x:v>
      </x:c>
      <x:c r="AC39" s="18" t="str">
        <x:v>READY</x:v>
      </x:c>
    </x:row>
    <x:row r="40">
      <x:c r="A40" s="18" t="str">
        <x:v>NYT-63-59ee71d3fcee0ffa</x:v>
      </x:c>
      <x:c r="B40" s="18" t="str">
        <x:v>Supreme Court Questions Why BCCI Should Stay Outside National Sports Governance Act, 2025 - illustrated Daily News</x:v>
      </x:c>
      <x:c r="C40" s="18" t="str">
        <x:v>2026-09-09</x:v>
      </x:c>
      <x:c r="D40" s="18" t="n">
        <x:v>2026</x:v>
      </x:c>
      <x:c r="E40" s="18" t="str">
        <x:v>2026-09</x:v>
      </x:c>
      <x:c r="F40" s="18" t="str"/>
      <x:c r="G40" s="18" t="str">
        <x:v>India sports ministry federation policy governance</x:v>
      </x:c>
      <x:c r="H40" s="18" t="str"/>
      <x:c r="I40" s="18" t="str">
        <x:v>illustrated Daily News</x:v>
      </x:c>
      <x:c r="J40" s="20" t="str"/>
      <x:c r="K40" s="18" t="str"/>
      <x:c r="L40" s="18" t="str">
        <x:v>Supreme Court Questions Why BCCI Should Stay Outside National Sports Governance Act, 2025 - illustrated Daily News</x:v>
      </x:c>
      <x:c r="M40" s="18" t="str">
        <x:v>illustrated Daily News</x:v>
      </x:c>
      <x:c r="N40" s="18" t="str">
        <x:v>India sports ministry federation policy governance</x:v>
      </x:c>
      <x:c r="O40" s="18" t="n">
        <x:v>46274.712013888886</x:v>
      </x:c>
      <x:c r="P40" s="18" t="str">
        <x:v>https://www.illustrateddailynews.com</x:v>
      </x:c>
      <x:c r="Q40" s="18" t="str">
        <x:v>DEFINED_TERMINAL_OR_FEED_SCOPE</x:v>
      </x:c>
      <x:c r="R40" s="18" t="str">
        <x:v>news_sports_governance_14d.json — published records loaded</x:v>
      </x:c>
      <x:c r="S40" s="18" t="str"/>
      <x:c r="T40" s="18" t="str"/>
      <x:c r="U40" s="20" t="n">
        <x:v>34</x:v>
      </x:c>
      <x:c r="V40" s="19" t="n">
        <x:f>IFERROR(TODAY()-DATEVALUE(C40),"")</x:f>
        <x:v>1</x:v>
      </x:c>
      <x:c r="W40" s="21" t="n">
        <x:f>ROUND(COUNTA(A40:K40)/11*100,0)</x:f>
        <x:v>100</x:v>
      </x:c>
      <x:c r="X40" s="18" t="str">
        <x:v>Google News RSS</x:v>
      </x:c>
      <x:c r="Y40" s="22" t="str">
        <x:v>https://news.google.com/rss/articles/CBMi1gFBVV95cUxNbUdpX2MyaERoVkpFN0JIQXUzYVRYbmd4YmcxWkhBQXBhWE1iU3J4azlWelVpNTlRU0xOemxKNGpXRUtPalVQV3RmSG1lS3pjM01CV2tlZzRfbkJQMEU3SmhRMEdPbDg3Q3NqMHU1cm5xdTlhWVdraWg1ODB1WWRQcHhwUlBMNF9aWDRLcC02ZlVIRXhxTDEzWWhnYUk0c255WjJMSmFPXy1nRndtVVMxLXRlMVJXN000NUI1RXNfbWJxZXdFQ1pHSDJuS3gtczJaTFVOS1Jn0gHbAUFVX3lxTFBWRThDVEdYZm92eVE0RG5rUHhFRC10MDVTYnpsbFMxQ3dMMlBHZy1jSDRkUkVhU0FObWpVLU5aUk1YbzM5c0ZXcHpzZ01qRzlVSGUzTjZsYUZ4LUp3a3Raczd1MVI1d1J0X29nenBjUGFjSjdYdWk1Tk1IZTJnTWJGOWtoREJFMlpqSmstZHNhS2FqN1BYZnFhb2dyYktBWWxubFJBSjdFc3ZIU1FzMnFsZ3IyWHB5cWNyRWJOb09WT0dqd2JKNU5zRkdJdUxsd3gwMTE3Nk55b3JRMA?oc=5</x:v>
      </x:c>
      <x:c r="Z40" s="18" t="n">
        <x:v>46274.712013888886</x:v>
      </x:c>
      <x:c r="AA40" s="18" t="n">
        <x:v>46275.38862103009</x:v>
      </x:c>
      <x:c r="AB40" s="18" t="str">
        <x:v>public_rss</x:v>
      </x:c>
      <x:c r="AC40" s="18" t="str">
        <x:v>READY</x:v>
      </x:c>
    </x:row>
    <x:row r="41">
      <x:c r="A41" s="18" t="str">
        <x:v>NYT-63-dcb46bc5c8dc7cf4</x:v>
      </x:c>
      <x:c r="B41" s="18" t="str">
        <x:v>Maharashtra Approves Revised 5% Sports Quota Policy, Mandates Digital Verification Of Certificates - Free Press Journal</x:v>
      </x:c>
      <x:c r="C41" s="18" t="str">
        <x:v>2026-09-08</x:v>
      </x:c>
      <x:c r="D41" s="18" t="n">
        <x:v>2026</x:v>
      </x:c>
      <x:c r="E41" s="18" t="str">
        <x:v>2026-09</x:v>
      </x:c>
      <x:c r="F41" s="18" t="str"/>
      <x:c r="G41" s="18" t="str">
        <x:v>India sports ministry federation policy governance</x:v>
      </x:c>
      <x:c r="H41" s="18" t="str"/>
      <x:c r="I41" s="18" t="str">
        <x:v>Free Press Journal</x:v>
      </x:c>
      <x:c r="J41" s="20" t="str"/>
      <x:c r="K41" s="18" t="str"/>
      <x:c r="L41" s="18" t="str">
        <x:v>Maharashtra Approves Revised 5% Sports Quota Policy, Mandates Digital Verification Of Certificates - Free Press Journal</x:v>
      </x:c>
      <x:c r="M41" s="18" t="str">
        <x:v>Free Press Journal</x:v>
      </x:c>
      <x:c r="N41" s="18" t="str">
        <x:v>India sports ministry federation policy governance</x:v>
      </x:c>
      <x:c r="O41" s="18" t="n">
        <x:v>46273.9509375</x:v>
      </x:c>
      <x:c r="P41" s="18" t="str">
        <x:v>https://www.freepressjournal.in</x:v>
      </x:c>
      <x:c r="Q41" s="18" t="str">
        <x:v>DEFINED_TERMINAL_OR_FEED_SCOPE</x:v>
      </x:c>
      <x:c r="R41" s="18" t="str">
        <x:v>news_sports_governance_14d.json — published records loaded</x:v>
      </x:c>
      <x:c r="S41" s="18" t="str"/>
      <x:c r="T41" s="18" t="str"/>
      <x:c r="U41" s="20" t="n">
        <x:v>34</x:v>
      </x:c>
      <x:c r="V41" s="19" t="n">
        <x:f>IFERROR(TODAY()-DATEVALUE(C41),"")</x:f>
        <x:v>2</x:v>
      </x:c>
      <x:c r="W41" s="21" t="n">
        <x:f>ROUND(COUNTA(A41:K41)/11*100,0)</x:f>
        <x:v>100</x:v>
      </x:c>
      <x:c r="X41" s="18" t="str">
        <x:v>Google News RSS</x:v>
      </x:c>
      <x:c r="Y41" s="22" t="str">
        <x:v>https://news.google.com/rss/articles/CBMi1gFBVV95cUxNTmIxTTFWdHlNTTRwMzFrUE5HWXZfZjZCVEN4cER6UGo5Qy1hdG81R3U4M1R2MWloZG5mQklKdXpEMjY2VlRsVk85Y3dxNGJXUmU0Vzg5VjRvbGRzYmhlNzFfbXJyaDJndE1vakVRMUh0QjBqWGUzbFkwRHFVYkktbkEySWI2NEdidGRJLUt0V2FiOHM5N2VVWGVrUWljUHlkaEdKeUNWVkZPMkZSTG90NjdfTlM3dzJIdkpOMER3QklqSk9WblBkN3hWRTBNUm5tN3Zyc1NR0gHWAUFVX3lxTE1OYjFNMVZ0eU1NNHAzMWtQTkdZdl9mNkJUQ3hwRHpQajlDLWF0bzVHdTgzVHYxaWhkbmZCSUp1ekQyNjZWVGxWTzljd3E0YldSZTRXODlWNG9sZHNiaGU3MV9tcnJoMmd0TW9qRVExSHRCMGpYZTNsWTBEcVViSS1uQTJJYjY0R2J0ZEktS3RXYWI4czk3ZVVYZWtRaWNQeWRoR0p5Q1ZWRk8yRlJMb3Q2N19OUzd3Mkh2Sk4wRHdCSWpKT1ZuUGQ3eFZFME1Sbm03dnJzU1E?oc=5</x:v>
      </x:c>
      <x:c r="Z41" s="18" t="n">
        <x:v>46273.9509375</x:v>
      </x:c>
      <x:c r="AA41" s="18" t="n">
        <x:v>46275.38862103009</x:v>
      </x:c>
      <x:c r="AB41" s="18" t="str">
        <x:v>public_rss</x:v>
      </x:c>
      <x:c r="AC41" s="18" t="str">
        <x:v>READY</x:v>
      </x:c>
    </x:row>
    <x:row r="42">
      <x:c r="A42" s="18" t="str">
        <x:v>NYT-63-ab8a15232b2d3244</x:v>
      </x:c>
      <x:c r="B42" s="18" t="str">
        <x:v>Indian Golf Union Passes Major Governance Reforms Under New Sports Act - myKhel</x:v>
      </x:c>
      <x:c r="C42" s="18" t="str">
        <x:v>2026-09-09</x:v>
      </x:c>
      <x:c r="D42" s="18" t="n">
        <x:v>2026</x:v>
      </x:c>
      <x:c r="E42" s="18" t="str">
        <x:v>2026-09</x:v>
      </x:c>
      <x:c r="F42" s="18" t="str"/>
      <x:c r="G42" s="18" t="str">
        <x:v>India sports ministry federation policy governance</x:v>
      </x:c>
      <x:c r="H42" s="18" t="str"/>
      <x:c r="I42" s="18" t="str">
        <x:v>myKhel</x:v>
      </x:c>
      <x:c r="J42" s="20" t="str"/>
      <x:c r="K42" s="18" t="str"/>
      <x:c r="L42" s="18" t="str">
        <x:v>Indian Golf Union Passes Major Governance Reforms Under New Sports Act - myKhel</x:v>
      </x:c>
      <x:c r="M42" s="18" t="str">
        <x:v>myKhel</x:v>
      </x:c>
      <x:c r="N42" s="18" t="str">
        <x:v>India sports ministry federation policy governance</x:v>
      </x:c>
      <x:c r="O42" s="18" t="n">
        <x:v>46274.22545138889</x:v>
      </x:c>
      <x:c r="P42" s="18" t="str">
        <x:v>https://www.mykhel.com</x:v>
      </x:c>
      <x:c r="Q42" s="18" t="str">
        <x:v>DEFINED_TERMINAL_OR_FEED_SCOPE</x:v>
      </x:c>
      <x:c r="R42" s="18" t="str">
        <x:v>news_sports_governance_14d.json — published records loaded</x:v>
      </x:c>
      <x:c r="S42" s="18" t="str"/>
      <x:c r="T42" s="18" t="str"/>
      <x:c r="U42" s="20" t="n">
        <x:v>34</x:v>
      </x:c>
      <x:c r="V42" s="19" t="n">
        <x:f>IFERROR(TODAY()-DATEVALUE(C42),"")</x:f>
        <x:v>1</x:v>
      </x:c>
      <x:c r="W42" s="21" t="n">
        <x:f>ROUND(COUNTA(A42:K42)/11*100,0)</x:f>
        <x:v>100</x:v>
      </x:c>
      <x:c r="X42" s="18" t="str">
        <x:v>Google News RSS</x:v>
      </x:c>
      <x:c r="Y42" s="22" t="str">
        <x:v>https://news.google.com/rss/articles/CBMiuAFBVV95cUxNai1uMWh3M1lqMkhRZlVwRHg3bmNPLVVTa1V6cGRfRzJFRTBmbXZ5b2ZSaURhQnhsUFRpcEoxVHlVVUwybEVqRV9uaUFEaWlpZVhrejllV0ZXelBKaDZoa01UOVFXbmViMVRtTkowd2lMNng5U2FYUGZDal9wTDdPMW9NQ2c2TnU5Y2tFTTVhOXl1d1MwXzV6c0NTcGJZTDQtaF9oNEx6V2tSVGxzeDM3OGlmcE45WXBt?oc=5</x:v>
      </x:c>
      <x:c r="Z42" s="18" t="n">
        <x:v>46274.22545138889</x:v>
      </x:c>
      <x:c r="AA42" s="18" t="n">
        <x:v>46275.38862103009</x:v>
      </x:c>
      <x:c r="AB42" s="18" t="str">
        <x:v>public_rss</x:v>
      </x:c>
      <x:c r="AC42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e13f99363cc47c0"/>
  <x:tableParts count="1">
    <x:tablePart xmlns:r="http://schemas.openxmlformats.org/officeDocument/2006/relationships" r:id="R64f071df1b19402a"/>
  </x:tableParts>
</x:worksheet>
</file>