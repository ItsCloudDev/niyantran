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791c6bcdc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740d7c4894ba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7d0a2db294303" /><Relationship Type="http://schemas.openxmlformats.org/officeDocument/2006/relationships/theme" Target="/xl/theme/theme1.xml" Id="R0fc9141c411f49d9" /><Relationship Type="http://schemas.openxmlformats.org/officeDocument/2006/relationships/sharedStrings" Target="/xl/sharedStrings.xml" Id="R17f40b6808d6448d" /><Relationship Type="http://schemas.openxmlformats.org/officeDocument/2006/relationships/worksheet" Target="/xl/worksheets/sheet1.xml" Id="R740d7c4894ba43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1ff437a7364449" /><Relationship Type="http://schemas.openxmlformats.org/officeDocument/2006/relationships/chart" Target="/xl/drawings/charts/chart2.xml" Id="Rff48637235d843d1" /><Relationship Type="http://schemas.openxmlformats.org/officeDocument/2006/relationships/chart" Target="/xl/drawings/charts/chart3.xml" Id="Ra5e392becb374c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Karnataka P02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H'!$AZ$3:$AZ$12</c:f>
              <c:strCache>
                <c:ptCount val="0"/>
              </c:strCache>
            </c:strRef>
          </c:cat>
          <c:val>
            <c:numRef>
              <c:f>'F39 High Court Case Tracker — H'!$BA$3:$BA$12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Karnataka P02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Karnataka P02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1ff437a736444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48637235d843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e392becb374c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507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b6e934207b489c" /><Relationship Type="http://schemas.openxmlformats.org/officeDocument/2006/relationships/table" Target="/xl/tables/table1.xml" Id="R88edd8acdd694278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Karnataka P02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499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2026-08-27</x:v>
      </x:c>
      <x:c r="BA3" s="18" t="n">
        <x:v>84</x:v>
      </x:c>
      <x:c r="BC3" s="18" t="str">
        <x:v>Unclassified</x:v>
      </x:c>
      <x:c r="BD3" s="18" t="n">
        <x:v>499</x:v>
      </x:c>
      <x:c r="BF3" s="18" t="str">
        <x:v>Unclassified</x:v>
      </x:c>
      <x:c r="BG3" s="18" t="n">
        <x:v>499</x:v>
      </x:c>
    </x:row>
    <x:row r="4">
      <x:c r="A4" s="9" t="str">
        <x:v>Records</x:v>
      </x:c>
      <x:c r="B4" s="10" t="n">
        <x:v>499</x:v>
      </x:c>
      <x:c r="C4" s="9" t="str">
        <x:v>Dated records</x:v>
      </x:c>
      <x:c r="D4" s="10" t="n">
        <x:v>499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2026-09-09</x:v>
      </x:c>
      <x:c r="AZ4" s="18" t="str">
        <x:v>2026-08-28</x:v>
      </x:c>
      <x:c r="BA4" s="18" t="n">
        <x:v>83</x:v>
      </x:c>
    </x:row>
    <x:row r="5">
      <x:c r="AZ5" s="18" t="str">
        <x:v>2026-08-29</x:v>
      </x:c>
      <x:c r="BA5" s="18" t="n">
        <x:v>74</x:v>
      </x:c>
    </x:row>
    <x:row r="6">
      <x:c r="AZ6" s="18" t="str">
        <x:v>2026-08-31</x:v>
      </x:c>
      <x:c r="BA6" s="18" t="n">
        <x:v>62</x:v>
      </x:c>
    </x:row>
    <x:row r="7">
      <x:c r="AZ7" s="18" t="str">
        <x:v>2026-09-01</x:v>
      </x:c>
      <x:c r="BA7" s="18" t="n">
        <x:v>67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2026-09-02</x:v>
      </x:c>
      <x:c r="BA8" s="18" t="n">
        <x:v>44</x:v>
      </x:c>
    </x:row>
    <x:row r="9">
      <x:c r="A9" s="19">
        <x:f>ROUND(COUNTA(A9:G9)/7*100,0)</x:f>
      </x:c>
      <x:c r="B9" s="18" t="str">
        <x:v>CRP/554/2025 of SRI. G SHANKAR Vs M/S SOUTH INDIA WATCH COMPANY PVT LTD.,</x:v>
      </x:c>
      <x:c r="C9" s="18" t="str">
        <x:v>2026-08-29</x:v>
      </x:c>
      <x:c r="D9" s="18" t="str">
        <x:v>High Court of Karnataka</x:v>
      </x:c>
      <x:c r="E9" s="18" t="str">
        <x:v>LALITHA KANNEGANTI</x:v>
      </x:c>
      <x:c r="F9" s="18" t="str">
        <x:v>DISMISSED</x:v>
      </x:c>
      <x:c r="G9" s="20" t="str">
        <x:v>https://indian-high-court-judgments.s3.ap-south-1.amazonaws.com/data/pdf/year=2026/court=29_3/bench=karnataka_bng_old/KAHC010505812025_1_2026-08-29.pdf</x:v>
      </x:c>
      <x:c r="AZ9" s="18" t="str">
        <x:v>2026-09-03</x:v>
      </x:c>
      <x:c r="BA9" s="18" t="n">
        <x:v>47</x:v>
      </x:c>
    </x:row>
    <x:row r="10">
      <x:c r="A10" s="19">
        <x:f>ROUND(COUNTA(A10:G10)/7*100,0)</x:f>
      </x:c>
      <x:c r="B10" s="18" t="str">
        <x:v>CRL.P/626/2020 of SRI ARUN MISHRA Vs THE STATE BY</x:v>
      </x:c>
      <x:c r="C10" s="18" t="str">
        <x:v>2026-08-27</x:v>
      </x:c>
      <x:c r="D10" s="18" t="str">
        <x:v>High Court of Karnataka</x:v>
      </x:c>
      <x:c r="E10" s="18" t="str">
        <x:v>RAVI V HOSMANI</x:v>
      </x:c>
      <x:c r="F10" s="18" t="str">
        <x:v>DISMISSED</x:v>
      </x:c>
      <x:c r="G10" s="20" t="str">
        <x:v>https://indian-high-court-judgments.s3.ap-south-1.amazonaws.com/data/pdf/year=2026/court=29_3/bench=karnataka_bng_old/KAHC010519522019_1_2026-08-27.pdf</x:v>
      </x:c>
      <x:c r="AZ10" s="18" t="str">
        <x:v>2026-09-07</x:v>
      </x:c>
      <x:c r="BA10" s="18" t="n">
        <x:v>25</x:v>
      </x:c>
    </x:row>
    <x:row r="11">
      <x:c r="A11" s="19">
        <x:f>ROUND(COUNTA(A11:G11)/7*100,0)</x:f>
      </x:c>
      <x:c r="B11" s="18" t="str">
        <x:v>MFA/1904/2016 of MADHUSUDHAN Vs BRANCH MANAGER</x:v>
      </x:c>
      <x:c r="C11" s="18" t="str">
        <x:v>2026-09-01</x:v>
      </x:c>
      <x:c r="D11" s="18" t="str">
        <x:v>High Court of Karnataka</x:v>
      </x:c>
      <x:c r="E11" s="18" t="str">
        <x:v>P SREE SUDHA</x:v>
      </x:c>
      <x:c r="F11" s="18" t="str">
        <x:v>Dismissed for Non-Prosecution</x:v>
      </x:c>
      <x:c r="G11" s="20" t="str">
        <x:v>https://indian-high-court-judgments.s3.ap-south-1.amazonaws.com/data/pdf/year=2026/court=29_3/bench=karnataka_bng_old/KAHC010229922016_1_2026-09-01.pdf</x:v>
      </x:c>
      <x:c r="AZ11" s="18" t="str">
        <x:v>2026-09-08</x:v>
      </x:c>
      <x:c r="BA11" s="18" t="n">
        <x:v>8</x:v>
      </x:c>
    </x:row>
    <x:row r="12">
      <x:c r="A12" s="19">
        <x:f>ROUND(COUNTA(A12:G12)/7*100,0)</x:f>
      </x:c>
      <x:c r="B12" s="18" t="str">
        <x:v>WP/11485/2023 of MRS GEETHA Vs MRS LAXMAMMA</x:v>
      </x:c>
      <x:c r="C12" s="18" t="str">
        <x:v>2026-09-03</x:v>
      </x:c>
      <x:c r="D12" s="18" t="str">
        <x:v>High Court of Karnataka</x:v>
      </x:c>
      <x:c r="E12" s="18" t="str">
        <x:v>VIJAYKUMAR A. PATIL</x:v>
      </x:c>
      <x:c r="F12" s="18" t="str">
        <x:v>REJECTED</x:v>
      </x:c>
      <x:c r="G12" s="20" t="str">
        <x:v>https://indian-high-court-judgments.s3.ap-south-1.amazonaws.com/data/pdf/year=2026/court=29_3/bench=karnataka_bng_old/KAHC010268732023_1_2026-09-03.pdf</x:v>
      </x:c>
      <x:c r="AZ12" s="18" t="str">
        <x:v>2026-09-09</x:v>
      </x:c>
      <x:c r="BA12" s="18" t="n">
        <x:v>5</x:v>
      </x:c>
    </x:row>
    <x:row r="13">
      <x:c r="A13" s="19">
        <x:f>ROUND(COUNTA(A13:G13)/7*100,0)</x:f>
      </x:c>
      <x:c r="B13" s="18" t="str">
        <x:v>MFA/4144/2022 of THARA @ THARA N G Vs SHASHIKUMAR</x:v>
      </x:c>
      <x:c r="C13" s="18" t="str">
        <x:v>2026-08-28</x:v>
      </x:c>
      <x:c r="D13" s="18" t="str">
        <x:v>High Court of Karnataka</x:v>
      </x:c>
      <x:c r="E13" s="18" t="str">
        <x:v>RAJESH RAI K</x:v>
      </x:c>
      <x:c r="F13" s="18" t="str">
        <x:v>Partly Allowed</x:v>
      </x:c>
      <x:c r="G13" s="20" t="str">
        <x:v>https://indian-high-court-judgments.s3.ap-south-1.amazonaws.com/data/pdf/year=2026/court=29_3/bench=karnataka_bng_old/KAHC010246682022_1_2026-08-28.pdf</x:v>
      </x:c>
    </x:row>
    <x:row r="14">
      <x:c r="A14" s="19">
        <x:f>ROUND(COUNTA(A14:G14)/7*100,0)</x:f>
      </x:c>
      <x:c r="B14" s="18" t="str">
        <x:v>CRL.P/13085/2026 of SRI.JAFAR SHARIFF Vs STATE OF KARNATAKA BY</x:v>
      </x:c>
      <x:c r="C14" s="18" t="str">
        <x:v>2026-08-28</x:v>
      </x:c>
      <x:c r="D14" s="18" t="str">
        <x:v>High Court of Karnataka</x:v>
      </x:c>
      <x:c r="E14" s="18" t="str">
        <x:v>M.NAGAPRASANNA</x:v>
      </x:c>
      <x:c r="F14" s="18" t="str">
        <x:v>DISPOSED</x:v>
      </x:c>
      <x:c r="G14" s="20" t="str">
        <x:v>https://indian-high-court-judgments.s3.ap-south-1.amazonaws.com/data/pdf/year=2026/court=29_3/bench=karnataka_bng_old/KAHC010583412026_1_2026-08-28.pdf</x:v>
      </x:c>
    </x:row>
    <x:row r="15">
      <x:c r="A15" s="19">
        <x:f>ROUND(COUNTA(A15:G15)/7*100,0)</x:f>
      </x:c>
      <x:c r="B15" s="18" t="str">
        <x:v>MFA/3778/2020 of SMT. KOUSALYA Vs MR. SUNIL KUMAR. S</x:v>
      </x:c>
      <x:c r="C15" s="18" t="str">
        <x:v>2026-08-29</x:v>
      </x:c>
      <x:c r="D15" s="18" t="str">
        <x:v>High Court of Karnataka</x:v>
      </x:c>
      <x:c r="E15" s="18" t="str">
        <x:v>RAJESH RAI K</x:v>
      </x:c>
      <x:c r="F15" s="18" t="str">
        <x:v>ALLOWED AND REMANDED</x:v>
      </x:c>
      <x:c r="G15" s="20" t="str">
        <x:v>https://indian-high-court-judgments.s3.ap-south-1.amazonaws.com/data/pdf/year=2026/court=29_3/bench=karnataka_bng_old/KAHC010253952020_1_2026-08-29.pdf</x:v>
      </x:c>
    </x:row>
    <x:row r="16">
      <x:c r="A16" s="19">
        <x:f>ROUND(COUNTA(A16:G16)/7*100,0)</x:f>
      </x:c>
      <x:c r="B16" s="18" t="str">
        <x:v>CRL.P/5766/2019 of SRI. SOMASHEKAR J R Vs STATE BY GORUR POLICE</x:v>
      </x:c>
      <x:c r="C16" s="18" t="str">
        <x:v>2026-09-07</x:v>
      </x:c>
      <x:c r="D16" s="18" t="str">
        <x:v>High Court of Karnataka</x:v>
      </x:c>
      <x:c r="E16" s="18" t="str">
        <x:v>RAVI V HOSMANI</x:v>
      </x:c>
      <x:c r="F16" s="18" t="str">
        <x:v>Partly Allowed</x:v>
      </x:c>
      <x:c r="G16" s="20" t="str">
        <x:v>https://indian-high-court-judgments.s3.ap-south-1.amazonaws.com/data/pdf/year=2026/court=29_3/bench=karnataka_bng_old/KAHC010235942019_1_2026-09-07.pdf</x:v>
      </x:c>
    </x:row>
    <x:row r="17">
      <x:c r="A17" s="19">
        <x:f>ROUND(COUNTA(A17:G17)/7*100,0)</x:f>
      </x:c>
      <x:c r="B17" s="18" t="str">
        <x:v>WA/609/2025 of SRI LINGAPPA Vs THE STATE OF KARNATAKA</x:v>
      </x:c>
      <x:c r="C17" s="18" t="str">
        <x:v>2026-08-29</x:v>
      </x:c>
      <x:c r="D17" s="18" t="str">
        <x:v>High Court of Karnataka</x:v>
      </x:c>
      <x:c r="E17" s="18" t="str">
        <x:v>D K SINGH,H.SHANTHI BHUSHAN</x:v>
      </x:c>
      <x:c r="F17" s="18" t="str">
        <x:v>ALLOWED</x:v>
      </x:c>
      <x:c r="G17" s="20" t="str">
        <x:v>https://indian-high-court-judgments.s3.ap-south-1.amazonaws.com/data/pdf/year=2026/court=29_3/bench=karnataka_bng_old/KAHC010268132025_1_2026-08-29.pdf</x:v>
      </x:c>
    </x:row>
    <x:row r="18">
      <x:c r="A18" s="19">
        <x:f>ROUND(COUNTA(A18:G18)/7*100,0)</x:f>
      </x:c>
      <x:c r="B18" s="18" t="str">
        <x:v>WP/22048/2024 of SRI SHASHIDHAR B M Vs KARNATAKA POWER TRANSMISSION CORPORATION LIMITED</x:v>
      </x:c>
      <x:c r="C18" s="18" t="str">
        <x:v>2026-09-01</x:v>
      </x:c>
      <x:c r="D18" s="18" t="str">
        <x:v>High Court of Karnataka</x:v>
      </x:c>
      <x:c r="E18" s="18" t="str">
        <x:v>ASHOK S.KINAGI</x:v>
      </x:c>
      <x:c r="F18" s="18" t="str">
        <x:v>DISMISSED</x:v>
      </x:c>
      <x:c r="G18" s="20" t="str">
        <x:v>https://indian-high-court-judgments.s3.ap-south-1.amazonaws.com/data/pdf/year=2026/court=29_3/bench=karnataka_bng_old/KAHC010469622024_1_2026-09-01.pdf</x:v>
      </x:c>
    </x:row>
    <x:row r="19">
      <x:c r="A19" s="19">
        <x:f>ROUND(COUNTA(A19:G19)/7*100,0)</x:f>
      </x:c>
      <x:c r="B19" s="18" t="str">
        <x:v>CRL.P/10172/2026 of MAHESH TEJNARAYAN GAUD Vs STATE OF KARNATAKA</x:v>
      </x:c>
      <x:c r="C19" s="18" t="str">
        <x:v>2026-08-27</x:v>
      </x:c>
      <x:c r="D19" s="18" t="str">
        <x:v>High Court of Karnataka</x:v>
      </x:c>
      <x:c r="E19" s="18" t="str">
        <x:v>S VISHWAJITH SHETTY</x:v>
      </x:c>
      <x:c r="F19" s="18" t="str">
        <x:v>ALLOWED</x:v>
      </x:c>
      <x:c r="G19" s="20" t="str">
        <x:v>https://indian-high-court-judgments.s3.ap-south-1.amazonaws.com/data/pdf/year=2026/court=29_3/bench=karnataka_bng_old/KAHC010468592026_1_2026-08-27.pdf</x:v>
      </x:c>
    </x:row>
    <x:row r="20">
      <x:c r="A20" s="19">
        <x:f>ROUND(COUNTA(A20:G20)/7*100,0)</x:f>
      </x:c>
      <x:c r="B20" s="18" t="str">
        <x:v>WA/569/2026 of M/S RAYS POWER INFRA LIMITED Vs THE STATE OF KARNATAKA</x:v>
      </x:c>
      <x:c r="C20" s="18" t="str">
        <x:v>2026-08-28</x:v>
      </x:c>
      <x:c r="D20" s="18" t="str">
        <x:v>High Court of Karnataka</x:v>
      </x:c>
      <x:c r="E20" s="18" t="str">
        <x:v>CHIEF JUSTICE,K.S. HEMALEKHA</x:v>
      </x:c>
      <x:c r="F20" s="18" t="str">
        <x:v>DISMISSED</x:v>
      </x:c>
      <x:c r="G20" s="20" t="str">
        <x:v>https://indian-high-court-judgments.s3.ap-south-1.amazonaws.com/data/pdf/year=2026/court=29_3/bench=karnataka_bng_old/KAHC010122742026_1_2026-08-28.pdf</x:v>
      </x:c>
    </x:row>
    <x:row r="21">
      <x:c r="A21" s="19">
        <x:f>ROUND(COUNTA(A21:G21)/7*100,0)</x:f>
      </x:c>
      <x:c r="B21" s="18" t="str">
        <x:v>WP/27731/2025 of BHARATH G V Vs MPHASIS LIMITED</x:v>
      </x:c>
      <x:c r="C21" s="18" t="str">
        <x:v>2026-08-28</x:v>
      </x:c>
      <x:c r="D21" s="18" t="str">
        <x:v>High Court of Karnataka</x:v>
      </x:c>
      <x:c r="E21" s="18" t="str">
        <x:v>H.T. NARENDRA PRASAD</x:v>
      </x:c>
      <x:c r="F21" s="18" t="str">
        <x:v>DISPOSED</x:v>
      </x:c>
      <x:c r="G21" s="20" t="str">
        <x:v>https://indian-high-court-judgments.s3.ap-south-1.amazonaws.com/data/pdf/year=2026/court=29_3/bench=karnataka_bng_old/KAHC010601982025_1_2026-08-28.pdf</x:v>
      </x:c>
    </x:row>
    <x:row r="22">
      <x:c r="A22" s="19">
        <x:f>ROUND(COUNTA(A22:G22)/7*100,0)</x:f>
      </x:c>
      <x:c r="B22" s="18" t="str">
        <x:v>WA/2072/2025 of KARNATAKA HOUSING BOARD AND ORS Vs SMT A RADHA</x:v>
      </x:c>
      <x:c r="C22" s="18" t="str">
        <x:v>2026-08-29</x:v>
      </x:c>
      <x:c r="D22" s="18" t="str">
        <x:v>High Court of Karnataka</x:v>
      </x:c>
      <x:c r="E22" s="18" t="str">
        <x:v>D K SINGH,H.SHANTHI BHUSHAN</x:v>
      </x:c>
      <x:c r="F22" s="18" t="str">
        <x:v>DISMISSED</x:v>
      </x:c>
      <x:c r="G22" s="20" t="str">
        <x:v>https://indian-high-court-judgments.s3.ap-south-1.amazonaws.com/data/pdf/year=2026/court=29_3/bench=karnataka_bng_old/KAHC010836962025_1_2026-08-29.pdf</x:v>
      </x:c>
    </x:row>
    <x:row r="23">
      <x:c r="A23" s="19">
        <x:f>ROUND(COUNTA(A23:G23)/7*100,0)</x:f>
      </x:c>
      <x:c r="B23" s="18" t="str">
        <x:v>MFA/845/2026 of SRI PRAKASH O K Vs SMT. VISHALAKSHI</x:v>
      </x:c>
      <x:c r="C23" s="18" t="str">
        <x:v>2026-09-02</x:v>
      </x:c>
      <x:c r="D23" s="18" t="str">
        <x:v>High Court of Karnataka</x:v>
      </x:c>
      <x:c r="E23" s="18" t="str">
        <x:v>D K SINGH,H.SHANTHI BHUSHAN</x:v>
      </x:c>
      <x:c r="F23" s="18" t="str">
        <x:v>DISMISSED</x:v>
      </x:c>
      <x:c r="G23" s="20" t="str">
        <x:v>https://indian-high-court-judgments.s3.ap-south-1.amazonaws.com/data/pdf/year=2026/court=29_3/bench=karnataka_bng_old/KAHC010075762026_1_2026-09-02.pdf</x:v>
      </x:c>
    </x:row>
    <x:row r="24">
      <x:c r="A24" s="19">
        <x:f>ROUND(COUNTA(A24:G24)/7*100,0)</x:f>
      </x:c>
      <x:c r="B24" s="18" t="str">
        <x:v>CRP/284/2025 of BHAGI HARIJANA Vs SHASHIKALA BHAT</x:v>
      </x:c>
      <x:c r="C24" s="18" t="str">
        <x:v>2026-08-28</x:v>
      </x:c>
      <x:c r="D24" s="18" t="str">
        <x:v>High Court of Karnataka</x:v>
      </x:c>
      <x:c r="E24" s="18" t="str">
        <x:v>VIJAYKUMAR A. PATIL</x:v>
      </x:c>
      <x:c r="F24" s="18" t="str">
        <x:v>Partly Allowed</x:v>
      </x:c>
      <x:c r="G24" s="20" t="str">
        <x:v>https://indian-high-court-judgments.s3.ap-south-1.amazonaws.com/data/pdf/year=2026/court=29_3/bench=karnataka_bng_old/KAHC010263832025_1_2026-08-28.pdf</x:v>
      </x:c>
    </x:row>
    <x:row r="25">
      <x:c r="A25" s="19">
        <x:f>ROUND(COUNTA(A25:G25)/7*100,0)</x:f>
      </x:c>
      <x:c r="B25" s="18" t="str">
        <x:v>CCC/1041/2024 of DR K H NAVEEN Vs SRI ANIL KUMAR T K</x:v>
      </x:c>
      <x:c r="C25" s="18" t="str">
        <x:v>2026-08-27</x:v>
      </x:c>
      <x:c r="D25" s="18" t="str">
        <x:v>High Court of Karnataka</x:v>
      </x:c>
      <x:c r="E25" s="18" t="str">
        <x:v>ANU SIVARAMAN,T.P.VIVEKANANDA</x:v>
      </x:c>
      <x:c r="F25" s="18" t="str">
        <x:v>DISPOSED</x:v>
      </x:c>
      <x:c r="G25" s="20" t="str">
        <x:v>https://indian-high-court-judgments.s3.ap-south-1.amazonaws.com/data/pdf/year=2026/court=29_3/bench=karnataka_bng_old/KAHC010564372024_1_2026-08-27.pdf</x:v>
      </x:c>
    </x:row>
    <x:row r="26">
      <x:c r="A26" s="19">
        <x:f>ROUND(COUNTA(A26:G26)/7*100,0)</x:f>
      </x:c>
      <x:c r="B26" s="18" t="str">
        <x:v>RP/599/2025 of SMT. SANNAMANE HALAPPARA GANGAMMA (JOGAMMA) Vs SRI. RANGAPPA SINCE DEAD BY LR'S</x:v>
      </x:c>
      <x:c r="C26" s="18" t="str">
        <x:v>2026-09-03</x:v>
      </x:c>
      <x:c r="D26" s="18" t="str">
        <x:v>High Court of Karnataka</x:v>
      </x:c>
      <x:c r="E26" s="18" t="str">
        <x:v>VIJAYKUMAR A. PATIL</x:v>
      </x:c>
      <x:c r="F26" s="18" t="str">
        <x:v>REJECTED</x:v>
      </x:c>
      <x:c r="G26" s="20" t="str">
        <x:v>https://indian-high-court-judgments.s3.ap-south-1.amazonaws.com/data/pdf/year=2026/court=29_3/bench=karnataka_bng_old/KAHC010839312025_1_2026-09-03.pdf</x:v>
      </x:c>
    </x:row>
    <x:row r="27">
      <x:c r="A27" s="19">
        <x:f>ROUND(COUNTA(A27:G27)/7*100,0)</x:f>
      </x:c>
      <x:c r="B27" s="18" t="str">
        <x:v>WP/17847/2026 of MAHADEVA G M Vs THE STATE OF KARNATAKA</x:v>
      </x:c>
      <x:c r="C27" s="18" t="str">
        <x:v>2026-08-29</x:v>
      </x:c>
      <x:c r="D27" s="18" t="str">
        <x:v>High Court of Karnataka</x:v>
      </x:c>
      <x:c r="E27" s="18" t="str">
        <x:v>ASHOK S.KINAGI</x:v>
      </x:c>
      <x:c r="F27" s="18" t="str">
        <x:v>DISPOSED</x:v>
      </x:c>
      <x:c r="G27" s="20" t="str">
        <x:v>https://indian-high-court-judgments.s3.ap-south-1.amazonaws.com/data/pdf/year=2026/court=29_3/bench=karnataka_bng_old/KAHC010391442026_1_2026-08-29.pdf</x:v>
      </x:c>
    </x:row>
    <x:row r="28">
      <x:c r="A28" s="19">
        <x:f>ROUND(COUNTA(A28:G28)/7*100,0)</x:f>
      </x:c>
      <x:c r="B28" s="18" t="str">
        <x:v>WP/25381/2026 of SRI RAMAKRISHNACHAR Vs THE DIRECTOR (A AND HR), KPTCL,</x:v>
      </x:c>
      <x:c r="C28" s="18" t="str">
        <x:v>2026-08-27</x:v>
      </x:c>
      <x:c r="D28" s="18" t="str">
        <x:v>High Court of Karnataka</x:v>
      </x:c>
      <x:c r="E28" s="18" t="str">
        <x:v>ASHOK S.KINAGI</x:v>
      </x:c>
      <x:c r="F28" s="18" t="str">
        <x:v>DISPOSED</x:v>
      </x:c>
      <x:c r="G28" s="20" t="str">
        <x:v>https://indian-high-court-judgments.s3.ap-south-1.amazonaws.com/data/pdf/year=2026/court=29_3/bench=karnataka_bng_old/KAHC010561982026_1_2026-08-27.pdf</x:v>
      </x:c>
    </x:row>
    <x:row r="29">
      <x:c r="A29" s="19">
        <x:f>ROUND(COUNTA(A29:G29)/7*100,0)</x:f>
      </x:c>
      <x:c r="B29" s="18" t="str">
        <x:v>WP/26661/2026 of ASHOK ACHARYA Vs THE STATE OF KARNTAKA</x:v>
      </x:c>
      <x:c r="C29" s="18" t="str">
        <x:v>2026-09-01</x:v>
      </x:c>
      <x:c r="D29" s="18" t="str">
        <x:v>High Court of Karnataka</x:v>
      </x:c>
      <x:c r="E29" s="18" t="str">
        <x:v>CHIEF JUSTICE,K.S. HEMALEKHA</x:v>
      </x:c>
      <x:c r="F29" s="18" t="str">
        <x:v>DISPOSED</x:v>
      </x:c>
      <x:c r="G29" s="20" t="str">
        <x:v>https://indian-high-court-judgments.s3.ap-south-1.amazonaws.com/data/pdf/year=2026/court=29_3/bench=karnataka_bng_old/KAHC010593602026_1_2026-09-01.pdf</x:v>
      </x:c>
    </x:row>
    <x:row r="30">
      <x:c r="A30" s="19">
        <x:f>ROUND(COUNTA(A30:G30)/7*100,0)</x:f>
      </x:c>
      <x:c r="B30" s="18" t="str">
        <x:v>CRL.P/12360/2026 of RAJU @ RAJA Vs STATE OF KARNATAKA BY</x:v>
      </x:c>
      <x:c r="C30" s="18" t="str">
        <x:v>2026-09-07</x:v>
      </x:c>
      <x:c r="D30" s="18" t="str">
        <x:v>High Court of Karnataka</x:v>
      </x:c>
      <x:c r="E30" s="18" t="str">
        <x:v>S VISHWAJITH SHETTY</x:v>
      </x:c>
      <x:c r="F30" s="18" t="str">
        <x:v>ALLOWED</x:v>
      </x:c>
      <x:c r="G30" s="20" t="str">
        <x:v>https://indian-high-court-judgments.s3.ap-south-1.amazonaws.com/data/pdf/year=2026/court=29_3/bench=karnataka_bng_old/KAHC010561812026_1_2026-09-07.pdf</x:v>
      </x:c>
    </x:row>
    <x:row r="31">
      <x:c r="A31" s="19">
        <x:f>ROUND(COUNTA(A31:G31)/7*100,0)</x:f>
      </x:c>
      <x:c r="B31" s="18" t="str">
        <x:v>MFA/30/2023 of MAHALAKSHMI K Vs JAGADISH G K</x:v>
      </x:c>
      <x:c r="C31" s="18" t="str">
        <x:v>2026-08-28</x:v>
      </x:c>
      <x:c r="D31" s="18" t="str">
        <x:v>High Court of Karnataka</x:v>
      </x:c>
      <x:c r="E31" s="18" t="str">
        <x:v>T.M.NADAF</x:v>
      </x:c>
      <x:c r="F31" s="18" t="str">
        <x:v>Partly Allowed</x:v>
      </x:c>
      <x:c r="G31" s="20" t="str">
        <x:v>https://indian-high-court-judgments.s3.ap-south-1.amazonaws.com/data/pdf/year=2026/court=29_3/bench=karnataka_bng_old/KAHC010001512023_1_2026-08-28.pdf</x:v>
      </x:c>
    </x:row>
    <x:row r="32">
      <x:c r="A32" s="19">
        <x:f>ROUND(COUNTA(A32:G32)/7*100,0)</x:f>
      </x:c>
      <x:c r="B32" s="18" t="str">
        <x:v>CRL.P/10803/2026 of RANGASWAMY Vs THE STATE BY</x:v>
      </x:c>
      <x:c r="C32" s="18" t="str">
        <x:v>2026-08-31</x:v>
      </x:c>
      <x:c r="D32" s="18" t="str">
        <x:v>High Court of Karnataka</x:v>
      </x:c>
      <x:c r="E32" s="18" t="str">
        <x:v>S VISHWAJITH SHETTY</x:v>
      </x:c>
      <x:c r="F32" s="18" t="str">
        <x:v>ALLOWED</x:v>
      </x:c>
      <x:c r="G32" s="20" t="str">
        <x:v>https://indian-high-court-judgments.s3.ap-south-1.amazonaws.com/data/pdf/year=2026/court=29_3/bench=karnataka_bng_old/KAHC010496142026_1_2026-08-31.pdf</x:v>
      </x:c>
    </x:row>
    <x:row r="33">
      <x:c r="A33" s="19">
        <x:f>ROUND(COUNTA(A33:G33)/7*100,0)</x:f>
      </x:c>
      <x:c r="B33" s="18" t="str">
        <x:v>RSA/1532/2014 of SRI Y M MANJUNATH Vs SRI DIVAKAR REDDY</x:v>
      </x:c>
      <x:c r="C33" s="18" t="str">
        <x:v>2026-08-27</x:v>
      </x:c>
      <x:c r="D33" s="18" t="str">
        <x:v>High Court of Karnataka</x:v>
      </x:c>
      <x:c r="E33" s="18" t="str">
        <x:v>ASHOK S.KINAGI</x:v>
      </x:c>
      <x:c r="F33" s="18" t="str">
        <x:v>DISMISSED</x:v>
      </x:c>
      <x:c r="G33" s="20" t="str">
        <x:v>https://indian-high-court-judgments.s3.ap-south-1.amazonaws.com/data/pdf/year=2026/court=29_3/bench=karnataka_bng_old/KAHC010471892014_1_2026-08-27.pdf</x:v>
      </x:c>
    </x:row>
    <x:row r="34">
      <x:c r="A34" s="19">
        <x:f>ROUND(COUNTA(A34:G34)/7*100,0)</x:f>
      </x:c>
      <x:c r="B34" s="18" t="str">
        <x:v>WP/2820/2023 of SRI S P SIDDARAMA RAO Vs SMT S KANTHAMMA</x:v>
      </x:c>
      <x:c r="C34" s="18" t="str">
        <x:v>2026-09-01</x:v>
      </x:c>
      <x:c r="D34" s="18" t="str">
        <x:v>High Court of Karnataka</x:v>
      </x:c>
      <x:c r="E34" s="18" t="str">
        <x:v>VIJAYKUMAR A. PATIL</x:v>
      </x:c>
      <x:c r="F34" s="18" t="str">
        <x:v>ALLOWED</x:v>
      </x:c>
      <x:c r="G34" s="20" t="str">
        <x:v>https://indian-high-court-judgments.s3.ap-south-1.amazonaws.com/data/pdf/year=2026/court=29_3/bench=karnataka_bng_old/KAHC010065992023_1_2026-09-01.pdf</x:v>
      </x:c>
    </x:row>
    <x:row r="35">
      <x:c r="A35" s="19">
        <x:f>ROUND(COUNTA(A35:G35)/7*100,0)</x:f>
      </x:c>
      <x:c r="B35" s="18" t="str">
        <x:v>MFA/3806/2019 of THE DEPUTY COMMISSIONER AND Vs M/S S V GLOBAL MILL LIMITED</x:v>
      </x:c>
      <x:c r="C35" s="18" t="str">
        <x:v>2026-09-07</x:v>
      </x:c>
      <x:c r="D35" s="18" t="str">
        <x:v>High Court of Karnataka</x:v>
      </x:c>
      <x:c r="E35" s="18" t="str">
        <x:v>ANU SIVARAMAN,T.P.VIVEKANANDA</x:v>
      </x:c>
      <x:c r="F35" s="18" t="str">
        <x:v>DISMISSED</x:v>
      </x:c>
      <x:c r="G35" s="20" t="str">
        <x:v>https://indian-high-court-judgments.s3.ap-south-1.amazonaws.com/data/pdf/year=2026/court=29_3/bench=karnataka_bng_old/KAHC010138182019_1_2019-09-25.pdf</x:v>
      </x:c>
    </x:row>
    <x:row r="36">
      <x:c r="A36" s="19">
        <x:f>ROUND(COUNTA(A36:G36)/7*100,0)</x:f>
      </x:c>
      <x:c r="B36" s="18" t="str">
        <x:v>CRL.P/10318/2026 of JAYNAL SEKH Vs STATE OF KARNATAKA</x:v>
      </x:c>
      <x:c r="C36" s="18" t="str">
        <x:v>2026-08-28</x:v>
      </x:c>
      <x:c r="D36" s="18" t="str">
        <x:v>High Court of Karnataka</x:v>
      </x:c>
      <x:c r="E36" s="18" t="str">
        <x:v>S VISHWAJITH SHETTY</x:v>
      </x:c>
      <x:c r="F36" s="18" t="str">
        <x:v>DISMISSED</x:v>
      </x:c>
      <x:c r="G36" s="20" t="str">
        <x:v>https://indian-high-court-judgments.s3.ap-south-1.amazonaws.com/data/pdf/year=2026/court=29_3/bench=karnataka_bng_old/KAHC010477792026_1_2026-08-28.pdf</x:v>
      </x:c>
    </x:row>
    <x:row r="37">
      <x:c r="A37" s="19">
        <x:f>ROUND(COUNTA(A37:G37)/7*100,0)</x:f>
      </x:c>
      <x:c r="B37" s="18" t="str">
        <x:v>COMAP/427/2026 of TRACTORS AND FARM EQUIPMENT LIMITED Vs M/S SRI LAKSHMI VENKATESHWARA MOTORS</x:v>
      </x:c>
      <x:c r="C37" s="18" t="str">
        <x:v>2026-09-03</x:v>
      </x:c>
      <x:c r="D37" s="18" t="str">
        <x:v>High Court of Karnataka</x:v>
      </x:c>
      <x:c r="E37" s="18" t="str">
        <x:v>CHIEF JUSTICE,K.S. HEMALEKHA</x:v>
      </x:c>
      <x:c r="F37" s="18" t="str">
        <x:v>DISPOSED</x:v>
      </x:c>
      <x:c r="G37" s="20" t="str">
        <x:v>https://indian-high-court-judgments.s3.ap-south-1.amazonaws.com/data/pdf/year=2026/court=29_3/bench=karnataka_bng_old/KAHC010614432026_1_2026-09-03.pdf</x:v>
      </x:c>
    </x:row>
    <x:row r="38">
      <x:c r="A38" s="19">
        <x:f>ROUND(COUNTA(A38:G38)/7*100,0)</x:f>
      </x:c>
      <x:c r="B38" s="18" t="str">
        <x:v>CRL.P/11263/2026 of KUMMARI RAJASHEKAR Vs THE STATE OF KARNATAKA</x:v>
      </x:c>
      <x:c r="C38" s="18" t="str">
        <x:v>2026-08-29</x:v>
      </x:c>
      <x:c r="D38" s="18" t="str">
        <x:v>High Court of Karnataka</x:v>
      </x:c>
      <x:c r="E38" s="18" t="str">
        <x:v>M.NAGAPRASANNA</x:v>
      </x:c>
      <x:c r="F38" s="18" t="str">
        <x:v>DISPOSED</x:v>
      </x:c>
      <x:c r="G38" s="20" t="str">
        <x:v>https://indian-high-court-judgments.s3.ap-south-1.amazonaws.com/data/pdf/year=2026/court=29_3/bench=karnataka_bng_old/KAHC010515552026_1_2026-08-29.pdf</x:v>
      </x:c>
    </x:row>
    <x:row r="39">
      <x:c r="A39" s="19">
        <x:f>ROUND(COUNTA(A39:G39)/7*100,0)</x:f>
      </x:c>
      <x:c r="B39" s="18" t="str">
        <x:v>WP/20755/2022 of LINGARAJU Vs K PALACHANDRA</x:v>
      </x:c>
      <x:c r="C39" s="18" t="str">
        <x:v>2026-09-01</x:v>
      </x:c>
      <x:c r="D39" s="18" t="str">
        <x:v>High Court of Karnataka</x:v>
      </x:c>
      <x:c r="E39" s="18" t="str">
        <x:v>VIJAYKUMAR A. PATIL</x:v>
      </x:c>
      <x:c r="F39" s="18" t="str">
        <x:v>DISMISSED</x:v>
      </x:c>
      <x:c r="G39" s="20" t="str">
        <x:v>https://indian-high-court-judgments.s3.ap-south-1.amazonaws.com/data/pdf/year=2026/court=29_3/bench=karnataka_bng_old/KAHC010476842022_1_2026-09-01.pdf</x:v>
      </x:c>
    </x:row>
    <x:row r="40">
      <x:c r="A40" s="19">
        <x:f>ROUND(COUNTA(A40:G40)/7*100,0)</x:f>
      </x:c>
      <x:c r="B40" s="18" t="str">
        <x:v>WP/4816/2023 of SMT CHANDRIKA Vs KUM RASHMI</x:v>
      </x:c>
      <x:c r="C40" s="18" t="str">
        <x:v>2026-08-29</x:v>
      </x:c>
      <x:c r="D40" s="18" t="str">
        <x:v>High Court of Karnataka</x:v>
      </x:c>
      <x:c r="E40" s="18" t="str">
        <x:v>VIJAYKUMAR A. PATIL</x:v>
      </x:c>
      <x:c r="F40" s="18" t="str">
        <x:v>REJECTED</x:v>
      </x:c>
      <x:c r="G40" s="20" t="str">
        <x:v>https://indian-high-court-judgments.s3.ap-south-1.amazonaws.com/data/pdf/year=2026/court=29_3/bench=karnataka_bng_old/KAHC010107732023_1_2026-08-29.pdf</x:v>
      </x:c>
    </x:row>
    <x:row r="41">
      <x:c r="A41" s="19">
        <x:f>ROUND(COUNTA(A41:G41)/7*100,0)</x:f>
      </x:c>
      <x:c r="B41" s="18" t="str">
        <x:v>WP/19287/2026 of DINESH Vs THE EXCISE COMMISSIONER IN KARNATAKA</x:v>
      </x:c>
      <x:c r="C41" s="18" t="str">
        <x:v>2026-08-27</x:v>
      </x:c>
      <x:c r="D41" s="18" t="str">
        <x:v>High Court of Karnataka</x:v>
      </x:c>
      <x:c r="E41" s="18" t="str">
        <x:v>VIJAYKUMAR A. PATIL</x:v>
      </x:c>
      <x:c r="F41" s="18" t="str">
        <x:v>DISPOSED</x:v>
      </x:c>
      <x:c r="G41" s="20" t="str">
        <x:v>https://indian-high-court-judgments.s3.ap-south-1.amazonaws.com/data/pdf/year=2026/court=29_3/bench=karnataka_bng_old/KAHC010425702026_1_2026-08-27.pdf</x:v>
      </x:c>
    </x:row>
    <x:row r="42">
      <x:c r="A42" s="19">
        <x:f>ROUND(COUNTA(A42:G42)/7*100,0)</x:f>
      </x:c>
      <x:c r="B42" s="18" t="str">
        <x:v>MFA/8733/2025 of BHARATH G R Vs MADHUKESWARA C H</x:v>
      </x:c>
      <x:c r="C42" s="18" t="str">
        <x:v>2026-08-27</x:v>
      </x:c>
      <x:c r="D42" s="18" t="str">
        <x:v>High Court of Karnataka</x:v>
      </x:c>
      <x:c r="E42" s="18" t="str">
        <x:v>SHIVASHANKAR AMARANNAVAR</x:v>
      </x:c>
      <x:c r="F42" s="18" t="str">
        <x:v>Partly Allowed</x:v>
      </x:c>
      <x:c r="G42" s="20" t="str">
        <x:v>https://indian-high-court-judgments.s3.ap-south-1.amazonaws.com/data/pdf/year=2026/court=29_3/bench=karnataka_bng_old/KAHC010761792025_1_2026-08-27.pdf</x:v>
      </x:c>
    </x:row>
    <x:row r="43">
      <x:c r="A43" s="19">
        <x:f>ROUND(COUNTA(A43:G43)/7*100,0)</x:f>
      </x:c>
      <x:c r="B43" s="18" t="str">
        <x:v>CRL.A/688/2024 of THE STATE OF KARNATAKA Vs RAVI SHETTY @ RAVI HEGDE</x:v>
      </x:c>
      <x:c r="C43" s="18" t="str">
        <x:v>2026-09-01</x:v>
      </x:c>
      <x:c r="D43" s="18" t="str">
        <x:v>High Court of Karnataka</x:v>
      </x:c>
      <x:c r="E43" s="18" t="str">
        <x:v>S RACHAIAH</x:v>
      </x:c>
      <x:c r="F43" s="18" t="str">
        <x:v>DISPOSED</x:v>
      </x:c>
      <x:c r="G43" s="20" t="str">
        <x:v>https://indian-high-court-judgments.s3.ap-south-1.amazonaws.com/data/pdf/year=2026/court=29_3/bench=karnataka_bng_old/KAHC010195602024_1_2026-09-01.pdf</x:v>
      </x:c>
    </x:row>
    <x:row r="44">
      <x:c r="A44" s="19">
        <x:f>ROUND(COUNTA(A44:G44)/7*100,0)</x:f>
      </x:c>
      <x:c r="B44" s="18" t="str">
        <x:v>MSA/109/2026 of SANNAHYDEGOWDA Vs SMT. PADMA</x:v>
      </x:c>
      <x:c r="C44" s="18" t="str">
        <x:v>2026-08-27</x:v>
      </x:c>
      <x:c r="D44" s="18" t="str">
        <x:v>High Court of Karnataka</x:v>
      </x:c>
      <x:c r="E44" s="18" t="str">
        <x:v>JYOTI M</x:v>
      </x:c>
      <x:c r="F44" s="18" t="str">
        <x:v>DISPOSED</x:v>
      </x:c>
      <x:c r="G44" s="20" t="str">
        <x:v>https://indian-high-court-judgments.s3.ap-south-1.amazonaws.com/data/pdf/year=2026/court=29_3/bench=karnataka_bng_old/KAHC010235472026_1_2026-08-27.pdf</x:v>
      </x:c>
    </x:row>
    <x:row r="45">
      <x:c r="A45" s="19">
        <x:f>ROUND(COUNTA(A45:G45)/7*100,0)</x:f>
      </x:c>
      <x:c r="B45" s="18" t="str">
        <x:v>MFA/6499/2022 of SRI SIRDHARA S GONDA Vs SRI LAKSHMAN D NAIK</x:v>
      </x:c>
      <x:c r="C45" s="18" t="str">
        <x:v>2026-08-27</x:v>
      </x:c>
      <x:c r="D45" s="18" t="str">
        <x:v>High Court of Karnataka</x:v>
      </x:c>
      <x:c r="E45" s="18" t="str">
        <x:v>RAJESH RAI K</x:v>
      </x:c>
      <x:c r="F45" s="18" t="str">
        <x:v>Partly Allowed</x:v>
      </x:c>
      <x:c r="G45" s="20" t="str">
        <x:v>https://indian-high-court-judgments.s3.ap-south-1.amazonaws.com/data/pdf/year=2026/court=29_3/bench=karnataka_bng_old/KAHC010428042022_1_2026-08-27.pdf</x:v>
      </x:c>
    </x:row>
    <x:row r="46">
      <x:c r="A46" s="19">
        <x:f>ROUND(COUNTA(A46:G46)/7*100,0)</x:f>
      </x:c>
      <x:c r="B46" s="18" t="str">
        <x:v>CCC/596/2026 of SRI. CHAND PASHA Vs MR. KHALID MUSHRRUF</x:v>
      </x:c>
      <x:c r="C46" s="18" t="str">
        <x:v>2026-09-01</x:v>
      </x:c>
      <x:c r="D46" s="18" t="str">
        <x:v>High Court of Karnataka</x:v>
      </x:c>
      <x:c r="E46" s="18" t="str">
        <x:v>JAYANT BANERJI,T.M.NADAF</x:v>
      </x:c>
      <x:c r="F46" s="18" t="str">
        <x:v>CONSIGNED</x:v>
      </x:c>
      <x:c r="G46" s="20" t="str">
        <x:v>https://indian-high-court-judgments.s3.ap-south-1.amazonaws.com/data/pdf/year=2026/court=29_3/bench=karnataka_bng_old/KAHC010363692026_1_2026-09-01.pdf</x:v>
      </x:c>
    </x:row>
    <x:row r="47">
      <x:c r="A47" s="19">
        <x:f>ROUND(COUNTA(A47:G47)/7*100,0)</x:f>
      </x:c>
      <x:c r="B47" s="18" t="str">
        <x:v>MFA/5484/2026 of PARVATHAMMA Vs VASANTHA M</x:v>
      </x:c>
      <x:c r="C47" s="18" t="str">
        <x:v>2026-09-02</x:v>
      </x:c>
      <x:c r="D47" s="18" t="str">
        <x:v>High Court of Karnataka</x:v>
      </x:c>
      <x:c r="E47" s="18" t="str">
        <x:v>SHIVASHANKAR AMARANNAVAR</x:v>
      </x:c>
      <x:c r="F47" s="18" t="str">
        <x:v>DISPOSED</x:v>
      </x:c>
      <x:c r="G47" s="20" t="str">
        <x:v>https://indian-high-court-judgments.s3.ap-south-1.amazonaws.com/data/pdf/year=2026/court=29_3/bench=karnataka_bng_old/KAHC010517432026_1_2026-09-02.pdf</x:v>
      </x:c>
    </x:row>
    <x:row r="48">
      <x:c r="A48" s="19">
        <x:f>ROUND(COUNTA(A48:G48)/7*100,0)</x:f>
      </x:c>
      <x:c r="B48" s="18" t="str">
        <x:v>CCC/100/2026 of SMT ANASUYAMMA K S Vs MAJOR MANIVANNAN P</x:v>
      </x:c>
      <x:c r="C48" s="18" t="str">
        <x:v>2026-08-31</x:v>
      </x:c>
      <x:c r="D48" s="18" t="str">
        <x:v>High Court of Karnataka</x:v>
      </x:c>
      <x:c r="E48" s="18" t="str">
        <x:v>JAYANT BANERJI,TARA VITASTA GANJU</x:v>
      </x:c>
      <x:c r="F48" s="18" t="str">
        <x:v>CONSIGNED</x:v>
      </x:c>
      <x:c r="G48" s="20" t="str">
        <x:v>https://indian-high-court-judgments.s3.ap-south-1.amazonaws.com/data/pdf/year=2026/court=29_3/bench=karnataka_bng_old/KAHC010056282026_1_2026-08-31.pdf</x:v>
      </x:c>
    </x:row>
    <x:row r="49">
      <x:c r="A49" s="19">
        <x:f>ROUND(COUNTA(A49:G49)/7*100,0)</x:f>
      </x:c>
      <x:c r="B49" s="18" t="str">
        <x:v>WP/6254/2023 of SMT. SUMAN JOSHI , Vs STATE OF KARNATAKA</x:v>
      </x:c>
      <x:c r="C49" s="18" t="str">
        <x:v>2026-08-31</x:v>
      </x:c>
      <x:c r="D49" s="18" t="str">
        <x:v>High Court of Karnataka</x:v>
      </x:c>
      <x:c r="E49" s="18" t="str">
        <x:v>M.G.S. KAMAL</x:v>
      </x:c>
      <x:c r="F49" s="18" t="str">
        <x:v>DISMISSED</x:v>
      </x:c>
      <x:c r="G49" s="20" t="str">
        <x:v>https://indian-high-court-judgments.s3.ap-south-1.amazonaws.com/data/pdf/year=2026/court=29_3/bench=karnataka_bng_old/KAHC010141432023_1_2026-08-31.pdf</x:v>
      </x:c>
    </x:row>
    <x:row r="50">
      <x:c r="A50" s="19">
        <x:f>ROUND(COUNTA(A50:G50)/7*100,0)</x:f>
      </x:c>
      <x:c r="B50" s="18" t="str">
        <x:v>WP/18355/2022 of SRI. K. N. NAGESH Vs THE KARNATAKA POWER TRANSMISSION</x:v>
      </x:c>
      <x:c r="C50" s="18" t="str">
        <x:v>2026-08-31</x:v>
      </x:c>
      <x:c r="D50" s="18" t="str">
        <x:v>High Court of Karnataka</x:v>
      </x:c>
      <x:c r="E50" s="18" t="str">
        <x:v>ASHOK S.KINAGI</x:v>
      </x:c>
      <x:c r="F50" s="18" t="str">
        <x:v>DISMISSED</x:v>
      </x:c>
      <x:c r="G50" s="20" t="str">
        <x:v>https://indian-high-court-judgments.s3.ap-south-1.amazonaws.com/data/pdf/year=2026/court=29_3/bench=karnataka_bng_old/KAHC010424902022_1_2026-08-31.pdf</x:v>
      </x:c>
    </x:row>
    <x:row r="51">
      <x:c r="A51" s="19">
        <x:f>ROUND(COUNTA(A51:G51)/7*100,0)</x:f>
      </x:c>
      <x:c r="B51" s="18" t="str">
        <x:v>CRL.P/4240/2026 of M/S. B.S. ENTERPRISES, Vs M/S. SREE RAMA AND CO</x:v>
      </x:c>
      <x:c r="C51" s="18" t="str">
        <x:v>2026-08-28</x:v>
      </x:c>
      <x:c r="D51" s="18" t="str">
        <x:v>High Court of Karnataka</x:v>
      </x:c>
      <x:c r="E51" s="18" t="str">
        <x:v>M.NAGAPRASANNA</x:v>
      </x:c>
      <x:c r="F51" s="18" t="str">
        <x:v>ALLOWED</x:v>
      </x:c>
      <x:c r="G51" s="20" t="str">
        <x:v>https://indian-high-court-judgments.s3.ap-south-1.amazonaws.com/data/pdf/year=2026/court=29_3/bench=karnataka_bng_old/KAHC010191232026_1_2026-08-28.pdf</x:v>
      </x:c>
    </x:row>
    <x:row r="52">
      <x:c r="A52" s="19">
        <x:f>ROUND(COUNTA(A52:G52)/7*100,0)</x:f>
      </x:c>
      <x:c r="B52" s="18" t="str">
        <x:v>CRL.P/12468/2026 of SRI. SHANKARAPPA Vs THE STATE OF KARNATAKA</x:v>
      </x:c>
      <x:c r="C52" s="18" t="str">
        <x:v>2026-09-03</x:v>
      </x:c>
      <x:c r="D52" s="18" t="str">
        <x:v>High Court of Karnataka</x:v>
      </x:c>
      <x:c r="E52" s="18" t="str">
        <x:v>S VISHWAJITH SHETTY</x:v>
      </x:c>
      <x:c r="F52" s="18" t="str">
        <x:v>ALLOWED</x:v>
      </x:c>
      <x:c r="G52" s="20" t="str">
        <x:v>https://indian-high-court-judgments.s3.ap-south-1.amazonaws.com/data/pdf/year=2026/court=29_3/bench=karnataka_bng_old/KAHC010564972026_1_2026-09-03.pdf</x:v>
      </x:c>
    </x:row>
    <x:row r="53">
      <x:c r="A53" s="19">
        <x:f>ROUND(COUNTA(A53:G53)/7*100,0)</x:f>
      </x:c>
      <x:c r="B53" s="18" t="str">
        <x:v>WP/4347/2022 of MR S T RAMASWAMY REDDY Vs MR SIDDAPPA</x:v>
      </x:c>
      <x:c r="C53" s="18" t="str">
        <x:v>2026-09-01</x:v>
      </x:c>
      <x:c r="D53" s="18" t="str">
        <x:v>High Court of Karnataka</x:v>
      </x:c>
      <x:c r="E53" s="18" t="str">
        <x:v>VIJAYKUMAR A. PATIL</x:v>
      </x:c>
      <x:c r="F53" s="18" t="str">
        <x:v>DISMISSED</x:v>
      </x:c>
      <x:c r="G53" s="20" t="str">
        <x:v>https://indian-high-court-judgments.s3.ap-south-1.amazonaws.com/data/pdf/year=2026/court=29_3/bench=karnataka_bng_old/KAHC010086342022_1_2026-09-01.pdf</x:v>
      </x:c>
    </x:row>
    <x:row r="54">
      <x:c r="A54" s="19">
        <x:f>ROUND(COUNTA(A54:G54)/7*100,0)</x:f>
      </x:c>
      <x:c r="B54" s="18" t="str">
        <x:v>CRL.P/11351/2026 of NAGARAJA Vs STATE BY SANTHEBENNUR POLICE STATION,</x:v>
      </x:c>
      <x:c r="C54" s="18" t="str">
        <x:v>2026-09-01</x:v>
      </x:c>
      <x:c r="D54" s="18" t="str">
        <x:v>High Court of Karnataka</x:v>
      </x:c>
      <x:c r="E54" s="18" t="str">
        <x:v>S VISHWAJITH SHETTY</x:v>
      </x:c>
      <x:c r="F54" s="18" t="str">
        <x:v>ALLOWED</x:v>
      </x:c>
      <x:c r="G54" s="20" t="str">
        <x:v>https://indian-high-court-judgments.s3.ap-south-1.amazonaws.com/data/pdf/year=2026/court=29_3/bench=karnataka_bng_old/KAHC010519802026_1_2026-09-01.pdf</x:v>
      </x:c>
    </x:row>
    <x:row r="55">
      <x:c r="A55" s="19">
        <x:f>ROUND(COUNTA(A55:G55)/7*100,0)</x:f>
      </x:c>
      <x:c r="B55" s="18" t="str">
        <x:v>MFA/8460/2017 of THE ORIENTAL INSURANCE COMPANY LIMITED Vs MR ABOOBAKKAR G K</x:v>
      </x:c>
      <x:c r="C55" s="18" t="str">
        <x:v>2026-08-29</x:v>
      </x:c>
      <x:c r="D55" s="18" t="str">
        <x:v>High Court of Karnataka</x:v>
      </x:c>
      <x:c r="E55" s="18" t="str">
        <x:v>P SREE SUDHA</x:v>
      </x:c>
      <x:c r="F55" s="18" t="str">
        <x:v>Partly Allowed</x:v>
      </x:c>
      <x:c r="G55" s="20" t="str">
        <x:v>https://indian-high-court-judgments.s3.ap-south-1.amazonaws.com/data/pdf/year=2026/court=29_3/bench=karnataka_bng_old/KAHC010460142017_1_2026-08-29.pdf</x:v>
      </x:c>
    </x:row>
    <x:row r="56">
      <x:c r="A56" s="19">
        <x:f>ROUND(COUNTA(A56:G56)/7*100,0)</x:f>
      </x:c>
      <x:c r="B56" s="18" t="str">
        <x:v>CRL.P/10997/2026 of YATHIRAJA. C. R. Vs THE STATE OF KARNATAKA</x:v>
      </x:c>
      <x:c r="C56" s="18" t="str">
        <x:v>2026-09-01</x:v>
      </x:c>
      <x:c r="D56" s="18" t="str">
        <x:v>High Court of Karnataka</x:v>
      </x:c>
      <x:c r="E56" s="18" t="str">
        <x:v>S VISHWAJITH SHETTY</x:v>
      </x:c>
      <x:c r="F56" s="18" t="str">
        <x:v>ALLOWED</x:v>
      </x:c>
      <x:c r="G56" s="20" t="str">
        <x:v>https://indian-high-court-judgments.s3.ap-south-1.amazonaws.com/data/pdf/year=2026/court=29_3/bench=karnataka_bng_old/KAHC010500802026_1_2026-09-01.pdf</x:v>
      </x:c>
    </x:row>
    <x:row r="57">
      <x:c r="A57" s="19">
        <x:f>ROUND(COUNTA(A57:G57)/7*100,0)</x:f>
      </x:c>
      <x:c r="B57" s="18" t="str">
        <x:v>CRL.P/9662/2022 of PRAKASH K Vs STATE OF KARNATAKA</x:v>
      </x:c>
      <x:c r="C57" s="18" t="str">
        <x:v>2026-08-29</x:v>
      </x:c>
      <x:c r="D57" s="18" t="str">
        <x:v>High Court of Karnataka</x:v>
      </x:c>
      <x:c r="E57" s="18" t="str">
        <x:v>RAVI V HOSMANI</x:v>
      </x:c>
      <x:c r="F57" s="18" t="str">
        <x:v>DISMISSED</x:v>
      </x:c>
      <x:c r="G57" s="20" t="str">
        <x:v>https://indian-high-court-judgments.s3.ap-south-1.amazonaws.com/data/pdf/year=2026/court=29_3/bench=karnataka_bng_old/KAHC010440472022_1_2026-08-29.pdf</x:v>
      </x:c>
    </x:row>
    <x:row r="58">
      <x:c r="A58" s="19">
        <x:f>ROUND(COUNTA(A58:G58)/7*100,0)</x:f>
      </x:c>
      <x:c r="B58" s="18" t="str">
        <x:v>CRL.P/9497/2026 of MR NANDEESHA N Vs UNION OF INDIA</x:v>
      </x:c>
      <x:c r="C58" s="18" t="str">
        <x:v>2026-08-28</x:v>
      </x:c>
      <x:c r="D58" s="18" t="str">
        <x:v>High Court of Karnataka</x:v>
      </x:c>
      <x:c r="E58" s="18" t="str">
        <x:v>M.NAGAPRASANNA</x:v>
      </x:c>
      <x:c r="F58" s="18" t="str">
        <x:v>DISMISSED</x:v>
      </x:c>
      <x:c r="G58" s="20" t="str">
        <x:v>https://indian-high-court-judgments.s3.ap-south-1.amazonaws.com/data/pdf/year=2026/court=29_3/bench=karnataka_bng_old/KAHC010445362026_1_2026-08-28.pdf</x:v>
      </x:c>
    </x:row>
    <x:row r="59">
      <x:c r="A59" s="19">
        <x:f>ROUND(COUNTA(A59:G59)/7*100,0)</x:f>
      </x:c>
      <x:c r="B59" s="18" t="str">
        <x:v>CRL.P/8216/2025 of SHIVA KUMAR B Vs STATE OF KARNATAKA</x:v>
      </x:c>
      <x:c r="C59" s="18" t="str">
        <x:v>2026-08-27</x:v>
      </x:c>
      <x:c r="D59" s="18" t="str">
        <x:v>High Court of Karnataka</x:v>
      </x:c>
      <x:c r="E59" s="18" t="str">
        <x:v>M.NAGAPRASANNA</x:v>
      </x:c>
      <x:c r="F59" s="18" t="str">
        <x:v>DISPOSED</x:v>
      </x:c>
      <x:c r="G59" s="20" t="str">
        <x:v>https://indian-high-court-judgments.s3.ap-south-1.amazonaws.com/data/pdf/year=2026/court=29_3/bench=karnataka_bng_old/KAHC010376242025_1_2026-08-27.pdf</x:v>
      </x:c>
    </x:row>
    <x:row r="60">
      <x:c r="A60" s="19">
        <x:f>ROUND(COUNTA(A60:G60)/7*100,0)</x:f>
      </x:c>
      <x:c r="B60" s="18" t="str">
        <x:v>CRL.P/6612/2020 of SRI. CHANDRAPPA Vs SRI. C N RAMAPPA</x:v>
      </x:c>
      <x:c r="C60" s="18" t="str">
        <x:v>2026-08-27</x:v>
      </x:c>
      <x:c r="D60" s="18" t="str">
        <x:v>High Court of Karnataka</x:v>
      </x:c>
      <x:c r="E60" s="18" t="str">
        <x:v>RAVI V HOSMANI</x:v>
      </x:c>
      <x:c r="F60" s="18" t="str">
        <x:v>DISMISSED</x:v>
      </x:c>
      <x:c r="G60" s="20" t="str">
        <x:v>https://indian-high-court-judgments.s3.ap-south-1.amazonaws.com/data/pdf/year=2026/court=29_3/bench=karnataka_bng_old/KAHC010139442020_1_2026-08-27.pdf</x:v>
      </x:c>
    </x:row>
    <x:row r="61">
      <x:c r="A61" s="19">
        <x:f>ROUND(COUNTA(A61:G61)/7*100,0)</x:f>
      </x:c>
      <x:c r="B61" s="18" t="str">
        <x:v>CRL.P/7484/2026 of SRI GOVINDASWAMY Vs THE STATE OF KARNATAKA</x:v>
      </x:c>
      <x:c r="C61" s="18" t="str">
        <x:v>2026-08-27</x:v>
      </x:c>
      <x:c r="D61" s="18" t="str">
        <x:v>High Court of Karnataka</x:v>
      </x:c>
      <x:c r="E61" s="18" t="str">
        <x:v>S VISHWAJITH SHETTY</x:v>
      </x:c>
      <x:c r="F61" s="18" t="str">
        <x:v>DISMISSED</x:v>
      </x:c>
      <x:c r="G61" s="20" t="str">
        <x:v>https://indian-high-court-judgments.s3.ap-south-1.amazonaws.com/data/pdf/year=2026/court=29_3/bench=karnataka_bng_old/KAHC010353002026_1_2026-08-27.pdf</x:v>
      </x:c>
    </x:row>
    <x:row r="62">
      <x:c r="A62" s="19">
        <x:f>ROUND(COUNTA(A62:G62)/7*100,0)</x:f>
      </x:c>
      <x:c r="B62" s="18" t="str">
        <x:v>WP/26479/2026 of SMT. SANJEEVAMMA Vs THE DEPUTY COMMISSIONER</x:v>
      </x:c>
      <x:c r="C62" s="18" t="str">
        <x:v>2026-08-28</x:v>
      </x:c>
      <x:c r="D62" s="18" t="str">
        <x:v>High Court of Karnataka</x:v>
      </x:c>
      <x:c r="E62" s="18" t="str">
        <x:v>E.S.INDIRESH</x:v>
      </x:c>
      <x:c r="F62" s="18" t="str">
        <x:v>DISMISSED</x:v>
      </x:c>
      <x:c r="G62" s="20" t="str">
        <x:v>https://indian-high-court-judgments.s3.ap-south-1.amazonaws.com/data/pdf/year=2026/court=29_3/bench=karnataka_bng_old/KAHC010587062026_1_2026-08-28.pdf</x:v>
      </x:c>
    </x:row>
    <x:row r="63">
      <x:c r="A63" s="19">
        <x:f>ROUND(COUNTA(A63:G63)/7*100,0)</x:f>
      </x:c>
      <x:c r="B63" s="18" t="str">
        <x:v>RFA/1987/2021 of SMT HAMSAVATHI @ HAMSAVENI Vs SMT VENKATAMMA</x:v>
      </x:c>
      <x:c r="C63" s="18" t="str">
        <x:v>2026-08-31</x:v>
      </x:c>
      <x:c r="D63" s="18" t="str">
        <x:v>High Court of Karnataka</x:v>
      </x:c>
      <x:c r="E63" s="18" t="str">
        <x:v>REGISTRAR (RECRUITMENT)</x:v>
      </x:c>
      <x:c r="F63" s="18" t="str">
        <x:v>Dismissal for Non Compliance of Office Objections</x:v>
      </x:c>
      <x:c r="G63" s="20" t="str">
        <x:v>https://indian-high-court-judgments.s3.ap-south-1.amazonaws.com/data/pdf/year=2026/court=29_3/bench=karnataka_bng_old/KAHC010380382021_1_2024-12-12.pdf</x:v>
      </x:c>
    </x:row>
    <x:row r="64">
      <x:c r="A64" s="19">
        <x:f>ROUND(COUNTA(A64:G64)/7*100,0)</x:f>
      </x:c>
      <x:c r="B64" s="18" t="str">
        <x:v>COMAP/483/2025 of SMT. LAKSHMAMMA Vs M/S HUAWEI TECHNOLOGIES INDIA PVT LTD.,</x:v>
      </x:c>
      <x:c r="C64" s="18" t="str">
        <x:v>2026-09-03</x:v>
      </x:c>
      <x:c r="D64" s="18" t="str">
        <x:v>High Court of Karnataka</x:v>
      </x:c>
      <x:c r="E64" s="18" t="str">
        <x:v>CHIEF JUSTICE,C.M. POONACHA</x:v>
      </x:c>
      <x:c r="F64" s="18" t="str">
        <x:v>ALLOWED</x:v>
      </x:c>
      <x:c r="G64" s="20" t="str">
        <x:v>https://indian-high-court-judgments.s3.ap-south-1.amazonaws.com/data/pdf/year=2026/court=29_3/bench=karnataka_bng_old/KAHC010595222025_1_2026-09-03.pdf</x:v>
      </x:c>
    </x:row>
    <x:row r="65">
      <x:c r="A65" s="19">
        <x:f>ROUND(COUNTA(A65:G65)/7*100,0)</x:f>
      </x:c>
      <x:c r="B65" s="18" t="str">
        <x:v>WP/25619/2026 of SRI.H.B.CHANNESHAPPA, Vs STATE OF KARNATAKA,</x:v>
      </x:c>
      <x:c r="C65" s="18" t="str">
        <x:v>2026-08-27</x:v>
      </x:c>
      <x:c r="D65" s="18" t="str">
        <x:v>High Court of Karnataka</x:v>
      </x:c>
      <x:c r="E65" s="18" t="str">
        <x:v>ASHOK S.KINAGI</x:v>
      </x:c>
      <x:c r="F65" s="18" t="str">
        <x:v>DISMISSED</x:v>
      </x:c>
      <x:c r="G65" s="20" t="str">
        <x:v>https://indian-high-court-judgments.s3.ap-south-1.amazonaws.com/data/pdf/year=2026/court=29_3/bench=karnataka_bng_old/KAHC010562372026_1_2026-08-27.pdf</x:v>
      </x:c>
    </x:row>
    <x:row r="66">
      <x:c r="A66" s="19">
        <x:f>ROUND(COUNTA(A66:G66)/7*100,0)</x:f>
      </x:c>
      <x:c r="B66" s="18" t="str">
        <x:v>CRL.P/13488/2026 of AKASH Vs STATE OF KARNATAKA BY</x:v>
      </x:c>
      <x:c r="C66" s="18" t="str">
        <x:v>2026-09-02</x:v>
      </x:c>
      <x:c r="D66" s="18" t="str">
        <x:v>High Court of Karnataka</x:v>
      </x:c>
      <x:c r="E66" s="18" t="str">
        <x:v>S VISHWAJITH SHETTY</x:v>
      </x:c>
      <x:c r="F66" s="18" t="str">
        <x:v>ALLOWED</x:v>
      </x:c>
      <x:c r="G66" s="20" t="str">
        <x:v>https://indian-high-court-judgments.s3.ap-south-1.amazonaws.com/data/pdf/year=2026/court=29_3/bench=karnataka_bng_old/KAHC010605222026_1_2026-09-02.pdf</x:v>
      </x:c>
    </x:row>
    <x:row r="67">
      <x:c r="A67" s="19">
        <x:f>ROUND(COUNTA(A67:G67)/7*100,0)</x:f>
      </x:c>
      <x:c r="B67" s="18" t="str">
        <x:v>CRL.P/11410/2026 of IMRAN KHAN Vs STATE OF KARNATAKA</x:v>
      </x:c>
      <x:c r="C67" s="18" t="str">
        <x:v>2026-08-27</x:v>
      </x:c>
      <x:c r="D67" s="18" t="str">
        <x:v>High Court of Karnataka</x:v>
      </x:c>
      <x:c r="E67" s="18" t="str">
        <x:v>S VISHWAJITH SHETTY</x:v>
      </x:c>
      <x:c r="F67" s="18" t="str">
        <x:v>Partly Allowed</x:v>
      </x:c>
      <x:c r="G67" s="20" t="str">
        <x:v>https://indian-high-court-judgments.s3.ap-south-1.amazonaws.com/data/pdf/year=2026/court=29_3/bench=karnataka_bng_old/KAHC010519882026_1_2026-08-27.pdf</x:v>
      </x:c>
    </x:row>
    <x:row r="68">
      <x:c r="A68" s="19">
        <x:f>ROUND(COUNTA(A68:G68)/7*100,0)</x:f>
      </x:c>
      <x:c r="B68" s="18" t="str">
        <x:v>CRL.P/10812/2026 of SAMEER SHARIF Vs STATE OF KARNATAKA</x:v>
      </x:c>
      <x:c r="C68" s="18" t="str">
        <x:v>2026-09-02</x:v>
      </x:c>
      <x:c r="D68" s="18" t="str">
        <x:v>High Court of Karnataka</x:v>
      </x:c>
      <x:c r="E68" s="18" t="str">
        <x:v>S VISHWAJITH SHETTY</x:v>
      </x:c>
      <x:c r="F68" s="18" t="str">
        <x:v>DISMISSED</x:v>
      </x:c>
      <x:c r="G68" s="20" t="str">
        <x:v>https://indian-high-court-judgments.s3.ap-south-1.amazonaws.com/data/pdf/year=2026/court=29_3/bench=karnataka_bng_old/KAHC010497622026_1_2026-09-02.pdf</x:v>
      </x:c>
    </x:row>
    <x:row r="69">
      <x:c r="A69" s="19">
        <x:f>ROUND(COUNTA(A69:G69)/7*100,0)</x:f>
      </x:c>
      <x:c r="B69" s="18" t="str">
        <x:v>CRL.P/11461/2026 of MR.AJITH MATHAI Vs THE STATE OF KARNATAKA</x:v>
      </x:c>
      <x:c r="C69" s="18" t="str">
        <x:v>2026-08-27</x:v>
      </x:c>
      <x:c r="D69" s="18" t="str">
        <x:v>High Court of Karnataka</x:v>
      </x:c>
      <x:c r="E69" s="18" t="str">
        <x:v>S VISHWAJITH SHETTY</x:v>
      </x:c>
      <x:c r="F69" s="18" t="str">
        <x:v>DISMISSED</x:v>
      </x:c>
      <x:c r="G69" s="20" t="str">
        <x:v>https://indian-high-court-judgments.s3.ap-south-1.amazonaws.com/data/pdf/year=2026/court=29_3/bench=karnataka_bng_old/KAHC010520802026_1_2026-08-27.pdf</x:v>
      </x:c>
    </x:row>
    <x:row r="70">
      <x:c r="A70" s="19">
        <x:f>ROUND(COUNTA(A70:G70)/7*100,0)</x:f>
      </x:c>
      <x:c r="B70" s="18" t="str">
        <x:v>CRL.P/13112/2026 of PURUSHOTHAM K.A Vs STATE OF KARNATAKA</x:v>
      </x:c>
      <x:c r="C70" s="18" t="str">
        <x:v>2026-08-29</x:v>
      </x:c>
      <x:c r="D70" s="18" t="str">
        <x:v>High Court of Karnataka</x:v>
      </x:c>
      <x:c r="E70" s="18" t="str">
        <x:v>M.NAGAPRASANNA</x:v>
      </x:c>
      <x:c r="F70" s="18" t="str">
        <x:v>ALLOWED</x:v>
      </x:c>
      <x:c r="G70" s="20" t="str">
        <x:v>https://indian-high-court-judgments.s3.ap-south-1.amazonaws.com/data/pdf/year=2026/court=29_3/bench=karnataka_bng_old/KAHC010583652026_1_2026-08-29.pdf</x:v>
      </x:c>
    </x:row>
    <x:row r="71">
      <x:c r="A71" s="19">
        <x:f>ROUND(COUNTA(A71:G71)/7*100,0)</x:f>
      </x:c>
      <x:c r="B71" s="18" t="str">
        <x:v>CRL.A/440/2019 of STATE OF KARNATAKA Vs G S BASAVARAJA</x:v>
      </x:c>
      <x:c r="C71" s="18" t="str">
        <x:v>2026-08-28</x:v>
      </x:c>
      <x:c r="D71" s="18" t="str">
        <x:v>High Court of Karnataka</x:v>
      </x:c>
      <x:c r="E71" s="18" t="str">
        <x:v>H.P.SANDESH,B.PRAMOD</x:v>
      </x:c>
      <x:c r="F71" s="18" t="str">
        <x:v>Abated</x:v>
      </x:c>
      <x:c r="G71" s="20" t="str">
        <x:v>https://indian-high-court-judgments.s3.ap-south-1.amazonaws.com/data/pdf/year=2026/court=29_3/bench=karnataka_bng_old/KAHC010068892019_1_2026-08-28.pdf</x:v>
      </x:c>
    </x:row>
    <x:row r="72">
      <x:c r="A72" s="19">
        <x:f>ROUND(COUNTA(A72:G72)/7*100,0)</x:f>
      </x:c>
      <x:c r="B72" s="18" t="str">
        <x:v>WP/26505/2026 of SRI B MANJUNATHA Vs THE DEPUTY COMMISSIONER</x:v>
      </x:c>
      <x:c r="C72" s="18" t="str">
        <x:v>2026-08-27</x:v>
      </x:c>
      <x:c r="D72" s="18" t="str">
        <x:v>High Court of Karnataka</x:v>
      </x:c>
      <x:c r="E72" s="18" t="str">
        <x:v>E.S.INDIRESH</x:v>
      </x:c>
      <x:c r="F72" s="18" t="str">
        <x:v>DISPOSED</x:v>
      </x:c>
      <x:c r="G72" s="20" t="str">
        <x:v>https://indian-high-court-judgments.s3.ap-south-1.amazonaws.com/data/pdf/year=2026/court=29_3/bench=karnataka_bng_old/KAHC010581302026_1_2026-08-27.pdf</x:v>
      </x:c>
    </x:row>
    <x:row r="73">
      <x:c r="A73" s="19">
        <x:f>ROUND(COUNTA(A73:G73)/7*100,0)</x:f>
      </x:c>
      <x:c r="B73" s="18" t="str">
        <x:v>CRL.P/11857/2026 of SRI BHARATH @ CURRENT Vs THE STATE OF KARNATAKA</x:v>
      </x:c>
      <x:c r="C73" s="18" t="str">
        <x:v>2026-09-01</x:v>
      </x:c>
      <x:c r="D73" s="18" t="str">
        <x:v>High Court of Karnataka</x:v>
      </x:c>
      <x:c r="E73" s="18" t="str">
        <x:v>S VISHWAJITH SHETTY</x:v>
      </x:c>
      <x:c r="F73" s="18" t="str">
        <x:v>ALLOWED</x:v>
      </x:c>
      <x:c r="G73" s="20" t="str">
        <x:v>https://indian-high-court-judgments.s3.ap-south-1.amazonaws.com/data/pdf/year=2026/court=29_3/bench=karnataka_bng_old/KAHC010538772026_1_2026-09-01.pdf</x:v>
      </x:c>
    </x:row>
    <x:row r="74">
      <x:c r="A74" s="19">
        <x:f>ROUND(COUNTA(A74:G74)/7*100,0)</x:f>
      </x:c>
      <x:c r="B74" s="18" t="str">
        <x:v>WP/20610/2022 of SRI. MAHAANTHESWARAPPA. C. M. Vs THE STATE OF KARNATAKA</x:v>
      </x:c>
      <x:c r="C74" s="18" t="str">
        <x:v>2026-08-27</x:v>
      </x:c>
      <x:c r="D74" s="18" t="str">
        <x:v>High Court of Karnataka</x:v>
      </x:c>
      <x:c r="E74" s="18" t="str">
        <x:v>M.G.S. KAMAL</x:v>
      </x:c>
      <x:c r="F74" s="18" t="str">
        <x:v>ALLOWED</x:v>
      </x:c>
      <x:c r="G74" s="20" t="str">
        <x:v>https://indian-high-court-judgments.s3.ap-south-1.amazonaws.com/data/pdf/year=2026/court=29_3/bench=karnataka_bng_old/KAHC010473482022_1_2026-08-27.pdf</x:v>
      </x:c>
    </x:row>
    <x:row r="75">
      <x:c r="A75" s="19">
        <x:f>ROUND(COUNTA(A75:G75)/7*100,0)</x:f>
      </x:c>
      <x:c r="B75" s="18" t="str">
        <x:v>WP/2802/2023 of THE COMMISSIONER Vs THE ASSISTANT COMMISSIONER</x:v>
      </x:c>
      <x:c r="C75" s="18" t="str">
        <x:v>2026-08-31</x:v>
      </x:c>
      <x:c r="D75" s="18" t="str">
        <x:v>High Court of Karnataka</x:v>
      </x:c>
      <x:c r="E75" s="18" t="str">
        <x:v>VIJAYKUMAR A. PATIL</x:v>
      </x:c>
      <x:c r="F75" s="18" t="str">
        <x:v>ALLOWED</x:v>
      </x:c>
      <x:c r="G75" s="20" t="str">
        <x:v>https://indian-high-court-judgments.s3.ap-south-1.amazonaws.com/data/pdf/year=2026/court=29_3/bench=karnataka_bng_old/KAHC010065822023_1_2026-08-31.pdf</x:v>
      </x:c>
    </x:row>
    <x:row r="76">
      <x:c r="A76" s="19">
        <x:f>ROUND(COUNTA(A76:G76)/7*100,0)</x:f>
      </x:c>
      <x:c r="B76" s="18" t="str">
        <x:v>RP/45/2026 of THE STATE OF KARNATAKA, Vs SRI RAVIKUMAR G,</x:v>
      </x:c>
      <x:c r="C76" s="18" t="str">
        <x:v>2026-09-01</x:v>
      </x:c>
      <x:c r="D76" s="18" t="str">
        <x:v>High Court of Karnataka</x:v>
      </x:c>
      <x:c r="E76" s="18" t="str">
        <x:v>R DEVDAS,K.MANMADHA RAO</x:v>
      </x:c>
      <x:c r="F76" s="18" t="str">
        <x:v>DISMISSED</x:v>
      </x:c>
      <x:c r="G76" s="20" t="str">
        <x:v>https://indian-high-court-judgments.s3.ap-south-1.amazonaws.com/data/pdf/year=2026/court=29_3/bench=karnataka_bng_old/KAHC010076972026_1_2026-09-01.pdf</x:v>
      </x:c>
    </x:row>
    <x:row r="77">
      <x:c r="A77" s="19">
        <x:f>ROUND(COUNTA(A77:G77)/7*100,0)</x:f>
      </x:c>
      <x:c r="B77" s="18" t="str">
        <x:v>WP/1355/2022 of MRS. SAVITHA MARTIS Vs MR. K RAGHAVENDRA NAYAK</x:v>
      </x:c>
      <x:c r="C77" s="18" t="str">
        <x:v>2026-08-29</x:v>
      </x:c>
      <x:c r="D77" s="18" t="str">
        <x:v>High Court of Karnataka</x:v>
      </x:c>
      <x:c r="E77" s="18" t="str">
        <x:v>VIJAYKUMAR A. PATIL</x:v>
      </x:c>
      <x:c r="F77" s="18" t="str">
        <x:v>ALLOWED</x:v>
      </x:c>
      <x:c r="G77" s="20" t="str">
        <x:v>https://indian-high-court-judgments.s3.ap-south-1.amazonaws.com/data/pdf/year=2026/court=29_3/bench=karnataka_bng_old/KAHC010028682022_1_2026-08-29.pdf</x:v>
      </x:c>
    </x:row>
    <x:row r="78">
      <x:c r="A78" s="19">
        <x:f>ROUND(COUNTA(A78:G78)/7*100,0)</x:f>
      </x:c>
      <x:c r="B78" s="18" t="str">
        <x:v>CRL.P/12137/2026 of RANJITH. K. S. Vs STATE OF KARNATAKA</x:v>
      </x:c>
      <x:c r="C78" s="18" t="str">
        <x:v>2026-08-31</x:v>
      </x:c>
      <x:c r="D78" s="18" t="str">
        <x:v>High Court of Karnataka</x:v>
      </x:c>
      <x:c r="E78" s="18" t="str">
        <x:v>S VISHWAJITH SHETTY</x:v>
      </x:c>
      <x:c r="F78" s="18" t="str">
        <x:v>ALLOWED</x:v>
      </x:c>
      <x:c r="G78" s="20" t="str">
        <x:v>https://indian-high-court-judgments.s3.ap-south-1.amazonaws.com/data/pdf/year=2026/court=29_3/bench=karnataka_bng_old/KAHC010556292026_1_2026-08-31.pdf</x:v>
      </x:c>
    </x:row>
    <x:row r="79">
      <x:c r="A79" s="19">
        <x:f>ROUND(COUNTA(A79:G79)/7*100,0)</x:f>
      </x:c>
      <x:c r="B79" s="18" t="str">
        <x:v>COMAP/403/2026 of SYED ASMATH PASHA QHADRI Vs M/S SHRIVISION LIVING SPACE PVT LTD</x:v>
      </x:c>
      <x:c r="C79" s="18" t="str">
        <x:v>2026-08-29</x:v>
      </x:c>
      <x:c r="D79" s="18" t="str">
        <x:v>High Court of Karnataka</x:v>
      </x:c>
      <x:c r="E79" s="18" t="str">
        <x:v>CHIEF JUSTICE,K.S. HEMALEKHA</x:v>
      </x:c>
      <x:c r="F79" s="18" t="str">
        <x:v>DISPOSED</x:v>
      </x:c>
      <x:c r="G79" s="20" t="str">
        <x:v>https://indian-high-court-judgments.s3.ap-south-1.amazonaws.com/data/pdf/year=2026/court=29_3/bench=karnataka_bng_old/KAHC010575032026_1_2026-08-29.pdf</x:v>
      </x:c>
    </x:row>
    <x:row r="80">
      <x:c r="A80" s="19">
        <x:f>ROUND(COUNTA(A80:G80)/7*100,0)</x:f>
      </x:c>
      <x:c r="B80" s="18" t="str">
        <x:v>WP/25625/2026 of SRI MOHAMMAD YUNUS Vs THE STATE OF KARNATAKA</x:v>
      </x:c>
      <x:c r="C80" s="18" t="str">
        <x:v>2026-08-27</x:v>
      </x:c>
      <x:c r="D80" s="18" t="str">
        <x:v>High Court of Karnataka</x:v>
      </x:c>
      <x:c r="E80" s="18" t="str">
        <x:v>CHIEF JUSTICE,K.S. HEMALEKHA</x:v>
      </x:c>
      <x:c r="F80" s="18" t="str">
        <x:v>DISPOSED</x:v>
      </x:c>
      <x:c r="G80" s="20" t="str">
        <x:v>https://indian-high-court-judgments.s3.ap-south-1.amazonaws.com/data/pdf/year=2026/court=29_3/bench=karnataka_bng_old/KAHC010558882026_1_2026-08-27.pdf</x:v>
      </x:c>
    </x:row>
    <x:row r="81">
      <x:c r="A81" s="19">
        <x:f>ROUND(COUNTA(A81:G81)/7*100,0)</x:f>
      </x:c>
      <x:c r="B81" s="18" t="str">
        <x:v>CRL.P/12459/2026 of SRI. HANUMANTHAPPA Vs STATE BY HARIHARA RURAL POLICE STATION,</x:v>
      </x:c>
      <x:c r="C81" s="18" t="str">
        <x:v>2026-09-07</x:v>
      </x:c>
      <x:c r="D81" s="18" t="str">
        <x:v>High Court of Karnataka</x:v>
      </x:c>
      <x:c r="E81" s="18" t="str">
        <x:v>S VISHWAJITH SHETTY</x:v>
      </x:c>
      <x:c r="F81" s="18" t="str">
        <x:v>ALLOWED</x:v>
      </x:c>
      <x:c r="G81" s="20" t="str">
        <x:v>https://indian-high-court-judgments.s3.ap-south-1.amazonaws.com/data/pdf/year=2026/court=29_3/bench=karnataka_bng_old/KAHC010566052026_1_2026-09-07.pdf</x:v>
      </x:c>
    </x:row>
    <x:row r="82">
      <x:c r="A82" s="19">
        <x:f>ROUND(COUNTA(A82:G82)/7*100,0)</x:f>
      </x:c>
      <x:c r="B82" s="18" t="str">
        <x:v>MFA/7203/2021 of MR T EDWIN D SOUZA Vs MR MATHEW P F D SOUZA</x:v>
      </x:c>
      <x:c r="C82" s="18" t="str">
        <x:v>2026-08-28</x:v>
      </x:c>
      <x:c r="D82" s="18" t="str">
        <x:v>High Court of Karnataka</x:v>
      </x:c>
      <x:c r="E82" s="18" t="str">
        <x:v>PRADEEP SINGH YERUR</x:v>
      </x:c>
      <x:c r="F82" s="18" t="str">
        <x:v>DISPOSED</x:v>
      </x:c>
      <x:c r="G82" s="20" t="str">
        <x:v>https://indian-high-court-judgments.s3.ap-south-1.amazonaws.com/data/pdf/year=2026/court=29_3/bench=karnataka_bng_old/KAHC010495292021_1_2026-08-28.pdf</x:v>
      </x:c>
    </x:row>
    <x:row r="83">
      <x:c r="A83" s="19">
        <x:f>ROUND(COUNTA(A83:G83)/7*100,0)</x:f>
      </x:c>
      <x:c r="B83" s="18" t="str">
        <x:v>WP/4716/2023 of PLACID CLINTON VAS Vs THE STATE OF KARNATAKA</x:v>
      </x:c>
      <x:c r="C83" s="18" t="str">
        <x:v>2026-08-31</x:v>
      </x:c>
      <x:c r="D83" s="18" t="str">
        <x:v>High Court of Karnataka</x:v>
      </x:c>
      <x:c r="E83" s="18" t="str">
        <x:v>M.G.S. KAMAL</x:v>
      </x:c>
      <x:c r="F83" s="18" t="str">
        <x:v>DISMISSED</x:v>
      </x:c>
      <x:c r="G83" s="20" t="str">
        <x:v>https://indian-high-court-judgments.s3.ap-south-1.amazonaws.com/data/pdf/year=2026/court=29_3/bench=karnataka_bng_old/KAHC010103342023_1_2026-08-31.pdf</x:v>
      </x:c>
    </x:row>
    <x:row r="84">
      <x:c r="A84" s="19">
        <x:f>ROUND(COUNTA(A84:G84)/7*100,0)</x:f>
      </x:c>
      <x:c r="B84" s="18" t="str">
        <x:v>CRL.P/11337/2026 of SURYAKANTHA V Vs STATE OF KARNATAKA</x:v>
      </x:c>
      <x:c r="C84" s="18" t="str">
        <x:v>2026-08-27</x:v>
      </x:c>
      <x:c r="D84" s="18" t="str">
        <x:v>High Court of Karnataka</x:v>
      </x:c>
      <x:c r="E84" s="18" t="str">
        <x:v>S VISHWAJITH SHETTY</x:v>
      </x:c>
      <x:c r="F84" s="18" t="str">
        <x:v>ALLOWED</x:v>
      </x:c>
      <x:c r="G84" s="20" t="str">
        <x:v>https://indian-high-court-judgments.s3.ap-south-1.amazonaws.com/data/pdf/year=2026/court=29_3/bench=karnataka_bng_old/KAHC010518352026_1_2026-08-27.pdf</x:v>
      </x:c>
    </x:row>
    <x:row r="85">
      <x:c r="A85" s="19">
        <x:f>ROUND(COUNTA(A85:G85)/7*100,0)</x:f>
      </x:c>
      <x:c r="B85" s="18" t="str">
        <x:v>RSA/1033/2016 of NANCY D'SOUZA Vs SRI CHARLES PINOT</x:v>
      </x:c>
      <x:c r="C85" s="18" t="str">
        <x:v>2026-08-31</x:v>
      </x:c>
      <x:c r="D85" s="18" t="str">
        <x:v>High Court of Karnataka</x:v>
      </x:c>
      <x:c r="E85" s="18" t="str">
        <x:v>ASHOK S.KINAGI</x:v>
      </x:c>
      <x:c r="F85" s="18" t="str">
        <x:v>DISMISSED</x:v>
      </x:c>
      <x:c r="G85" s="20" t="str">
        <x:v>https://indian-high-court-judgments.s3.ap-south-1.amazonaws.com/data/pdf/year=2026/court=29_3/bench=karnataka_bng_old/KAHC010254432016_1_2026-08-31.pdf</x:v>
      </x:c>
    </x:row>
    <x:row r="86">
      <x:c r="A86" s="19">
        <x:f>ROUND(COUNTA(A86:G86)/7*100,0)</x:f>
      </x:c>
      <x:c r="B86" s="18" t="str">
        <x:v>WP/27409/2026 of MISS. HARSHINI. M Vs STATE OF KARNATAKA</x:v>
      </x:c>
      <x:c r="C86" s="18" t="str">
        <x:v>2026-09-02</x:v>
      </x:c>
      <x:c r="D86" s="18" t="str">
        <x:v>High Court of Karnataka</x:v>
      </x:c>
      <x:c r="E86" s="18" t="str">
        <x:v>ASHOK S.KINAGI</x:v>
      </x:c>
      <x:c r="F86" s="18" t="str">
        <x:v>DISPOSED</x:v>
      </x:c>
      <x:c r="G86" s="20" t="str">
        <x:v>https://indian-high-court-judgments.s3.ap-south-1.amazonaws.com/data/pdf/year=2026/court=29_3/bench=karnataka_bng_old/KAHC010602822026_1_2026-09-02.pdf</x:v>
      </x:c>
    </x:row>
    <x:row r="87">
      <x:c r="A87" s="19">
        <x:f>ROUND(COUNTA(A87:G87)/7*100,0)</x:f>
      </x:c>
      <x:c r="B87" s="18" t="str">
        <x:v>MFA/1619/2022 of MR. VINOD KUMAR @ VINOD Vs M/S. UNITED INDIA INSURANCE CO. LTD</x:v>
      </x:c>
      <x:c r="C87" s="18" t="str">
        <x:v>2026-08-27</x:v>
      </x:c>
      <x:c r="D87" s="18" t="str">
        <x:v>High Court of Karnataka</x:v>
      </x:c>
      <x:c r="E87" s="18" t="str">
        <x:v>RAJESH RAI K</x:v>
      </x:c>
      <x:c r="F87" s="18" t="str">
        <x:v>Partly Allowed</x:v>
      </x:c>
      <x:c r="G87" s="20" t="str">
        <x:v>https://indian-high-court-judgments.s3.ap-south-1.amazonaws.com/data/pdf/year=2026/court=29_3/bench=karnataka_bng_old/KAHC010129832021_1_2026-08-27.pdf</x:v>
      </x:c>
    </x:row>
    <x:row r="88">
      <x:c r="A88" s="19">
        <x:f>ROUND(COUNTA(A88:G88)/7*100,0)</x:f>
      </x:c>
      <x:c r="B88" s="18" t="str">
        <x:v>CRL.RP/1219/2018 of SHABBIR KHAN Vs STATE OF KARNATAKA</x:v>
      </x:c>
      <x:c r="C88" s="18" t="str">
        <x:v>2026-09-03</x:v>
      </x:c>
      <x:c r="D88" s="18" t="str">
        <x:v>High Court of Karnataka</x:v>
      </x:c>
      <x:c r="E88" s="18" t="str">
        <x:v>VENKATESH NAIK T</x:v>
      </x:c>
      <x:c r="F88" s="18" t="str">
        <x:v>DISMISSED</x:v>
      </x:c>
      <x:c r="G88" s="20" t="str">
        <x:v>https://indian-high-court-judgments.s3.ap-south-1.amazonaws.com/data/pdf/year=2026/court=29_3/bench=karnataka_bng_old/KAHC010216522018_1_2026-09-03.pdf</x:v>
      </x:c>
    </x:row>
    <x:row r="89">
      <x:c r="A89" s="19">
        <x:f>ROUND(COUNTA(A89:G89)/7*100,0)</x:f>
      </x:c>
      <x:c r="B89" s="18" t="str">
        <x:v>WA/1863/2026 of REHANA BANU Vs THE MANAGING DIRECTOR</x:v>
      </x:c>
      <x:c r="C89" s="18" t="str">
        <x:v>2026-09-01</x:v>
      </x:c>
      <x:c r="D89" s="18" t="str">
        <x:v>High Court of Karnataka</x:v>
      </x:c>
      <x:c r="E89" s="18" t="str">
        <x:v>D K SINGH,H.SHANTHI BHUSHAN</x:v>
      </x:c>
      <x:c r="F89" s="18" t="str">
        <x:v>DISMISSED</x:v>
      </x:c>
      <x:c r="G89" s="20" t="str">
        <x:v>https://indian-high-court-judgments.s3.ap-south-1.amazonaws.com/data/pdf/year=2026/court=29_3/bench=karnataka_bng_old/KAHC010530172026_1_2026-09-01.pdf</x:v>
      </x:c>
    </x:row>
    <x:row r="90">
      <x:c r="A90" s="19">
        <x:f>ROUND(COUNTA(A90:G90)/7*100,0)</x:f>
      </x:c>
      <x:c r="B90" s="18" t="str">
        <x:v>WP/34392/2025 of MALLAPPA PARASAPPA JAMBAGI Vs THE PRINCIPAL SECRETARY</x:v>
      </x:c>
      <x:c r="C90" s="18" t="str">
        <x:v>2026-08-28</x:v>
      </x:c>
      <x:c r="D90" s="18" t="str">
        <x:v>High Court of Karnataka</x:v>
      </x:c>
      <x:c r="E90" s="18" t="str">
        <x:v>E.S.INDIRESH</x:v>
      </x:c>
      <x:c r="F90" s="18" t="str">
        <x:v>DISPOSED</x:v>
      </x:c>
      <x:c r="G90" s="20" t="str">
        <x:v>https://indian-high-court-judgments.s3.ap-south-1.amazonaws.com/data/pdf/year=2026/court=29_3/bench=karnataka_bng_old/KAHC010736472025_1_2026-08-28.pdf</x:v>
      </x:c>
    </x:row>
    <x:row r="91">
      <x:c r="A91" s="19">
        <x:f>ROUND(COUNTA(A91:G91)/7*100,0)</x:f>
      </x:c>
      <x:c r="B91" s="18" t="str">
        <x:v>CRL.P/11734/2026 of DEEPAK.C Vs STATE OF KARNATAKA</x:v>
      </x:c>
      <x:c r="C91" s="18" t="str">
        <x:v>2026-08-28</x:v>
      </x:c>
      <x:c r="D91" s="18" t="str">
        <x:v>High Court of Karnataka</x:v>
      </x:c>
      <x:c r="E91" s="18" t="str">
        <x:v>S VISHWAJITH SHETTY</x:v>
      </x:c>
      <x:c r="F91" s="18" t="str">
        <x:v>ALLOWED</x:v>
      </x:c>
      <x:c r="G91" s="20" t="str">
        <x:v>https://indian-high-court-judgments.s3.ap-south-1.amazonaws.com/data/pdf/year=2026/court=29_3/bench=karnataka_bng_old/KAHC010532632026_1_2026-08-28.pdf</x:v>
      </x:c>
    </x:row>
    <x:row r="92">
      <x:c r="A92" s="19">
        <x:f>ROUND(COUNTA(A92:G92)/7*100,0)</x:f>
      </x:c>
      <x:c r="B92" s="18" t="str">
        <x:v>CRL.RP/501/2025 of VASANTHA KUMAR H C Vs DR. RAMESH BABU K</x:v>
      </x:c>
      <x:c r="C92" s="18" t="str">
        <x:v>2026-08-27</x:v>
      </x:c>
      <x:c r="D92" s="18" t="str">
        <x:v>High Court of Karnataka</x:v>
      </x:c>
      <x:c r="E92" s="18" t="str">
        <x:v>VENKATESH NAIK T</x:v>
      </x:c>
      <x:c r="F92" s="18" t="str">
        <x:v>DISMISSED</x:v>
      </x:c>
      <x:c r="G92" s="20" t="str">
        <x:v>https://indian-high-court-judgments.s3.ap-south-1.amazonaws.com/data/pdf/year=2026/court=29_3/bench=karnataka_bng_old/KAHC010218102025_1_2026-08-27.pdf</x:v>
      </x:c>
    </x:row>
    <x:row r="93">
      <x:c r="A93" s="19">
        <x:f>ROUND(COUNTA(A93:G93)/7*100,0)</x:f>
      </x:c>
      <x:c r="B93" s="18" t="str">
        <x:v>CCC/364/2025 of MR.MASOOD AHMED SHARIFF Vs SMT.SHILPA NAG IAS</x:v>
      </x:c>
      <x:c r="C93" s="18" t="str">
        <x:v>2026-08-28</x:v>
      </x:c>
      <x:c r="D93" s="18" t="str">
        <x:v>High Court of Karnataka</x:v>
      </x:c>
      <x:c r="E93" s="18" t="str">
        <x:v>JAYANT BANERJI,TARA VITASTA GANJU</x:v>
      </x:c>
      <x:c r="F93" s="18" t="str">
        <x:v>CONSIGNED</x:v>
      </x:c>
      <x:c r="G93" s="20" t="str">
        <x:v>https://indian-high-court-judgments.s3.ap-south-1.amazonaws.com/data/pdf/year=2026/court=29_3/bench=karnataka_bng_old/KAHC010202722025_1_2026-08-28.pdf</x:v>
      </x:c>
    </x:row>
    <x:row r="94">
      <x:c r="A94" s="19">
        <x:f>ROUND(COUNTA(A94:G94)/7*100,0)</x:f>
      </x:c>
      <x:c r="B94" s="18" t="str">
        <x:v>WP/30931/2018 of SMT M SARASWATHI Vs THE COMMISSIONER</x:v>
      </x:c>
      <x:c r="C94" s="18" t="str">
        <x:v>2026-08-27</x:v>
      </x:c>
      <x:c r="D94" s="18" t="str">
        <x:v>High Court of Karnataka</x:v>
      </x:c>
      <x:c r="E94" s="18" t="str">
        <x:v>R. NATARAJ</x:v>
      </x:c>
      <x:c r="F94" s="18" t="str">
        <x:v>Dismissed for Non-Prosecution</x:v>
      </x:c>
      <x:c r="G94" s="20" t="str">
        <x:v>https://indian-high-court-judgments.s3.ap-south-1.amazonaws.com/data/pdf/year=2026/court=29_3/bench=karnataka_bng_old/KAHC010096282018_1_2026-08-27.pdf</x:v>
      </x:c>
    </x:row>
    <x:row r="95">
      <x:c r="A95" s="19">
        <x:f>ROUND(COUNTA(A95:G95)/7*100,0)</x:f>
      </x:c>
      <x:c r="B95" s="18" t="str">
        <x:v>WP/8082/2024 of M/S. JANATHA TRADERS Vs STATE OF KARNATAKA</x:v>
      </x:c>
      <x:c r="C95" s="18" t="str">
        <x:v>2026-09-02</x:v>
      </x:c>
      <x:c r="D95" s="18" t="str">
        <x:v>High Court of Karnataka</x:v>
      </x:c>
      <x:c r="E95" s="18" t="str">
        <x:v>M.G.S. KAMAL</x:v>
      </x:c>
      <x:c r="F95" s="18" t="str">
        <x:v>DISPOSED</x:v>
      </x:c>
      <x:c r="G95" s="20" t="str">
        <x:v>https://indian-high-court-judgments.s3.ap-south-1.amazonaws.com/data/pdf/year=2026/court=29_3/bench=karnataka_bng_old/KAHC010162302024_1_2026-09-02.pdf</x:v>
      </x:c>
    </x:row>
    <x:row r="96">
      <x:c r="A96" s="19">
        <x:f>ROUND(COUNTA(A96:G96)/7*100,0)</x:f>
      </x:c>
      <x:c r="B96" s="18" t="str">
        <x:v>MFA/58/2026 of SHRI. R SRUJAN Vs SRI. KOTRESH NAIKA</x:v>
      </x:c>
      <x:c r="C96" s="18" t="str">
        <x:v>2026-08-29</x:v>
      </x:c>
      <x:c r="D96" s="18" t="str">
        <x:v>High Court of Karnataka</x:v>
      </x:c>
      <x:c r="E96" s="18" t="str">
        <x:v>SHIVASHANKAR AMARANNAVAR</x:v>
      </x:c>
      <x:c r="F96" s="18" t="str">
        <x:v>Partly Allowed</x:v>
      </x:c>
      <x:c r="G96" s="20" t="str">
        <x:v>https://indian-high-court-judgments.s3.ap-south-1.amazonaws.com/data/pdf/year=2026/court=29_3/bench=karnataka_bng_old/KAHC010003462026_1_2026-08-29.pdf</x:v>
      </x:c>
    </x:row>
    <x:row r="97">
      <x:c r="A97" s="19">
        <x:f>ROUND(COUNTA(A97:G97)/7*100,0)</x:f>
      </x:c>
      <x:c r="B97" s="18" t="str">
        <x:v>CRL.A/604/2026 of XXX VICTIM GIRL Vs ANILPRASAD</x:v>
      </x:c>
      <x:c r="C97" s="18" t="str">
        <x:v>2026-08-29</x:v>
      </x:c>
      <x:c r="D97" s="18" t="str">
        <x:v>High Court of Karnataka</x:v>
      </x:c>
      <x:c r="E97" s="18" t="str">
        <x:v>H.P.SANDESH,B.PRAMOD</x:v>
      </x:c>
      <x:c r="F97" s="18" t="str">
        <x:v>DISMISSED</x:v>
      </x:c>
      <x:c r="G97" s="20" t="str">
        <x:v>https://indian-high-court-judgments.s3.ap-south-1.amazonaws.com/data/pdf/year=2026/court=29_3/bench=karnataka_bng_old/KAHC010237772026_1_2026-08-29.pdf</x:v>
      </x:c>
    </x:row>
    <x:row r="98">
      <x:c r="A98" s="19">
        <x:f>ROUND(COUNTA(A98:G98)/7*100,0)</x:f>
      </x:c>
      <x:c r="B98" s="18" t="str">
        <x:v>CRL.P/1667/2019 of B.N. RAMALINGEGOWDA Vs THE STATE OF KARNATAKA BY</x:v>
      </x:c>
      <x:c r="C98" s="18" t="str">
        <x:v>2026-09-09</x:v>
      </x:c>
      <x:c r="D98" s="18" t="str">
        <x:v>High Court of Karnataka</x:v>
      </x:c>
      <x:c r="E98" s="18" t="str">
        <x:v>H.P.SANDESH</x:v>
      </x:c>
      <x:c r="F98" s="18" t="str">
        <x:v>DISMISSED</x:v>
      </x:c>
      <x:c r="G98" s="20" t="str">
        <x:v>https://indian-high-court-judgments.s3.ap-south-1.amazonaws.com/data/pdf/year=2026/court=29_3/bench=karnataka_bng_old/KAHC010172992019_1_2026-09-09.pdf</x:v>
      </x:c>
    </x:row>
    <x:row r="99">
      <x:c r="A99" s="19">
        <x:f>ROUND(COUNTA(A99:G99)/7*100,0)</x:f>
      </x:c>
      <x:c r="B99" s="18" t="str">
        <x:v>CRP/443/2023 of SRI. G. RAJEEVALOCHANA Vs M/S INDIAN TELEPHONE INDUSTRIES LTD.,</x:v>
      </x:c>
      <x:c r="C99" s="18" t="str">
        <x:v>2026-09-08</x:v>
      </x:c>
      <x:c r="D99" s="18" t="str">
        <x:v>High Court of Karnataka</x:v>
      </x:c>
      <x:c r="E99" s="18" t="str">
        <x:v>REGISTRAR (PROTOCOL AND HOSPITALITY)</x:v>
      </x:c>
      <x:c r="F99" s="18" t="str">
        <x:v>Dismissal for Non Compliance of Office Objections</x:v>
      </x:c>
      <x:c r="G99" s="20" t="str">
        <x:v>https://indian-high-court-judgments.s3.ap-south-1.amazonaws.com/data/pdf/year=2026/court=29_3/bench=karnataka_bng_old/KAHC010201162023_1_2024-07-08.pdf</x:v>
      </x:c>
    </x:row>
    <x:row r="100">
      <x:c r="A100" s="19">
        <x:f>ROUND(COUNTA(A100:G100)/7*100,0)</x:f>
      </x:c>
      <x:c r="B100" s="18" t="str">
        <x:v>WP/27093/2026 of MADHAVA BHAT A Vs STATE OF KARNATAKA</x:v>
      </x:c>
      <x:c r="C100" s="18" t="str">
        <x:v>2026-08-31</x:v>
      </x:c>
      <x:c r="D100" s="18" t="str">
        <x:v>High Court of Karnataka</x:v>
      </x:c>
      <x:c r="E100" s="18" t="str">
        <x:v>E.S.INDIRESH</x:v>
      </x:c>
      <x:c r="F100" s="18" t="str">
        <x:v>DISPOSED</x:v>
      </x:c>
      <x:c r="G100" s="20" t="str">
        <x:v>https://indian-high-court-judgments.s3.ap-south-1.amazonaws.com/data/pdf/year=2026/court=29_3/bench=karnataka_bng_old/KAHC010590232026_1_2026-08-31.pdf</x:v>
      </x:c>
    </x:row>
    <x:row r="101">
      <x:c r="A101" s="19">
        <x:f>ROUND(COUNTA(A101:G101)/7*100,0)</x:f>
      </x:c>
      <x:c r="B101" s="18" t="str">
        <x:v>WP/26542/2025 of SRI SUBRAMANYA H Vs M/S MAX CONCORDE DEVELOPERS</x:v>
      </x:c>
      <x:c r="C101" s="18" t="str">
        <x:v>2026-08-29</x:v>
      </x:c>
      <x:c r="D101" s="18" t="str">
        <x:v>High Court of Karnataka</x:v>
      </x:c>
      <x:c r="E101" s="18" t="str">
        <x:v>LALITHA KANNEGANTI</x:v>
      </x:c>
      <x:c r="F101" s="18" t="str">
        <x:v>DISMISSED</x:v>
      </x:c>
      <x:c r="G101" s="20" t="str">
        <x:v>https://indian-high-court-judgments.s3.ap-south-1.amazonaws.com/data/pdf/year=2026/court=29_3/bench=karnataka_bng_old/KAHC010575232025_1_2026-08-29.pdf</x:v>
      </x:c>
    </x:row>
    <x:row r="102">
      <x:c r="A102" s="19">
        <x:f>ROUND(COUNTA(A102:G102)/7*100,0)</x:f>
      </x:c>
      <x:c r="B102" s="18" t="str">
        <x:v>MFA/4762/2017 of C SAVITHA Vs HDFC EGRO GENERAL INSURANCE CO LTD</x:v>
      </x:c>
      <x:c r="C102" s="18" t="str">
        <x:v>2026-09-01</x:v>
      </x:c>
      <x:c r="D102" s="18" t="str">
        <x:v>High Court of Karnataka</x:v>
      </x:c>
      <x:c r="E102" s="18" t="str">
        <x:v>P SREE SUDHA</x:v>
      </x:c>
      <x:c r="F102" s="18" t="str">
        <x:v>Partly Allowed</x:v>
      </x:c>
      <x:c r="G102" s="20" t="str">
        <x:v>https://indian-high-court-judgments.s3.ap-south-1.amazonaws.com/data/pdf/year=2026/court=29_3/bench=karnataka_bng_old/KAHC010348462017_1_2026-09-01.pdf</x:v>
      </x:c>
    </x:row>
    <x:row r="103">
      <x:c r="A103" s="19">
        <x:f>ROUND(COUNTA(A103:G103)/7*100,0)</x:f>
      </x:c>
      <x:c r="B103" s="18" t="str">
        <x:v>WP/1335/2023 of SRI GUNDAPPA Vs SMT SIDDAMMA</x:v>
      </x:c>
      <x:c r="C103" s="18" t="str">
        <x:v>2026-08-28</x:v>
      </x:c>
      <x:c r="D103" s="18" t="str">
        <x:v>High Court of Karnataka</x:v>
      </x:c>
      <x:c r="E103" s="18" t="str">
        <x:v>H.T. NARENDRA PRASAD</x:v>
      </x:c>
      <x:c r="F103" s="18" t="str">
        <x:v>DISPOSED</x:v>
      </x:c>
      <x:c r="G103" s="20" t="str">
        <x:v>https://indian-high-court-judgments.s3.ap-south-1.amazonaws.com/data/pdf/year=2026/court=29_3/bench=karnataka_bng_old/KAHC010031242023_1_2026-08-28.pdf</x:v>
      </x:c>
    </x:row>
    <x:row r="104">
      <x:c r="A104" s="19">
        <x:f>ROUND(COUNTA(A104:G104)/7*100,0)</x:f>
      </x:c>
      <x:c r="B104" s="18" t="str">
        <x:v>WP/15078/2022 of SRI. S. JOHN DE BRITTO Vs SREE GUNDLU MUNESWARA SWAMY TEMPLE TRUST(R)</x:v>
      </x:c>
      <x:c r="C104" s="18" t="str">
        <x:v>2026-08-31</x:v>
      </x:c>
      <x:c r="D104" s="18" t="str">
        <x:v>High Court of Karnataka</x:v>
      </x:c>
      <x:c r="E104" s="18" t="str">
        <x:v>VIJAYKUMAR A. PATIL</x:v>
      </x:c>
      <x:c r="F104" s="18" t="str">
        <x:v>REJECTED</x:v>
      </x:c>
      <x:c r="G104" s="20" t="str">
        <x:v>https://indian-high-court-judgments.s3.ap-south-1.amazonaws.com/data/pdf/year=2026/court=29_3/bench=karnataka_bng_old/KAHC010338332022_1_2026-08-31.pdf</x:v>
      </x:c>
    </x:row>
    <x:row r="105">
      <x:c r="A105" s="19">
        <x:f>ROUND(COUNTA(A105:G105)/7*100,0)</x:f>
      </x:c>
      <x:c r="B105" s="18" t="str">
        <x:v>CRL.A/603/2019 of STATE OF KARNATAKA Vs RAMESH POOJARI</x:v>
      </x:c>
      <x:c r="C105" s="18" t="str">
        <x:v>2026-08-28</x:v>
      </x:c>
      <x:c r="D105" s="18" t="str">
        <x:v>High Court of Karnataka</x:v>
      </x:c>
      <x:c r="E105" s="18" t="str">
        <x:v>H.P.SANDESH,B.PRAMOD</x:v>
      </x:c>
      <x:c r="F105" s="18" t="str">
        <x:v>DISMISSED</x:v>
      </x:c>
      <x:c r="G105" s="20" t="str">
        <x:v>https://indian-high-court-judgments.s3.ap-south-1.amazonaws.com/data/pdf/year=2026/court=29_3/bench=karnataka_bng_old/KAHC010093052019_1_2026-08-28.pdf</x:v>
      </x:c>
    </x:row>
    <x:row r="106">
      <x:c r="A106" s="19">
        <x:f>ROUND(COUNTA(A106:G106)/7*100,0)</x:f>
      </x:c>
      <x:c r="B106" s="18" t="str">
        <x:v>CRL.P/11614/2026 of MR. ARMAN, Vs STATE OF KARNATAKA BY</x:v>
      </x:c>
      <x:c r="C106" s="18" t="str">
        <x:v>2026-08-28</x:v>
      </x:c>
      <x:c r="D106" s="18" t="str">
        <x:v>High Court of Karnataka</x:v>
      </x:c>
      <x:c r="E106" s="18" t="str">
        <x:v>S VISHWAJITH SHETTY</x:v>
      </x:c>
      <x:c r="F106" s="18" t="str">
        <x:v>DISMISSED</x:v>
      </x:c>
      <x:c r="G106" s="20" t="str">
        <x:v>https://indian-high-court-judgments.s3.ap-south-1.amazonaws.com/data/pdf/year=2026/court=29_3/bench=karnataka_bng_old/KAHC010521992026_1_2026-08-28.pdf</x:v>
      </x:c>
    </x:row>
    <x:row r="107">
      <x:c r="A107" s="19">
        <x:f>ROUND(COUNTA(A107:G107)/7*100,0)</x:f>
      </x:c>
      <x:c r="B107" s="18" t="str">
        <x:v>CRL.A/1293/2026 of RAMESH G V Vs THE STATE OF KARNATAKA</x:v>
      </x:c>
      <x:c r="C107" s="18" t="str">
        <x:v>2026-09-02</x:v>
      </x:c>
      <x:c r="D107" s="18" t="str">
        <x:v>High Court of Karnataka</x:v>
      </x:c>
      <x:c r="E107" s="18" t="str">
        <x:v>S RACHAIAH</x:v>
      </x:c>
      <x:c r="F107" s="18" t="str">
        <x:v>ALLOWED</x:v>
      </x:c>
      <x:c r="G107" s="20" t="str">
        <x:v>https://indian-high-court-judgments.s3.ap-south-1.amazonaws.com/data/pdf/year=2026/court=29_3/bench=karnataka_bng_old/KAHC010523242026_1_2026-09-02.pdf</x:v>
      </x:c>
    </x:row>
    <x:row r="108">
      <x:c r="A108" s="19">
        <x:f>ROUND(COUNTA(A108:G108)/7*100,0)</x:f>
      </x:c>
      <x:c r="B108" s="18" t="str">
        <x:v>WP/26912/2026 of SRI T S SATEESH Vs STATE OF KARNATAKA</x:v>
      </x:c>
      <x:c r="C108" s="18" t="str">
        <x:v>2026-08-29</x:v>
      </x:c>
      <x:c r="D108" s="18" t="str">
        <x:v>High Court of Karnataka</x:v>
      </x:c>
      <x:c r="E108" s="18" t="str">
        <x:v>E.S.INDIRESH</x:v>
      </x:c>
      <x:c r="F108" s="18" t="str">
        <x:v>DISPOSED</x:v>
      </x:c>
      <x:c r="G108" s="20" t="str">
        <x:v>https://indian-high-court-judgments.s3.ap-south-1.amazonaws.com/data/pdf/year=2026/court=29_3/bench=karnataka_bng_old/KAHC010591012026_1_2026-08-29.pdf</x:v>
      </x:c>
    </x:row>
    <x:row r="109">
      <x:c r="A109" s="19">
        <x:f>ROUND(COUNTA(A109:G109)/7*100,0)</x:f>
      </x:c>
      <x:c r="B109" s="18" t="str">
        <x:v>MFA/5766/2022 of THE KARNATAKA GOVERNMENT INSURANCE DEPARTMENT Vs SMT. RATHNAMMMA</x:v>
      </x:c>
      <x:c r="C109" s="18" t="str">
        <x:v>2026-08-28</x:v>
      </x:c>
      <x:c r="D109" s="18" t="str">
        <x:v>High Court of Karnataka</x:v>
      </x:c>
      <x:c r="E109" s="18" t="str">
        <x:v>RAJESH RAI K</x:v>
      </x:c>
      <x:c r="F109" s="18" t="str">
        <x:v>Partly Allowed</x:v>
      </x:c>
      <x:c r="G109" s="20" t="str">
        <x:v>https://indian-high-court-judgments.s3.ap-south-1.amazonaws.com/data/pdf/year=2026/court=29_3/bench=karnataka_bng_old/KAHC010367992022_1_2026-08-28.pdf</x:v>
      </x:c>
    </x:row>
    <x:row r="110">
      <x:c r="A110" s="19">
        <x:f>ROUND(COUNTA(A110:G110)/7*100,0)</x:f>
      </x:c>
      <x:c r="B110" s="18" t="str">
        <x:v>WP/8506/2026 of UDAYA EDUCATIONAL SOCIETY Vs STATE OF KARNATAKA</x:v>
      </x:c>
      <x:c r="C110" s="18" t="str">
        <x:v>2026-09-01</x:v>
      </x:c>
      <x:c r="D110" s="18" t="str">
        <x:v>High Court of Karnataka</x:v>
      </x:c>
      <x:c r="E110" s="18" t="str">
        <x:v>ASHOK S.KINAGI</x:v>
      </x:c>
      <x:c r="F110" s="18" t="str">
        <x:v>ALLOWED</x:v>
      </x:c>
      <x:c r="G110" s="20" t="str">
        <x:v>https://indian-high-court-judgments.s3.ap-south-1.amazonaws.com/data/pdf/year=2026/court=29_3/bench=karnataka_bng_old/KAHC010189552026_1_2026-09-01.pdf</x:v>
      </x:c>
    </x:row>
    <x:row r="111">
      <x:c r="A111" s="19">
        <x:f>ROUND(COUNTA(A111:G111)/7*100,0)</x:f>
      </x:c>
      <x:c r="B111" s="18" t="str">
        <x:v>WA/1019/2025 of SRI ASHWATHAPPA Vs THE STATE OF KARNATAKA</x:v>
      </x:c>
      <x:c r="C111" s="18" t="str">
        <x:v>2026-09-01</x:v>
      </x:c>
      <x:c r="D111" s="18" t="str">
        <x:v>High Court of Karnataka</x:v>
      </x:c>
      <x:c r="E111" s="18" t="str">
        <x:v>D K SINGH,H.SHANTHI BHUSHAN</x:v>
      </x:c>
      <x:c r="F111" s="18" t="str">
        <x:v>DISMISSED</x:v>
      </x:c>
      <x:c r="G111" s="20" t="str">
        <x:v>https://indian-high-court-judgments.s3.ap-south-1.amazonaws.com/data/pdf/year=2026/court=29_3/bench=karnataka_bng_old/KAHC010423462025_1_2026-09-01.pdf</x:v>
      </x:c>
    </x:row>
    <x:row r="112">
      <x:c r="A112" s="19">
        <x:f>ROUND(COUNTA(A112:G112)/7*100,0)</x:f>
      </x:c>
      <x:c r="B112" s="18" t="str">
        <x:v>WP/35074/2024 of SRI. VINAYAK ELECTRICAL Vs THE STATE OF KARNATAKA</x:v>
      </x:c>
      <x:c r="C112" s="18" t="str">
        <x:v>2026-09-01</x:v>
      </x:c>
      <x:c r="D112" s="18" t="str">
        <x:v>High Court of Karnataka</x:v>
      </x:c>
      <x:c r="E112" s="18" t="str">
        <x:v>SURAJ GOVINDARAJ</x:v>
      </x:c>
      <x:c r="F112" s="18" t="str">
        <x:v>DISMISSED</x:v>
      </x:c>
      <x:c r="G112" s="20" t="str">
        <x:v>https://indian-high-court-judgments.s3.ap-south-1.amazonaws.com/data/pdf/year=2026/court=29_3/bench=karnataka_bng_old/KAHC010749742024_1_2026-09-01.pdf</x:v>
      </x:c>
    </x:row>
    <x:row r="113">
      <x:c r="A113" s="19">
        <x:f>ROUND(COUNTA(A113:G113)/7*100,0)</x:f>
      </x:c>
      <x:c r="B113" s="18" t="str">
        <x:v>WP/24500/2026 of M/S YANKEE CONSTRUCTIONS LLP Vs THE STATE OF KARNATAKA</x:v>
      </x:c>
      <x:c r="C113" s="18" t="str">
        <x:v>2026-09-01</x:v>
      </x:c>
      <x:c r="D113" s="18" t="str">
        <x:v>High Court of Karnataka</x:v>
      </x:c>
      <x:c r="E113" s="18" t="str">
        <x:v>SURAJ GOVINDARAJ</x:v>
      </x:c>
      <x:c r="F113" s="18" t="str">
        <x:v>ALLOWED</x:v>
      </x:c>
      <x:c r="G113" s="20" t="str">
        <x:v>https://indian-high-court-judgments.s3.ap-south-1.amazonaws.com/data/pdf/year=2026/court=29_3/bench=karnataka_bng_old/KAHC010535592026_1_2026-09-01.pdf</x:v>
      </x:c>
    </x:row>
    <x:row r="114">
      <x:c r="A114" s="19">
        <x:f>ROUND(COUNTA(A114:G114)/7*100,0)</x:f>
      </x:c>
      <x:c r="B114" s="18" t="str">
        <x:v>MFA/20/2025 of BHAGYAMMA R V Vs GIRIRAJU H R</x:v>
      </x:c>
      <x:c r="C114" s="18" t="str">
        <x:v>2026-09-07</x:v>
      </x:c>
      <x:c r="D114" s="18" t="str">
        <x:v>High Court of Karnataka</x:v>
      </x:c>
      <x:c r="E114" s="18" t="str">
        <x:v>SHIVASHANKAR AMARANNAVAR</x:v>
      </x:c>
      <x:c r="F114" s="18" t="str">
        <x:v>DISMISSED</x:v>
      </x:c>
      <x:c r="G114" s="20" t="str">
        <x:v>https://indian-high-court-judgments.s3.ap-south-1.amazonaws.com/data/pdf/year=2026/court=29_3/bench=karnataka_bng_old/KAHC010000182025_1_2026-09-07.pdf</x:v>
      </x:c>
    </x:row>
    <x:row r="115">
      <x:c r="A115" s="19">
        <x:f>ROUND(COUNTA(A115:G115)/7*100,0)</x:f>
      </x:c>
      <x:c r="B115" s="18" t="str">
        <x:v>WP/26830/2026 of SRIT M CHIKKANNA Vs THE ASSISTANT COMMISSIONER</x:v>
      </x:c>
      <x:c r="C115" s="18" t="str">
        <x:v>2026-08-29</x:v>
      </x:c>
      <x:c r="D115" s="18" t="str">
        <x:v>High Court of Karnataka</x:v>
      </x:c>
      <x:c r="E115" s="18" t="str">
        <x:v>E.S.INDIRESH</x:v>
      </x:c>
      <x:c r="F115" s="18" t="str">
        <x:v>ALLOWED</x:v>
      </x:c>
      <x:c r="G115" s="20" t="str">
        <x:v>https://indian-high-court-judgments.s3.ap-south-1.amazonaws.com/data/pdf/year=2026/court=29_3/bench=karnataka_bng_old/KAHC010589542026_1_2026-08-29.pdf</x:v>
      </x:c>
    </x:row>
    <x:row r="116">
      <x:c r="A116" s="19">
        <x:f>ROUND(COUNTA(A116:G116)/7*100,0)</x:f>
      </x:c>
      <x:c r="B116" s="18" t="str">
        <x:v>WP/25298/2024 of A.C.C. LIMITED Vs UNION OF INDIA</x:v>
      </x:c>
      <x:c r="C116" s="18" t="str">
        <x:v>2026-09-08</x:v>
      </x:c>
      <x:c r="D116" s="18" t="str">
        <x:v>High Court of Karnataka</x:v>
      </x:c>
      <x:c r="E116" s="18" t="str">
        <x:v>CHIEF JUSTICE,K.S. HEMALEKHA</x:v>
      </x:c>
      <x:c r="F116" s="18" t="str">
        <x:v>ALLOWED</x:v>
      </x:c>
      <x:c r="G116" s="20" t="str">
        <x:v>https://indian-high-court-judgments.s3.ap-south-1.amazonaws.com/data/pdf/year=2026/court=29_3/bench=karnataka_bng_old/KAHC010533062024_1_2026-09-08.pdf</x:v>
      </x:c>
    </x:row>
    <x:row r="117">
      <x:c r="A117" s="19">
        <x:f>ROUND(COUNTA(A117:G117)/7*100,0)</x:f>
      </x:c>
      <x:c r="B117" s="18" t="str">
        <x:v>CRL.P/413/2026 of SMT. NIRMALA T S, Vs THE STATE OF KARNATAKA</x:v>
      </x:c>
      <x:c r="C117" s="18" t="str">
        <x:v>2026-09-07</x:v>
      </x:c>
      <x:c r="D117" s="18" t="str">
        <x:v>High Court of Karnataka</x:v>
      </x:c>
      <x:c r="E117" s="18" t="str">
        <x:v>S VISHWAJITH SHETTY</x:v>
      </x:c>
      <x:c r="F117" s="18" t="str">
        <x:v>DISMISSED</x:v>
      </x:c>
      <x:c r="G117" s="20" t="str">
        <x:v>https://indian-high-court-judgments.s3.ap-south-1.amazonaws.com/data/pdf/year=2026/court=29_3/bench=karnataka_bng_old/KAHC010018372026_1_2026-09-07.pdf</x:v>
      </x:c>
    </x:row>
    <x:row r="118">
      <x:c r="A118" s="19">
        <x:f>ROUND(COUNTA(A118:G118)/7*100,0)</x:f>
      </x:c>
      <x:c r="B118" s="18" t="str">
        <x:v>MFA/5050/2026 of SMT NIRMALA SANGAPPA NAGARAL Vs THE MANAGING DIRECTOR KSRTC</x:v>
      </x:c>
      <x:c r="C118" s="18" t="str">
        <x:v>2026-08-28</x:v>
      </x:c>
      <x:c r="D118" s="18" t="str">
        <x:v>High Court of Karnataka</x:v>
      </x:c>
      <x:c r="E118" s="18" t="str">
        <x:v>SHIVASHANKAR AMARANNAVAR</x:v>
      </x:c>
      <x:c r="F118" s="18" t="str">
        <x:v>Partly Allowed</x:v>
      </x:c>
      <x:c r="G118" s="20" t="str">
        <x:v>https://indian-high-court-judgments.s3.ap-south-1.amazonaws.com/data/pdf/year=2026/court=29_3/bench=karnataka_bng_old/KAHC010460822026_1_2026-08-28.pdf</x:v>
      </x:c>
    </x:row>
    <x:row r="119">
      <x:c r="A119" s="19">
        <x:f>ROUND(COUNTA(A119:G119)/7*100,0)</x:f>
      </x:c>
      <x:c r="B119" s="18" t="str">
        <x:v>MFA/6969/2017 of MR ABOOBAKKAR G K Vs MRS MALATHI K</x:v>
      </x:c>
      <x:c r="C119" s="18" t="str">
        <x:v>2026-08-29</x:v>
      </x:c>
      <x:c r="D119" s="18" t="str">
        <x:v>High Court of Karnataka</x:v>
      </x:c>
      <x:c r="E119" s="18" t="str">
        <x:v>P SREE SUDHA</x:v>
      </x:c>
      <x:c r="F119" s="18" t="str">
        <x:v>DISMISSED</x:v>
      </x:c>
      <x:c r="G119" s="20" t="str">
        <x:v>https://indian-high-court-judgments.s3.ap-south-1.amazonaws.com/data/pdf/year=2026/court=29_3/bench=karnataka_bng_old/KAHC010393522017_1_2026-08-29.pdf</x:v>
      </x:c>
    </x:row>
    <x:row r="120">
      <x:c r="A120" s="19">
        <x:f>ROUND(COUNTA(A120:G120)/7*100,0)</x:f>
      </x:c>
      <x:c r="B120" s="18" t="str">
        <x:v>WP/26761/2026 of MUNISWAMAIAH Vs THE ASSISTANT COMMISSIONER</x:v>
      </x:c>
      <x:c r="C120" s="18" t="str">
        <x:v>2026-08-27</x:v>
      </x:c>
      <x:c r="D120" s="18" t="str">
        <x:v>High Court of Karnataka</x:v>
      </x:c>
      <x:c r="E120" s="18" t="str">
        <x:v>E.S.INDIRESH</x:v>
      </x:c>
      <x:c r="F120" s="18" t="str">
        <x:v>ALLOWED</x:v>
      </x:c>
      <x:c r="G120" s="20" t="str">
        <x:v>https://indian-high-court-judgments.s3.ap-south-1.amazonaws.com/data/pdf/year=2026/court=29_3/bench=karnataka_bng_old/KAHC010589512026_1_2026-08-27.pdf</x:v>
      </x:c>
    </x:row>
    <x:row r="121">
      <x:c r="A121" s="19">
        <x:f>ROUND(COUNTA(A121:G121)/7*100,0)</x:f>
      </x:c>
      <x:c r="B121" s="18" t="str">
        <x:v>WP/12598/2022 of NATIONAL TECHNOLOGICAL INSTITUTIONS HOUSING CO OPERATIVE SOCIETY LTD Vs THE BANGALORE DEVELOPMENT AUTHORITY</x:v>
      </x:c>
      <x:c r="C121" s="18" t="str">
        <x:v>2026-08-28</x:v>
      </x:c>
      <x:c r="D121" s="18" t="str">
        <x:v>High Court of Karnataka</x:v>
      </x:c>
      <x:c r="E121" s="18" t="str">
        <x:v>R. NATARAJ</x:v>
      </x:c>
      <x:c r="F121" s="18" t="str">
        <x:v>Dismissed for Non-Prosecution</x:v>
      </x:c>
      <x:c r="G121" s="20" t="str">
        <x:v>https://indian-high-court-judgments.s3.ap-south-1.amazonaws.com/data/pdf/year=2026/court=29_3/bench=karnataka_bng_old/KAHC010277592022_1_2026-08-28.pdf</x:v>
      </x:c>
    </x:row>
    <x:row r="122">
      <x:c r="A122" s="19">
        <x:f>ROUND(COUNTA(A122:G122)/7*100,0)</x:f>
      </x:c>
      <x:c r="B122" s="18" t="str">
        <x:v>WP/30659/2024 of MADANAPALLE RETAIL PRIVATE LIMITED Vs BHARATIYA URBAN PRIVATE LIMITED</x:v>
      </x:c>
      <x:c r="C122" s="18" t="str">
        <x:v>2026-08-28</x:v>
      </x:c>
      <x:c r="D122" s="18" t="str">
        <x:v>High Court of Karnataka</x:v>
      </x:c>
      <x:c r="E122" s="18" t="str">
        <x:v>B.PRAMOD</x:v>
      </x:c>
      <x:c r="F122" s="18" t="str">
        <x:v>DISMISSED</x:v>
      </x:c>
      <x:c r="G122" s="20" t="str">
        <x:v>https://indian-high-court-judgments.s3.ap-south-1.amazonaws.com/data/pdf/year=2026/court=29_3/bench=karnataka_bng_old/KAHC010617372024_1_2026-08-28.pdf</x:v>
      </x:c>
    </x:row>
    <x:row r="123">
      <x:c r="A123" s="19">
        <x:f>ROUND(COUNTA(A123:G123)/7*100,0)</x:f>
      </x:c>
      <x:c r="B123" s="18" t="str">
        <x:v>CRL.P/5703/2019 of MR. JAISHANKAR Vs MR. SURESH KALIDAS NAIR</x:v>
      </x:c>
      <x:c r="C123" s="18" t="str">
        <x:v>2026-09-07</x:v>
      </x:c>
      <x:c r="D123" s="18" t="str">
        <x:v>High Court of Karnataka</x:v>
      </x:c>
      <x:c r="E123" s="18" t="str">
        <x:v>H.P.SANDESH</x:v>
      </x:c>
      <x:c r="F123" s="18" t="str">
        <x:v>ALLOWED</x:v>
      </x:c>
      <x:c r="G123" s="20" t="str">
        <x:v>https://indian-high-court-judgments.s3.ap-south-1.amazonaws.com/data/pdf/year=2026/court=29_3/bench=karnataka_bng_old/KAHC010409112019_1_2026-09-07.pdf</x:v>
      </x:c>
    </x:row>
    <x:row r="124">
      <x:c r="A124" s="19">
        <x:f>ROUND(COUNTA(A124:G124)/7*100,0)</x:f>
      </x:c>
      <x:c r="B124" s="18" t="str">
        <x:v>CRL.P/11099/2026 of SRI GANESAN Vs STATE OF KARNATAKA</x:v>
      </x:c>
      <x:c r="C124" s="18" t="str">
        <x:v>2026-09-01</x:v>
      </x:c>
      <x:c r="D124" s="18" t="str">
        <x:v>High Court of Karnataka</x:v>
      </x:c>
      <x:c r="E124" s="18" t="str">
        <x:v>M.NAGAPRASANNA</x:v>
      </x:c>
      <x:c r="F124" s="18" t="str">
        <x:v>DISPOSED</x:v>
      </x:c>
      <x:c r="G124" s="20" t="str">
        <x:v>https://indian-high-court-judgments.s3.ap-south-1.amazonaws.com/data/pdf/year=2026/court=29_3/bench=karnataka_bng_old/KAHC010507282026_1_2026-09-01.pdf</x:v>
      </x:c>
    </x:row>
    <x:row r="125">
      <x:c r="A125" s="19">
        <x:f>ROUND(COUNTA(A125:G125)/7*100,0)</x:f>
      </x:c>
      <x:c r="B125" s="18" t="str">
        <x:v>MFA/2184/2021 of SMT. RATHNAMMA Vs KARNATAKA GOVERNMENT INSURANCE DEPARTMENT</x:v>
      </x:c>
      <x:c r="C125" s="18" t="str">
        <x:v>2026-08-28</x:v>
      </x:c>
      <x:c r="D125" s="18" t="str">
        <x:v>High Court of Karnataka</x:v>
      </x:c>
      <x:c r="E125" s="18" t="str">
        <x:v>RAJESH RAI K</x:v>
      </x:c>
      <x:c r="F125" s="18" t="str">
        <x:v>Partly Allowed</x:v>
      </x:c>
      <x:c r="G125" s="20" t="str">
        <x:v>https://indian-high-court-judgments.s3.ap-south-1.amazonaws.com/data/pdf/year=2026/court=29_3/bench=karnataka_bng_old/KAHC010156742021_1_2026-08-28.pdf</x:v>
      </x:c>
    </x:row>
    <x:row r="126">
      <x:c r="A126" s="19">
        <x:f>ROUND(COUNTA(A126:G126)/7*100,0)</x:f>
      </x:c>
      <x:c r="B126" s="18" t="str">
        <x:v>WP/26523/2026 of MR.ATHAVULLA Vs THE STATE OF KARNATAKA</x:v>
      </x:c>
      <x:c r="C126" s="18" t="str">
        <x:v>2026-09-03</x:v>
      </x:c>
      <x:c r="D126" s="18" t="str">
        <x:v>High Court of Karnataka</x:v>
      </x:c>
      <x:c r="E126" s="18" t="str">
        <x:v>SURAJ GOVINDARAJ</x:v>
      </x:c>
      <x:c r="F126" s="18" t="str">
        <x:v>DISMISSED</x:v>
      </x:c>
      <x:c r="G126" s="20" t="str">
        <x:v>https://indian-high-court-judgments.s3.ap-south-1.amazonaws.com/data/pdf/year=2026/court=29_3/bench=karnataka_bng_old/KAHC010583622026_1_2026-09-03.pdf</x:v>
      </x:c>
    </x:row>
    <x:row r="127">
      <x:c r="A127" s="19">
        <x:f>ROUND(COUNTA(A127:G127)/7*100,0)</x:f>
      </x:c>
      <x:c r="B127" s="18" t="str">
        <x:v>WA/4518/2015 of THE CHIEF EXECUTIVE OFFICER Vs STATE OF KARNATAKA</x:v>
      </x:c>
      <x:c r="C127" s="18" t="str">
        <x:v>2026-09-09</x:v>
      </x:c>
      <x:c r="D127" s="18" t="str">
        <x:v>High Court of Karnataka</x:v>
      </x:c>
      <x:c r="E127" s="18" t="str">
        <x:v>D K SINGH,H.SHANTHI BHUSHAN</x:v>
      </x:c>
      <x:c r="F127" s="18" t="str">
        <x:v>Partly Allowed</x:v>
      </x:c>
      <x:c r="G127" s="20" t="str">
        <x:v>https://indian-high-court-judgments.s3.ap-south-1.amazonaws.com/data/pdf/year=2026/court=29_3/bench=karnataka_bng_old/KAHC010120832015_1_2026-09-09.pdf</x:v>
      </x:c>
    </x:row>
    <x:row r="128">
      <x:c r="A128" s="19">
        <x:f>ROUND(COUNTA(A128:G128)/7*100,0)</x:f>
      </x:c>
      <x:c r="B128" s="18" t="str">
        <x:v>CRL.P/10056/2026 of THE BANGALORE SRINATH SRINIVASA RAO Vs STATE OF KARNATAKA</x:v>
      </x:c>
      <x:c r="C128" s="18" t="str">
        <x:v>2026-08-27</x:v>
      </x:c>
      <x:c r="D128" s="18" t="str">
        <x:v>High Court of Karnataka</x:v>
      </x:c>
      <x:c r="E128" s="18" t="str">
        <x:v>S VISHWAJITH SHETTY</x:v>
      </x:c>
      <x:c r="F128" s="18" t="str">
        <x:v>DISMISSED</x:v>
      </x:c>
      <x:c r="G128" s="20" t="str">
        <x:v>https://indian-high-court-judgments.s3.ap-south-1.amazonaws.com/data/pdf/year=2026/court=29_3/bench=karnataka_bng_old/KAHC010467872026_1_2026-08-27.pdf</x:v>
      </x:c>
    </x:row>
    <x:row r="129">
      <x:c r="A129" s="19">
        <x:f>ROUND(COUNTA(A129:G129)/7*100,0)</x:f>
      </x:c>
      <x:c r="B129" s="18" t="str">
        <x:v>MFA/5063/2026 of CHIKKAHONNAIAH Vs M/S MVS GROUPS</x:v>
      </x:c>
      <x:c r="C129" s="18" t="str">
        <x:v>2026-09-02</x:v>
      </x:c>
      <x:c r="D129" s="18" t="str">
        <x:v>High Court of Karnataka</x:v>
      </x:c>
      <x:c r="E129" s="18" t="str">
        <x:v>SHIVASHANKAR AMARANNAVAR</x:v>
      </x:c>
      <x:c r="F129" s="18" t="str">
        <x:v>Partly Allowed</x:v>
      </x:c>
      <x:c r="G129" s="20" t="str">
        <x:v>https://indian-high-court-judgments.s3.ap-south-1.amazonaws.com/data/pdf/year=2026/court=29_3/bench=karnataka_bng_old/KAHC010458722026_1_2026-09-02.pdf</x:v>
      </x:c>
    </x:row>
    <x:row r="130">
      <x:c r="A130" s="19">
        <x:f>ROUND(COUNTA(A130:G130)/7*100,0)</x:f>
      </x:c>
      <x:c r="B130" s="18" t="str">
        <x:v>CRL.P/12904/2026 of COL. ANIL JOSEPH (RETD) Vs STATE OF KARNATAKA</x:v>
      </x:c>
      <x:c r="C130" s="18" t="str">
        <x:v>2026-09-01</x:v>
      </x:c>
      <x:c r="D130" s="18" t="str">
        <x:v>High Court of Karnataka</x:v>
      </x:c>
      <x:c r="E130" s="18" t="str">
        <x:v>M.NAGAPRASANNA</x:v>
      </x:c>
      <x:c r="F130" s="18" t="str">
        <x:v>DISPOSED</x:v>
      </x:c>
      <x:c r="G130" s="20" t="str">
        <x:v>https://indian-high-court-judgments.s3.ap-south-1.amazonaws.com/data/pdf/year=2026/court=29_3/bench=karnataka_bng_old/KAHC010575232026_1_2026-09-01.pdf</x:v>
      </x:c>
    </x:row>
    <x:row r="131">
      <x:c r="A131" s="19">
        <x:f>ROUND(COUNTA(A131:G131)/7*100,0)</x:f>
      </x:c>
      <x:c r="B131" s="18" t="str">
        <x:v>CMP/285/2026 of THE BANGALORE CITY CO OPERATIVE HOUSING SOCIETY LTD Vs M/S. VAISHNAVI INFRASTRUCTURE PVT LTD</x:v>
      </x:c>
      <x:c r="C131" s="18" t="str">
        <x:v>2026-09-07</x:v>
      </x:c>
      <x:c r="D131" s="18" t="str">
        <x:v>High Court of Karnataka</x:v>
      </x:c>
      <x:c r="E131" s="18" t="str">
        <x:v>H.T. NARENDRA PRASAD</x:v>
      </x:c>
      <x:c r="F131" s="18" t="str">
        <x:v>DISMISSED</x:v>
      </x:c>
      <x:c r="G131" s="20" t="str">
        <x:v>https://indian-high-court-judgments.s3.ap-south-1.amazonaws.com/data/pdf/year=2026/court=29_3/bench=karnataka_bng_old/KAHC010381012026_1_2026-09-07.pdf</x:v>
      </x:c>
    </x:row>
    <x:row r="132">
      <x:c r="A132" s="19">
        <x:f>ROUND(COUNTA(A132:G132)/7*100,0)</x:f>
      </x:c>
      <x:c r="B132" s="18" t="str">
        <x:v>MFA/3455/2026 of SMT MUNIYAMMA Vs M/S TRISHUKL BUILD TECH</x:v>
      </x:c>
      <x:c r="C132" s="18" t="str">
        <x:v>2026-08-27</x:v>
      </x:c>
      <x:c r="D132" s="18" t="str">
        <x:v>High Court of Karnataka</x:v>
      </x:c>
      <x:c r="E132" s="18" t="str">
        <x:v>PRADEEP SINGH YERUR</x:v>
      </x:c>
      <x:c r="F132" s="18" t="str">
        <x:v>DISPOSED</x:v>
      </x:c>
      <x:c r="G132" s="20" t="str">
        <x:v>https://indian-high-court-judgments.s3.ap-south-1.amazonaws.com/data/pdf/year=2026/court=29_3/bench=karnataka_bng_old/KAHC010334632026_1_2026-08-27.pdf</x:v>
      </x:c>
    </x:row>
    <x:row r="133">
      <x:c r="A133" s="19">
        <x:f>ROUND(COUNTA(A133:G133)/7*100,0)</x:f>
      </x:c>
      <x:c r="B133" s="18" t="str">
        <x:v>WP/26064/2026 of SMT. N. RANJINI, Vs THE COMMISSIONER</x:v>
      </x:c>
      <x:c r="C133" s="18" t="str">
        <x:v>2026-08-27</x:v>
      </x:c>
      <x:c r="D133" s="18" t="str">
        <x:v>High Court of Karnataka</x:v>
      </x:c>
      <x:c r="E133" s="18" t="str">
        <x:v>B M SHYAM PRASAD</x:v>
      </x:c>
      <x:c r="F133" s="18" t="str">
        <x:v>DISPOSED</x:v>
      </x:c>
      <x:c r="G133" s="20" t="str">
        <x:v>https://indian-high-court-judgments.s3.ap-south-1.amazonaws.com/data/pdf/year=2026/court=29_3/bench=karnataka_bng_old/KAHC010577392026_1_2026-08-27.pdf</x:v>
      </x:c>
    </x:row>
    <x:row r="134">
      <x:c r="A134" s="19">
        <x:f>ROUND(COUNTA(A134:G134)/7*100,0)</x:f>
      </x:c>
      <x:c r="B134" s="18" t="str">
        <x:v>WP/25555/2024 of SRI K S DAYANANDASWAMY Vs THE PRINCIPAL SECRETARY</x:v>
      </x:c>
      <x:c r="C134" s="18" t="str">
        <x:v>2026-08-29</x:v>
      </x:c>
      <x:c r="D134" s="18" t="str">
        <x:v>High Court of Karnataka</x:v>
      </x:c>
      <x:c r="E134" s="18" t="str">
        <x:v>ASHOK S.KINAGI</x:v>
      </x:c>
      <x:c r="F134" s="18" t="str">
        <x:v>ALLOWED</x:v>
      </x:c>
      <x:c r="G134" s="20" t="str">
        <x:v>https://indian-high-court-judgments.s3.ap-south-1.amazonaws.com/data/pdf/year=2026/court=29_3/bench=karnataka_bng_old/KAHC010522632024_1_2026-08-29.pdf</x:v>
      </x:c>
    </x:row>
    <x:row r="135">
      <x:c r="A135" s="19">
        <x:f>ROUND(COUNTA(A135:G135)/7*100,0)</x:f>
      </x:c>
      <x:c r="B135" s="18" t="str">
        <x:v>WP/27397/2026 of SRI.NANJUNDAPPA Vs THE STATE OF KARNATAKA</x:v>
      </x:c>
      <x:c r="C135" s="18" t="str">
        <x:v>2026-09-03</x:v>
      </x:c>
      <x:c r="D135" s="18" t="str">
        <x:v>High Court of Karnataka</x:v>
      </x:c>
      <x:c r="E135" s="18" t="str">
        <x:v>E.S.INDIRESH</x:v>
      </x:c>
      <x:c r="F135" s="18" t="str">
        <x:v>DISMISSED</x:v>
      </x:c>
      <x:c r="G135" s="20" t="str">
        <x:v>https://indian-high-court-judgments.s3.ap-south-1.amazonaws.com/data/pdf/year=2026/court=29_3/bench=karnataka_bng_old/KAHC010600752026_1_2026-09-03.pdf</x:v>
      </x:c>
    </x:row>
    <x:row r="136">
      <x:c r="A136" s="19">
        <x:f>ROUND(COUNTA(A136:G136)/7*100,0)</x:f>
      </x:c>
      <x:c r="B136" s="18" t="str">
        <x:v>MFA/2267/2014 of NATIONAL INSURANCE CO., LTD., Vs SMT JYOTHI</x:v>
      </x:c>
      <x:c r="C136" s="18" t="str">
        <x:v>2026-08-28</x:v>
      </x:c>
      <x:c r="D136" s="18" t="str">
        <x:v>High Court of Karnataka</x:v>
      </x:c>
      <x:c r="E136" s="18" t="str">
        <x:v>P SREE SUDHA</x:v>
      </x:c>
      <x:c r="F136" s="18" t="str">
        <x:v>Partly Allowed</x:v>
      </x:c>
      <x:c r="G136" s="20" t="str">
        <x:v>https://indian-high-court-judgments.s3.ap-south-1.amazonaws.com/data/pdf/year=2026/court=29_3/bench=karnataka_bng_old/KAHC010158942014_1_2026-08-28.pdf</x:v>
      </x:c>
    </x:row>
    <x:row r="137">
      <x:c r="A137" s="19">
        <x:f>ROUND(COUNTA(A137:G137)/7*100,0)</x:f>
      </x:c>
      <x:c r="B137" s="18" t="str">
        <x:v>WP/27494/2026 of G RAGHUPATHI Vs COMMISSIONER OF EXCISE OF EXCISE IN KARNATAKA</x:v>
      </x:c>
      <x:c r="C137" s="18" t="str">
        <x:v>2026-09-02</x:v>
      </x:c>
      <x:c r="D137" s="18" t="str">
        <x:v>High Court of Karnataka</x:v>
      </x:c>
      <x:c r="E137" s="18" t="str">
        <x:v>LALITHA KANNEGANTI</x:v>
      </x:c>
      <x:c r="F137" s="18" t="str">
        <x:v>DISPOSED</x:v>
      </x:c>
      <x:c r="G137" s="20" t="str">
        <x:v>https://indian-high-court-judgments.s3.ap-south-1.amazonaws.com/data/pdf/year=2026/court=29_3/bench=karnataka_bng_old/KAHC010606632026_1_2026-09-02.pdf</x:v>
      </x:c>
    </x:row>
    <x:row r="138">
      <x:c r="A138" s="19">
        <x:f>ROUND(COUNTA(A138:G138)/7*100,0)</x:f>
      </x:c>
      <x:c r="B138" s="18" t="str">
        <x:v>MFA/3024/2020 of SUNIL KUMAR S Vs SMT KOUSALYA</x:v>
      </x:c>
      <x:c r="C138" s="18" t="str">
        <x:v>2026-08-29</x:v>
      </x:c>
      <x:c r="D138" s="18" t="str">
        <x:v>High Court of Karnataka</x:v>
      </x:c>
      <x:c r="E138" s="18" t="str">
        <x:v>RAJESH RAI K</x:v>
      </x:c>
      <x:c r="F138" s="18" t="str">
        <x:v>ALLOWED AND REMANDED</x:v>
      </x:c>
      <x:c r="G138" s="20" t="str">
        <x:v>https://indian-high-court-judgments.s3.ap-south-1.amazonaws.com/data/pdf/year=2026/court=29_3/bench=karnataka_bng_old/KAHC010107472020_1_2026-08-29.pdf</x:v>
      </x:c>
    </x:row>
    <x:row r="139">
      <x:c r="A139" s="19">
        <x:f>ROUND(COUNTA(A139:G139)/7*100,0)</x:f>
      </x:c>
      <x:c r="B139" s="18" t="str">
        <x:v>MFA/5634/2026 of ABDUL SALMAN V Vs THE MANAGER</x:v>
      </x:c>
      <x:c r="C139" s="18" t="str">
        <x:v>2026-08-29</x:v>
      </x:c>
      <x:c r="D139" s="18" t="str">
        <x:v>High Court of Karnataka</x:v>
      </x:c>
      <x:c r="E139" s="18" t="str">
        <x:v>SHIVASHANKAR AMARANNAVAR</x:v>
      </x:c>
      <x:c r="F139" s="18" t="str">
        <x:v>Partly Allowed</x:v>
      </x:c>
      <x:c r="G139" s="20" t="str">
        <x:v>https://indian-high-court-judgments.s3.ap-south-1.amazonaws.com/data/pdf/year=2026/court=29_3/bench=karnataka_bng_old/KAHC010518182026_1_2026-08-29.pdf</x:v>
      </x:c>
    </x:row>
    <x:row r="140">
      <x:c r="A140" s="19">
        <x:f>ROUND(COUNTA(A140:G140)/7*100,0)</x:f>
      </x:c>
      <x:c r="B140" s="18" t="str">
        <x:v>CRL.A/308/2024 of VIVEKANANDA Vs STATE OF KARNATAKA</x:v>
      </x:c>
      <x:c r="C140" s="18" t="str">
        <x:v>2026-09-03</x:v>
      </x:c>
      <x:c r="D140" s="18" t="str">
        <x:v>High Court of Karnataka</x:v>
      </x:c>
      <x:c r="E140" s="18" t="str">
        <x:v>MOHAMMAD NAWAZ,G BASAVARAJA</x:v>
      </x:c>
      <x:c r="F140" s="18" t="str">
        <x:v>Partly Allowed</x:v>
      </x:c>
      <x:c r="G140" s="20" t="str">
        <x:v>https://indian-high-court-judgments.s3.ap-south-1.amazonaws.com/data/pdf/year=2026/court=29_3/bench=karnataka_bng_old/KAHC010086022024_1_2026-09-03.pdf</x:v>
      </x:c>
    </x:row>
    <x:row r="141">
      <x:c r="A141" s="19">
        <x:f>ROUND(COUNTA(A141:G141)/7*100,0)</x:f>
      </x:c>
      <x:c r="B141" s="18" t="str">
        <x:v>RPFC/75/2024 of THIPPESHI NAIKA @ THIPPA NAIKA Vs SHWETHA</x:v>
      </x:c>
      <x:c r="C141" s="18" t="str">
        <x:v>2026-08-31</x:v>
      </x:c>
      <x:c r="D141" s="18" t="str">
        <x:v>High Court of Karnataka</x:v>
      </x:c>
      <x:c r="E141" s="18" t="str">
        <x:v>CHILLAKUR SUMALATHA</x:v>
      </x:c>
      <x:c r="F141" s="18" t="str">
        <x:v>DISMISSED</x:v>
      </x:c>
      <x:c r="G141" s="20" t="str">
        <x:v>https://indian-high-court-judgments.s3.ap-south-1.amazonaws.com/data/pdf/year=2026/court=29_3/bench=karnataka_bng_old/KAHC010204412024_1_2026-08-31.pdf</x:v>
      </x:c>
    </x:row>
    <x:row r="142">
      <x:c r="A142" s="19">
        <x:f>ROUND(COUNTA(A142:G142)/7*100,0)</x:f>
      </x:c>
      <x:c r="B142" s="18" t="str">
        <x:v>WP/23015/2026 of SRI RAGHAVENDRA V Vs STATE OF KARNATAKA</x:v>
      </x:c>
      <x:c r="C142" s="18" t="str">
        <x:v>2026-08-31</x:v>
      </x:c>
      <x:c r="D142" s="18" t="str">
        <x:v>High Court of Karnataka</x:v>
      </x:c>
      <x:c r="E142" s="18" t="str">
        <x:v>SURAJ GOVINDARAJ</x:v>
      </x:c>
      <x:c r="F142" s="18" t="str">
        <x:v>DISMISSED</x:v>
      </x:c>
      <x:c r="G142" s="20" t="str">
        <x:v>https://indian-high-court-judgments.s3.ap-south-1.amazonaws.com/data/pdf/year=2026/court=29_3/bench=karnataka_bng_old/KAHC010504312026_1_2026-08-31.pdf</x:v>
      </x:c>
    </x:row>
    <x:row r="143">
      <x:c r="A143" s="19">
        <x:f>ROUND(COUNTA(A143:G143)/7*100,0)</x:f>
      </x:c>
      <x:c r="B143" s="18" t="str">
        <x:v>WP/31431/2025 of SRI RAMESH Vs STATE OF KARNATAKA</x:v>
      </x:c>
      <x:c r="C143" s="18" t="str">
        <x:v>2026-08-28</x:v>
      </x:c>
      <x:c r="D143" s="18" t="str">
        <x:v>High Court of Karnataka</x:v>
      </x:c>
      <x:c r="E143" s="18" t="str">
        <x:v>E.S.INDIRESH</x:v>
      </x:c>
      <x:c r="F143" s="18" t="str">
        <x:v>DISPOSED</x:v>
      </x:c>
      <x:c r="G143" s="20" t="str">
        <x:v>https://indian-high-court-judgments.s3.ap-south-1.amazonaws.com/data/pdf/year=2026/court=29_3/bench=karnataka_bng_old/KAHC010680172025_1_2026-08-28.pdf</x:v>
      </x:c>
    </x:row>
    <x:row r="144">
      <x:c r="A144" s="19">
        <x:f>ROUND(COUNTA(A144:G144)/7*100,0)</x:f>
      </x:c>
      <x:c r="B144" s="18" t="str">
        <x:v>WP/26849/2026 of KARNATAKA RAJYA MADIGA GUTTIGEDARARA SANGHA (R) Vs THE STATE OF KARNATAKA</x:v>
      </x:c>
      <x:c r="C144" s="18" t="str">
        <x:v>2026-09-03</x:v>
      </x:c>
      <x:c r="D144" s="18" t="str">
        <x:v>High Court of Karnataka</x:v>
      </x:c>
      <x:c r="E144" s="18" t="str">
        <x:v>SURAJ GOVINDARAJ</x:v>
      </x:c>
      <x:c r="F144" s="18" t="str">
        <x:v>DISPOSED</x:v>
      </x:c>
      <x:c r="G144" s="20" t="str">
        <x:v>https://indian-high-court-judgments.s3.ap-south-1.amazonaws.com/data/pdf/year=2026/court=29_3/bench=karnataka_bng_old/KAHC010588862026_1_2026-09-03.pdf</x:v>
      </x:c>
    </x:row>
    <x:row r="145">
      <x:c r="A145" s="19">
        <x:f>ROUND(COUNTA(A145:G145)/7*100,0)</x:f>
      </x:c>
      <x:c r="B145" s="18" t="str">
        <x:v>CRL.A/796/2019 of THE STATE OF KARNATAKA Vs SRI K M PRAKASH</x:v>
      </x:c>
      <x:c r="C145" s="18" t="str">
        <x:v>2026-09-02</x:v>
      </x:c>
      <x:c r="D145" s="18" t="str">
        <x:v>High Court of Karnataka</x:v>
      </x:c>
      <x:c r="E145" s="18" t="str">
        <x:v>H.P.SANDESH,B.PRAMOD</x:v>
      </x:c>
      <x:c r="F145" s="18" t="str">
        <x:v>DISMISSED</x:v>
      </x:c>
      <x:c r="G145" s="20" t="str">
        <x:v>https://indian-high-court-judgments.s3.ap-south-1.amazonaws.com/data/pdf/year=2026/court=29_3/bench=karnataka_bng_old/KAHC010119762019_1_2026-09-02.pdf</x:v>
      </x:c>
    </x:row>
    <x:row r="146">
      <x:c r="A146" s="19">
        <x:f>ROUND(COUNTA(A146:G146)/7*100,0)</x:f>
      </x:c>
      <x:c r="B146" s="18" t="str">
        <x:v>CRL.P/13426/2026 of SMT SUNEETA Vs THE STATE OF KARNATAKA</x:v>
      </x:c>
      <x:c r="C146" s="18" t="str">
        <x:v>2026-09-01</x:v>
      </x:c>
      <x:c r="D146" s="18" t="str">
        <x:v>High Court of Karnataka</x:v>
      </x:c>
      <x:c r="E146" s="18" t="str">
        <x:v>S VISHWAJITH SHETTY</x:v>
      </x:c>
      <x:c r="F146" s="18" t="str">
        <x:v>ALLOWED</x:v>
      </x:c>
      <x:c r="G146" s="20" t="str">
        <x:v>https://indian-high-court-judgments.s3.ap-south-1.amazonaws.com/data/pdf/year=2026/court=29_3/bench=karnataka_bng_old/KAHC010610762026_1_2026-09-01.pdf</x:v>
      </x:c>
    </x:row>
    <x:row r="147">
      <x:c r="A147" s="19">
        <x:f>ROUND(COUNTA(A147:G147)/7*100,0)</x:f>
      </x:c>
      <x:c r="B147" s="18" t="str">
        <x:v>CRL.P/11061/2026 of MR PRASAD E Vs THE STATE OF KARNATAKA</x:v>
      </x:c>
      <x:c r="C147" s="18" t="str">
        <x:v>2026-08-31</x:v>
      </x:c>
      <x:c r="D147" s="18" t="str">
        <x:v>High Court of Karnataka</x:v>
      </x:c>
      <x:c r="E147" s="18" t="str">
        <x:v>S VISHWAJITH SHETTY</x:v>
      </x:c>
      <x:c r="F147" s="18" t="str">
        <x:v>ALLOWED</x:v>
      </x:c>
      <x:c r="G147" s="20" t="str">
        <x:v>https://indian-high-court-judgments.s3.ap-south-1.amazonaws.com/data/pdf/year=2026/court=29_3/bench=karnataka_bng_old/KAHC010507222026_1_2026-08-31.pdf</x:v>
      </x:c>
    </x:row>
    <x:row r="148">
      <x:c r="A148" s="19">
        <x:f>ROUND(COUNTA(A148:G148)/7*100,0)</x:f>
      </x:c>
      <x:c r="B148" s="18" t="str">
        <x:v>MFA/1868/2026 of . SRI. THIMMAIAH C, Vs SRI RAMESH T</x:v>
      </x:c>
      <x:c r="C148" s="18" t="str">
        <x:v>2026-08-27</x:v>
      </x:c>
      <x:c r="D148" s="18" t="str">
        <x:v>High Court of Karnataka</x:v>
      </x:c>
      <x:c r="E148" s="18" t="str">
        <x:v>PRADEEP SINGH YERUR</x:v>
      </x:c>
      <x:c r="F148" s="18" t="str">
        <x:v>DISPOSED</x:v>
      </x:c>
      <x:c r="G148" s="20" t="str">
        <x:v>https://indian-high-court-judgments.s3.ap-south-1.amazonaws.com/data/pdf/year=2026/court=29_3/bench=karnataka_bng_old/KAHC010178562026_1_2026-08-27.pdf</x:v>
      </x:c>
    </x:row>
    <x:row r="149">
      <x:c r="A149" s="19">
        <x:f>ROUND(COUNTA(A149:G149)/7*100,0)</x:f>
      </x:c>
      <x:c r="B149" s="18" t="str">
        <x:v>WP/14897/2021 of SUBBE GOWDA Vs THE DIVISIONAL CONTROLLER</x:v>
      </x:c>
      <x:c r="C149" s="18" t="str">
        <x:v>2026-09-02</x:v>
      </x:c>
      <x:c r="D149" s="18" t="str">
        <x:v>High Court of Karnataka</x:v>
      </x:c>
      <x:c r="E149" s="18" t="str">
        <x:v>JYOTI M</x:v>
      </x:c>
      <x:c r="F149" s="18" t="str">
        <x:v>DISMISSED</x:v>
      </x:c>
      <x:c r="G149" s="20" t="str">
        <x:v>https://indian-high-court-judgments.s3.ap-south-1.amazonaws.com/data/pdf/year=2026/court=29_3/bench=karnataka_bng_old/KAHC010349972020_1_2026-09-02.pdf</x:v>
      </x:c>
    </x:row>
    <x:row r="150">
      <x:c r="A150" s="19">
        <x:f>ROUND(COUNTA(A150:G150)/7*100,0)</x:f>
      </x:c>
      <x:c r="B150" s="18" t="str">
        <x:v>WP/25815/2026 of SAYYED JAFAR PASHA Vs UNION OF INDIA</x:v>
      </x:c>
      <x:c r="C150" s="18" t="str">
        <x:v>2026-08-31</x:v>
      </x:c>
      <x:c r="D150" s="18" t="str">
        <x:v>High Court of Karnataka</x:v>
      </x:c>
      <x:c r="E150" s="18" t="str">
        <x:v>SURAJ GOVINDARAJ</x:v>
      </x:c>
      <x:c r="F150" s="18" t="str">
        <x:v>DISPOSED</x:v>
      </x:c>
      <x:c r="G150" s="20" t="str">
        <x:v>https://indian-high-court-judgments.s3.ap-south-1.amazonaws.com/data/pdf/year=2026/court=29_3/bench=karnataka_bng_old/KAHC010566182026_1_2026-08-31.pdf</x:v>
      </x:c>
    </x:row>
    <x:row r="151">
      <x:c r="A151" s="19">
        <x:f>ROUND(COUNTA(A151:G151)/7*100,0)</x:f>
      </x:c>
      <x:c r="B151" s="18" t="str">
        <x:v>WP/20698/2026 of DR AMRAGOUDA L PATIL Vs THE UNION OF INDIA</x:v>
      </x:c>
      <x:c r="C151" s="18" t="str">
        <x:v>2026-08-27</x:v>
      </x:c>
      <x:c r="D151" s="18" t="str">
        <x:v>High Court of Karnataka</x:v>
      </x:c>
      <x:c r="E151" s="18" t="str">
        <x:v>ASHOK S.KINAGI</x:v>
      </x:c>
      <x:c r="F151" s="18" t="str">
        <x:v>DISMISSED</x:v>
      </x:c>
      <x:c r="G151" s="20" t="str">
        <x:v>https://indian-high-court-judgments.s3.ap-south-1.amazonaws.com/data/pdf/year=2026/court=29_3/bench=karnataka_bng_old/KAHC010459292026_1_2026-08-27.pdf</x:v>
      </x:c>
    </x:row>
    <x:row r="152">
      <x:c r="A152" s="19">
        <x:f>ROUND(COUNTA(A152:G152)/7*100,0)</x:f>
      </x:c>
      <x:c r="B152" s="18" t="str">
        <x:v>CRL.A/2080/2016 of R RAMAKRISHNAIAH Vs JAYASHANKAR</x:v>
      </x:c>
      <x:c r="C152" s="18" t="str">
        <x:v>2026-09-01</x:v>
      </x:c>
      <x:c r="D152" s="18" t="str">
        <x:v>High Court of Karnataka</x:v>
      </x:c>
      <x:c r="E152" s="18" t="str">
        <x:v>S RACHAIAH</x:v>
      </x:c>
      <x:c r="F152" s="18" t="str">
        <x:v>DISPOSED</x:v>
      </x:c>
      <x:c r="G152" s="20" t="str">
        <x:v>https://indian-high-court-judgments.s3.ap-south-1.amazonaws.com/data/pdf/year=2026/court=29_3/bench=karnataka_bng_old/KAHC010528872016_1_2026-09-01.pdf</x:v>
      </x:c>
    </x:row>
    <x:row r="153">
      <x:c r="A153" s="19">
        <x:f>ROUND(COUNTA(A153:G153)/7*100,0)</x:f>
      </x:c>
      <x:c r="B153" s="18" t="str">
        <x:v>WP/196/2024 of B C CHENNABASAVAIAH Vs THE UNION OF INDIA</x:v>
      </x:c>
      <x:c r="C153" s="18" t="str">
        <x:v>2026-08-31</x:v>
      </x:c>
      <x:c r="D153" s="18" t="str">
        <x:v>High Court of Karnataka</x:v>
      </x:c>
      <x:c r="E153" s="18" t="str">
        <x:v>ASHOK S.KINAGI</x:v>
      </x:c>
      <x:c r="F153" s="18" t="str">
        <x:v>DISPOSED</x:v>
      </x:c>
      <x:c r="G153" s="20" t="str">
        <x:v>https://indian-high-court-judgments.s3.ap-south-1.amazonaws.com/data/pdf/year=2026/court=29_3/bench=karnataka_bng_old/KAHC010636322023_1_2026-08-31.pdf</x:v>
      </x:c>
    </x:row>
    <x:row r="154">
      <x:c r="A154" s="19">
        <x:f>ROUND(COUNTA(A154:G154)/7*100,0)</x:f>
      </x:c>
      <x:c r="B154" s="18" t="str">
        <x:v>RFA/454/2021 of M GANESH Vs VIJAYALAKSHMI</x:v>
      </x:c>
      <x:c r="C154" s="18" t="str">
        <x:v>2026-09-03</x:v>
      </x:c>
      <x:c r="D154" s="18" t="str">
        <x:v>High Court of Karnataka</x:v>
      </x:c>
      <x:c r="E154" s="18" t="str">
        <x:v>T.M.NADAF</x:v>
      </x:c>
      <x:c r="F154" s="18" t="str">
        <x:v>DISMISSED</x:v>
      </x:c>
      <x:c r="G154" s="20" t="str">
        <x:v>https://indian-high-court-judgments.s3.ap-south-1.amazonaws.com/data/pdf/year=2026/court=29_3/bench=karnataka_bng_old/KAHC010204642021_1_2026-06-22.pdf</x:v>
      </x:c>
    </x:row>
    <x:row r="155">
      <x:c r="A155" s="19">
        <x:f>ROUND(COUNTA(A155:G155)/7*100,0)</x:f>
      </x:c>
      <x:c r="B155" s="18" t="str">
        <x:v>WP/33575/2025 of SRI. SHIVANNA Vs THE STATE OF KARNATAKA</x:v>
      </x:c>
      <x:c r="C155" s="18" t="str">
        <x:v>2026-09-01</x:v>
      </x:c>
      <x:c r="D155" s="18" t="str">
        <x:v>High Court of Karnataka</x:v>
      </x:c>
      <x:c r="E155" s="18" t="str">
        <x:v>M.I.ARUN</x:v>
      </x:c>
      <x:c r="F155" s="18" t="str">
        <x:v>DISMISSED</x:v>
      </x:c>
      <x:c r="G155" s="20" t="str">
        <x:v>https://indian-high-court-judgments.s3.ap-south-1.amazonaws.com/data/pdf/year=2026/court=29_3/bench=karnataka_bng_old/KAHC010727132025_1_2026-09-01.pdf</x:v>
      </x:c>
    </x:row>
    <x:row r="156">
      <x:c r="A156" s="19">
        <x:f>ROUND(COUNTA(A156:G156)/7*100,0)</x:f>
      </x:c>
      <x:c r="B156" s="18" t="str">
        <x:v>RP/280/2026 of SMT. CHANDANA H.N. Vs THE STATE OF KARNATAKA</x:v>
      </x:c>
      <x:c r="C156" s="18" t="str">
        <x:v>2026-08-28</x:v>
      </x:c>
      <x:c r="D156" s="18" t="str">
        <x:v>High Court of Karnataka</x:v>
      </x:c>
      <x:c r="E156" s="18" t="str">
        <x:v>CHIEF JUSTICE,C.M. POONACHA</x:v>
      </x:c>
      <x:c r="F156" s="18" t="str">
        <x:v>DISMISSED</x:v>
      </x:c>
      <x:c r="G156" s="20" t="str">
        <x:v>https://indian-high-court-judgments.s3.ap-south-1.amazonaws.com/data/pdf/year=2026/court=29_3/bench=karnataka_bng_old/KAHC010355682026_1_2026-08-28.pdf</x:v>
      </x:c>
    </x:row>
    <x:row r="157">
      <x:c r="A157" s="19">
        <x:f>ROUND(COUNTA(A157:G157)/7*100,0)</x:f>
      </x:c>
      <x:c r="B157" s="18" t="str">
        <x:v>WP/5849/2017 of BODA VEERANNA Vs MANGALORE REFINERY AND PETRO CHEMICALS LTD</x:v>
      </x:c>
      <x:c r="C157" s="18" t="str">
        <x:v>2026-08-28</x:v>
      </x:c>
      <x:c r="D157" s="18" t="str">
        <x:v>High Court of Karnataka</x:v>
      </x:c>
      <x:c r="E157" s="18" t="str">
        <x:v>ASHOK S.KINAGI</x:v>
      </x:c>
      <x:c r="F157" s="18" t="str">
        <x:v>DISPOSED</x:v>
      </x:c>
      <x:c r="G157" s="20" t="str">
        <x:v>https://indian-high-court-judgments.s3.ap-south-1.amazonaws.com/data/pdf/year=2026/court=29_3/bench=karnataka_bng_old/KAHC010223152017_1_2026-08-28.pdf</x:v>
      </x:c>
    </x:row>
    <x:row r="158">
      <x:c r="A158" s="19">
        <x:f>ROUND(COUNTA(A158:G158)/7*100,0)</x:f>
      </x:c>
      <x:c r="B158" s="18" t="str">
        <x:v>MFA/4597/2026 of SMT LAKSHMI Vs SRI RANGASWAMY M</x:v>
      </x:c>
      <x:c r="C158" s="18" t="str">
        <x:v>2026-08-29</x:v>
      </x:c>
      <x:c r="D158" s="18" t="str">
        <x:v>High Court of Karnataka</x:v>
      </x:c>
      <x:c r="E158" s="18" t="str">
        <x:v>SHIVASHANKAR AMARANNAVAR</x:v>
      </x:c>
      <x:c r="F158" s="18" t="str">
        <x:v>Partly Allowed</x:v>
      </x:c>
      <x:c r="G158" s="20" t="str">
        <x:v>https://indian-high-court-judgments.s3.ap-south-1.amazonaws.com/data/pdf/year=2026/court=29_3/bench=karnataka_bng_old/KAHC010420042026_1_2026-08-29.pdf</x:v>
      </x:c>
    </x:row>
    <x:row r="159">
      <x:c r="A159" s="19">
        <x:f>ROUND(COUNTA(A159:G159)/7*100,0)</x:f>
      </x:c>
      <x:c r="B159" s="18" t="str">
        <x:v>CRL.RP/1713/2025 of JANARDHAN MESTA Vs SRI J R ANANTHA RAMAN</x:v>
      </x:c>
      <x:c r="C159" s="18" t="str">
        <x:v>2026-09-01</x:v>
      </x:c>
      <x:c r="D159" s="18" t="str">
        <x:v>High Court of Karnataka</x:v>
      </x:c>
      <x:c r="E159" s="18" t="str">
        <x:v>VENKATESH NAIK T</x:v>
      </x:c>
      <x:c r="F159" s="18" t="str">
        <x:v>DISPOSED</x:v>
      </x:c>
      <x:c r="G159" s="20" t="str">
        <x:v>https://indian-high-court-judgments.s3.ap-south-1.amazonaws.com/data/pdf/year=2026/court=29_3/bench=karnataka_bng_old/KAHC010741132025_1_2026-09-01.pdf</x:v>
      </x:c>
    </x:row>
    <x:row r="160">
      <x:c r="A160" s="19">
        <x:f>ROUND(COUNTA(A160:G160)/7*100,0)</x:f>
      </x:c>
      <x:c r="B160" s="18" t="str">
        <x:v>WP/3454/2023 of DR SOMASHEKARA K Vs THE STATE OF KARNATAKA</x:v>
      </x:c>
      <x:c r="C160" s="18" t="str">
        <x:v>2026-09-01</x:v>
      </x:c>
      <x:c r="D160" s="18" t="str">
        <x:v>High Court of Karnataka</x:v>
      </x:c>
      <x:c r="E160" s="18" t="str">
        <x:v>MOHAMMAD NAWAZ,G BASAVARAJA</x:v>
      </x:c>
      <x:c r="F160" s="18" t="str">
        <x:v>ALLOWED</x:v>
      </x:c>
      <x:c r="G160" s="20" t="str">
        <x:v>https://indian-high-court-judgments.s3.ap-south-1.amazonaws.com/data/pdf/year=2026/court=29_3/bench=karnataka_bng_old/KAHC010079182023_1_2026-09-01.pdf</x:v>
      </x:c>
    </x:row>
    <x:row r="161">
      <x:c r="A161" s="19">
        <x:f>ROUND(COUNTA(A161:G161)/7*100,0)</x:f>
      </x:c>
      <x:c r="B161" s="18" t="str">
        <x:v>WP/29782/2024 of MRS. NOEL JOSE, Vs THE DEPUTY COMMISSIONER,</x:v>
      </x:c>
      <x:c r="C161" s="18" t="str">
        <x:v>2026-08-28</x:v>
      </x:c>
      <x:c r="D161" s="18" t="str">
        <x:v>High Court of Karnataka</x:v>
      </x:c>
      <x:c r="E161" s="18" t="str">
        <x:v>SURAJ GOVINDARAJ</x:v>
      </x:c>
      <x:c r="F161" s="18" t="str">
        <x:v>DISMISSED</x:v>
      </x:c>
      <x:c r="G161" s="20" t="str">
        <x:v>https://indian-high-court-judgments.s3.ap-south-1.amazonaws.com/data/pdf/year=2026/court=29_3/bench=karnataka_bng_old/KAHC010622192024_1_2026-08-28.pdf</x:v>
      </x:c>
    </x:row>
    <x:row r="162">
      <x:c r="A162" s="19">
        <x:f>ROUND(COUNTA(A162:G162)/7*100,0)</x:f>
      </x:c>
      <x:c r="B162" s="18" t="str">
        <x:v>CRL.P/12293/2026 of SRI.M.KOTRESH Vs THE STATE BY</x:v>
      </x:c>
      <x:c r="C162" s="18" t="str">
        <x:v>2026-09-03</x:v>
      </x:c>
      <x:c r="D162" s="18" t="str">
        <x:v>High Court of Karnataka</x:v>
      </x:c>
      <x:c r="E162" s="18" t="str">
        <x:v>S VISHWAJITH SHETTY</x:v>
      </x:c>
      <x:c r="F162" s="18" t="str">
        <x:v>ALLOWED</x:v>
      </x:c>
      <x:c r="G162" s="20" t="str">
        <x:v>https://indian-high-court-judgments.s3.ap-south-1.amazonaws.com/data/pdf/year=2026/court=29_3/bench=karnataka_bng_old/KAHC010557112026_1_2026-09-03.pdf</x:v>
      </x:c>
    </x:row>
    <x:row r="163">
      <x:c r="A163" s="19">
        <x:f>ROUND(COUNTA(A163:G163)/7*100,0)</x:f>
      </x:c>
      <x:c r="B163" s="18" t="str">
        <x:v>WP/27420/2025 of SMT RAJESHWARI Vs STATE OF KARNATAKA</x:v>
      </x:c>
      <x:c r="C163" s="18" t="str">
        <x:v>2026-08-31</x:v>
      </x:c>
      <x:c r="D163" s="18" t="str">
        <x:v>High Court of Karnataka</x:v>
      </x:c>
      <x:c r="E163" s="18" t="str">
        <x:v>ASHOK S.KINAGI</x:v>
      </x:c>
      <x:c r="F163" s="18" t="str">
        <x:v>DISPOSED</x:v>
      </x:c>
      <x:c r="G163" s="20" t="str">
        <x:v>https://indian-high-court-judgments.s3.ap-south-1.amazonaws.com/data/pdf/year=2026/court=29_3/bench=karnataka_bng_old/KAHC010590312025_1_2026-08-31.pdf</x:v>
      </x:c>
    </x:row>
    <x:row r="164">
      <x:c r="A164" s="19">
        <x:f>ROUND(COUNTA(A164:G164)/7*100,0)</x:f>
      </x:c>
      <x:c r="B164" s="18" t="str">
        <x:v>WP/7452/2022 of MR KRISHNA K G Vs STATE OF KARNATAKA</x:v>
      </x:c>
      <x:c r="C164" s="18" t="str">
        <x:v>2026-08-31</x:v>
      </x:c>
      <x:c r="D164" s="18" t="str">
        <x:v>High Court of Karnataka</x:v>
      </x:c>
      <x:c r="E164" s="18" t="str">
        <x:v>RAVI V HOSMANI</x:v>
      </x:c>
      <x:c r="F164" s="18" t="str">
        <x:v>DISMISSED</x:v>
      </x:c>
      <x:c r="G164" s="20" t="str">
        <x:v>https://indian-high-court-judgments.s3.ap-south-1.amazonaws.com/data/pdf/year=2026/court=29_3/bench=karnataka_bng_old/KAHC010161902022_1_2026-08-31.pdf</x:v>
      </x:c>
    </x:row>
    <x:row r="165">
      <x:c r="A165" s="19">
        <x:f>ROUND(COUNTA(A165:G165)/7*100,0)</x:f>
      </x:c>
      <x:c r="B165" s="18" t="str">
        <x:v>CP/48/2026 of SMT. MANGALAGOWRI Vs SRI VENKATASWAMY</x:v>
      </x:c>
      <x:c r="C165" s="18" t="str">
        <x:v>2026-09-01</x:v>
      </x:c>
      <x:c r="D165" s="18" t="str">
        <x:v>High Court of Karnataka</x:v>
      </x:c>
      <x:c r="E165" s="18" t="str">
        <x:v>P SREE SUDHA</x:v>
      </x:c>
      <x:c r="F165" s="18" t="str">
        <x:v>ALLOWED</x:v>
      </x:c>
      <x:c r="G165" s="20" t="str">
        <x:v>https://indian-high-court-judgments.s3.ap-south-1.amazonaws.com/data/pdf/year=2026/court=29_3/bench=karnataka_bng_old/KAHC010076082026_1_2026-09-01.pdf</x:v>
      </x:c>
    </x:row>
    <x:row r="166">
      <x:c r="A166" s="19">
        <x:f>ROUND(COUNTA(A166:G166)/7*100,0)</x:f>
      </x:c>
      <x:c r="B166" s="18" t="str">
        <x:v>WP/36282/2024 of SHRI MANJUNATH J B Vs MANAGEMENT OF M/S SARTRAC ENGINEERING PVT LTD</x:v>
      </x:c>
      <x:c r="C166" s="18" t="str">
        <x:v>2026-09-01</x:v>
      </x:c>
      <x:c r="D166" s="18" t="str">
        <x:v>High Court of Karnataka</x:v>
      </x:c>
      <x:c r="E166" s="18" t="str">
        <x:v>JYOTI M</x:v>
      </x:c>
      <x:c r="F166" s="18" t="str">
        <x:v>DISPOSED</x:v>
      </x:c>
      <x:c r="G166" s="20" t="str">
        <x:v>https://indian-high-court-judgments.s3.ap-south-1.amazonaws.com/data/pdf/year=2026/court=29_3/bench=karnataka_bng_old/KAHC010741142024_1_2026-09-01.pdf</x:v>
      </x:c>
    </x:row>
    <x:row r="167">
      <x:c r="A167" s="19">
        <x:f>ROUND(COUNTA(A167:G167)/7*100,0)</x:f>
      </x:c>
      <x:c r="B167" s="18" t="str">
        <x:v>CRL.P/11287/2026 of MURUGANDHI TEVAR @ KUMAR Vs STATE OF KARNATAKA</x:v>
      </x:c>
      <x:c r="C167" s="18" t="str">
        <x:v>2026-09-01</x:v>
      </x:c>
      <x:c r="D167" s="18" t="str">
        <x:v>High Court of Karnataka</x:v>
      </x:c>
      <x:c r="E167" s="18" t="str">
        <x:v>S VISHWAJITH SHETTY</x:v>
      </x:c>
      <x:c r="F167" s="18" t="str">
        <x:v>ALLOWED</x:v>
      </x:c>
      <x:c r="G167" s="20" t="str">
        <x:v>https://indian-high-court-judgments.s3.ap-south-1.amazonaws.com/data/pdf/year=2026/court=29_3/bench=karnataka_bng_old/KAHC010520052026_1_2026-09-01.pdf</x:v>
      </x:c>
    </x:row>
    <x:row r="168">
      <x:c r="A168" s="19">
        <x:f>ROUND(COUNTA(A168:G168)/7*100,0)</x:f>
      </x:c>
      <x:c r="B168" s="18" t="str">
        <x:v>CCC/9/2026 of SRI CHANDRU D N Vs STATE OF KARNATAKA</x:v>
      </x:c>
      <x:c r="C168" s="18" t="str">
        <x:v>2026-09-07</x:v>
      </x:c>
      <x:c r="D168" s="18" t="str">
        <x:v>High Court of Karnataka</x:v>
      </x:c>
      <x:c r="E168" s="18" t="str">
        <x:v>JAYANT BANERJI,TARA VITASTA GANJU</x:v>
      </x:c>
      <x:c r="F168" s="18" t="str">
        <x:v>CONSIGNED</x:v>
      </x:c>
      <x:c r="G168" s="20" t="str">
        <x:v>https://indian-high-court-judgments.s3.ap-south-1.amazonaws.com/data/pdf/year=2026/court=29_3/bench=karnataka_bng_old/KAHC010007962026_1_2026-09-07.pdf</x:v>
      </x:c>
    </x:row>
    <x:row r="169">
      <x:c r="A169" s="19">
        <x:f>ROUND(COUNTA(A169:G169)/7*100,0)</x:f>
      </x:c>
      <x:c r="B169" s="18" t="str">
        <x:v>WA/250/2026 of RANGAPPA BHOVI Vs THE PRESIDENT</x:v>
      </x:c>
      <x:c r="C169" s="18" t="str">
        <x:v>2026-08-31</x:v>
      </x:c>
      <x:c r="D169" s="18" t="str">
        <x:v>High Court of Karnataka</x:v>
      </x:c>
      <x:c r="E169" s="18" t="str">
        <x:v>CHIEF JUSTICE,K.S. HEMALEKHA</x:v>
      </x:c>
      <x:c r="F169" s="18" t="str">
        <x:v>DISMISSED</x:v>
      </x:c>
      <x:c r="G169" s="20" t="str">
        <x:v>https://indian-high-court-judgments.s3.ap-south-1.amazonaws.com/data/pdf/year=2026/court=29_3/bench=karnataka_bng_old/KAHC010069052026_1_2026-08-31.pdf</x:v>
      </x:c>
    </x:row>
    <x:row r="170">
      <x:c r="A170" s="19">
        <x:f>ROUND(COUNTA(A170:G170)/7*100,0)</x:f>
      </x:c>
      <x:c r="B170" s="18" t="str">
        <x:v>WP/26747/2026 of SRI SURYA AKASH Vs THE CHIEF SUPERINTENDENT</x:v>
      </x:c>
      <x:c r="C170" s="18" t="str">
        <x:v>2026-08-27</x:v>
      </x:c>
      <x:c r="D170" s="18" t="str">
        <x:v>High Court of Karnataka</x:v>
      </x:c>
      <x:c r="E170" s="18" t="str">
        <x:v>SURAJ GOVINDARAJ</x:v>
      </x:c>
      <x:c r="F170" s="18" t="str">
        <x:v>DISPOSED</x:v>
      </x:c>
      <x:c r="G170" s="20" t="str">
        <x:v>https://indian-high-court-judgments.s3.ap-south-1.amazonaws.com/data/pdf/year=2026/court=29_3/bench=karnataka_bng_old/KAHC010591092026_1_2026-08-27.pdf</x:v>
      </x:c>
    </x:row>
    <x:row r="171">
      <x:c r="A171" s="19">
        <x:f>ROUND(COUNTA(A171:G171)/7*100,0)</x:f>
      </x:c>
      <x:c r="B171" s="18" t="str">
        <x:v>WA/1411/2024 of THE STATE OF KARNATAKA Vs SRI B SURESH</x:v>
      </x:c>
      <x:c r="C171" s="18" t="str">
        <x:v>2026-08-31</x:v>
      </x:c>
      <x:c r="D171" s="18" t="str">
        <x:v>High Court of Karnataka</x:v>
      </x:c>
      <x:c r="E171" s="18" t="str">
        <x:v>CHIEF JUSTICE,K.S. HEMALEKHA</x:v>
      </x:c>
      <x:c r="F171" s="18" t="str">
        <x:v>DISMISSED</x:v>
      </x:c>
      <x:c r="G171" s="20" t="str">
        <x:v>https://indian-high-court-judgments.s3.ap-south-1.amazonaws.com/data/pdf/year=2026/court=29_3/bench=karnataka_bng_old/KAHC010538052024_1_2026-08-31.pdf</x:v>
      </x:c>
    </x:row>
    <x:row r="172">
      <x:c r="A172" s="19">
        <x:f>ROUND(COUNTA(A172:G172)/7*100,0)</x:f>
      </x:c>
      <x:c r="B172" s="18" t="str">
        <x:v>CRL.P/2854/2020 of YUVARAJ NAIK Vs STATE BY KTJ POLICE STATION, DAVANAGERE</x:v>
      </x:c>
      <x:c r="C172" s="18" t="str">
        <x:v>2026-08-27</x:v>
      </x:c>
      <x:c r="D172" s="18" t="str">
        <x:v>High Court of Karnataka</x:v>
      </x:c>
      <x:c r="E172" s="18" t="str">
        <x:v>RAVI V HOSMANI</x:v>
      </x:c>
      <x:c r="F172" s="18" t="str">
        <x:v>DISMISSED</x:v>
      </x:c>
      <x:c r="G172" s="20" t="str">
        <x:v>https://indian-high-court-judgments.s3.ap-south-1.amazonaws.com/data/pdf/year=2026/court=29_3/bench=karnataka_bng_old/KAHC010151002020_1_2026-08-27.pdf</x:v>
      </x:c>
    </x:row>
    <x:row r="173">
      <x:c r="A173" s="19">
        <x:f>ROUND(COUNTA(A173:G173)/7*100,0)</x:f>
      </x:c>
      <x:c r="B173" s="18" t="str">
        <x:v>WP/18341/2026 of SHRI. SNADEEP RAMAMURTHY Vs KUM. KIRAN KUMARI H N</x:v>
      </x:c>
      <x:c r="C173" s="18" t="str">
        <x:v>2026-08-31</x:v>
      </x:c>
      <x:c r="D173" s="18" t="str">
        <x:v>High Court of Karnataka</x:v>
      </x:c>
      <x:c r="E173" s="18" t="str">
        <x:v>CHILLAKUR SUMALATHA</x:v>
      </x:c>
      <x:c r="F173" s="18" t="str">
        <x:v>DISMISSED</x:v>
      </x:c>
      <x:c r="G173" s="20" t="str">
        <x:v>https://indian-high-court-judgments.s3.ap-south-1.amazonaws.com/data/pdf/year=2026/court=29_3/bench=karnataka_bng_old/KAHC010400402026_1_2026-08-31.pdf</x:v>
      </x:c>
    </x:row>
    <x:row r="174">
      <x:c r="A174" s="19">
        <x:f>ROUND(COUNTA(A174:G174)/7*100,0)</x:f>
      </x:c>
      <x:c r="B174" s="18" t="str">
        <x:v>WA/1959/2025 of SHRI LAKSHMI NARASIMHA SANSKRIT Vs THE DEPARTMENT OF PRIMARY AND</x:v>
      </x:c>
      <x:c r="C174" s="18" t="str">
        <x:v>2026-09-02</x:v>
      </x:c>
      <x:c r="D174" s="18" t="str">
        <x:v>High Court of Karnataka</x:v>
      </x:c>
      <x:c r="E174" s="18" t="str">
        <x:v>D K SINGH,H.SHANTHI BHUSHAN</x:v>
      </x:c>
      <x:c r="F174" s="18" t="str">
        <x:v>DISMISSED</x:v>
      </x:c>
      <x:c r="G174" s="20" t="str">
        <x:v>https://indian-high-court-judgments.s3.ap-south-1.amazonaws.com/data/pdf/year=2026/court=29_3/bench=karnataka_bng_old/KAHC010799052025_1_2026-09-02.pdf</x:v>
      </x:c>
    </x:row>
    <x:row r="175">
      <x:c r="A175" s="19">
        <x:f>ROUND(COUNTA(A175:G175)/7*100,0)</x:f>
      </x:c>
      <x:c r="B175" s="18" t="str">
        <x:v>MFA/4361/2014 of DILSHAD Vs SRI MUNIRAJU R</x:v>
      </x:c>
      <x:c r="C175" s="18" t="str">
        <x:v>2026-08-27</x:v>
      </x:c>
      <x:c r="D175" s="18" t="str">
        <x:v>High Court of Karnataka</x:v>
      </x:c>
      <x:c r="E175" s="18" t="str">
        <x:v>P SREE SUDHA</x:v>
      </x:c>
      <x:c r="F175" s="18" t="str">
        <x:v>DISMISSED</x:v>
      </x:c>
      <x:c r="G175" s="20" t="str">
        <x:v>https://indian-high-court-judgments.s3.ap-south-1.amazonaws.com/data/pdf/year=2026/court=29_3/bench=karnataka_bng_old/KAHC010258922014_1_2026-08-27.pdf</x:v>
      </x:c>
    </x:row>
    <x:row r="176">
      <x:c r="A176" s="19">
        <x:f>ROUND(COUNTA(A176:G176)/7*100,0)</x:f>
      </x:c>
      <x:c r="B176" s="18" t="str">
        <x:v>CRL.A/195/2019 of THE STATE OF KARNATAKA Vs ABHISHEK @ ABHI @ KENCHA</x:v>
      </x:c>
      <x:c r="C176" s="18" t="str">
        <x:v>2026-08-31</x:v>
      </x:c>
      <x:c r="D176" s="18" t="str">
        <x:v>High Court of Karnataka</x:v>
      </x:c>
      <x:c r="E176" s="18" t="str">
        <x:v>H.P.SANDESH,B.PRAMOD</x:v>
      </x:c>
      <x:c r="F176" s="18" t="str">
        <x:v>DISMISSED</x:v>
      </x:c>
      <x:c r="G176" s="20" t="str">
        <x:v>https://indian-high-court-judgments.s3.ap-south-1.amazonaws.com/data/pdf/year=2026/court=29_3/bench=karnataka_bng_old/KAHC010033562019_1_2026-08-31.pdf</x:v>
      </x:c>
    </x:row>
    <x:row r="177">
      <x:c r="A177" s="19">
        <x:f>ROUND(COUNTA(A177:G177)/7*100,0)</x:f>
      </x:c>
      <x:c r="B177" s="18" t="str">
        <x:v>CRL.P/338/2023 of SATHEESHA SHERIGAR Vs THE STATE OF KARNATAKA</x:v>
      </x:c>
      <x:c r="C177" s="18" t="str">
        <x:v>2026-09-07</x:v>
      </x:c>
      <x:c r="D177" s="18" t="str">
        <x:v>High Court of Karnataka</x:v>
      </x:c>
      <x:c r="E177" s="18" t="str">
        <x:v>S VISHWAJITH SHETTY</x:v>
      </x:c>
      <x:c r="F177" s="18" t="str">
        <x:v>DISMISSED</x:v>
      </x:c>
      <x:c r="G177" s="20" t="str">
        <x:v>https://indian-high-court-judgments.s3.ap-south-1.amazonaws.com/data/pdf/year=2026/court=29_3/bench=karnataka_bng_old/KAHC010009802023_1_2026-09-07.pdf</x:v>
      </x:c>
    </x:row>
    <x:row r="178">
      <x:c r="A178" s="19">
        <x:f>ROUND(COUNTA(A178:G178)/7*100,0)</x:f>
      </x:c>
      <x:c r="B178" s="18" t="str">
        <x:v>WP/24091/2025 of PRASIDDHI ASPIRTIONS PLOT OWNERS ASSOCIATION Vs VIJAYAMMA</x:v>
      </x:c>
      <x:c r="C178" s="18" t="str">
        <x:v>2026-09-01</x:v>
      </x:c>
      <x:c r="D178" s="18" t="str">
        <x:v>High Court of Karnataka</x:v>
      </x:c>
      <x:c r="E178" s="18" t="str">
        <x:v>LALITHA KANNEGANTI</x:v>
      </x:c>
      <x:c r="F178" s="18" t="str">
        <x:v>DISPOSED</x:v>
      </x:c>
      <x:c r="G178" s="20" t="str">
        <x:v>https://indian-high-court-judgments.s3.ap-south-1.amazonaws.com/data/pdf/year=2026/court=29_3/bench=karnataka_bng_old/KAHC010515552025_1_2026-09-01.pdf</x:v>
      </x:c>
    </x:row>
    <x:row r="179">
      <x:c r="A179" s="19">
        <x:f>ROUND(COUNTA(A179:G179)/7*100,0)</x:f>
      </x:c>
      <x:c r="B179" s="18" t="str">
        <x:v>WP/25425/2026 of SRI. GOPALA REDDY. K Vs STATE OF KARNATAKA</x:v>
      </x:c>
      <x:c r="C179" s="18" t="str">
        <x:v>2026-09-01</x:v>
      </x:c>
      <x:c r="D179" s="18" t="str">
        <x:v>High Court of Karnataka</x:v>
      </x:c>
      <x:c r="E179" s="18" t="str">
        <x:v>SURAJ GOVINDARAJ</x:v>
      </x:c>
      <x:c r="F179" s="18" t="str">
        <x:v>DISPOSED</x:v>
      </x:c>
      <x:c r="G179" s="20" t="str">
        <x:v>https://indian-high-court-judgments.s3.ap-south-1.amazonaws.com/data/pdf/year=2026/court=29_3/bench=karnataka_bng_old/KAHC010556782026_1_2026-09-01.pdf</x:v>
      </x:c>
    </x:row>
    <x:row r="180">
      <x:c r="A180" s="19">
        <x:f>ROUND(COUNTA(A180:G180)/7*100,0)</x:f>
      </x:c>
      <x:c r="B180" s="18" t="str">
        <x:v>WP/1244/2022 of SRI N G SURESH Vs THE MALLESHWARAM CO OPERATIVE BANK LIMITED</x:v>
      </x:c>
      <x:c r="C180" s="18" t="str">
        <x:v>2026-09-01</x:v>
      </x:c>
      <x:c r="D180" s="18" t="str">
        <x:v>High Court of Karnataka</x:v>
      </x:c>
      <x:c r="E180" s="18" t="str">
        <x:v>JYOTI M</x:v>
      </x:c>
      <x:c r="F180" s="18" t="str">
        <x:v>DISPOSED</x:v>
      </x:c>
      <x:c r="G180" s="20" t="str">
        <x:v>https://indian-high-court-judgments.s3.ap-south-1.amazonaws.com/data/pdf/year=2026/court=29_3/bench=karnataka_bng_old/KAHC010032052022_1_2026-09-01.pdf</x:v>
      </x:c>
    </x:row>
    <x:row r="181">
      <x:c r="A181" s="19">
        <x:f>ROUND(COUNTA(A181:G181)/7*100,0)</x:f>
      </x:c>
      <x:c r="B181" s="18" t="str">
        <x:v>CRL.P/11389/2026 of SRI. KRISHNAKUMAR SALAGAR Vs STATE OF KARNATAKA BY</x:v>
      </x:c>
      <x:c r="C181" s="18" t="str">
        <x:v>2026-08-27</x:v>
      </x:c>
      <x:c r="D181" s="18" t="str">
        <x:v>High Court of Karnataka</x:v>
      </x:c>
      <x:c r="E181" s="18" t="str">
        <x:v>S VISHWAJITH SHETTY</x:v>
      </x:c>
      <x:c r="F181" s="18" t="str">
        <x:v>ALLOWED</x:v>
      </x:c>
      <x:c r="G181" s="20" t="str">
        <x:v>https://indian-high-court-judgments.s3.ap-south-1.amazonaws.com/data/pdf/year=2026/court=29_3/bench=karnataka_bng_old/KAHC010513842026_1_2026-08-27.pdf</x:v>
      </x:c>
    </x:row>
    <x:row r="182">
      <x:c r="A182" s="19">
        <x:f>ROUND(COUNTA(A182:G182)/7*100,0)</x:f>
      </x:c>
      <x:c r="B182" s="18" t="str">
        <x:v>RFA/390/2023 of SRI BHARATHA REDDY J Vs SRI UMESH K G</x:v>
      </x:c>
      <x:c r="C182" s="18" t="str">
        <x:v>2026-09-07</x:v>
      </x:c>
      <x:c r="D182" s="18" t="str">
        <x:v>High Court of Karnataka</x:v>
      </x:c>
      <x:c r="E182" s="18" t="str">
        <x:v>HANCHATE SANJEEVKUMAR</x:v>
      </x:c>
      <x:c r="F182" s="18" t="str">
        <x:v>DISPOSED</x:v>
      </x:c>
      <x:c r="G182" s="20" t="str">
        <x:v>https://indian-high-court-judgments.s3.ap-south-1.amazonaws.com/data/pdf/year=2026/court=29_3/bench=karnataka_bng_old/KAHC010098872023_1_2025-01-20.pdf</x:v>
      </x:c>
    </x:row>
    <x:row r="183">
      <x:c r="A183" s="19">
        <x:f>ROUND(COUNTA(A183:G183)/7*100,0)</x:f>
      </x:c>
      <x:c r="B183" s="18" t="str">
        <x:v>CRL.P/11729/2026 of SRI. GANESH. N.S Vs STATE OF KARNATAKA</x:v>
      </x:c>
      <x:c r="C183" s="18" t="str">
        <x:v>2026-08-31</x:v>
      </x:c>
      <x:c r="D183" s="18" t="str">
        <x:v>High Court of Karnataka</x:v>
      </x:c>
      <x:c r="E183" s="18" t="str">
        <x:v>S VISHWAJITH SHETTY</x:v>
      </x:c>
      <x:c r="F183" s="18" t="str">
        <x:v>ALLOWED</x:v>
      </x:c>
      <x:c r="G183" s="20" t="str">
        <x:v>https://indian-high-court-judgments.s3.ap-south-1.amazonaws.com/data/pdf/year=2026/court=29_3/bench=karnataka_bng_old/KAHC010534102026_1_2026-08-31.pdf</x:v>
      </x:c>
    </x:row>
    <x:row r="184">
      <x:c r="A184" s="19">
        <x:f>ROUND(COUNTA(A184:G184)/7*100,0)</x:f>
      </x:c>
      <x:c r="B184" s="18" t="str">
        <x:v>ITA/2807/2005 of THE COMMISSIONER OF INCOME-TAX Vs M/S WIPRO LTD</x:v>
      </x:c>
      <x:c r="C184" s="18" t="str">
        <x:v>2026-09-03</x:v>
      </x:c>
      <x:c r="D184" s="18" t="str">
        <x:v>High Court of Karnataka</x:v>
      </x:c>
      <x:c r="E184" s="18" t="str">
        <x:v>R DEVDAS,K.MANMADHA RAO</x:v>
      </x:c>
      <x:c r="F184" s="18" t="str">
        <x:v>DISMISSED</x:v>
      </x:c>
      <x:c r="G184" s="20" t="str">
        <x:v>https://indian-high-court-judgments.s3.ap-south-1.amazonaws.com/data/pdf/year=2026/court=29_3/bench=karnataka_bng_old/KAHC010470072005_1_2026-09-03.pdf</x:v>
      </x:c>
    </x:row>
    <x:row r="185">
      <x:c r="A185" s="19">
        <x:f>ROUND(COUNTA(A185:G185)/7*100,0)</x:f>
      </x:c>
      <x:c r="B185" s="18" t="str">
        <x:v>WP/35117/2025 of NAZIMA A Vs COMPETENT AUTHORITY</x:v>
      </x:c>
      <x:c r="C185" s="18" t="str">
        <x:v>2026-09-03</x:v>
      </x:c>
      <x:c r="D185" s="18" t="str">
        <x:v>High Court of Karnataka</x:v>
      </x:c>
      <x:c r="E185" s="18" t="str">
        <x:v>T.P.VIVEKANANDA</x:v>
      </x:c>
      <x:c r="F185" s="18" t="str">
        <x:v>DISPOSED</x:v>
      </x:c>
      <x:c r="G185" s="20" t="str">
        <x:v>https://indian-high-court-judgments.s3.ap-south-1.amazonaws.com/data/pdf/year=2026/court=29_3/bench=karnataka_bng_old/KAHC010756312025_1_2026-09-03.pdf</x:v>
      </x:c>
    </x:row>
    <x:row r="186">
      <x:c r="A186" s="19">
        <x:f>ROUND(COUNTA(A186:G186)/7*100,0)</x:f>
      </x:c>
      <x:c r="B186" s="18" t="str">
        <x:v>WA/392/2025 of SRI SRINIVASA Vs THE STATE OF KARNATAKA</x:v>
      </x:c>
      <x:c r="C186" s="18" t="str">
        <x:v>2026-08-29</x:v>
      </x:c>
      <x:c r="D186" s="18" t="str">
        <x:v>High Court of Karnataka</x:v>
      </x:c>
      <x:c r="E186" s="18" t="str">
        <x:v>D K SINGH,H.SHANTHI BHUSHAN</x:v>
      </x:c>
      <x:c r="F186" s="18" t="str">
        <x:v>ALLOWED</x:v>
      </x:c>
      <x:c r="G186" s="20" t="str">
        <x:v>https://indian-high-court-judgments.s3.ap-south-1.amazonaws.com/data/pdf/year=2026/court=29_3/bench=karnataka_bng_old/KAHC010173382025_1_2026-08-29.pdf</x:v>
      </x:c>
    </x:row>
    <x:row r="187">
      <x:c r="A187" s="19">
        <x:f>ROUND(COUNTA(A187:G187)/7*100,0)</x:f>
      </x:c>
      <x:c r="B187" s="18" t="str">
        <x:v>MFA/229/2025 of DHARMAPPA Vs N B LOKESH</x:v>
      </x:c>
      <x:c r="C187" s="18" t="str">
        <x:v>2026-09-07</x:v>
      </x:c>
      <x:c r="D187" s="18" t="str">
        <x:v>High Court of Karnataka</x:v>
      </x:c>
      <x:c r="E187" s="18" t="str">
        <x:v>SHIVASHANKAR AMARANNAVAR</x:v>
      </x:c>
      <x:c r="F187" s="18" t="str">
        <x:v>Partly Allowed</x:v>
      </x:c>
      <x:c r="G187" s="20" t="str">
        <x:v>https://indian-high-court-judgments.s3.ap-south-1.amazonaws.com/data/pdf/year=2026/court=29_3/bench=karnataka_bng_old/KAHC010011192025_1_2026-09-07.pdf</x:v>
      </x:c>
    </x:row>
    <x:row r="188">
      <x:c r="A188" s="19">
        <x:f>ROUND(COUNTA(A188:G188)/7*100,0)</x:f>
      </x:c>
      <x:c r="B188" s="18" t="str">
        <x:v>CRL.P/11432/2026 of THE STATE OF KARNATAKA Vs TOUHID PASHA,</x:v>
      </x:c>
      <x:c r="C188" s="18" t="str">
        <x:v>2026-09-02</x:v>
      </x:c>
      <x:c r="D188" s="18" t="str">
        <x:v>High Court of Karnataka</x:v>
      </x:c>
      <x:c r="E188" s="18" t="str">
        <x:v>S VISHWAJITH SHETTY</x:v>
      </x:c>
      <x:c r="F188" s="18" t="str">
        <x:v>ALLOWED</x:v>
      </x:c>
      <x:c r="G188" s="20" t="str">
        <x:v>https://indian-high-court-judgments.s3.ap-south-1.amazonaws.com/data/pdf/year=2026/court=29_3/bench=karnataka_bng_old/KAHC010516522026_1_2026-09-02.pdf</x:v>
      </x:c>
    </x:row>
    <x:row r="189">
      <x:c r="A189" s="19">
        <x:f>ROUND(COUNTA(A189:G189)/7*100,0)</x:f>
      </x:c>
      <x:c r="B189" s="18" t="str">
        <x:v>MFA/3913/2022 of B S HEMALATHA Vs M/S IFFCO TOKIO GENERAL INSURANCE CO LTD</x:v>
      </x:c>
      <x:c r="C189" s="18" t="str">
        <x:v>2026-08-29</x:v>
      </x:c>
      <x:c r="D189" s="18" t="str">
        <x:v>High Court of Karnataka</x:v>
      </x:c>
      <x:c r="E189" s="18" t="str">
        <x:v>RAJESH RAI K</x:v>
      </x:c>
      <x:c r="F189" s="18" t="str">
        <x:v>Partly Allowed</x:v>
      </x:c>
      <x:c r="G189" s="20" t="str">
        <x:v>https://indian-high-court-judgments.s3.ap-south-1.amazonaws.com/data/pdf/year=2026/court=29_3/bench=karnataka_bng_old/KAHC010227902022_1_2026-08-29.pdf</x:v>
      </x:c>
    </x:row>
    <x:row r="190">
      <x:c r="A190" s="19">
        <x:f>ROUND(COUNTA(A190:G190)/7*100,0)</x:f>
      </x:c>
      <x:c r="B190" s="18" t="str">
        <x:v>CRL.P/9558/2026 of DR. M. L. DIVYA CHETHANA @ DR. DIVYA CHETHAN Vs THE STATE OF KARNATAKA</x:v>
      </x:c>
      <x:c r="C190" s="18" t="str">
        <x:v>2026-08-27</x:v>
      </x:c>
      <x:c r="D190" s="18" t="str">
        <x:v>High Court of Karnataka</x:v>
      </x:c>
      <x:c r="E190" s="18" t="str">
        <x:v>M.NAGAPRASANNA</x:v>
      </x:c>
      <x:c r="F190" s="18" t="str">
        <x:v>DISPOSED</x:v>
      </x:c>
      <x:c r="G190" s="20" t="str">
        <x:v>https://indian-high-court-judgments.s3.ap-south-1.amazonaws.com/data/pdf/year=2026/court=29_3/bench=karnataka_bng_old/KAHC010449542026_1_2026-08-27.pdf</x:v>
      </x:c>
    </x:row>
    <x:row r="191">
      <x:c r="A191" s="19">
        <x:f>ROUND(COUNTA(A191:G191)/7*100,0)</x:f>
      </x:c>
      <x:c r="B191" s="18" t="str">
        <x:v>CRL.P/181/2026 of SRI ANIL KUMAR M V Vs SMT PALLAVI N R</x:v>
      </x:c>
      <x:c r="C191" s="18" t="str">
        <x:v>2026-08-27</x:v>
      </x:c>
      <x:c r="D191" s="18" t="str">
        <x:v>High Court of Karnataka</x:v>
      </x:c>
      <x:c r="E191" s="18" t="str">
        <x:v>M.NAGAPRASANNA</x:v>
      </x:c>
      <x:c r="F191" s="18" t="str">
        <x:v>DISPOSED</x:v>
      </x:c>
      <x:c r="G191" s="20" t="str">
        <x:v>https://indian-high-court-judgments.s3.ap-south-1.amazonaws.com/data/pdf/year=2026/court=29_3/bench=karnataka_bng_old/KAHC010693672025_1_2025-12-10.pdf</x:v>
      </x:c>
    </x:row>
    <x:row r="192">
      <x:c r="A192" s="19">
        <x:f>ROUND(COUNTA(A192:G192)/7*100,0)</x:f>
      </x:c>
      <x:c r="B192" s="18" t="str">
        <x:v>WP/9480/2022 of M B NATARAJA Vs KARNATAKA POWER TRANSMISSION CORPORATION LIMITED</x:v>
      </x:c>
      <x:c r="C192" s="18" t="str">
        <x:v>2026-08-31</x:v>
      </x:c>
      <x:c r="D192" s="18" t="str">
        <x:v>High Court of Karnataka</x:v>
      </x:c>
      <x:c r="E192" s="18" t="str">
        <x:v>ASHOK S.KINAGI</x:v>
      </x:c>
      <x:c r="F192" s="18" t="str">
        <x:v>DISMISSED</x:v>
      </x:c>
      <x:c r="G192" s="20" t="str">
        <x:v>https://indian-high-court-judgments.s3.ap-south-1.amazonaws.com/data/pdf/year=2026/court=29_3/bench=karnataka_bng_old/KAHC010211912022_1_2026-08-31.pdf</x:v>
      </x:c>
    </x:row>
    <x:row r="193">
      <x:c r="A193" s="19">
        <x:f>ROUND(COUNTA(A193:G193)/7*100,0)</x:f>
      </x:c>
      <x:c r="B193" s="18" t="str">
        <x:v>MFA/2299/2022 of MR SULAIMAN NISSAR Vs UNITED INDIA INSURANCE COMPANY LTD</x:v>
      </x:c>
      <x:c r="C193" s="18" t="str">
        <x:v>2026-08-31</x:v>
      </x:c>
      <x:c r="D193" s="18" t="str">
        <x:v>High Court of Karnataka</x:v>
      </x:c>
      <x:c r="E193" s="18" t="str">
        <x:v>RAJESH RAI K</x:v>
      </x:c>
      <x:c r="F193" s="18" t="str">
        <x:v>Partly Allowed</x:v>
      </x:c>
      <x:c r="G193" s="20" t="str">
        <x:v>https://indian-high-court-judgments.s3.ap-south-1.amazonaws.com/data/pdf/year=2026/court=29_3/bench=karnataka_bng_old/KAHC010112002022_1_2026-08-31.pdf</x:v>
      </x:c>
    </x:row>
    <x:row r="194">
      <x:c r="A194" s="19">
        <x:f>ROUND(COUNTA(A194:G194)/7*100,0)</x:f>
      </x:c>
      <x:c r="B194" s="18" t="str">
        <x:v>WP/28294/2023 of M/S. BANGALORE CERAMICS Vs CANARA BANK</x:v>
      </x:c>
      <x:c r="C194" s="18" t="str">
        <x:v>2026-09-02</x:v>
      </x:c>
      <x:c r="D194" s="18" t="str">
        <x:v>High Court of Karnataka</x:v>
      </x:c>
      <x:c r="E194" s="18" t="str">
        <x:v>M.G.S. KAMAL</x:v>
      </x:c>
      <x:c r="F194" s="18" t="str">
        <x:v>DISMISSED</x:v>
      </x:c>
      <x:c r="G194" s="20" t="str">
        <x:v>https://indian-high-court-judgments.s3.ap-south-1.amazonaws.com/data/pdf/year=2026/court=29_3/bench=karnataka_bng_old/KAHC010670902023_1_2026-09-02.pdf</x:v>
      </x:c>
    </x:row>
    <x:row r="195">
      <x:c r="A195" s="19">
        <x:f>ROUND(COUNTA(A195:G195)/7*100,0)</x:f>
      </x:c>
      <x:c r="B195" s="18" t="str">
        <x:v>CRP/770/2026 of PUTTAMMA Vs SHIVU @ SHIVANANDHA</x:v>
      </x:c>
      <x:c r="C195" s="18" t="str">
        <x:v>2026-09-01</x:v>
      </x:c>
      <x:c r="D195" s="18" t="str">
        <x:v>High Court of Karnataka</x:v>
      </x:c>
      <x:c r="E195" s="18" t="str">
        <x:v>LALITHA KANNEGANTI</x:v>
      </x:c>
      <x:c r="F195" s="18" t="str">
        <x:v>DISPOSED</x:v>
      </x:c>
      <x:c r="G195" s="20" t="str">
        <x:v>https://indian-high-court-judgments.s3.ap-south-1.amazonaws.com/data/pdf/year=2026/court=29_3/bench=karnataka_bng_old/KAHC010598902026_1_2026-09-01.pdf</x:v>
      </x:c>
    </x:row>
    <x:row r="196">
      <x:c r="A196" s="19">
        <x:f>ROUND(COUNTA(A196:G196)/7*100,0)</x:f>
      </x:c>
      <x:c r="B196" s="18" t="str">
        <x:v>CRL.P/3566/2019 of SRI B KRISHNAPPA Vs STATE OF ASHOKPURAM POLICE</x:v>
      </x:c>
      <x:c r="C196" s="18" t="str">
        <x:v>2026-09-07</x:v>
      </x:c>
      <x:c r="D196" s="18" t="str">
        <x:v>High Court of Karnataka</x:v>
      </x:c>
      <x:c r="E196" s="18" t="str">
        <x:v>H.P.SANDESH</x:v>
      </x:c>
      <x:c r="F196" s="18" t="str">
        <x:v>DISMISSED</x:v>
      </x:c>
      <x:c r="G196" s="20" t="str">
        <x:v>https://indian-high-court-judgments.s3.ap-south-1.amazonaws.com/data/pdf/year=2026/court=29_3/bench=karnataka_bng_old/KAHC010133792019_1_2026-09-07.pdf</x:v>
      </x:c>
    </x:row>
    <x:row r="197">
      <x:c r="A197" s="19">
        <x:f>ROUND(COUNTA(A197:G197)/7*100,0)</x:f>
      </x:c>
      <x:c r="B197" s="18" t="str">
        <x:v>WP/25602/2025 of SMT GAYATHRI Vs THE DEPUTY COMMISSIONER</x:v>
      </x:c>
      <x:c r="C197" s="18" t="str">
        <x:v>2026-08-29</x:v>
      </x:c>
      <x:c r="D197" s="18" t="str">
        <x:v>High Court of Karnataka</x:v>
      </x:c>
      <x:c r="E197" s="18" t="str">
        <x:v>E.S.INDIRESH</x:v>
      </x:c>
      <x:c r="F197" s="18" t="str">
        <x:v>DISPOSED</x:v>
      </x:c>
      <x:c r="G197" s="20" t="str">
        <x:v>https://indian-high-court-judgments.s3.ap-south-1.amazonaws.com/data/pdf/year=2026/court=29_3/bench=karnataka_bng_old/KAHC010553342025_1_2026-08-29.pdf</x:v>
      </x:c>
    </x:row>
    <x:row r="198">
      <x:c r="A198" s="19">
        <x:f>ROUND(COUNTA(A198:G198)/7*100,0)</x:f>
      </x:c>
      <x:c r="B198" s="18" t="str">
        <x:v>CRL.P/11710/2026 of MANJUNATHA Vs STATE OF KARNATAKA BY</x:v>
      </x:c>
      <x:c r="C198" s="18" t="str">
        <x:v>2026-08-29</x:v>
      </x:c>
      <x:c r="D198" s="18" t="str">
        <x:v>High Court of Karnataka</x:v>
      </x:c>
      <x:c r="E198" s="18" t="str">
        <x:v>S VISHWAJITH SHETTY</x:v>
      </x:c>
      <x:c r="F198" s="18" t="str">
        <x:v>ALLOWED</x:v>
      </x:c>
      <x:c r="G198" s="20" t="str">
        <x:v>https://indian-high-court-judgments.s3.ap-south-1.amazonaws.com/data/pdf/year=2026/court=29_3/bench=karnataka_bng_old/KAHC010531932026_1_2026-08-29.pdf</x:v>
      </x:c>
    </x:row>
    <x:row r="199">
      <x:c r="A199" s="19">
        <x:f>ROUND(COUNTA(A199:G199)/7*100,0)</x:f>
      </x:c>
      <x:c r="B199" s="18" t="str">
        <x:v>WP/24971/2026 of SMT. NEELAMMA Vs THE STATE OF KARNATAKA</x:v>
      </x:c>
      <x:c r="C199" s="18" t="str">
        <x:v>2026-08-27</x:v>
      </x:c>
      <x:c r="D199" s="18" t="str">
        <x:v>High Court of Karnataka</x:v>
      </x:c>
      <x:c r="E199" s="18" t="str">
        <x:v>SURAJ GOVINDARAJ</x:v>
      </x:c>
      <x:c r="F199" s="18" t="str">
        <x:v>ALLOWED</x:v>
      </x:c>
      <x:c r="G199" s="20" t="str">
        <x:v>https://indian-high-court-judgments.s3.ap-south-1.amazonaws.com/data/pdf/year=2026/court=29_3/bench=karnataka_bng_old/KAHC010546392026_1_2026-08-27.pdf</x:v>
      </x:c>
    </x:row>
    <x:row r="200">
      <x:c r="A200" s="19">
        <x:f>ROUND(COUNTA(A200:G200)/7*100,0)</x:f>
      </x:c>
      <x:c r="B200" s="18" t="str">
        <x:v>WP/18507/2023 of THIPPESHAPPA Vs MARULASIDDAPPA</x:v>
      </x:c>
      <x:c r="C200" s="18" t="str">
        <x:v>2026-08-29</x:v>
      </x:c>
      <x:c r="D200" s="18" t="str">
        <x:v>High Court of Karnataka</x:v>
      </x:c>
      <x:c r="E200" s="18" t="str">
        <x:v>S SUNIL DUTT YADAV</x:v>
      </x:c>
      <x:c r="F200" s="18" t="str">
        <x:v>REJECTED</x:v>
      </x:c>
      <x:c r="G200" s="20" t="str">
        <x:v>https://indian-high-court-judgments.s3.ap-south-1.amazonaws.com/data/pdf/year=2026/court=29_3/bench=karnataka_bng_old/KAHC010436522023_1_2026-08-29.pdf</x:v>
      </x:c>
    </x:row>
    <x:row r="201">
      <x:c r="A201" s="19">
        <x:f>ROUND(COUNTA(A201:G201)/7*100,0)</x:f>
      </x:c>
      <x:c r="B201" s="18" t="str">
        <x:v>RFA/842/2020 of SRI. M.R. ANAND PRABHAKAR Vs SMT. K.B. SEETHAMMA</x:v>
      </x:c>
      <x:c r="C201" s="18" t="str">
        <x:v>2026-09-02</x:v>
      </x:c>
      <x:c r="D201" s="18" t="str">
        <x:v>High Court of Karnataka</x:v>
      </x:c>
      <x:c r="E201" s="18" t="str">
        <x:v>SHIVASHANKAR AMARANNAVAR</x:v>
      </x:c>
      <x:c r="F201" s="18" t="str">
        <x:v>DISPOSED</x:v>
      </x:c>
      <x:c r="G201" s="20" t="str">
        <x:v>https://indian-high-court-judgments.s3.ap-south-1.amazonaws.com/data/pdf/year=2026/court=29_3/bench=karnataka_bng_old/KAHC010169832020_1_2026-09-02.pdf</x:v>
      </x:c>
    </x:row>
    <x:row r="202">
      <x:c r="A202" s="19">
        <x:f>ROUND(COUNTA(A202:G202)/7*100,0)</x:f>
      </x:c>
      <x:c r="B202" s="18" t="str">
        <x:v>RFA/2902/2024 of SMT. VANITHA Vs SMT. D ARPUDAM</x:v>
      </x:c>
      <x:c r="C202" s="18" t="str">
        <x:v>2026-08-28</x:v>
      </x:c>
      <x:c r="D202" s="18" t="str">
        <x:v>High Court of Karnataka</x:v>
      </x:c>
      <x:c r="E202" s="18" t="str">
        <x:v>HANCHATE SANJEEVKUMAR</x:v>
      </x:c>
      <x:c r="F202" s="18" t="str">
        <x:v>DISMISSED</x:v>
      </x:c>
      <x:c r="G202" s="20" t="str">
        <x:v>https://indian-high-court-judgments.s3.ap-south-1.amazonaws.com/data/pdf/year=2026/court=29_3/bench=karnataka_bng_old/KAHC010754432024_1_2026-08-28.pdf</x:v>
      </x:c>
    </x:row>
    <x:row r="203">
      <x:c r="A203" s="19">
        <x:f>ROUND(COUNTA(A203:G203)/7*100,0)</x:f>
      </x:c>
      <x:c r="B203" s="18" t="str">
        <x:v>WP/23005/2026 of K NARESH Vs INDUMATHI</x:v>
      </x:c>
      <x:c r="C203" s="18" t="str">
        <x:v>2026-08-28</x:v>
      </x:c>
      <x:c r="D203" s="18" t="str">
        <x:v>High Court of Karnataka</x:v>
      </x:c>
      <x:c r="E203" s="18" t="str">
        <x:v>B.PRAMOD</x:v>
      </x:c>
      <x:c r="F203" s="18" t="str">
        <x:v>REJECTED</x:v>
      </x:c>
      <x:c r="G203" s="20" t="str">
        <x:v>https://indian-high-court-judgments.s3.ap-south-1.amazonaws.com/data/pdf/year=2026/court=29_3/bench=karnataka_bng_old/KAHC010507022026_1_2026-08-28.pdf</x:v>
      </x:c>
    </x:row>
    <x:row r="204">
      <x:c r="A204" s="19">
        <x:f>ROUND(COUNTA(A204:G204)/7*100,0)</x:f>
      </x:c>
      <x:c r="B204" s="18" t="str">
        <x:v>WP/100347/2026 of M/S MORDEKAR FOUNDERS AND ENGINEERS Vs KARNATAKA STATE POLLUTION CONTROL BOARD</x:v>
      </x:c>
      <x:c r="C204" s="18" t="str">
        <x:v>2026-09-01</x:v>
      </x:c>
      <x:c r="D204" s="18" t="str">
        <x:v>High Court of Karnataka</x:v>
      </x:c>
      <x:c r="E204" s="18" t="str">
        <x:v>CHIEF JUSTICE,K.S. HEMALEKHA</x:v>
      </x:c>
      <x:c r="F204" s="18" t="str">
        <x:v>DISMISSED</x:v>
      </x:c>
      <x:c r="G204" s="20" t="str">
        <x:v>https://indian-high-court-judgments.s3.ap-south-1.amazonaws.com/data/pdf/year=2026/court=29_3/bench=karnataka_bng_old/KAHC010855342025_1_2026-09-01.pdf</x:v>
      </x:c>
    </x:row>
    <x:row r="205">
      <x:c r="A205" s="19">
        <x:f>ROUND(COUNTA(A205:G205)/7*100,0)</x:f>
      </x:c>
      <x:c r="B205" s="18" t="str">
        <x:v>RFA/751/2013 of M/S. PARIJATHA APARTMENT OWNER'S ASSOCIATION Vs SRI RAMAGAD JAYAPRAKASH</x:v>
      </x:c>
      <x:c r="C205" s="18" t="str">
        <x:v>2026-08-27</x:v>
      </x:c>
      <x:c r="D205" s="18" t="str">
        <x:v>High Court of Karnataka</x:v>
      </x:c>
      <x:c r="E205" s="18" t="str">
        <x:v>VIJAYKUMAR A. PATIL</x:v>
      </x:c>
      <x:c r="F205" s="18" t="str">
        <x:v>DISMISSED</x:v>
      </x:c>
      <x:c r="G205" s="20" t="str">
        <x:v>https://indian-high-court-judgments.s3.ap-south-1.amazonaws.com/data/pdf/year=2026/court=29_3/bench=karnataka_bng_old/KAHC010540632013_1_2026-08-27.pdf</x:v>
      </x:c>
    </x:row>
    <x:row r="206">
      <x:c r="A206" s="19">
        <x:f>ROUND(COUNTA(A206:G206)/7*100,0)</x:f>
      </x:c>
      <x:c r="B206" s="18" t="str">
        <x:v>CRL.P/8368/2026 of YOHAN JHAN Vs STATE OF KARNATAKA</x:v>
      </x:c>
      <x:c r="C206" s="18" t="str">
        <x:v>2026-09-03</x:v>
      </x:c>
      <x:c r="D206" s="18" t="str">
        <x:v>High Court of Karnataka</x:v>
      </x:c>
      <x:c r="E206" s="18" t="str">
        <x:v>S VISHWAJITH SHETTY</x:v>
      </x:c>
      <x:c r="F206" s="18" t="str">
        <x:v>DISMISSED</x:v>
      </x:c>
      <x:c r="G206" s="20" t="str">
        <x:v>https://indian-high-court-judgments.s3.ap-south-1.amazonaws.com/data/pdf/year=2026/court=29_3/bench=karnataka_bng_old/KAHC010397872026_1_2026-09-03.pdf</x:v>
      </x:c>
    </x:row>
    <x:row r="207">
      <x:c r="A207" s="19">
        <x:f>ROUND(COUNTA(A207:G207)/7*100,0)</x:f>
      </x:c>
      <x:c r="B207" s="18" t="str">
        <x:v>WP/24287/2022 of SRI VENKATESH Vs THE STATE OF KARNATAKA</x:v>
      </x:c>
      <x:c r="C207" s="18" t="str">
        <x:v>2026-09-08</x:v>
      </x:c>
      <x:c r="D207" s="18" t="str">
        <x:v>High Court of Karnataka</x:v>
      </x:c>
      <x:c r="E207" s="18" t="str">
        <x:v>JYOTI M</x:v>
      </x:c>
      <x:c r="F207" s="18" t="str">
        <x:v>DISPOSED</x:v>
      </x:c>
      <x:c r="G207" s="20" t="str">
        <x:v>https://indian-high-court-judgments.s3.ap-south-1.amazonaws.com/data/pdf/year=2026/court=29_3/bench=karnataka_bng_old/KAHC010558332022_1_2026-09-08.pdf</x:v>
      </x:c>
    </x:row>
    <x:row r="208">
      <x:c r="A208" s="19">
        <x:f>ROUND(COUNTA(A208:G208)/7*100,0)</x:f>
      </x:c>
      <x:c r="B208" s="18" t="str">
        <x:v>WP/25659/2026 of SRI RAVI KUMAR Vs THE PRL SECRETARY</x:v>
      </x:c>
      <x:c r="C208" s="18" t="str">
        <x:v>2026-09-01</x:v>
      </x:c>
      <x:c r="D208" s="18" t="str">
        <x:v>High Court of Karnataka</x:v>
      </x:c>
      <x:c r="E208" s="18" t="str">
        <x:v>SURAJ GOVINDARAJ</x:v>
      </x:c>
      <x:c r="F208" s="18" t="str">
        <x:v>DISPOSED</x:v>
      </x:c>
      <x:c r="G208" s="20" t="str">
        <x:v>https://indian-high-court-judgments.s3.ap-south-1.amazonaws.com/data/pdf/year=2026/court=29_3/bench=karnataka_bng_old/KAHC010561012026_1_2026-09-01.pdf</x:v>
      </x:c>
    </x:row>
    <x:row r="209">
      <x:c r="A209" s="19">
        <x:f>ROUND(COUNTA(A209:G209)/7*100,0)</x:f>
      </x:c>
      <x:c r="B209" s="18" t="str">
        <x:v>CP/477/2023 of SMT BINDU S Vs SRI. HARSHA S K</x:v>
      </x:c>
      <x:c r="C209" s="18" t="str">
        <x:v>2026-08-27</x:v>
      </x:c>
      <x:c r="D209" s="18" t="str">
        <x:v>High Court of Karnataka</x:v>
      </x:c>
      <x:c r="E209" s="18" t="str">
        <x:v>P SREE SUDHA</x:v>
      </x:c>
      <x:c r="F209" s="18" t="str">
        <x:v>ALLOWED</x:v>
      </x:c>
      <x:c r="G209" s="20" t="str">
        <x:v>https://indian-high-court-judgments.s3.ap-south-1.amazonaws.com/data/pdf/year=2026/court=29_3/bench=karnataka_bng_old/KAHC010597512023_1_2026-08-27.pdf</x:v>
      </x:c>
    </x:row>
    <x:row r="210">
      <x:c r="A210" s="19">
        <x:f>ROUND(COUNTA(A210:G210)/7*100,0)</x:f>
      </x:c>
      <x:c r="B210" s="18" t="str">
        <x:v>RSA/289/2026 of SMT H K MANJULA Vs SMT NANJAMMA (DEAD)</x:v>
      </x:c>
      <x:c r="C210" s="18" t="str">
        <x:v>2026-08-31</x:v>
      </x:c>
      <x:c r="D210" s="18" t="str">
        <x:v>High Court of Karnataka</x:v>
      </x:c>
      <x:c r="E210" s="18" t="str">
        <x:v>V SRISHANANDA</x:v>
      </x:c>
      <x:c r="F210" s="18" t="str">
        <x:v>DISPOSED</x:v>
      </x:c>
      <x:c r="G210" s="20" t="str">
        <x:v>https://indian-high-court-judgments.s3.ap-south-1.amazonaws.com/data/pdf/year=2026/court=29_3/bench=karnataka_bng_old/KAHC010111982026_1_2026-08-31.pdf</x:v>
      </x:c>
    </x:row>
    <x:row r="211">
      <x:c r="A211" s="19">
        <x:f>ROUND(COUNTA(A211:G211)/7*100,0)</x:f>
      </x:c>
      <x:c r="B211" s="18" t="str">
        <x:v>CRL.P/10389/2026 of MR MOHAMMED SALEEM YUSUF Vs STATE BY</x:v>
      </x:c>
      <x:c r="C211" s="18" t="str">
        <x:v>2026-09-02</x:v>
      </x:c>
      <x:c r="D211" s="18" t="str">
        <x:v>High Court of Karnataka</x:v>
      </x:c>
      <x:c r="E211" s="18" t="str">
        <x:v>S VISHWAJITH SHETTY</x:v>
      </x:c>
      <x:c r="F211" s="18" t="str">
        <x:v>DISMISSED</x:v>
      </x:c>
      <x:c r="G211" s="20" t="str">
        <x:v>https://indian-high-court-judgments.s3.ap-south-1.amazonaws.com/data/pdf/year=2026/court=29_3/bench=karnataka_bng_old/KAHC010482772026_1_2026-09-02.pdf</x:v>
      </x:c>
    </x:row>
    <x:row r="212">
      <x:c r="A212" s="19">
        <x:f>ROUND(COUNTA(A212:G212)/7*100,0)</x:f>
      </x:c>
      <x:c r="B212" s="18" t="str">
        <x:v>CRL.A/1024/2019 of STATE OF KARNATAKA BY KARNATAKA LOKAYUKTA P.S. Vs G. CHELUVARAMU</x:v>
      </x:c>
      <x:c r="C212" s="18" t="str">
        <x:v>2026-08-29</x:v>
      </x:c>
      <x:c r="D212" s="18" t="str">
        <x:v>High Court of Karnataka</x:v>
      </x:c>
      <x:c r="E212" s="18" t="str">
        <x:v>H.P.SANDESH,B.PRAMOD</x:v>
      </x:c>
      <x:c r="F212" s="18" t="str">
        <x:v>DISMISSED</x:v>
      </x:c>
      <x:c r="G212" s="20" t="str">
        <x:v>https://indian-high-court-judgments.s3.ap-south-1.amazonaws.com/data/pdf/year=2026/court=29_3/bench=karnataka_bng_old/KAHC010153052019_1_2026-08-29.pdf</x:v>
      </x:c>
    </x:row>
    <x:row r="213">
      <x:c r="A213" s="19">
        <x:f>ROUND(COUNTA(A213:G213)/7*100,0)</x:f>
      </x:c>
      <x:c r="B213" s="18" t="str">
        <x:v>WP/106921/2025 of M/S MAHALAXMI FOUNDERS Vs KARNATAKA STATE POLLUTION CONTROL BOARD</x:v>
      </x:c>
      <x:c r="C213" s="18" t="str">
        <x:v>2026-09-01</x:v>
      </x:c>
      <x:c r="D213" s="18" t="str">
        <x:v>High Court of Karnataka</x:v>
      </x:c>
      <x:c r="E213" s="18" t="str">
        <x:v>CHIEF JUSTICE,K.S. HEMALEKHA</x:v>
      </x:c>
      <x:c r="F213" s="18" t="str">
        <x:v>DISMISSED</x:v>
      </x:c>
      <x:c r="G213" s="20" t="str">
        <x:v>https://indian-high-court-judgments.s3.ap-south-1.amazonaws.com/data/pdf/year=2026/court=29_3/bench=karnataka_bng_old/KAHC010600572026_1_2026-09-01.pdf</x:v>
      </x:c>
    </x:row>
    <x:row r="214">
      <x:c r="A214" s="19">
        <x:f>ROUND(COUNTA(A214:G214)/7*100,0)</x:f>
      </x:c>
      <x:c r="B214" s="18" t="str">
        <x:v>CRL.P/1168/2019 of VISHWAS ANCHALKAR Vs SMT DIVYA RANI</x:v>
      </x:c>
      <x:c r="C214" s="18" t="str">
        <x:v>2026-09-07</x:v>
      </x:c>
      <x:c r="D214" s="18" t="str">
        <x:v>High Court of Karnataka</x:v>
      </x:c>
      <x:c r="E214" s="18" t="str">
        <x:v>H.P.SANDESH</x:v>
      </x:c>
      <x:c r="F214" s="18" t="str">
        <x:v>DISMISSED</x:v>
      </x:c>
      <x:c r="G214" s="20" t="str">
        <x:v>https://indian-high-court-judgments.s3.ap-south-1.amazonaws.com/data/pdf/year=2026/court=29_3/bench=karnataka_bng_old/KAHC010173792019_1_2026-09-07.pdf</x:v>
      </x:c>
    </x:row>
    <x:row r="215">
      <x:c r="A215" s="19">
        <x:f>ROUND(COUNTA(A215:G215)/7*100,0)</x:f>
      </x:c>
      <x:c r="B215" s="18" t="str">
        <x:v>CRL.P/1710/2019 of V DHANANJAYA GOWDA Vs STATE OF KARNATAKA</x:v>
      </x:c>
      <x:c r="C215" s="18" t="str">
        <x:v>2026-09-08</x:v>
      </x:c>
      <x:c r="D215" s="18" t="str">
        <x:v>High Court of Karnataka</x:v>
      </x:c>
      <x:c r="E215" s="18" t="str">
        <x:v>H.P.SANDESH</x:v>
      </x:c>
      <x:c r="F215" s="18" t="str">
        <x:v>DISPOSED</x:v>
      </x:c>
      <x:c r="G215" s="20" t="str">
        <x:v>https://indian-high-court-judgments.s3.ap-south-1.amazonaws.com/data/pdf/year=2026/court=29_3/bench=karnataka_bng_old/KAHC010069402019_1_2026-09-08.pdf</x:v>
      </x:c>
    </x:row>
    <x:row r="216">
      <x:c r="A216" s="19">
        <x:f>ROUND(COUNTA(A216:G216)/7*100,0)</x:f>
      </x:c>
      <x:c r="B216" s="18" t="str">
        <x:v>WP/12913/2019 of M/S ALLIANCE BUSINESS SCHOOL Vs THE REGISTRAR OF COMPANIES KARNATAKA</x:v>
      </x:c>
      <x:c r="C216" s="18" t="str">
        <x:v>2026-09-02</x:v>
      </x:c>
      <x:c r="D216" s="18" t="str">
        <x:v>High Court of Karnataka</x:v>
      </x:c>
      <x:c r="E216" s="18" t="str">
        <x:v>M.G.S. KAMAL</x:v>
      </x:c>
      <x:c r="F216" s="18" t="str">
        <x:v>DISMISSED</x:v>
      </x:c>
      <x:c r="G216" s="20" t="str">
        <x:v>https://indian-high-court-judgments.s3.ap-south-1.amazonaws.com/data/pdf/year=2026/court=29_3/bench=karnataka_bng_old/KAHC010080632019_1_2026-09-02.pdf</x:v>
      </x:c>
    </x:row>
    <x:row r="217">
      <x:c r="A217" s="19">
        <x:f>ROUND(COUNTA(A217:G217)/7*100,0)</x:f>
      </x:c>
      <x:c r="B217" s="18" t="str">
        <x:v>WP/28283/2024 of SMT MONIKA B D Vs THE MANAGING DIRECTOR KPTCL</x:v>
      </x:c>
      <x:c r="C217" s="18" t="str">
        <x:v>2026-09-01</x:v>
      </x:c>
      <x:c r="D217" s="18" t="str">
        <x:v>High Court of Karnataka</x:v>
      </x:c>
      <x:c r="E217" s="18" t="str">
        <x:v>ASHOK S.KINAGI</x:v>
      </x:c>
      <x:c r="F217" s="18" t="str">
        <x:v>DISMISSED</x:v>
      </x:c>
      <x:c r="G217" s="20" t="str">
        <x:v>https://indian-high-court-judgments.s3.ap-south-1.amazonaws.com/data/pdf/year=2026/court=29_3/bench=karnataka_bng_old/KAHC010590882024_1_2026-09-01.pdf</x:v>
      </x:c>
    </x:row>
    <x:row r="218">
      <x:c r="A218" s="19">
        <x:f>ROUND(COUNTA(A218:G218)/7*100,0)</x:f>
      </x:c>
      <x:c r="B218" s="18" t="str">
        <x:v>WP/31464/2025 of H D MANJUNATH Vs MADHUMATHI</x:v>
      </x:c>
      <x:c r="C218" s="18" t="str">
        <x:v>2026-08-29</x:v>
      </x:c>
      <x:c r="D218" s="18" t="str">
        <x:v>High Court of Karnataka</x:v>
      </x:c>
      <x:c r="E218" s="18" t="str">
        <x:v>JAYANT BANERJI</x:v>
      </x:c>
      <x:c r="F218" s="18" t="str">
        <x:v>DISMISSED</x:v>
      </x:c>
      <x:c r="G218" s="20" t="str">
        <x:v>https://indian-high-court-judgments.s3.ap-south-1.amazonaws.com/data/pdf/year=2026/court=29_3/bench=karnataka_bng_old/KAHC010674092025_1_2026-08-29.pdf</x:v>
      </x:c>
    </x:row>
    <x:row r="219">
      <x:c r="A219" s="19">
        <x:f>ROUND(COUNTA(A219:G219)/7*100,0)</x:f>
      </x:c>
      <x:c r="B219" s="18" t="str">
        <x:v>CRL.P/11025/2026 of KIRAN @ MANOJ KIRAN Vs STATE OF KARNATAKA</x:v>
      </x:c>
      <x:c r="C219" s="18" t="str">
        <x:v>2026-09-01</x:v>
      </x:c>
      <x:c r="D219" s="18" t="str">
        <x:v>High Court of Karnataka</x:v>
      </x:c>
      <x:c r="E219" s="18" t="str">
        <x:v>S VISHWAJITH SHETTY</x:v>
      </x:c>
      <x:c r="F219" s="18" t="str">
        <x:v>DISMISSED</x:v>
      </x:c>
      <x:c r="G219" s="20" t="str">
        <x:v>https://indian-high-court-judgments.s3.ap-south-1.amazonaws.com/data/pdf/year=2026/court=29_3/bench=karnataka_bng_old/KAHC010506172026_1_2026-09-01.pdf</x:v>
      </x:c>
    </x:row>
    <x:row r="220">
      <x:c r="A220" s="19">
        <x:f>ROUND(COUNTA(A220:G220)/7*100,0)</x:f>
      </x:c>
      <x:c r="B220" s="18" t="str">
        <x:v>WA/391/2025 of SMT. PUTTARAJAMMA Vs THE STATE OF KARNATAKA</x:v>
      </x:c>
      <x:c r="C220" s="18" t="str">
        <x:v>2026-08-29</x:v>
      </x:c>
      <x:c r="D220" s="18" t="str">
        <x:v>High Court of Karnataka</x:v>
      </x:c>
      <x:c r="E220" s="18" t="str">
        <x:v>D K SINGH,H.SHANTHI BHUSHAN</x:v>
      </x:c>
      <x:c r="F220" s="18" t="str">
        <x:v>ALLOWED</x:v>
      </x:c>
      <x:c r="G220" s="20" t="str">
        <x:v>https://indian-high-court-judgments.s3.ap-south-1.amazonaws.com/data/pdf/year=2026/court=29_3/bench=karnataka_bng_old/KAHC010173392025_1_2026-08-29.pdf</x:v>
      </x:c>
    </x:row>
    <x:row r="221">
      <x:c r="A221" s="19">
        <x:f>ROUND(COUNTA(A221:G221)/7*100,0)</x:f>
      </x:c>
      <x:c r="B221" s="18" t="str">
        <x:v>WP/12446/2026 of SHRI JAYARAMU Vs STATE OF KARNATAKA</x:v>
      </x:c>
      <x:c r="C221" s="18" t="str">
        <x:v>2026-08-27</x:v>
      </x:c>
      <x:c r="D221" s="18" t="str">
        <x:v>High Court of Karnataka</x:v>
      </x:c>
      <x:c r="E221" s="18" t="str">
        <x:v>SURAJ GOVINDARAJ</x:v>
      </x:c>
      <x:c r="F221" s="18" t="str">
        <x:v>DISMISSED</x:v>
      </x:c>
      <x:c r="G221" s="20" t="str">
        <x:v>https://indian-high-court-judgments.s3.ap-south-1.amazonaws.com/data/pdf/year=2026/court=29_3/bench=karnataka_bng_old/KAHC010270812026_1_2026-08-27.pdf</x:v>
      </x:c>
    </x:row>
    <x:row r="222">
      <x:c r="A222" s="19">
        <x:f>ROUND(COUNTA(A222:G222)/7*100,0)</x:f>
      </x:c>
      <x:c r="B222" s="18" t="str">
        <x:v>RPFC/69/2021 of SRI. RAMESH Vs SMT. SINDHU M</x:v>
      </x:c>
      <x:c r="C222" s="18" t="str">
        <x:v>2026-09-02</x:v>
      </x:c>
      <x:c r="D222" s="18" t="str">
        <x:v>High Court of Karnataka</x:v>
      </x:c>
      <x:c r="E222" s="18" t="str">
        <x:v>CHILLAKUR SUMALATHA</x:v>
      </x:c>
      <x:c r="F222" s="18" t="str">
        <x:v>DISMISSED</x:v>
      </x:c>
      <x:c r="G222" s="20" t="str">
        <x:v>https://indian-high-court-judgments.s3.ap-south-1.amazonaws.com/data/pdf/year=2026/court=29_3/bench=karnataka_bng_old/KAHC010278712021_1_2026-09-02.pdf</x:v>
      </x:c>
    </x:row>
    <x:row r="223">
      <x:c r="A223" s="19">
        <x:f>ROUND(COUNTA(A223:G223)/7*100,0)</x:f>
      </x:c>
      <x:c r="B223" s="18" t="str">
        <x:v>CRL.P/7341/2026 of SRI. LAKSHMINARAYANA C Vs STATE OF KARNATAKA</x:v>
      </x:c>
      <x:c r="C223" s="18" t="str">
        <x:v>2026-08-27</x:v>
      </x:c>
      <x:c r="D223" s="18" t="str">
        <x:v>High Court of Karnataka</x:v>
      </x:c>
      <x:c r="E223" s="18" t="str">
        <x:v>M.NAGAPRASANNA</x:v>
      </x:c>
      <x:c r="F223" s="18" t="str">
        <x:v>DISPOSED</x:v>
      </x:c>
      <x:c r="G223" s="20" t="str">
        <x:v>https://indian-high-court-judgments.s3.ap-south-1.amazonaws.com/data/pdf/year=2026/court=29_3/bench=karnataka_bng_old/KAHC010345882026_1_2026-08-27.pdf</x:v>
      </x:c>
    </x:row>
    <x:row r="224">
      <x:c r="A224" s="19">
        <x:f>ROUND(COUNTA(A224:G224)/7*100,0)</x:f>
      </x:c>
      <x:c r="B224" s="18" t="str">
        <x:v>WP/24517/2018 of SMT. R. N. CHANDRAMMA Vs PUNJAB NATIONAL BANK</x:v>
      </x:c>
      <x:c r="C224" s="18" t="str">
        <x:v>2026-08-31</x:v>
      </x:c>
      <x:c r="D224" s="18" t="str">
        <x:v>High Court of Karnataka</x:v>
      </x:c>
      <x:c r="E224" s="18" t="str">
        <x:v>D K SINGH,H.SHANTHI BHUSHAN</x:v>
      </x:c>
      <x:c r="F224" s="18" t="str">
        <x:v>Dismissed for Non-Prosecution</x:v>
      </x:c>
      <x:c r="G224" s="20" t="str">
        <x:v>https://indian-high-court-judgments.s3.ap-south-1.amazonaws.com/data/pdf/year=2026/court=29_3/bench=karnataka_bng_old/KAHC010073112018_1_2026-08-31.pdf</x:v>
      </x:c>
    </x:row>
    <x:row r="225">
      <x:c r="A225" s="19">
        <x:f>ROUND(COUNTA(A225:G225)/7*100,0)</x:f>
      </x:c>
      <x:c r="B225" s="18" t="str">
        <x:v>WA/1519/2014 of THE CHIEF EXECUTIVE OFFICER Vs STATE OF KARNATAKA</x:v>
      </x:c>
      <x:c r="C225" s="18" t="str">
        <x:v>2026-09-09</x:v>
      </x:c>
      <x:c r="D225" s="18" t="str">
        <x:v>High Court of Karnataka</x:v>
      </x:c>
      <x:c r="E225" s="18" t="str">
        <x:v>D K SINGH,H.SHANTHI BHUSHAN</x:v>
      </x:c>
      <x:c r="F225" s="18" t="str">
        <x:v>Partly Allowed</x:v>
      </x:c>
      <x:c r="G225" s="20" t="str">
        <x:v>https://indian-high-court-judgments.s3.ap-south-1.amazonaws.com/data/pdf/year=2026/court=29_3/bench=karnataka_bng_old/KAHC010014922014_1_2026-09-09.pdf</x:v>
      </x:c>
    </x:row>
    <x:row r="226">
      <x:c r="A226" s="19">
        <x:f>ROUND(COUNTA(A226:G226)/7*100,0)</x:f>
      </x:c>
      <x:c r="B226" s="18" t="str">
        <x:v>WA/1815/2026 of SRI. MATHEW THOMAS Vs CENTRAL INFORMATION COMMISSION</x:v>
      </x:c>
      <x:c r="C226" s="18" t="str">
        <x:v>2026-08-27</x:v>
      </x:c>
      <x:c r="D226" s="18" t="str">
        <x:v>High Court of Karnataka</x:v>
      </x:c>
      <x:c r="E226" s="18" t="str">
        <x:v>CHIEF JUSTICE,K.S. HEMALEKHA</x:v>
      </x:c>
      <x:c r="F226" s="18" t="str">
        <x:v>DISMISSED</x:v>
      </x:c>
      <x:c r="G226" s="20" t="str">
        <x:v>https://indian-high-court-judgments.s3.ap-south-1.amazonaws.com/data/pdf/year=2026/court=29_3/bench=karnataka_bng_old/KAHC010510132026_1_2026-08-27.pdf</x:v>
      </x:c>
    </x:row>
    <x:row r="227">
      <x:c r="A227" s="19">
        <x:f>ROUND(COUNTA(A227:G227)/7*100,0)</x:f>
      </x:c>
      <x:c r="B227" s="18" t="str">
        <x:v>CRL.P/2651/2022 of MR VINOD KAPUR Vs THE STATE OF KARNATAKA</x:v>
      </x:c>
      <x:c r="C227" s="18" t="str">
        <x:v>2026-08-27</x:v>
      </x:c>
      <x:c r="D227" s="18" t="str">
        <x:v>High Court of Karnataka</x:v>
      </x:c>
      <x:c r="E227" s="18" t="str">
        <x:v>RAVI V HOSMANI</x:v>
      </x:c>
      <x:c r="F227" s="18" t="str">
        <x:v>ALLOWED</x:v>
      </x:c>
      <x:c r="G227" s="20" t="str">
        <x:v>https://indian-high-court-judgments.s3.ap-south-1.amazonaws.com/data/pdf/year=2026/court=29_3/bench=karnataka_bng_old/KAHC010124662022_1_2026-08-27.pdf</x:v>
      </x:c>
    </x:row>
    <x:row r="228">
      <x:c r="A228" s="19">
        <x:f>ROUND(COUNTA(A228:G228)/7*100,0)</x:f>
      </x:c>
      <x:c r="B228" s="18" t="str">
        <x:v>WP/23864/2026 of FRANCIS DIXON CORREA Vs THE DEPUTY COMMISSIONER AND CHAIRMAN</x:v>
      </x:c>
      <x:c r="C228" s="18" t="str">
        <x:v>2026-08-27</x:v>
      </x:c>
      <x:c r="D228" s="18" t="str">
        <x:v>High Court of Karnataka</x:v>
      </x:c>
      <x:c r="E228" s="18" t="str">
        <x:v>SURAJ GOVINDARAJ</x:v>
      </x:c>
      <x:c r="F228" s="18" t="str">
        <x:v>DISPOSED</x:v>
      </x:c>
      <x:c r="G228" s="20" t="str">
        <x:v>https://indian-high-court-judgments.s3.ap-south-1.amazonaws.com/data/pdf/year=2026/court=29_3/bench=karnataka_bng_old/KAHC010520092026_1_2026-08-27.pdf</x:v>
      </x:c>
    </x:row>
    <x:row r="229">
      <x:c r="A229" s="19">
        <x:f>ROUND(COUNTA(A229:G229)/7*100,0)</x:f>
      </x:c>
      <x:c r="B229" s="18" t="str">
        <x:v>CRL.P/9328/2026 of SRI. NARAYANASWAMY Vs STATE OF KARNATAKA</x:v>
      </x:c>
      <x:c r="C229" s="18" t="str">
        <x:v>2026-09-03</x:v>
      </x:c>
      <x:c r="D229" s="18" t="str">
        <x:v>High Court of Karnataka</x:v>
      </x:c>
      <x:c r="E229" s="18" t="str">
        <x:v>S VISHWAJITH SHETTY</x:v>
      </x:c>
      <x:c r="F229" s="18" t="str">
        <x:v>ALLOWED</x:v>
      </x:c>
      <x:c r="G229" s="20" t="str">
        <x:v>https://indian-high-court-judgments.s3.ap-south-1.amazonaws.com/data/pdf/year=2026/court=29_3/bench=karnataka_bng_old/KAHC010439142026_1_2026-09-03.pdf</x:v>
      </x:c>
    </x:row>
    <x:row r="230">
      <x:c r="A230" s="19">
        <x:f>ROUND(COUNTA(A230:G230)/7*100,0)</x:f>
      </x:c>
      <x:c r="B230" s="18" t="str">
        <x:v>WP/19834/2021 of D VENKATESH Vs THE DEPUTY COMMISSIONER</x:v>
      </x:c>
      <x:c r="C230" s="18" t="str">
        <x:v>2026-09-03</x:v>
      </x:c>
      <x:c r="D230" s="18" t="str">
        <x:v>High Court of Karnataka</x:v>
      </x:c>
      <x:c r="E230" s="18" t="str">
        <x:v>E.S.INDIRESH</x:v>
      </x:c>
      <x:c r="F230" s="18" t="str">
        <x:v>DISMISSED</x:v>
      </x:c>
      <x:c r="G230" s="20" t="str">
        <x:v>https://indian-high-court-judgments.s3.ap-south-1.amazonaws.com/data/pdf/year=2026/court=29_3/bench=karnataka_bng_old/KAHC010406312021_1_2026-09-03.pdf</x:v>
      </x:c>
    </x:row>
    <x:row r="231">
      <x:c r="A231" s="19">
        <x:f>ROUND(COUNTA(A231:G231)/7*100,0)</x:f>
      </x:c>
      <x:c r="B231" s="18" t="str">
        <x:v>RFA/1663/2020 of SRI GOWTHAM CHAND Vs SMT. PUTTATHAYI</x:v>
      </x:c>
      <x:c r="C231" s="18" t="str">
        <x:v>2026-09-01</x:v>
      </x:c>
      <x:c r="D231" s="18" t="str">
        <x:v>High Court of Karnataka</x:v>
      </x:c>
      <x:c r="E231" s="18" t="str">
        <x:v>SHIVASHANKAR AMARANNAVAR</x:v>
      </x:c>
      <x:c r="F231" s="18" t="str">
        <x:v>DISPOSED</x:v>
      </x:c>
      <x:c r="G231" s="20" t="str">
        <x:v>https://indian-high-court-judgments.s3.ap-south-1.amazonaws.com/data/pdf/year=2026/court=29_3/bench=karnataka_bng_old/KAHC010330052020_1_2026-09-01.pdf</x:v>
      </x:c>
    </x:row>
    <x:row r="232">
      <x:c r="A232" s="19">
        <x:f>ROUND(COUNTA(A232:G232)/7*100,0)</x:f>
      </x:c>
      <x:c r="B232" s="18" t="str">
        <x:v>MFA/3321/2020 of SMT. N THIPPAMMA Vs SRI RAVIKUMAR</x:v>
      </x:c>
      <x:c r="C232" s="18" t="str">
        <x:v>2026-08-29</x:v>
      </x:c>
      <x:c r="D232" s="18" t="str">
        <x:v>High Court of Karnataka</x:v>
      </x:c>
      <x:c r="E232" s="18" t="str">
        <x:v>RAJESH RAI K</x:v>
      </x:c>
      <x:c r="F232" s="18" t="str">
        <x:v>DISMISSED</x:v>
      </x:c>
      <x:c r="G232" s="20" t="str">
        <x:v>https://indian-high-court-judgments.s3.ap-south-1.amazonaws.com/data/pdf/year=2026/court=29_3/bench=karnataka_bng_old/KAHC010211952020_1_2026-08-29.pdf</x:v>
      </x:c>
    </x:row>
    <x:row r="233">
      <x:c r="A233" s="19">
        <x:f>ROUND(COUNTA(A233:G233)/7*100,0)</x:f>
      </x:c>
      <x:c r="B233" s="18" t="str">
        <x:v>CRL.P/11324/2026 of ABOOBAKKAR SIDDIQ @ KARPIL SIDDIQ Vs THE STATE OF KARNATAKA,</x:v>
      </x:c>
      <x:c r="C233" s="18" t="str">
        <x:v>2026-08-29</x:v>
      </x:c>
      <x:c r="D233" s="18" t="str">
        <x:v>High Court of Karnataka</x:v>
      </x:c>
      <x:c r="E233" s="18" t="str">
        <x:v>M.NAGAPRASANNA</x:v>
      </x:c>
      <x:c r="F233" s="18" t="str">
        <x:v>ALLOWED</x:v>
      </x:c>
      <x:c r="G233" s="20" t="str">
        <x:v>https://indian-high-court-judgments.s3.ap-south-1.amazonaws.com/data/pdf/year=2026/court=29_3/bench=karnataka_bng_old/KAHC010515852026_1_2026-08-29.pdf</x:v>
      </x:c>
    </x:row>
    <x:row r="234">
      <x:c r="A234" s="19">
        <x:f>ROUND(COUNTA(A234:G234)/7*100,0)</x:f>
      </x:c>
      <x:c r="B234" s="18" t="str">
        <x:v>CRL.A/277/2024 of MR. AKTHAR HUSSAIN LASKAR @ MD. HUSSAIN Vs NATIONAL INVESTIGATION AGENCY</x:v>
      </x:c>
      <x:c r="C234" s="18" t="str">
        <x:v>2026-09-02</x:v>
      </x:c>
      <x:c r="D234" s="18" t="str">
        <x:v>High Court of Karnataka</x:v>
      </x:c>
      <x:c r="E234" s="18" t="str">
        <x:v>H.P.SANDESH,B.PRAMOD</x:v>
      </x:c>
      <x:c r="F234" s="18" t="str">
        <x:v>DISMISSED</x:v>
      </x:c>
      <x:c r="G234" s="20" t="str">
        <x:v>https://indian-high-court-judgments.s3.ap-south-1.amazonaws.com/data/pdf/year=2026/court=29_3/bench=karnataka_bng_old/KAHC010070232024_1_2026-09-02.pdf</x:v>
      </x:c>
    </x:row>
    <x:row r="235">
      <x:c r="A235" s="19">
        <x:f>ROUND(COUNTA(A235:G235)/7*100,0)</x:f>
      </x:c>
      <x:c r="B235" s="18" t="str">
        <x:v>CRL.P/4169/2019 of THE STATE OF KARNATAKA Vs MR VIJESH C T</x:v>
      </x:c>
      <x:c r="C235" s="18" t="str">
        <x:v>2026-08-31</x:v>
      </x:c>
      <x:c r="D235" s="18" t="str">
        <x:v>High Court of Karnataka</x:v>
      </x:c>
      <x:c r="E235" s="18" t="str">
        <x:v>RAVI V HOSMANI</x:v>
      </x:c>
      <x:c r="F235" s="18" t="str">
        <x:v>ALLOWED</x:v>
      </x:c>
      <x:c r="G235" s="20" t="str">
        <x:v>https://indian-high-court-judgments.s3.ap-south-1.amazonaws.com/data/pdf/year=2026/court=29_3/bench=karnataka_bng_old/KAHC010162422019_1_2026-08-31.pdf</x:v>
      </x:c>
    </x:row>
    <x:row r="236">
      <x:c r="A236" s="19">
        <x:f>ROUND(COUNTA(A236:G236)/7*100,0)</x:f>
      </x:c>
      <x:c r="B236" s="18" t="str">
        <x:v>CCC/854/2026 of SMT VASUNDARA DEVI C Vs M.K.VISHALAKSHI</x:v>
      </x:c>
      <x:c r="C236" s="18" t="str">
        <x:v>2026-08-31</x:v>
      </x:c>
      <x:c r="D236" s="18" t="str">
        <x:v>High Court of Karnataka</x:v>
      </x:c>
      <x:c r="E236" s="18" t="str">
        <x:v>JAYANT BANERJI,TARA VITASTA GANJU</x:v>
      </x:c>
      <x:c r="F236" s="18" t="str">
        <x:v>CONSIGNED</x:v>
      </x:c>
      <x:c r="G236" s="20" t="str">
        <x:v>https://indian-high-court-judgments.s3.ap-south-1.amazonaws.com/data/pdf/year=2026/court=29_3/bench=karnataka_bng_old/KAHC010480152026_1_2026-08-31.pdf</x:v>
      </x:c>
    </x:row>
    <x:row r="237">
      <x:c r="A237" s="19">
        <x:f>ROUND(COUNTA(A237:G237)/7*100,0)</x:f>
      </x:c>
      <x:c r="B237" s="18" t="str">
        <x:v>CRL.P/13497/2026 of MYLAPPA @ MYLANNA Vs STATE OF KARNATAKA BY</x:v>
      </x:c>
      <x:c r="C237" s="18" t="str">
        <x:v>2026-09-02</x:v>
      </x:c>
      <x:c r="D237" s="18" t="str">
        <x:v>High Court of Karnataka</x:v>
      </x:c>
      <x:c r="E237" s="18" t="str">
        <x:v>S VISHWAJITH SHETTY</x:v>
      </x:c>
      <x:c r="F237" s="18" t="str">
        <x:v>ALLOWED</x:v>
      </x:c>
      <x:c r="G237" s="20" t="str">
        <x:v>https://indian-high-court-judgments.s3.ap-south-1.amazonaws.com/data/pdf/year=2026/court=29_3/bench=karnataka_bng_old/KAHC010598712026_1_2026-09-02.pdf</x:v>
      </x:c>
    </x:row>
    <x:row r="238">
      <x:c r="A238" s="19">
        <x:f>ROUND(COUNTA(A238:G238)/7*100,0)</x:f>
      </x:c>
      <x:c r="B238" s="18" t="str">
        <x:v>MFA/5007/2025 of SRI N RAMAMURTHY Vs SRI S M VENKATAPPA</x:v>
      </x:c>
      <x:c r="C238" s="18" t="str">
        <x:v>2026-09-02</x:v>
      </x:c>
      <x:c r="D238" s="18" t="str">
        <x:v>High Court of Karnataka</x:v>
      </x:c>
      <x:c r="E238" s="18" t="str">
        <x:v>SHIVASHANKAR AMARANNAVAR</x:v>
      </x:c>
      <x:c r="F238" s="18" t="str">
        <x:v>Partly Allowed</x:v>
      </x:c>
      <x:c r="G238" s="20" t="str">
        <x:v>https://indian-high-court-judgments.s3.ap-south-1.amazonaws.com/data/pdf/year=2026/court=29_3/bench=karnataka_bng_old/KAHC010436162025_1_2026-09-02.pdf</x:v>
      </x:c>
    </x:row>
    <x:row r="239">
      <x:c r="A239" s="19">
        <x:f>ROUND(COUNTA(A239:G239)/7*100,0)</x:f>
      </x:c>
      <x:c r="B239" s="18" t="str">
        <x:v>CRL.P/13500/2026 of SRI. UVEZ @ AVEZ Vs STATE OF KARNATAKA</x:v>
      </x:c>
      <x:c r="C239" s="18" t="str">
        <x:v>2026-09-02</x:v>
      </x:c>
      <x:c r="D239" s="18" t="str">
        <x:v>High Court of Karnataka</x:v>
      </x:c>
      <x:c r="E239" s="18" t="str">
        <x:v>M.NAGAPRASANNA</x:v>
      </x:c>
      <x:c r="F239" s="18" t="str">
        <x:v>DISPOSED</x:v>
      </x:c>
      <x:c r="G239" s="20" t="str">
        <x:v>https://indian-high-court-judgments.s3.ap-south-1.amazonaws.com/data/pdf/year=2026/court=29_3/bench=karnataka_bng_old/KAHC010601312026_1_2026-09-02.pdf</x:v>
      </x:c>
    </x:row>
    <x:row r="240">
      <x:c r="A240" s="19">
        <x:f>ROUND(COUNTA(A240:G240)/7*100,0)</x:f>
      </x:c>
      <x:c r="B240" s="18" t="str">
        <x:v>CRL.P/12255/2026 of SRI NAGARAJ K.G, Vs THE STATE OF KARNATAKA</x:v>
      </x:c>
      <x:c r="C240" s="18" t="str">
        <x:v>2026-09-03</x:v>
      </x:c>
      <x:c r="D240" s="18" t="str">
        <x:v>High Court of Karnataka</x:v>
      </x:c>
      <x:c r="E240" s="18" t="str">
        <x:v>S VISHWAJITH SHETTY</x:v>
      </x:c>
      <x:c r="F240" s="18" t="str">
        <x:v>ALLOWED</x:v>
      </x:c>
      <x:c r="G240" s="20" t="str">
        <x:v>https://indian-high-court-judgments.s3.ap-south-1.amazonaws.com/data/pdf/year=2026/court=29_3/bench=karnataka_bng_old/KAHC010553222026_1_2026-09-03.pdf</x:v>
      </x:c>
    </x:row>
    <x:row r="241">
      <x:c r="A241" s="19">
        <x:f>ROUND(COUNTA(A241:G241)/7*100,0)</x:f>
      </x:c>
      <x:c r="B241" s="18" t="str">
        <x:v>WP/23840/2026 of M/S DROPLET OFFSHORE SERVICES PRIVATE LIMITED Vs ASSISTANT COMMISSIONER OF CENTRAL TAX</x:v>
      </x:c>
      <x:c r="C241" s="18" t="str">
        <x:v>2026-08-29</x:v>
      </x:c>
      <x:c r="D241" s="18" t="str">
        <x:v>High Court of Karnataka</x:v>
      </x:c>
      <x:c r="E241" s="18" t="str">
        <x:v>B M SHYAM PRASAD</x:v>
      </x:c>
      <x:c r="F241" s="18" t="str">
        <x:v>ALLOWED</x:v>
      </x:c>
      <x:c r="G241" s="20" t="str">
        <x:v>https://indian-high-court-judgments.s3.ap-south-1.amazonaws.com/data/pdf/year=2026/court=29_3/bench=karnataka_bng_old/KAHC010527872026_1_2026-08-29.pdf</x:v>
      </x:c>
    </x:row>
    <x:row r="242">
      <x:c r="A242" s="19">
        <x:f>ROUND(COUNTA(A242:G242)/7*100,0)</x:f>
      </x:c>
      <x:c r="B242" s="18" t="str">
        <x:v>WP/22443/2024 of PAPAMMA @ GEETHAMMA Vs THE DEPUTY COMMISSIONER</x:v>
      </x:c>
      <x:c r="C242" s="18" t="str">
        <x:v>2026-08-29</x:v>
      </x:c>
      <x:c r="D242" s="18" t="str">
        <x:v>High Court of Karnataka</x:v>
      </x:c>
      <x:c r="E242" s="18" t="str">
        <x:v>JYOTI M</x:v>
      </x:c>
      <x:c r="F242" s="18" t="str">
        <x:v>DISMISSED</x:v>
      </x:c>
      <x:c r="G242" s="20" t="str">
        <x:v>https://indian-high-court-judgments.s3.ap-south-1.amazonaws.com/data/pdf/year=2026/court=29_3/bench=karnataka_bng_old/KAHC010484042024_1_2026-08-29.pdf</x:v>
      </x:c>
    </x:row>
    <x:row r="243">
      <x:c r="A243" s="19">
        <x:f>ROUND(COUNTA(A243:G243)/7*100,0)</x:f>
      </x:c>
      <x:c r="B243" s="18" t="str">
        <x:v>WP/10348/2022 of SMT KENCHAMMA Vs SMT H R SAROJA</x:v>
      </x:c>
      <x:c r="C243" s="18" t="str">
        <x:v>2026-08-27</x:v>
      </x:c>
      <x:c r="D243" s="18" t="str">
        <x:v>High Court of Karnataka</x:v>
      </x:c>
      <x:c r="E243" s="18" t="str">
        <x:v>VIJAYKUMAR A. PATIL</x:v>
      </x:c>
      <x:c r="F243" s="18" t="str">
        <x:v>REJECTED</x:v>
      </x:c>
      <x:c r="G243" s="20" t="str">
        <x:v>https://indian-high-court-judgments.s3.ap-south-1.amazonaws.com/data/pdf/year=2026/court=29_3/bench=karnataka_bng_old/KAHC010218822022_1_2026-08-27.pdf</x:v>
      </x:c>
    </x:row>
    <x:row r="244">
      <x:c r="A244" s="19">
        <x:f>ROUND(COUNTA(A244:G244)/7*100,0)</x:f>
      </x:c>
      <x:c r="B244" s="18" t="str">
        <x:v>CRL.A/210/2019 of THE STATE OF KARNATAKA Vs VASANTHA @ DODDAIAH</x:v>
      </x:c>
      <x:c r="C244" s="18" t="str">
        <x:v>2026-08-27</x:v>
      </x:c>
      <x:c r="D244" s="18" t="str">
        <x:v>High Court of Karnataka</x:v>
      </x:c>
      <x:c r="E244" s="18" t="str">
        <x:v>H.P.SANDESH,B.PRAMOD</x:v>
      </x:c>
      <x:c r="F244" s="18" t="str">
        <x:v>DISMISSED</x:v>
      </x:c>
      <x:c r="G244" s="20" t="str">
        <x:v>https://indian-high-court-judgments.s3.ap-south-1.amazonaws.com/data/pdf/year=2026/court=29_3/bench=karnataka_bng_old/KAHC010036072019_1_2026-08-27.pdf</x:v>
      </x:c>
    </x:row>
    <x:row r="245">
      <x:c r="A245" s="19">
        <x:f>ROUND(COUNTA(A245:G245)/7*100,0)</x:f>
      </x:c>
      <x:c r="B245" s="18" t="str">
        <x:v>WP/6439/2022 of SRI MOHAMMED ASARUDDIN Vs MANGALORE CATHOLIC CO-OPERATIVE BANK LIMITED</x:v>
      </x:c>
      <x:c r="C245" s="18" t="str">
        <x:v>2026-09-01</x:v>
      </x:c>
      <x:c r="D245" s="18" t="str">
        <x:v>High Court of Karnataka</x:v>
      </x:c>
      <x:c r="E245" s="18" t="str">
        <x:v>JYOTI M</x:v>
      </x:c>
      <x:c r="F245" s="18" t="str">
        <x:v>DISMISSED</x:v>
      </x:c>
      <x:c r="G245" s="20" t="str">
        <x:v>https://indian-high-court-judgments.s3.ap-south-1.amazonaws.com/data/pdf/year=2026/court=29_3/bench=karnataka_bng_old/KAHC010134482022_1_2026-09-01.pdf</x:v>
      </x:c>
    </x:row>
    <x:row r="246">
      <x:c r="A246" s="19">
        <x:f>ROUND(COUNTA(A246:G246)/7*100,0)</x:f>
      </x:c>
      <x:c r="B246" s="18" t="str">
        <x:v>WP/14069/2022 of SMART OWNER SERVICES INDIA PRIVATE LIMITED Vs SILVER STREAM DEVELOPERS PRIVATE LIMITED</x:v>
      </x:c>
      <x:c r="C246" s="18" t="str">
        <x:v>2026-08-27</x:v>
      </x:c>
      <x:c r="D246" s="18" t="str">
        <x:v>High Court of Karnataka</x:v>
      </x:c>
      <x:c r="E246" s="18" t="str">
        <x:v>VIJAYKUMAR A. PATIL</x:v>
      </x:c>
      <x:c r="F246" s="18" t="str">
        <x:v>DISPOSED</x:v>
      </x:c>
      <x:c r="G246" s="20" t="str">
        <x:v>https://indian-high-court-judgments.s3.ap-south-1.amazonaws.com/data/pdf/year=2026/court=29_3/bench=karnataka_bng_old/KAHC010318212022_1_2026-08-27.pdf</x:v>
      </x:c>
    </x:row>
    <x:row r="247">
      <x:c r="A247" s="19">
        <x:f>ROUND(COUNTA(A247:G247)/7*100,0)</x:f>
      </x:c>
      <x:c r="B247" s="18" t="str">
        <x:v>CRL.P/11428/2026 of SHANTH KUMAR S Vs STATE OF KARNATAKA</x:v>
      </x:c>
      <x:c r="C247" s="18" t="str">
        <x:v>2026-08-27</x:v>
      </x:c>
      <x:c r="D247" s="18" t="str">
        <x:v>High Court of Karnataka</x:v>
      </x:c>
      <x:c r="E247" s="18" t="str">
        <x:v>S VISHWAJITH SHETTY</x:v>
      </x:c>
      <x:c r="F247" s="18" t="str">
        <x:v>DISMISSED</x:v>
      </x:c>
      <x:c r="G247" s="20" t="str">
        <x:v>https://indian-high-court-judgments.s3.ap-south-1.amazonaws.com/data/pdf/year=2026/court=29_3/bench=karnataka_bng_old/KAHC010522312026_1_2026-08-27.pdf</x:v>
      </x:c>
    </x:row>
    <x:row r="248">
      <x:c r="A248" s="19">
        <x:f>ROUND(COUNTA(A248:G248)/7*100,0)</x:f>
      </x:c>
      <x:c r="B248" s="18" t="str">
        <x:v>WP/17568/2024 of GURUBASAVVA CHIDANANDA VASTRAD Vs THE STATE OF KARNATAKA</x:v>
      </x:c>
      <x:c r="C248" s="18" t="str">
        <x:v>2026-09-03</x:v>
      </x:c>
      <x:c r="D248" s="18" t="str">
        <x:v>High Court of Karnataka</x:v>
      </x:c>
      <x:c r="E248" s="18" t="str">
        <x:v>CHIEF JUSTICE,K.S. HEMALEKHA</x:v>
      </x:c>
      <x:c r="F248" s="18" t="str">
        <x:v>DISMISSED</x:v>
      </x:c>
      <x:c r="G248" s="20" t="str">
        <x:v>https://indian-high-court-judgments.s3.ap-south-1.amazonaws.com/data/pdf/year=2026/court=29_3/bench=karnataka_bng_old/KAHC010363972024_1_2026-09-03.pdf</x:v>
      </x:c>
    </x:row>
    <x:row r="249">
      <x:c r="A249" s="19">
        <x:f>ROUND(COUNTA(A249:G249)/7*100,0)</x:f>
      </x:c>
      <x:c r="B249" s="18" t="str">
        <x:v>MFA/6068/2019 of VENKATESH Vs SHAK. SHAMIVULLA</x:v>
      </x:c>
      <x:c r="C249" s="18" t="str">
        <x:v>2026-08-27</x:v>
      </x:c>
      <x:c r="D249" s="18" t="str">
        <x:v>High Court of Karnataka</x:v>
      </x:c>
      <x:c r="E249" s="18" t="str">
        <x:v>JAYANT BANERJI,TARA VITASTA GANJU</x:v>
      </x:c>
      <x:c r="F249" s="18" t="str">
        <x:v>Dismissed for Non-Prosecution</x:v>
      </x:c>
      <x:c r="G249" s="20" t="str">
        <x:v>https://indian-high-court-judgments.s3.ap-south-1.amazonaws.com/data/pdf/year=2026/court=29_3/bench=karnataka_bng_old/KAHC010401932019_1_2026-08-27.pdf</x:v>
      </x:c>
    </x:row>
    <x:row r="250">
      <x:c r="A250" s="19">
        <x:f>ROUND(COUNTA(A250:G250)/7*100,0)</x:f>
      </x:c>
      <x:c r="B250" s="18" t="str">
        <x:v>WP/24625/2025 of M/S. AVVA DEVELOPERS Vs THE HOUSING AND URBAN DEVELOPMENT CORPORATION LTD., (HUDCO)</x:v>
      </x:c>
      <x:c r="C250" s="18" t="str">
        <x:v>2026-08-28</x:v>
      </x:c>
      <x:c r="D250" s="18" t="str">
        <x:v>High Court of Karnataka</x:v>
      </x:c>
      <x:c r="E250" s="18" t="str">
        <x:v>JYOTI M</x:v>
      </x:c>
      <x:c r="F250" s="18" t="str">
        <x:v>Dismissed for Non-Prosecution</x:v>
      </x:c>
      <x:c r="G250" s="20" t="str">
        <x:v>https://indian-high-court-judgments.s3.ap-south-1.amazonaws.com/data/pdf/year=2026/court=29_3/bench=karnataka_bng_old/KAHC010535162025_1_2026-08-28.pdf</x:v>
      </x:c>
    </x:row>
    <x:row r="251">
      <x:c r="A251" s="19">
        <x:f>ROUND(COUNTA(A251:G251)/7*100,0)</x:f>
      </x:c>
      <x:c r="B251" s="18" t="str">
        <x:v>WP/13612/2021 of THE MANAGEMENT OF M/S BUILDMET FIBRES PVT LTD Vs MR YELLAPPA</x:v>
      </x:c>
      <x:c r="C251" s="18" t="str">
        <x:v>2026-09-01</x:v>
      </x:c>
      <x:c r="D251" s="18" t="str">
        <x:v>High Court of Karnataka</x:v>
      </x:c>
      <x:c r="E251" s="18" t="str">
        <x:v>JYOTI M</x:v>
      </x:c>
      <x:c r="F251" s="18" t="str">
        <x:v>ALLOWED</x:v>
      </x:c>
      <x:c r="G251" s="20" t="str">
        <x:v>https://indian-high-court-judgments.s3.ap-south-1.amazonaws.com/data/pdf/year=2026/court=29_3/bench=karnataka_bng_old/KAHC010260202021_1_2026-09-01.pdf</x:v>
      </x:c>
    </x:row>
    <x:row r="252">
      <x:c r="A252" s="19">
        <x:f>ROUND(COUNTA(A252:G252)/7*100,0)</x:f>
      </x:c>
      <x:c r="B252" s="18" t="str">
        <x:v>WP/16838/2026 of S K PRABHU Vs THE STATE OF KARNATAKA</x:v>
      </x:c>
      <x:c r="C252" s="18" t="str">
        <x:v>2026-08-27</x:v>
      </x:c>
      <x:c r="D252" s="18" t="str">
        <x:v>High Court of Karnataka</x:v>
      </x:c>
      <x:c r="E252" s="18" t="str">
        <x:v>CHIEF JUSTICE,K.S. HEMALEKHA</x:v>
      </x:c>
      <x:c r="F252" s="18" t="str">
        <x:v>DISPOSED</x:v>
      </x:c>
      <x:c r="G252" s="20" t="str">
        <x:v>https://indian-high-court-judgments.s3.ap-south-1.amazonaws.com/data/pdf/year=2026/court=29_3/bench=karnataka_bng_old/KAHC010373722026_1_2026-08-27.pdf</x:v>
      </x:c>
    </x:row>
    <x:row r="253">
      <x:c r="A253" s="19">
        <x:f>ROUND(COUNTA(A253:G253)/7*100,0)</x:f>
      </x:c>
      <x:c r="B253" s="18" t="str">
        <x:v>CRL.A/1259/2019 of THE STATE OF KARNATAKA Vs SANTHOSH @ PRASHANTH</x:v>
      </x:c>
      <x:c r="C253" s="18" t="str">
        <x:v>2026-08-28</x:v>
      </x:c>
      <x:c r="D253" s="18" t="str">
        <x:v>High Court of Karnataka</x:v>
      </x:c>
      <x:c r="E253" s="18" t="str">
        <x:v>H.P.SANDESH,B.PRAMOD</x:v>
      </x:c>
      <x:c r="F253" s="18" t="str">
        <x:v>DISMISSED</x:v>
      </x:c>
      <x:c r="G253" s="20" t="str">
        <x:v>https://indian-high-court-judgments.s3.ap-south-1.amazonaws.com/data/pdf/year=2026/court=29_3/bench=karnataka_bng_old/KAHC010190252019_1_2026-08-28.pdf</x:v>
      </x:c>
    </x:row>
    <x:row r="254">
      <x:c r="A254" s="19">
        <x:f>ROUND(COUNTA(A254:G254)/7*100,0)</x:f>
      </x:c>
      <x:c r="B254" s="18" t="str">
        <x:v>CRL.P/11712/2026 of SRI LOKESH ARADHYA B V Vs STATE OF KARNATAKA</x:v>
      </x:c>
      <x:c r="C254" s="18" t="str">
        <x:v>2026-08-28</x:v>
      </x:c>
      <x:c r="D254" s="18" t="str">
        <x:v>High Court of Karnataka</x:v>
      </x:c>
      <x:c r="E254" s="18" t="str">
        <x:v>S VISHWAJITH SHETTY</x:v>
      </x:c>
      <x:c r="F254" s="18" t="str">
        <x:v>DISMISSED</x:v>
      </x:c>
      <x:c r="G254" s="20" t="str">
        <x:v>https://indian-high-court-judgments.s3.ap-south-1.amazonaws.com/data/pdf/year=2026/court=29_3/bench=karnataka_bng_old/KAHC010532602026_1_2026-08-28.pdf</x:v>
      </x:c>
    </x:row>
    <x:row r="255">
      <x:c r="A255" s="19">
        <x:f>ROUND(COUNTA(A255:G255)/7*100,0)</x:f>
      </x:c>
      <x:c r="B255" s="18" t="str">
        <x:v>WP/3489/2023 of SMT SAVITRAMMA Vs SRI YOGEESH</x:v>
      </x:c>
      <x:c r="C255" s="18" t="str">
        <x:v>2026-08-31</x:v>
      </x:c>
      <x:c r="D255" s="18" t="str">
        <x:v>High Court of Karnataka</x:v>
      </x:c>
      <x:c r="E255" s="18" t="str">
        <x:v>VIJAYKUMAR A. PATIL</x:v>
      </x:c>
      <x:c r="F255" s="18" t="str">
        <x:v>REJECTED</x:v>
      </x:c>
      <x:c r="G255" s="20" t="str">
        <x:v>https://indian-high-court-judgments.s3.ap-south-1.amazonaws.com/data/pdf/year=2026/court=29_3/bench=karnataka_bng_old/KAHC010079602023_1_2026-08-31.pdf</x:v>
      </x:c>
    </x:row>
    <x:row r="256">
      <x:c r="A256" s="19">
        <x:f>ROUND(COUNTA(A256:G256)/7*100,0)</x:f>
      </x:c>
      <x:c r="B256" s="18" t="str">
        <x:v>MFA/4648/2021 of MOHAMMED SADIQ Vs WASEEM SHOHAB</x:v>
      </x:c>
      <x:c r="C256" s="18" t="str">
        <x:v>2026-09-02</x:v>
      </x:c>
      <x:c r="D256" s="18" t="str">
        <x:v>High Court of Karnataka</x:v>
      </x:c>
      <x:c r="E256" s="18" t="str">
        <x:v>RAJESH RAI K</x:v>
      </x:c>
      <x:c r="F256" s="18" t="str">
        <x:v>Partly Allowed</x:v>
      </x:c>
      <x:c r="G256" s="20" t="str">
        <x:v>https://indian-high-court-judgments.s3.ap-south-1.amazonaws.com/data/pdf/year=2026/court=29_3/bench=karnataka_bng_old/KAHC010348962021_1_2026-09-02.pdf</x:v>
      </x:c>
    </x:row>
    <x:row r="257">
      <x:c r="A257" s="19">
        <x:f>ROUND(COUNTA(A257:G257)/7*100,0)</x:f>
      </x:c>
      <x:c r="B257" s="18" t="str">
        <x:v>WP/10887/2020 of SRI C K MASOOD AHMED Vs ABDUL SATTAR SAB</x:v>
      </x:c>
      <x:c r="C257" s="18" t="str">
        <x:v>2026-08-27</x:v>
      </x:c>
      <x:c r="D257" s="18" t="str">
        <x:v>High Court of Karnataka</x:v>
      </x:c>
      <x:c r="E257" s="18" t="str">
        <x:v>VIJAYKUMAR A. PATIL</x:v>
      </x:c>
      <x:c r="F257" s="18" t="str">
        <x:v>REJECTED</x:v>
      </x:c>
      <x:c r="G257" s="20" t="str">
        <x:v>https://indian-high-court-judgments.s3.ap-south-1.amazonaws.com/data/pdf/year=2026/court=29_3/bench=karnataka_bng_old/KAHC010215902020_1_2026-08-27.pdf</x:v>
      </x:c>
    </x:row>
    <x:row r="258">
      <x:c r="A258" s="19">
        <x:f>ROUND(COUNTA(A258:G258)/7*100,0)</x:f>
      </x:c>
      <x:c r="B258" s="18" t="str">
        <x:v>WP/26370/2026 of SMT. RESHMA TAJ @RESHMA BHANU, Vs SRI. H.R. RAHMATH ULLA,</x:v>
      </x:c>
      <x:c r="C258" s="18" t="str">
        <x:v>2026-08-27</x:v>
      </x:c>
      <x:c r="D258" s="18" t="str">
        <x:v>High Court of Karnataka</x:v>
      </x:c>
      <x:c r="E258" s="18" t="str">
        <x:v>VIJAYKUMAR A. PATIL</x:v>
      </x:c>
      <x:c r="F258" s="18" t="str">
        <x:v>DISMISSED</x:v>
      </x:c>
      <x:c r="G258" s="20" t="str">
        <x:v>https://indian-high-court-judgments.s3.ap-south-1.amazonaws.com/data/pdf/year=2026/court=29_3/bench=karnataka_bng_old/KAHC010578452026_1_2026-08-27.pdf</x:v>
      </x:c>
    </x:row>
    <x:row r="259">
      <x:c r="A259" s="19">
        <x:f>ROUND(COUNTA(A259:G259)/7*100,0)</x:f>
      </x:c>
      <x:c r="B259" s="18" t="str">
        <x:v>WP/2047/2023 of SMT. NAGARATHNAMMA Vs BRAHMALINGESHWARA TEMPLE</x:v>
      </x:c>
      <x:c r="C259" s="18" t="str">
        <x:v>2026-08-29</x:v>
      </x:c>
      <x:c r="D259" s="18" t="str">
        <x:v>High Court of Karnataka</x:v>
      </x:c>
      <x:c r="E259" s="18" t="str">
        <x:v>VIJAYKUMAR A. PATIL</x:v>
      </x:c>
      <x:c r="F259" s="18" t="str">
        <x:v>DISMISSED</x:v>
      </x:c>
      <x:c r="G259" s="20" t="str">
        <x:v>https://indian-high-court-judgments.s3.ap-south-1.amazonaws.com/data/pdf/year=2026/court=29_3/bench=karnataka_bng_old/KAHC010048062023_1_2026-08-29.pdf</x:v>
      </x:c>
    </x:row>
    <x:row r="260">
      <x:c r="A260" s="19">
        <x:f>ROUND(COUNTA(A260:G260)/7*100,0)</x:f>
      </x:c>
      <x:c r="B260" s="18" t="str">
        <x:v>CRL.P/10610/2026 of SMT SNEHA @ NEHA Vs STATE OF KARNATAKA</x:v>
      </x:c>
      <x:c r="C260" s="18" t="str">
        <x:v>2026-08-31</x:v>
      </x:c>
      <x:c r="D260" s="18" t="str">
        <x:v>High Court of Karnataka</x:v>
      </x:c>
      <x:c r="E260" s="18" t="str">
        <x:v>S VISHWAJITH SHETTY</x:v>
      </x:c>
      <x:c r="F260" s="18" t="str">
        <x:v>ALLOWED</x:v>
      </x:c>
      <x:c r="G260" s="20" t="str">
        <x:v>https://indian-high-court-judgments.s3.ap-south-1.amazonaws.com/data/pdf/year=2026/court=29_3/bench=karnataka_bng_old/KAHC010489602026_1_2026-08-31.pdf</x:v>
      </x:c>
    </x:row>
    <x:row r="261">
      <x:c r="A261" s="19">
        <x:f>ROUND(COUNTA(A261:G261)/7*100,0)</x:f>
      </x:c>
      <x:c r="B261" s="18" t="str">
        <x:v>CRL.P/9290/2026 of ANGOTHU SHANKAR Vs THE STATE OF KARNATAKA</x:v>
      </x:c>
      <x:c r="C261" s="18" t="str">
        <x:v>2026-09-02</x:v>
      </x:c>
      <x:c r="D261" s="18" t="str">
        <x:v>High Court of Karnataka</x:v>
      </x:c>
      <x:c r="E261" s="18" t="str">
        <x:v>S VISHWAJITH SHETTY</x:v>
      </x:c>
      <x:c r="F261" s="18" t="str">
        <x:v>DISMISSED</x:v>
      </x:c>
      <x:c r="G261" s="20" t="str">
        <x:v>https://indian-high-court-judgments.s3.ap-south-1.amazonaws.com/data/pdf/year=2026/court=29_3/bench=karnataka_bng_old/KAHC010438592026_1_2026-09-02.pdf</x:v>
      </x:c>
    </x:row>
    <x:row r="262">
      <x:c r="A262" s="19">
        <x:f>ROUND(COUNTA(A262:G262)/7*100,0)</x:f>
      </x:c>
      <x:c r="B262" s="18" t="str">
        <x:v>WP/19907/2021 of D RAMAKRISHNA Vs THE DEPUTY COMMISSIONER</x:v>
      </x:c>
      <x:c r="C262" s="18" t="str">
        <x:v>2026-09-03</x:v>
      </x:c>
      <x:c r="D262" s="18" t="str">
        <x:v>High Court of Karnataka</x:v>
      </x:c>
      <x:c r="E262" s="18" t="str">
        <x:v>E.S.INDIRESH</x:v>
      </x:c>
      <x:c r="F262" s="18" t="str">
        <x:v>DISMISSED</x:v>
      </x:c>
      <x:c r="G262" s="20" t="str">
        <x:v>https://indian-high-court-judgments.s3.ap-south-1.amazonaws.com/data/pdf/year=2026/court=29_3/bench=karnataka_bng_old/KAHC010409932021_1_2026-09-03.pdf</x:v>
      </x:c>
    </x:row>
    <x:row r="263">
      <x:c r="A263" s="19">
        <x:f>ROUND(COUNTA(A263:G263)/7*100,0)</x:f>
      </x:c>
      <x:c r="B263" s="18" t="str">
        <x:v>MFA/1705/2024 of SMT. CHAITRA C S Vs RAJESHA K C</x:v>
      </x:c>
      <x:c r="C263" s="18" t="str">
        <x:v>2026-08-27</x:v>
      </x:c>
      <x:c r="D263" s="18" t="str">
        <x:v>High Court of Karnataka</x:v>
      </x:c>
      <x:c r="E263" s="18" t="str">
        <x:v>T.M.NADAF</x:v>
      </x:c>
      <x:c r="F263" s="18" t="str">
        <x:v>Partly Allowed</x:v>
      </x:c>
      <x:c r="G263" s="20" t="str">
        <x:v>https://indian-high-court-judgments.s3.ap-south-1.amazonaws.com/data/pdf/year=2026/court=29_3/bench=karnataka_bng_old/KAHC010133382024_1_2026-08-27.pdf</x:v>
      </x:c>
    </x:row>
    <x:row r="264">
      <x:c r="A264" s="19">
        <x:f>ROUND(COUNTA(A264:G264)/7*100,0)</x:f>
      </x:c>
      <x:c r="B264" s="18" t="str">
        <x:v>WP/445/2026 of SMT VIDHYA Vs STATE OF KARNATAKA</x:v>
      </x:c>
      <x:c r="C264" s="18" t="str">
        <x:v>2026-08-31</x:v>
      </x:c>
      <x:c r="D264" s="18" t="str">
        <x:v>High Court of Karnataka</x:v>
      </x:c>
      <x:c r="E264" s="18" t="str">
        <x:v>E.S.INDIRESH</x:v>
      </x:c>
      <x:c r="F264" s="18" t="str">
        <x:v>DISPOSED</x:v>
      </x:c>
      <x:c r="G264" s="20" t="str">
        <x:v>https://indian-high-court-judgments.s3.ap-south-1.amazonaws.com/data/pdf/year=2026/court=29_3/bench=karnataka_bng_old/KAHC010010122026_1_2026-08-31.pdf</x:v>
      </x:c>
    </x:row>
    <x:row r="265">
      <x:c r="A265" s="19">
        <x:f>ROUND(COUNTA(A265:G265)/7*100,0)</x:f>
      </x:c>
      <x:c r="B265" s="18" t="str">
        <x:v>WP/14023/2026 of HARISH KUMAR R Vs STATE OF KARNATAKA BY</x:v>
      </x:c>
      <x:c r="C265" s="18" t="str">
        <x:v>2026-09-01</x:v>
      </x:c>
      <x:c r="D265" s="18" t="str">
        <x:v>High Court of Karnataka</x:v>
      </x:c>
      <x:c r="E265" s="18" t="str">
        <x:v>M.NAGAPRASANNA</x:v>
      </x:c>
      <x:c r="F265" s="18" t="str">
        <x:v>DISPOSED</x:v>
      </x:c>
      <x:c r="G265" s="20" t="str">
        <x:v>https://indian-high-court-judgments.s3.ap-south-1.amazonaws.com/data/pdf/year=2026/court=29_3/bench=karnataka_bng_old/KAHC010300982026_1_2026-09-01.pdf</x:v>
      </x:c>
    </x:row>
    <x:row r="266">
      <x:c r="A266" s="19">
        <x:f>ROUND(COUNTA(A266:G266)/7*100,0)</x:f>
      </x:c>
      <x:c r="B266" s="18" t="str">
        <x:v>WP/17557/2026 of N BALAKRISHNA NAIDU Vs THE STATE OF KARNATAKA</x:v>
      </x:c>
      <x:c r="C266" s="18" t="str">
        <x:v>2026-08-31</x:v>
      </x:c>
      <x:c r="D266" s="18" t="str">
        <x:v>High Court of Karnataka</x:v>
      </x:c>
      <x:c r="E266" s="18" t="str">
        <x:v>R. NATARAJ</x:v>
      </x:c>
      <x:c r="F266" s="18" t="str">
        <x:v>DISMISSED</x:v>
      </x:c>
      <x:c r="G266" s="20" t="str">
        <x:v>https://indian-high-court-judgments.s3.ap-south-1.amazonaws.com/data/pdf/year=2026/court=29_3/bench=karnataka_bng_old/KAHC010389702026_1_2026-08-31.pdf</x:v>
      </x:c>
    </x:row>
    <x:row r="267">
      <x:c r="A267" s="19">
        <x:f>ROUND(COUNTA(A267:G267)/7*100,0)</x:f>
      </x:c>
      <x:c r="B267" s="18" t="str">
        <x:v>WP/20340/2026 of SRI. NIRANJANA C S Vs STATE OF KARNATAKA</x:v>
      </x:c>
      <x:c r="C267" s="18" t="str">
        <x:v>2026-08-31</x:v>
      </x:c>
      <x:c r="D267" s="18" t="str">
        <x:v>High Court of Karnataka</x:v>
      </x:c>
      <x:c r="E267" s="18" t="str">
        <x:v>ASHOK S.KINAGI</x:v>
      </x:c>
      <x:c r="F267" s="18" t="str">
        <x:v>DISPOSED</x:v>
      </x:c>
      <x:c r="G267" s="20" t="str">
        <x:v>https://indian-high-court-judgments.s3.ap-south-1.amazonaws.com/data/pdf/year=2026/court=29_3/bench=karnataka_bng_old/KAHC010451672026_1_2026-08-31.pdf</x:v>
      </x:c>
    </x:row>
    <x:row r="268">
      <x:c r="A268" s="19">
        <x:f>ROUND(COUNTA(A268:G268)/7*100,0)</x:f>
      </x:c>
      <x:c r="B268" s="18" t="str">
        <x:v>RFA/1567/2015 of MRS MARIYA SOANS Vs MRS AMY R VASANTH</x:v>
      </x:c>
      <x:c r="C268" s="18" t="str">
        <x:v>2026-09-03</x:v>
      </x:c>
      <x:c r="D268" s="18" t="str">
        <x:v>High Court of Karnataka</x:v>
      </x:c>
      <x:c r="E268" s="18" t="str">
        <x:v>VIJAYKUMAR A. PATIL</x:v>
      </x:c>
      <x:c r="F268" s="18" t="str">
        <x:v>DISPOSED</x:v>
      </x:c>
      <x:c r="G268" s="20" t="str">
        <x:v>https://indian-high-court-judgments.s3.ap-south-1.amazonaws.com/data/pdf/year=2026/court=29_3/bench=karnataka_bng_old/KAHC010515192015_1_2026-09-03.pdf</x:v>
      </x:c>
    </x:row>
    <x:row r="269">
      <x:c r="A269" s="19">
        <x:f>ROUND(COUNTA(A269:G269)/7*100,0)</x:f>
      </x:c>
      <x:c r="B269" s="18" t="str">
        <x:v>CRL.P/11946/2026 of MOHAMMAD HANEEF @ ALI MUNNA Vs THE STATE</x:v>
      </x:c>
      <x:c r="C269" s="18" t="str">
        <x:v>2026-08-31</x:v>
      </x:c>
      <x:c r="D269" s="18" t="str">
        <x:v>High Court of Karnataka</x:v>
      </x:c>
      <x:c r="E269" s="18" t="str">
        <x:v>S VISHWAJITH SHETTY</x:v>
      </x:c>
      <x:c r="F269" s="18" t="str">
        <x:v>ALLOWED</x:v>
      </x:c>
      <x:c r="G269" s="20" t="str">
        <x:v>https://indian-high-court-judgments.s3.ap-south-1.amazonaws.com/data/pdf/year=2026/court=29_3/bench=karnataka_bng_old/KAHC010545212026_1_2026-08-31.pdf</x:v>
      </x:c>
    </x:row>
    <x:row r="270">
      <x:c r="A270" s="19">
        <x:f>ROUND(COUNTA(A270:G270)/7*100,0)</x:f>
      </x:c>
      <x:c r="B270" s="18" t="str">
        <x:v>MFA/8914/2025 of SRI GOPAL Vs THE MANAGING DIRECTOR</x:v>
      </x:c>
      <x:c r="C270" s="18" t="str">
        <x:v>2026-09-01</x:v>
      </x:c>
      <x:c r="D270" s="18" t="str">
        <x:v>High Court of Karnataka</x:v>
      </x:c>
      <x:c r="E270" s="18" t="str">
        <x:v>SHIVASHANKAR AMARANNAVAR</x:v>
      </x:c>
      <x:c r="F270" s="18" t="str">
        <x:v>Partly Allowed</x:v>
      </x:c>
      <x:c r="G270" s="20" t="str">
        <x:v>https://indian-high-court-judgments.s3.ap-south-1.amazonaws.com/data/pdf/year=2026/court=29_3/bench=karnataka_bng_old/KAHC010773162025_1_2026-09-01.pdf</x:v>
      </x:c>
    </x:row>
    <x:row r="271">
      <x:c r="A271" s="19">
        <x:f>ROUND(COUNTA(A271:G271)/7*100,0)</x:f>
      </x:c>
      <x:c r="B271" s="18" t="str">
        <x:v>MFA/4972/2026 of SRI. SUNDAR NAIK Vs SRI. PRASHANTH BELIRAYA</x:v>
      </x:c>
      <x:c r="C271" s="18" t="str">
        <x:v>2026-08-27</x:v>
      </x:c>
      <x:c r="D271" s="18" t="str">
        <x:v>High Court of Karnataka</x:v>
      </x:c>
      <x:c r="E271" s="18" t="str">
        <x:v>SHIVASHANKAR AMARANNAVAR</x:v>
      </x:c>
      <x:c r="F271" s="18" t="str">
        <x:v>Partly Allowed</x:v>
      </x:c>
      <x:c r="G271" s="20" t="str">
        <x:v>https://indian-high-court-judgments.s3.ap-south-1.amazonaws.com/data/pdf/year=2026/court=29_3/bench=karnataka_bng_old/KAHC010450662026_1_2026-08-27.pdf</x:v>
      </x:c>
    </x:row>
    <x:row r="272">
      <x:c r="A272" s="19">
        <x:f>ROUND(COUNTA(A272:G272)/7*100,0)</x:f>
      </x:c>
      <x:c r="B272" s="18" t="str">
        <x:v>MFA/509/2022 of MARIGOWDA Vs SRINIVAS M S</x:v>
      </x:c>
      <x:c r="C272" s="18" t="str">
        <x:v>2026-08-27</x:v>
      </x:c>
      <x:c r="D272" s="18" t="str">
        <x:v>High Court of Karnataka</x:v>
      </x:c>
      <x:c r="E272" s="18" t="str">
        <x:v>RAJESH RAI K</x:v>
      </x:c>
      <x:c r="F272" s="18" t="str">
        <x:v>Partly Allowed</x:v>
      </x:c>
      <x:c r="G272" s="20" t="str">
        <x:v>https://indian-high-court-judgments.s3.ap-south-1.amazonaws.com/data/pdf/year=2026/court=29_3/bench=karnataka_bng_old/KAHC010026262022_1_2026-08-27.pdf</x:v>
      </x:c>
    </x:row>
    <x:row r="273">
      <x:c r="A273" s="19">
        <x:f>ROUND(COUNTA(A273:G273)/7*100,0)</x:f>
      </x:c>
      <x:c r="B273" s="18" t="str">
        <x:v>WP/680/2017 of SRI VENKATASWAMY Vs SMT RATHNAMMA</x:v>
      </x:c>
      <x:c r="C273" s="18" t="str">
        <x:v>2026-09-09</x:v>
      </x:c>
      <x:c r="D273" s="18" t="str">
        <x:v>High Court of Karnataka</x:v>
      </x:c>
      <x:c r="E273" s="18" t="str">
        <x:v>SACHIN SHANKAR MAGADUM</x:v>
      </x:c>
      <x:c r="F273" s="18" t="str">
        <x:v>ALLOWED</x:v>
      </x:c>
      <x:c r="G273" s="20" t="str">
        <x:v>https://indian-high-court-judgments.s3.ap-south-1.amazonaws.com/data/pdf/year=2026/court=29_3/bench=karnataka_bng_old/KAHC010179202017_1_2019-11-29.pdf</x:v>
      </x:c>
    </x:row>
    <x:row r="274">
      <x:c r="A274" s="19">
        <x:f>ROUND(COUNTA(A274:G274)/7*100,0)</x:f>
      </x:c>
      <x:c r="B274" s="18" t="str">
        <x:v>MFA/3392/2020 of SMT. MAMATHA Vs MR. H.M. SATHISHA</x:v>
      </x:c>
      <x:c r="C274" s="18" t="str">
        <x:v>2026-08-28</x:v>
      </x:c>
      <x:c r="D274" s="18" t="str">
        <x:v>High Court of Karnataka</x:v>
      </x:c>
      <x:c r="E274" s="18" t="str">
        <x:v>RAJESH RAI K</x:v>
      </x:c>
      <x:c r="F274" s="18" t="str">
        <x:v>Partly Allowed</x:v>
      </x:c>
      <x:c r="G274" s="20" t="str">
        <x:v>https://indian-high-court-judgments.s3.ap-south-1.amazonaws.com/data/pdf/year=2026/court=29_3/bench=karnataka_bng_old/KAHC010125042020_1_2026-08-28.pdf</x:v>
      </x:c>
    </x:row>
    <x:row r="275">
      <x:c r="A275" s="19">
        <x:f>ROUND(COUNTA(A275:G275)/7*100,0)</x:f>
      </x:c>
      <x:c r="B275" s="18" t="str">
        <x:v>WA/603/2026 of THE SECRETARY Vs STATE OF KARNATAKA</x:v>
      </x:c>
      <x:c r="C275" s="18" t="str">
        <x:v>2026-08-27</x:v>
      </x:c>
      <x:c r="D275" s="18" t="str">
        <x:v>High Court of Karnataka</x:v>
      </x:c>
      <x:c r="E275" s="18" t="str">
        <x:v>ANU SIVARAMAN,T.P.VIVEKANANDA</x:v>
      </x:c>
      <x:c r="F275" s="18" t="str">
        <x:v>DISMISSED</x:v>
      </x:c>
      <x:c r="G275" s="20" t="str">
        <x:v>https://indian-high-court-judgments.s3.ap-south-1.amazonaws.com/data/pdf/year=2026/court=29_3/bench=karnataka_bng_old/KAHC010131562026_1_2026-08-27.pdf</x:v>
      </x:c>
    </x:row>
    <x:row r="276">
      <x:c r="A276" s="19">
        <x:f>ROUND(COUNTA(A276:G276)/7*100,0)</x:f>
      </x:c>
      <x:c r="B276" s="18" t="str">
        <x:v>RSA/237/2022 of MRS TAHIRA Vs MRS. NABISA</x:v>
      </x:c>
      <x:c r="C276" s="18" t="str">
        <x:v>2026-08-28</x:v>
      </x:c>
      <x:c r="D276" s="18" t="str">
        <x:v>High Court of Karnataka</x:v>
      </x:c>
      <x:c r="E276" s="18" t="str">
        <x:v>V SRISHANANDA</x:v>
      </x:c>
      <x:c r="F276" s="18" t="str">
        <x:v>DISPOSED</x:v>
      </x:c>
      <x:c r="G276" s="20" t="str">
        <x:v>https://indian-high-court-judgments.s3.ap-south-1.amazonaws.com/data/pdf/year=2026/court=29_3/bench=karnataka_bng_old/KAHC010058702022_1_2026-08-28.pdf</x:v>
      </x:c>
    </x:row>
    <x:row r="277">
      <x:c r="A277" s="19">
        <x:f>ROUND(COUNTA(A277:G277)/7*100,0)</x:f>
      </x:c>
      <x:c r="B277" s="18" t="str">
        <x:v>WP/4983/2025 of M/S ARUN SHELTERS PVT LTD Vs MRS.SAHIRA BANU</x:v>
      </x:c>
      <x:c r="C277" s="18" t="str">
        <x:v>2026-09-01</x:v>
      </x:c>
      <x:c r="D277" s="18" t="str">
        <x:v>High Court of Karnataka</x:v>
      </x:c>
      <x:c r="E277" s="18" t="str">
        <x:v>D K SINGH,H.SHANTHI BHUSHAN</x:v>
      </x:c>
      <x:c r="F277" s="18" t="str">
        <x:v>DISMISSED</x:v>
      </x:c>
      <x:c r="G277" s="20" t="str">
        <x:v>https://indian-high-court-judgments.s3.ap-south-1.amazonaws.com/data/pdf/year=2026/court=29_3/bench=karnataka_bng_old/KAHC010112872025_1_2026-09-01.pdf</x:v>
      </x:c>
    </x:row>
    <x:row r="278">
      <x:c r="A278" s="19">
        <x:f>ROUND(COUNTA(A278:G278)/7*100,0)</x:f>
      </x:c>
      <x:c r="B278" s="18" t="str">
        <x:v>RSA/2174/2017 of SRI. N. MAHADEVA Vs SRI. T. MAHADEVA</x:v>
      </x:c>
      <x:c r="C278" s="18" t="str">
        <x:v>2026-09-01</x:v>
      </x:c>
      <x:c r="D278" s="18" t="str">
        <x:v>High Court of Karnataka</x:v>
      </x:c>
      <x:c r="E278" s="18" t="str">
        <x:v>V SRISHANANDA</x:v>
      </x:c>
      <x:c r="F278" s="18" t="str">
        <x:v>DISMISSED</x:v>
      </x:c>
      <x:c r="G278" s="20" t="str">
        <x:v>https://indian-high-court-judgments.s3.ap-south-1.amazonaws.com/data/pdf/year=2026/court=29_3/bench=karnataka_bng_old/KAHC010439672017_1_2026-09-01.pdf</x:v>
      </x:c>
    </x:row>
    <x:row r="279">
      <x:c r="A279" s="19">
        <x:f>ROUND(COUNTA(A279:G279)/7*100,0)</x:f>
      </x:c>
      <x:c r="B279" s="18" t="str">
        <x:v>WP/5350/2026 of SRI PARAMESH Vs STATE OF KARNATAKA</x:v>
      </x:c>
      <x:c r="C279" s="18" t="str">
        <x:v>2026-09-01</x:v>
      </x:c>
      <x:c r="D279" s="18" t="str">
        <x:v>High Court of Karnataka</x:v>
      </x:c>
      <x:c r="E279" s="18" t="str">
        <x:v>SURAJ GOVINDARAJ</x:v>
      </x:c>
      <x:c r="F279" s="18" t="str">
        <x:v>DISMISSED</x:v>
      </x:c>
      <x:c r="G279" s="20" t="str">
        <x:v>https://indian-high-court-judgments.s3.ap-south-1.amazonaws.com/data/pdf/year=2026/court=29_3/bench=karnataka_bng_old/KAHC010113152026_1_2026-09-01.pdf</x:v>
      </x:c>
    </x:row>
    <x:row r="280">
      <x:c r="A280" s="19">
        <x:f>ROUND(COUNTA(A280:G280)/7*100,0)</x:f>
      </x:c>
      <x:c r="B280" s="18" t="str">
        <x:v>CRL.P/6546/2020 of SMT. ESHWARAMMA Vs STATE BY RAJAGOPALANGARA P.S</x:v>
      </x:c>
      <x:c r="C280" s="18" t="str">
        <x:v>2026-09-02</x:v>
      </x:c>
      <x:c r="D280" s="18" t="str">
        <x:v>High Court of Karnataka</x:v>
      </x:c>
      <x:c r="E280" s="18" t="str">
        <x:v>RAVI V HOSMANI</x:v>
      </x:c>
      <x:c r="F280" s="18" t="str">
        <x:v>DISMISSED</x:v>
      </x:c>
      <x:c r="G280" s="20" t="str">
        <x:v>https://indian-high-court-judgments.s3.ap-south-1.amazonaws.com/data/pdf/year=2026/court=29_3/bench=karnataka_bng_old/KAHC010125512020_1_2026-09-02.pdf</x:v>
      </x:c>
    </x:row>
    <x:row r="281">
      <x:c r="A281" s="19">
        <x:f>ROUND(COUNTA(A281:G281)/7*100,0)</x:f>
      </x:c>
      <x:c r="B281" s="18" t="str">
        <x:v>CRL.P/5716/2026 of ARFAD Vs STATE OF KARNATAKA</x:v>
      </x:c>
      <x:c r="C281" s="18" t="str">
        <x:v>2026-09-02</x:v>
      </x:c>
      <x:c r="D281" s="18" t="str">
        <x:v>High Court of Karnataka</x:v>
      </x:c>
      <x:c r="E281" s="18" t="str">
        <x:v>M.NAGAPRASANNA</x:v>
      </x:c>
      <x:c r="F281" s="18" t="str">
        <x:v>DISPOSED</x:v>
      </x:c>
      <x:c r="G281" s="20" t="str">
        <x:v>https://indian-high-court-judgments.s3.ap-south-1.amazonaws.com/data/pdf/year=2026/court=29_3/bench=karnataka_bng_old/KAHC010826162025_1_2026-09-02.pdf</x:v>
      </x:c>
    </x:row>
    <x:row r="282">
      <x:c r="A282" s="19">
        <x:f>ROUND(COUNTA(A282:G282)/7*100,0)</x:f>
      </x:c>
      <x:c r="B282" s="18" t="str">
        <x:v>WP/22883/2023 of SURESH Vs THE KARNATAKA TELECOM DEPARTMENT EMPLOYEES CO OPERATIVE SOCIETY LTD</x:v>
      </x:c>
      <x:c r="C282" s="18" t="str">
        <x:v>2026-09-07</x:v>
      </x:c>
      <x:c r="D282" s="18" t="str">
        <x:v>High Court of Karnataka</x:v>
      </x:c>
      <x:c r="E282" s="18" t="str">
        <x:v>JYOTI M</x:v>
      </x:c>
      <x:c r="F282" s="18" t="str">
        <x:v>Abated</x:v>
      </x:c>
      <x:c r="G282" s="20" t="str">
        <x:v>https://indian-high-court-judgments.s3.ap-south-1.amazonaws.com/data/pdf/year=2026/court=29_3/bench=karnataka_bng_old/KAHC010526902023_1_2026-09-07.pdf</x:v>
      </x:c>
    </x:row>
    <x:row r="283">
      <x:c r="A283" s="19">
        <x:f>ROUND(COUNTA(A283:G283)/7*100,0)</x:f>
      </x:c>
      <x:c r="B283" s="18" t="str">
        <x:v>WP/14665/2021 of H M GIRISH Vs STATE OF KARNATAKA</x:v>
      </x:c>
      <x:c r="C283" s="18" t="str">
        <x:v>2026-08-31</x:v>
      </x:c>
      <x:c r="D283" s="18" t="str">
        <x:v>High Court of Karnataka</x:v>
      </x:c>
      <x:c r="E283" s="18" t="str">
        <x:v>RAVI V HOSMANI</x:v>
      </x:c>
      <x:c r="F283" s="18" t="str">
        <x:v>Dismissed for Non-Prosecution</x:v>
      </x:c>
      <x:c r="G283" s="20" t="str">
        <x:v>https://indian-high-court-judgments.s3.ap-south-1.amazonaws.com/data/pdf/year=2026/court=29_3/bench=karnataka_bng_old/KAHC010287142021_1_2026-08-31.pdf</x:v>
      </x:c>
    </x:row>
    <x:row r="284">
      <x:c r="A284" s="19">
        <x:f>ROUND(COUNTA(A284:G284)/7*100,0)</x:f>
      </x:c>
      <x:c r="B284" s="18" t="str">
        <x:v>CRL.P/13317/2026 of KESHAVA RAO Vs THE STATE OF KARNATAKA</x:v>
      </x:c>
      <x:c r="C284" s="18" t="str">
        <x:v>2026-08-29</x:v>
      </x:c>
      <x:c r="D284" s="18" t="str">
        <x:v>High Court of Karnataka</x:v>
      </x:c>
      <x:c r="E284" s="18" t="str">
        <x:v>M.NAGAPRASANNA</x:v>
      </x:c>
      <x:c r="F284" s="18" t="str">
        <x:v>ALLOWED</x:v>
      </x:c>
      <x:c r="G284" s="20" t="str">
        <x:v>https://indian-high-court-judgments.s3.ap-south-1.amazonaws.com/data/pdf/year=2026/court=29_3/bench=karnataka_bng_old/KAHC010602492026_1_2026-08-29.pdf</x:v>
      </x:c>
    </x:row>
    <x:row r="285">
      <x:c r="A285" s="19">
        <x:f>ROUND(COUNTA(A285:G285)/7*100,0)</x:f>
      </x:c>
      <x:c r="B285" s="18" t="str">
        <x:v>WP/8466/2023 of SRI V NAGARAJU Vs SMT H R SHILPA</x:v>
      </x:c>
      <x:c r="C285" s="18" t="str">
        <x:v>2026-08-29</x:v>
      </x:c>
      <x:c r="D285" s="18" t="str">
        <x:v>High Court of Karnataka</x:v>
      </x:c>
      <x:c r="E285" s="18" t="str">
        <x:v>JAYANT BANERJI</x:v>
      </x:c>
      <x:c r="F285" s="18" t="str">
        <x:v>DISMISSED</x:v>
      </x:c>
      <x:c r="G285" s="20" t="str">
        <x:v>https://indian-high-court-judgments.s3.ap-south-1.amazonaws.com/data/pdf/year=2026/court=29_3/bench=karnataka_bng_old/KAHC010195962023_1_2026-08-29.pdf</x:v>
      </x:c>
    </x:row>
    <x:row r="286">
      <x:c r="A286" s="19">
        <x:f>ROUND(COUNTA(A286:G286)/7*100,0)</x:f>
      </x:c>
      <x:c r="B286" s="18" t="str">
        <x:v>WP/23162/2026 of SHIVAJI PATEL Vs THE STATE OF KARNATAKA</x:v>
      </x:c>
      <x:c r="C286" s="18" t="str">
        <x:v>2026-09-08</x:v>
      </x:c>
      <x:c r="D286" s="18" t="str">
        <x:v>High Court of Karnataka</x:v>
      </x:c>
      <x:c r="E286" s="18" t="str">
        <x:v>JYOTI M</x:v>
      </x:c>
      <x:c r="F286" s="18" t="str">
        <x:v>DISPOSED</x:v>
      </x:c>
      <x:c r="G286" s="20" t="str">
        <x:v>https://indian-high-court-judgments.s3.ap-south-1.amazonaws.com/data/pdf/year=2026/court=29_3/bench=karnataka_bng_old/KAHC010502662026_1_2026-09-08.pdf</x:v>
      </x:c>
    </x:row>
    <x:row r="287">
      <x:c r="A287" s="19">
        <x:f>ROUND(COUNTA(A287:G287)/7*100,0)</x:f>
      </x:c>
      <x:c r="B287" s="18" t="str">
        <x:v>WP/23/2024 of RAVI Vs DIRECTOR (A AND HR)</x:v>
      </x:c>
      <x:c r="C287" s="18" t="str">
        <x:v>2026-09-01</x:v>
      </x:c>
      <x:c r="D287" s="18" t="str">
        <x:v>High Court of Karnataka</x:v>
      </x:c>
      <x:c r="E287" s="18" t="str">
        <x:v>ASHOK S.KINAGI</x:v>
      </x:c>
      <x:c r="F287" s="18" t="str">
        <x:v>ALLOWED</x:v>
      </x:c>
      <x:c r="G287" s="20" t="str">
        <x:v>https://indian-high-court-judgments.s3.ap-south-1.amazonaws.com/data/pdf/year=2026/court=29_3/bench=karnataka_bng_old/KAHC010671252023_1_2026-09-01.pdf</x:v>
      </x:c>
    </x:row>
    <x:row r="288">
      <x:c r="A288" s="19">
        <x:f>ROUND(COUNTA(A288:G288)/7*100,0)</x:f>
      </x:c>
      <x:c r="B288" s="18" t="str">
        <x:v>CRL.RP/1013/2025 of SMT. VIJAYASHREE R Vs MR. SURAJ SRIRAM</x:v>
      </x:c>
      <x:c r="C288" s="18" t="str">
        <x:v>2026-08-31</x:v>
      </x:c>
      <x:c r="D288" s="18" t="str">
        <x:v>High Court of Karnataka</x:v>
      </x:c>
      <x:c r="E288" s="18" t="str">
        <x:v>VENKATESH NAIK T</x:v>
      </x:c>
      <x:c r="F288" s="18" t="str">
        <x:v>DISMISSED</x:v>
      </x:c>
      <x:c r="G288" s="20" t="str">
        <x:v>https://indian-high-court-judgments.s3.ap-south-1.amazonaws.com/data/pdf/year=2026/court=29_3/bench=karnataka_bng_old/KAHC010444172025_1_2026-08-31.pdf</x:v>
      </x:c>
    </x:row>
    <x:row r="289">
      <x:c r="A289" s="19">
        <x:f>ROUND(COUNTA(A289:G289)/7*100,0)</x:f>
      </x:c>
      <x:c r="B289" s="18" t="str">
        <x:v>WP/22586/2024 of M/S MNC MOTORS Vs DCB BANK LIMITED</x:v>
      </x:c>
      <x:c r="C289" s="18" t="str">
        <x:v>2026-09-01</x:v>
      </x:c>
      <x:c r="D289" s="18" t="str">
        <x:v>High Court of Karnataka</x:v>
      </x:c>
      <x:c r="E289" s="18" t="str">
        <x:v>JYOTI M</x:v>
      </x:c>
      <x:c r="F289" s="18" t="str">
        <x:v>DISMISSED</x:v>
      </x:c>
      <x:c r="G289" s="20" t="str">
        <x:v>https://indian-high-court-judgments.s3.ap-south-1.amazonaws.com/data/pdf/year=2026/court=29_3/bench=karnataka_bng_old/KAHC010482512024_1_2026-09-01.pdf</x:v>
      </x:c>
    </x:row>
    <x:row r="290">
      <x:c r="A290" s="19">
        <x:f>ROUND(COUNTA(A290:G290)/7*100,0)</x:f>
      </x:c>
      <x:c r="B290" s="18" t="str">
        <x:v>CRL.P/11820/2026 of AYAN MUKHERJEE Vs STATE OF KARNATAKA</x:v>
      </x:c>
      <x:c r="C290" s="18" t="str">
        <x:v>2026-09-07</x:v>
      </x:c>
      <x:c r="D290" s="18" t="str">
        <x:v>High Court of Karnataka</x:v>
      </x:c>
      <x:c r="E290" s="18" t="str">
        <x:v>S VISHWAJITH SHETTY</x:v>
      </x:c>
      <x:c r="F290" s="18" t="str">
        <x:v>DISMISSED</x:v>
      </x:c>
      <x:c r="G290" s="20" t="str">
        <x:v>https://indian-high-court-judgments.s3.ap-south-1.amazonaws.com/data/pdf/year=2026/court=29_3/bench=karnataka_bng_old/KAHC010535162026_1_2026-09-07.pdf</x:v>
      </x:c>
    </x:row>
    <x:row r="291">
      <x:c r="A291" s="19">
        <x:f>ROUND(COUNTA(A291:G291)/7*100,0)</x:f>
      </x:c>
      <x:c r="B291" s="18" t="str">
        <x:v>CRL.A/740/2018 of STATE OF KARNATAKA Vs K. NAGARAJA</x:v>
      </x:c>
      <x:c r="C291" s="18" t="str">
        <x:v>2026-08-29</x:v>
      </x:c>
      <x:c r="D291" s="18" t="str">
        <x:v>High Court of Karnataka</x:v>
      </x:c>
      <x:c r="E291" s="18" t="str">
        <x:v>H.P.SANDESH,B.PRAMOD</x:v>
      </x:c>
      <x:c r="F291" s="18" t="str">
        <x:v>ALLOWED AND REMANDED</x:v>
      </x:c>
      <x:c r="G291" s="20" t="str">
        <x:v>https://indian-high-court-judgments.s3.ap-south-1.amazonaws.com/data/pdf/year=2026/court=29_3/bench=karnataka_bng_old/KAHC010397232018_1_2026-08-29.pdf</x:v>
      </x:c>
    </x:row>
    <x:row r="292">
      <x:c r="A292" s="19">
        <x:f>ROUND(COUNTA(A292:G292)/7*100,0)</x:f>
      </x:c>
      <x:c r="B292" s="18" t="str">
        <x:v>CRL.P/3538/2025 of SRI. ASHOKA GUNNANAPPA Vs STATE OF KARNATAKA</x:v>
      </x:c>
      <x:c r="C292" s="18" t="str">
        <x:v>2026-08-28</x:v>
      </x:c>
      <x:c r="D292" s="18" t="str">
        <x:v>High Court of Karnataka</x:v>
      </x:c>
      <x:c r="E292" s="18" t="str">
        <x:v>M.NAGAPRASANNA</x:v>
      </x:c>
      <x:c r="F292" s="18" t="str">
        <x:v>Partly Allowed</x:v>
      </x:c>
      <x:c r="G292" s="20" t="str">
        <x:v>https://indian-high-court-judgments.s3.ap-south-1.amazonaws.com/data/pdf/year=2026/court=29_3/bench=karnataka_bng_old/KAHC010169152025_1_2026-08-28.pdf</x:v>
      </x:c>
    </x:row>
    <x:row r="293">
      <x:c r="A293" s="19">
        <x:f>ROUND(COUNTA(A293:G293)/7*100,0)</x:f>
      </x:c>
      <x:c r="B293" s="18" t="str">
        <x:v>WA/4521/2015 of THE CHIEF EXECUTIVE OFFICER Vs STATE OF KARNATAKA</x:v>
      </x:c>
      <x:c r="C293" s="18" t="str">
        <x:v>2026-09-09</x:v>
      </x:c>
      <x:c r="D293" s="18" t="str">
        <x:v>High Court of Karnataka</x:v>
      </x:c>
      <x:c r="E293" s="18" t="str">
        <x:v>D K SINGH,H.SHANTHI BHUSHAN</x:v>
      </x:c>
      <x:c r="F293" s="18" t="str">
        <x:v>Partly Allowed</x:v>
      </x:c>
      <x:c r="G293" s="20" t="str">
        <x:v>https://indian-high-court-judgments.s3.ap-south-1.amazonaws.com/data/pdf/year=2026/court=29_3/bench=karnataka_bng_old/KAHC010076812015_1_2026-09-09.pdf</x:v>
      </x:c>
    </x:row>
    <x:row r="294">
      <x:c r="A294" s="19">
        <x:f>ROUND(COUNTA(A294:G294)/7*100,0)</x:f>
      </x:c>
      <x:c r="B294" s="18" t="str">
        <x:v>WP/27237/2024 of THE DIVISION CONTROLLER AND DISCIPLINARY AUTHORITY BMTC Vs SRI M S CHANDRAIAH</x:v>
      </x:c>
      <x:c r="C294" s="18" t="str">
        <x:v>2026-09-01</x:v>
      </x:c>
      <x:c r="D294" s="18" t="str">
        <x:v>High Court of Karnataka</x:v>
      </x:c>
      <x:c r="E294" s="18" t="str">
        <x:v>JYOTI M</x:v>
      </x:c>
      <x:c r="F294" s="18" t="str">
        <x:v>ALLOWED</x:v>
      </x:c>
      <x:c r="G294" s="20" t="str">
        <x:v>https://indian-high-court-judgments.s3.ap-south-1.amazonaws.com/data/pdf/year=2026/court=29_3/bench=karnataka_bng_old/KAHC010561072024_1_2026-09-01.pdf</x:v>
      </x:c>
    </x:row>
    <x:row r="295">
      <x:c r="A295" s="19">
        <x:f>ROUND(COUNTA(A295:G295)/7*100,0)</x:f>
      </x:c>
      <x:c r="B295" s="18" t="str">
        <x:v>WP/27496/2026 of H. SURESH BABU, Vs COMMISSIONER OF EXCISE IN KARNATAKA,</x:v>
      </x:c>
      <x:c r="C295" s="18" t="str">
        <x:v>2026-09-02</x:v>
      </x:c>
      <x:c r="D295" s="18" t="str">
        <x:v>High Court of Karnataka</x:v>
      </x:c>
      <x:c r="E295" s="18" t="str">
        <x:v>LALITHA KANNEGANTI</x:v>
      </x:c>
      <x:c r="F295" s="18" t="str">
        <x:v>DISPOSED</x:v>
      </x:c>
      <x:c r="G295" s="20" t="str">
        <x:v>https://indian-high-court-judgments.s3.ap-south-1.amazonaws.com/data/pdf/year=2026/court=29_3/bench=karnataka_bng_old/KAHC010606612026_1_2026-09-02.pdf</x:v>
      </x:c>
    </x:row>
    <x:row r="296">
      <x:c r="A296" s="19">
        <x:f>ROUND(COUNTA(A296:G296)/7*100,0)</x:f>
      </x:c>
      <x:c r="B296" s="18" t="str">
        <x:v>WP/2947/2026 of DHRUVA SAXENA Vs STATE OF KARNATAKA</x:v>
      </x:c>
      <x:c r="C296" s="18" t="str">
        <x:v>2026-08-27</x:v>
      </x:c>
      <x:c r="D296" s="18" t="str">
        <x:v>High Court of Karnataka</x:v>
      </x:c>
      <x:c r="E296" s="18" t="str">
        <x:v>M.NAGAPRASANNA</x:v>
      </x:c>
      <x:c r="F296" s="18" t="str">
        <x:v>DISPOSED</x:v>
      </x:c>
      <x:c r="G296" s="20" t="str">
        <x:v>https://indian-high-court-judgments.s3.ap-south-1.amazonaws.com/data/pdf/year=2026/court=29_3/bench=karnataka_bng_old/KAHC010058872026_1_2026-08-27.pdf</x:v>
      </x:c>
    </x:row>
    <x:row r="297">
      <x:c r="A297" s="19">
        <x:f>ROUND(COUNTA(A297:G297)/7*100,0)</x:f>
      </x:c>
      <x:c r="B297" s="18" t="str">
        <x:v>CRL.P/978/2020 of AJAZ PASHA Vs THE STATE BY SUDDAGUNTEPALYA</x:v>
      </x:c>
      <x:c r="C297" s="18" t="str">
        <x:v>2026-08-31</x:v>
      </x:c>
      <x:c r="D297" s="18" t="str">
        <x:v>High Court of Karnataka</x:v>
      </x:c>
      <x:c r="E297" s="18" t="str">
        <x:v>RAVI V HOSMANI</x:v>
      </x:c>
      <x:c r="F297" s="18" t="str">
        <x:v>Dismissed for Non-Prosecution</x:v>
      </x:c>
      <x:c r="G297" s="20" t="str">
        <x:v>https://indian-high-court-judgments.s3.ap-south-1.amazonaws.com/data/pdf/year=2026/court=29_3/bench=karnataka_bng_old/KAHC010064502020_1_2026-08-31.pdf</x:v>
      </x:c>
    </x:row>
    <x:row r="298">
      <x:c r="A298" s="19">
        <x:f>ROUND(COUNTA(A298:G298)/7*100,0)</x:f>
      </x:c>
      <x:c r="B298" s="18" t="str">
        <x:v>WP/12604/2025 of NANDI INFRASTRUCTURE CORRIDOR Vs THE STATE OF KARNATAKA</x:v>
      </x:c>
      <x:c r="C298" s="18" t="str">
        <x:v>2026-09-03</x:v>
      </x:c>
      <x:c r="D298" s="18" t="str">
        <x:v>High Court of Karnataka</x:v>
      </x:c>
      <x:c r="E298" s="18" t="str">
        <x:v>E.S.INDIRESH</x:v>
      </x:c>
      <x:c r="F298" s="18" t="str">
        <x:v>DISMISSED</x:v>
      </x:c>
      <x:c r="G298" s="20" t="str">
        <x:v>https://indian-high-court-judgments.s3.ap-south-1.amazonaws.com/data/pdf/year=2026/court=29_3/bench=karnataka_bng_old/KAHC010292462025_1_2026-09-03.pdf</x:v>
      </x:c>
    </x:row>
    <x:row r="299">
      <x:c r="A299" s="19">
        <x:f>ROUND(COUNTA(A299:G299)/7*100,0)</x:f>
      </x:c>
      <x:c r="B299" s="18" t="str">
        <x:v>CRL.P/7355/2026 of AKSHITH P Vs STATE BY</x:v>
      </x:c>
      <x:c r="C299" s="18" t="str">
        <x:v>2026-09-02</x:v>
      </x:c>
      <x:c r="D299" s="18" t="str">
        <x:v>High Court of Karnataka</x:v>
      </x:c>
      <x:c r="E299" s="18" t="str">
        <x:v>S VISHWAJITH SHETTY</x:v>
      </x:c>
      <x:c r="F299" s="18" t="str">
        <x:v>DISMISSED</x:v>
      </x:c>
      <x:c r="G299" s="20" t="str">
        <x:v>https://indian-high-court-judgments.s3.ap-south-1.amazonaws.com/data/pdf/year=2026/court=29_3/bench=karnataka_bng_old/KAHC010346212026_1_2026-09-02.pdf</x:v>
      </x:c>
    </x:row>
    <x:row r="300">
      <x:c r="A300" s="19">
        <x:f>ROUND(COUNTA(A300:G300)/7*100,0)</x:f>
      </x:c>
      <x:c r="B300" s="18" t="str">
        <x:v>WP/11801/2026 of HANUMAKKA Vs THE STATE OF KARNATAKA</x:v>
      </x:c>
      <x:c r="C300" s="18" t="str">
        <x:v>2026-08-28</x:v>
      </x:c>
      <x:c r="D300" s="18" t="str">
        <x:v>High Court of Karnataka</x:v>
      </x:c>
      <x:c r="E300" s="18" t="str">
        <x:v>E.S.INDIRESH</x:v>
      </x:c>
      <x:c r="F300" s="18" t="str">
        <x:v>DISMISSED</x:v>
      </x:c>
      <x:c r="G300" s="20" t="str">
        <x:v>https://indian-high-court-judgments.s3.ap-south-1.amazonaws.com/data/pdf/year=2026/court=29_3/bench=karnataka_bng_old/KAHC010255062026_1_2026-08-28.pdf</x:v>
      </x:c>
    </x:row>
    <x:row r="301">
      <x:c r="A301" s="19">
        <x:f>ROUND(COUNTA(A301:G301)/7*100,0)</x:f>
      </x:c>
      <x:c r="B301" s="18" t="str">
        <x:v>CRL.P/11334/2026 of ANIL, Vs STATE OF KARNATAKA,</x:v>
      </x:c>
      <x:c r="C301" s="18" t="str">
        <x:v>2026-08-27</x:v>
      </x:c>
      <x:c r="D301" s="18" t="str">
        <x:v>High Court of Karnataka</x:v>
      </x:c>
      <x:c r="E301" s="18" t="str">
        <x:v>S VISHWAJITH SHETTY</x:v>
      </x:c>
      <x:c r="F301" s="18" t="str">
        <x:v>DISMISSED</x:v>
      </x:c>
      <x:c r="G301" s="20" t="str">
        <x:v>https://indian-high-court-judgments.s3.ap-south-1.amazonaws.com/data/pdf/year=2026/court=29_3/bench=karnataka_bng_old/KAHC010520572026_1_2026-08-27.pdf</x:v>
      </x:c>
    </x:row>
    <x:row r="302">
      <x:c r="A302" s="19">
        <x:f>ROUND(COUNTA(A302:G302)/7*100,0)</x:f>
      </x:c>
      <x:c r="B302" s="18" t="str">
        <x:v>WP/18424/2025 of SRI A NATARAJA SETTY Vs THE STATE OF KARNATAKA</x:v>
      </x:c>
      <x:c r="C302" s="18" t="str">
        <x:v>2026-08-27</x:v>
      </x:c>
      <x:c r="D302" s="18" t="str">
        <x:v>High Court of Karnataka</x:v>
      </x:c>
      <x:c r="E302" s="18" t="str">
        <x:v>ASHOK S.KINAGI</x:v>
      </x:c>
      <x:c r="F302" s="18" t="str">
        <x:v>ALLOWED</x:v>
      </x:c>
      <x:c r="G302" s="20" t="str">
        <x:v>https://indian-high-court-judgments.s3.ap-south-1.amazonaws.com/data/pdf/year=2026/court=29_3/bench=karnataka_bng_old/KAHC010407382025_1_2026-08-27.pdf</x:v>
      </x:c>
    </x:row>
    <x:row r="303">
      <x:c r="A303" s="19">
        <x:f>ROUND(COUNTA(A303:G303)/7*100,0)</x:f>
      </x:c>
      <x:c r="B303" s="18" t="str">
        <x:v>CRL.P/12122/2026 of ABU SULAIMAN MANDAL Vs THE STATE OF KARNATAKA</x:v>
      </x:c>
      <x:c r="C303" s="18" t="str">
        <x:v>2026-09-01</x:v>
      </x:c>
      <x:c r="D303" s="18" t="str">
        <x:v>High Court of Karnataka</x:v>
      </x:c>
      <x:c r="E303" s="18" t="str">
        <x:v>S VISHWAJITH SHETTY</x:v>
      </x:c>
      <x:c r="F303" s="18" t="str">
        <x:v>ALLOWED</x:v>
      </x:c>
      <x:c r="G303" s="20" t="str">
        <x:v>https://indian-high-court-judgments.s3.ap-south-1.amazonaws.com/data/pdf/year=2026/court=29_3/bench=karnataka_bng_old/KAHC010548402026_1_2026-09-01.pdf</x:v>
      </x:c>
    </x:row>
    <x:row r="304">
      <x:c r="A304" s="19">
        <x:f>ROUND(COUNTA(A304:G304)/7*100,0)</x:f>
      </x:c>
      <x:c r="B304" s="18" t="str">
        <x:v>CRL.A/619/2019 of STATE OF KARNATAKA Vs MR HALAPPA</x:v>
      </x:c>
      <x:c r="C304" s="18" t="str">
        <x:v>2026-08-29</x:v>
      </x:c>
      <x:c r="D304" s="18" t="str">
        <x:v>High Court of Karnataka</x:v>
      </x:c>
      <x:c r="E304" s="18" t="str">
        <x:v>H.P.SANDESH,B.PRAMOD</x:v>
      </x:c>
      <x:c r="F304" s="18" t="str">
        <x:v>DISMISSED</x:v>
      </x:c>
      <x:c r="G304" s="20" t="str">
        <x:v>https://indian-high-court-judgments.s3.ap-south-1.amazonaws.com/data/pdf/year=2026/court=29_3/bench=karnataka_bng_old/KAHC010095112019_1_2026-08-29.pdf</x:v>
      </x:c>
    </x:row>
    <x:row r="305">
      <x:c r="A305" s="19">
        <x:f>ROUND(COUNTA(A305:G305)/7*100,0)</x:f>
      </x:c>
      <x:c r="B305" s="18" t="str">
        <x:v>MFA/4827/2026 of MRS. SUMATHI Vs SMT. AMITHA ANIL ALVA</x:v>
      </x:c>
      <x:c r="C305" s="18" t="str">
        <x:v>2026-09-03</x:v>
      </x:c>
      <x:c r="D305" s="18" t="str">
        <x:v>High Court of Karnataka</x:v>
      </x:c>
      <x:c r="E305" s="18" t="str">
        <x:v>SHIVASHANKAR AMARANNAVAR</x:v>
      </x:c>
      <x:c r="F305" s="18" t="str">
        <x:v>Partly Allowed</x:v>
      </x:c>
      <x:c r="G305" s="20" t="str">
        <x:v>https://indian-high-court-judgments.s3.ap-south-1.amazonaws.com/data/pdf/year=2026/court=29_3/bench=karnataka_bng_old/KAHC010439022026_1_2026-09-03.pdf</x:v>
      </x:c>
    </x:row>
    <x:row r="306">
      <x:c r="A306" s="19">
        <x:f>ROUND(COUNTA(A306:G306)/7*100,0)</x:f>
      </x:c>
      <x:c r="B306" s="18" t="str">
        <x:v>CRL.P/10083/2026 of DAYANANDA S V Vs THE STATE OF KARNATAKA BY</x:v>
      </x:c>
      <x:c r="C306" s="18" t="str">
        <x:v>2026-09-02</x:v>
      </x:c>
      <x:c r="D306" s="18" t="str">
        <x:v>High Court of Karnataka</x:v>
      </x:c>
      <x:c r="E306" s="18" t="str">
        <x:v>S VISHWAJITH SHETTY</x:v>
      </x:c>
      <x:c r="F306" s="18" t="str">
        <x:v>Partly Allowed</x:v>
      </x:c>
      <x:c r="G306" s="20" t="str">
        <x:v>https://indian-high-court-judgments.s3.ap-south-1.amazonaws.com/data/pdf/year=2026/court=29_3/bench=karnataka_bng_old/KAHC010466492026_1_2026-09-02.pdf</x:v>
      </x:c>
    </x:row>
    <x:row r="307">
      <x:c r="A307" s="19">
        <x:f>ROUND(COUNTA(A307:G307)/7*100,0)</x:f>
      </x:c>
      <x:c r="B307" s="18" t="str">
        <x:v>CRL.P/11708/2026 of MOHAMMED ISMAIL Vs STATE BY</x:v>
      </x:c>
      <x:c r="C307" s="18" t="str">
        <x:v>2026-08-28</x:v>
      </x:c>
      <x:c r="D307" s="18" t="str">
        <x:v>High Court of Karnataka</x:v>
      </x:c>
      <x:c r="E307" s="18" t="str">
        <x:v>S VISHWAJITH SHETTY</x:v>
      </x:c>
      <x:c r="F307" s="18" t="str">
        <x:v>ALLOWED</x:v>
      </x:c>
      <x:c r="G307" s="20" t="str">
        <x:v>https://indian-high-court-judgments.s3.ap-south-1.amazonaws.com/data/pdf/year=2026/court=29_3/bench=karnataka_bng_old/KAHC010533132026_1_2026-08-28.pdf</x:v>
      </x:c>
    </x:row>
    <x:row r="308">
      <x:c r="A308" s="19">
        <x:f>ROUND(COUNTA(A308:G308)/7*100,0)</x:f>
      </x:c>
      <x:c r="B308" s="18" t="str">
        <x:v>WP/34828/2025 of SRI. SHIVAMURTHY MATHAPATI Vs THE STATE OF KARNATAKA</x:v>
      </x:c>
      <x:c r="C308" s="18" t="str">
        <x:v>2026-08-28</x:v>
      </x:c>
      <x:c r="D308" s="18" t="str">
        <x:v>High Court of Karnataka</x:v>
      </x:c>
      <x:c r="E308" s="18" t="str">
        <x:v>R DEVDAS,K.MANMADHA RAO</x:v>
      </x:c>
      <x:c r="F308" s="18" t="str">
        <x:v>ALLOWED AND REMANDED</x:v>
      </x:c>
      <x:c r="G308" s="20" t="str">
        <x:v>https://indian-high-court-judgments.s3.ap-south-1.amazonaws.com/data/pdf/year=2026/court=29_3/bench=karnataka_bng_old/KAHC010745382025_1_2026-08-28.pdf</x:v>
      </x:c>
    </x:row>
    <x:row r="309">
      <x:c r="A309" s="19">
        <x:f>ROUND(COUNTA(A309:G309)/7*100,0)</x:f>
      </x:c>
      <x:c r="B309" s="18" t="str">
        <x:v>CRL.A/852/2026 of REDDAPPA REDDY @ REDDAPPAREDDY Vs STATE BY AVALAHALLI POLICE STATION</x:v>
      </x:c>
      <x:c r="C309" s="18" t="str">
        <x:v>2026-08-28</x:v>
      </x:c>
      <x:c r="D309" s="18" t="str">
        <x:v>High Court of Karnataka</x:v>
      </x:c>
      <x:c r="E309" s="18" t="str">
        <x:v>G BASAVARAJA</x:v>
      </x:c>
      <x:c r="F309" s="18" t="str">
        <x:v>DISPOSED</x:v>
      </x:c>
      <x:c r="G309" s="20" t="str">
        <x:v>https://indian-high-court-judgments.s3.ap-south-1.amazonaws.com/data/pdf/year=2026/court=29_3/bench=karnataka_bng_old/KAHC010341392026_1_2026-08-28.pdf</x:v>
      </x:c>
    </x:row>
    <x:row r="310">
      <x:c r="A310" s="19">
        <x:f>ROUND(COUNTA(A310:G310)/7*100,0)</x:f>
      </x:c>
      <x:c r="B310" s="18" t="str">
        <x:v>CRL.P/143/2020 of SRI RAVI L Vs STATE OF KARNATAKA</x:v>
      </x:c>
      <x:c r="C310" s="18" t="str">
        <x:v>2026-08-31</x:v>
      </x:c>
      <x:c r="D310" s="18" t="str">
        <x:v>High Court of Karnataka</x:v>
      </x:c>
      <x:c r="E310" s="18" t="str">
        <x:v>RAVI V HOSMANI</x:v>
      </x:c>
      <x:c r="F310" s="18" t="str">
        <x:v>DISMISSED</x:v>
      </x:c>
      <x:c r="G310" s="20" t="str">
        <x:v>https://indian-high-court-judgments.s3.ap-south-1.amazonaws.com/data/pdf/year=2026/court=29_3/bench=karnataka_bng_old/KAHC010526282019_1_2026-08-31.pdf</x:v>
      </x:c>
    </x:row>
    <x:row r="311">
      <x:c r="A311" s="19">
        <x:f>ROUND(COUNTA(A311:G311)/7*100,0)</x:f>
      </x:c>
      <x:c r="B311" s="18" t="str">
        <x:v>WP/9608/2026 of MS. PUJA PRASHANT BHAT @ M S PUJA SONDE Vs THE CANARA BANK</x:v>
      </x:c>
      <x:c r="C311" s="18" t="str">
        <x:v>2026-08-31</x:v>
      </x:c>
      <x:c r="D311" s="18" t="str">
        <x:v>High Court of Karnataka</x:v>
      </x:c>
      <x:c r="E311" s="18" t="str">
        <x:v>SURAJ GOVINDARAJ</x:v>
      </x:c>
      <x:c r="F311" s="18" t="str">
        <x:v>ALLOWED</x:v>
      </x:c>
      <x:c r="G311" s="20" t="str">
        <x:v>https://indian-high-court-judgments.s3.ap-south-1.amazonaws.com/data/pdf/year=2026/court=29_3/bench=karnataka_bng_old/KAHC010214652026_1_2026-08-31.pdf</x:v>
      </x:c>
    </x:row>
    <x:row r="312">
      <x:c r="A312" s="19">
        <x:f>ROUND(COUNTA(A312:G312)/7*100,0)</x:f>
      </x:c>
      <x:c r="B312" s="18" t="str">
        <x:v>MFA/7176/2014 of S. SUNDARA Vs K.S.RAJU</x:v>
      </x:c>
      <x:c r="C312" s="18" t="str">
        <x:v>2026-08-27</x:v>
      </x:c>
      <x:c r="D312" s="18" t="str">
        <x:v>High Court of Karnataka</x:v>
      </x:c>
      <x:c r="E312" s="18" t="str">
        <x:v>P SREE SUDHA</x:v>
      </x:c>
      <x:c r="F312" s="18" t="str">
        <x:v>Partly Allowed</x:v>
      </x:c>
      <x:c r="G312" s="20" t="str">
        <x:v>https://indian-high-court-judgments.s3.ap-south-1.amazonaws.com/data/pdf/year=2026/court=29_3/bench=karnataka_bng_old/KAHC010409562014_1_2026-08-27.pdf</x:v>
      </x:c>
    </x:row>
    <x:row r="313">
      <x:c r="A313" s="19">
        <x:f>ROUND(COUNTA(A313:G313)/7*100,0)</x:f>
      </x:c>
      <x:c r="B313" s="18" t="str">
        <x:v>CRL.P/12625/2026 of B A NIRANJAN PRABHU Vs STATE OF KARNATAKA</x:v>
      </x:c>
      <x:c r="C313" s="18" t="str">
        <x:v>2026-09-02</x:v>
      </x:c>
      <x:c r="D313" s="18" t="str">
        <x:v>High Court of Karnataka</x:v>
      </x:c>
      <x:c r="E313" s="18" t="str">
        <x:v>S VISHWAJITH SHETTY</x:v>
      </x:c>
      <x:c r="F313" s="18" t="str">
        <x:v>ALLOWED</x:v>
      </x:c>
      <x:c r="G313" s="20" t="str">
        <x:v>https://indian-high-court-judgments.s3.ap-south-1.amazonaws.com/data/pdf/year=2026/court=29_3/bench=karnataka_bng_old/KAHC010566252026_1_2026-09-02.pdf</x:v>
      </x:c>
    </x:row>
    <x:row r="314">
      <x:c r="A314" s="19">
        <x:f>ROUND(COUNTA(A314:G314)/7*100,0)</x:f>
      </x:c>
      <x:c r="B314" s="18" t="str">
        <x:v>WP/8415/2018 of M D NARAYANA SWAMY Vs KARNATAKA STATE SCHEDULE CASTE</x:v>
      </x:c>
      <x:c r="C314" s="18" t="str">
        <x:v>2026-09-07</x:v>
      </x:c>
      <x:c r="D314" s="18" t="str">
        <x:v>High Court of Karnataka</x:v>
      </x:c>
      <x:c r="E314" s="18" t="str">
        <x:v>JYOTI M</x:v>
      </x:c>
      <x:c r="F314" s="18" t="str">
        <x:v>ALLOWED</x:v>
      </x:c>
      <x:c r="G314" s="20" t="str">
        <x:v>https://indian-high-court-judgments.s3.ap-south-1.amazonaws.com/data/pdf/year=2026/court=29_3/bench=karnataka_bng_old/KAHC010026732018_1_2026-09-07.pdf</x:v>
      </x:c>
    </x:row>
    <x:row r="315">
      <x:c r="A315" s="19">
        <x:f>ROUND(COUNTA(A315:G315)/7*100,0)</x:f>
      </x:c>
      <x:c r="B315" s="18" t="str">
        <x:v>MFA/6149/2022 of B S KAVITHA Vs MARULA SIDDAPPA</x:v>
      </x:c>
      <x:c r="C315" s="18" t="str">
        <x:v>2026-08-31</x:v>
      </x:c>
      <x:c r="D315" s="18" t="str">
        <x:v>High Court of Karnataka</x:v>
      </x:c>
      <x:c r="E315" s="18" t="str">
        <x:v>RAJESH RAI K</x:v>
      </x:c>
      <x:c r="F315" s="18" t="str">
        <x:v>Partly Allowed</x:v>
      </x:c>
      <x:c r="G315" s="20" t="str">
        <x:v>https://indian-high-court-judgments.s3.ap-south-1.amazonaws.com/data/pdf/year=2026/court=29_3/bench=karnataka_bng_old/KAHC010404592022_1_2026-08-31.pdf</x:v>
      </x:c>
    </x:row>
    <x:row r="316">
      <x:c r="A316" s="19">
        <x:f>ROUND(COUNTA(A316:G316)/7*100,0)</x:f>
      </x:c>
      <x:c r="B316" s="18" t="str">
        <x:v>MFA/3123/2025 of SMT. GAYATHRI Vs MANJU</x:v>
      </x:c>
      <x:c r="C316" s="18" t="str">
        <x:v>2026-09-01</x:v>
      </x:c>
      <x:c r="D316" s="18" t="str">
        <x:v>High Court of Karnataka</x:v>
      </x:c>
      <x:c r="E316" s="18" t="str">
        <x:v>SHIVASHANKAR AMARANNAVAR</x:v>
      </x:c>
      <x:c r="F316" s="18" t="str">
        <x:v>Partly Allowed</x:v>
      </x:c>
      <x:c r="G316" s="20" t="str">
        <x:v>https://indian-high-court-judgments.s3.ap-south-1.amazonaws.com/data/pdf/year=2026/court=29_3/bench=karnataka_bng_old/KAHC010281522025_1_2026-09-01.pdf</x:v>
      </x:c>
    </x:row>
    <x:row r="317">
      <x:c r="A317" s="19">
        <x:f>ROUND(COUNTA(A317:G317)/7*100,0)</x:f>
      </x:c>
      <x:c r="B317" s="18" t="str">
        <x:v>WP/26014/2022 of RASHMI Vs SHIVASHANKAR</x:v>
      </x:c>
      <x:c r="C317" s="18" t="str">
        <x:v>2026-08-29</x:v>
      </x:c>
      <x:c r="D317" s="18" t="str">
        <x:v>High Court of Karnataka</x:v>
      </x:c>
      <x:c r="E317" s="18" t="str">
        <x:v>VIJAYKUMAR A. PATIL</x:v>
      </x:c>
      <x:c r="F317" s="18" t="str">
        <x:v>REJECTED</x:v>
      </x:c>
      <x:c r="G317" s="20" t="str">
        <x:v>https://indian-high-court-judgments.s3.ap-south-1.amazonaws.com/data/pdf/year=2026/court=29_3/bench=karnataka_bng_old/KAHC010594372022_1_2026-08-29.pdf</x:v>
      </x:c>
    </x:row>
    <x:row r="318">
      <x:c r="A318" s="19">
        <x:f>ROUND(COUNTA(A318:G318)/7*100,0)</x:f>
      </x:c>
      <x:c r="B318" s="18" t="str">
        <x:v>MFA/6129/2024 of SHRI B R VIJAY KUMAR Vs SMT. NAGARATHNA</x:v>
      </x:c>
      <x:c r="C318" s="18" t="str">
        <x:v>2026-09-03</x:v>
      </x:c>
      <x:c r="D318" s="18" t="str">
        <x:v>High Court of Karnataka</x:v>
      </x:c>
      <x:c r="E318" s="18" t="str">
        <x:v>D K SINGH,H.SHANTHI BHUSHAN</x:v>
      </x:c>
      <x:c r="F318" s="18" t="str">
        <x:v>ALLOWED</x:v>
      </x:c>
      <x:c r="G318" s="20" t="str">
        <x:v>https://indian-high-court-judgments.s3.ap-south-1.amazonaws.com/data/pdf/year=2026/court=29_3/bench=karnataka_bng_old/KAHC010530722024_1_2026-09-03.pdf</x:v>
      </x:c>
    </x:row>
    <x:row r="319">
      <x:c r="A319" s="19">
        <x:f>ROUND(COUNTA(A319:G319)/7*100,0)</x:f>
      </x:c>
      <x:c r="B319" s="18" t="str">
        <x:v>WP/21129/2026 of SATHEESHKUMAR D Vs THE STATE OF KARNATAKA</x:v>
      </x:c>
      <x:c r="C319" s="18" t="str">
        <x:v>2026-08-28</x:v>
      </x:c>
      <x:c r="D319" s="18" t="str">
        <x:v>High Court of Karnataka</x:v>
      </x:c>
      <x:c r="E319" s="18" t="str">
        <x:v>ASHOK S.KINAGI</x:v>
      </x:c>
      <x:c r="F319" s="18" t="str">
        <x:v>DISPOSED</x:v>
      </x:c>
      <x:c r="G319" s="20" t="str">
        <x:v>https://indian-high-court-judgments.s3.ap-south-1.amazonaws.com/data/pdf/year=2026/court=29_3/bench=karnataka_bng_old/KAHC010464322026_1_2026-08-28.pdf</x:v>
      </x:c>
    </x:row>
    <x:row r="320">
      <x:c r="A320" s="19">
        <x:f>ROUND(COUNTA(A320:G320)/7*100,0)</x:f>
      </x:c>
      <x:c r="B320" s="18" t="str">
        <x:v>WP/30846/2024 of M R MUNIRAJU Vs THE DIVISIONAL CONTROLLER AND DISCIPLINARY AUTHORITY</x:v>
      </x:c>
      <x:c r="C320" s="18" t="str">
        <x:v>2026-09-02</x:v>
      </x:c>
      <x:c r="D320" s="18" t="str">
        <x:v>High Court of Karnataka</x:v>
      </x:c>
      <x:c r="E320" s="18" t="str">
        <x:v>JYOTI M</x:v>
      </x:c>
      <x:c r="F320" s="18" t="str">
        <x:v>DISMISSED</x:v>
      </x:c>
      <x:c r="G320" s="20" t="str">
        <x:v>https://indian-high-court-judgments.s3.ap-south-1.amazonaws.com/data/pdf/year=2026/court=29_3/bench=karnataka_bng_old/KAHC010629782024_1_2026-09-02.pdf</x:v>
      </x:c>
    </x:row>
    <x:row r="321">
      <x:c r="A321" s="19">
        <x:f>ROUND(COUNTA(A321:G321)/7*100,0)</x:f>
      </x:c>
      <x:c r="B321" s="18" t="str">
        <x:v>WP/25541/2024 of ANNAMALAI S Vs AADHAR HOUSING FINANCE LIMITED</x:v>
      </x:c>
      <x:c r="C321" s="18" t="str">
        <x:v>2026-08-29</x:v>
      </x:c>
      <x:c r="D321" s="18" t="str">
        <x:v>High Court of Karnataka</x:v>
      </x:c>
      <x:c r="E321" s="18" t="str">
        <x:v>JYOTI M</x:v>
      </x:c>
      <x:c r="F321" s="18" t="str">
        <x:v>DISMISSED</x:v>
      </x:c>
      <x:c r="G321" s="20" t="str">
        <x:v>https://indian-high-court-judgments.s3.ap-south-1.amazonaws.com/data/pdf/year=2026/court=29_3/bench=karnataka_bng_old/KAHC010537832024_1_2026-08-29.pdf</x:v>
      </x:c>
    </x:row>
    <x:row r="322">
      <x:c r="A322" s="19">
        <x:f>ROUND(COUNTA(A322:G322)/7*100,0)</x:f>
      </x:c>
      <x:c r="B322" s="18" t="str">
        <x:v>WP/20304/2025 of SRI. PRATEEK KUMAR Vs DR SUJITH G V</x:v>
      </x:c>
      <x:c r="C322" s="18" t="str">
        <x:v>2026-08-29</x:v>
      </x:c>
      <x:c r="D322" s="18" t="str">
        <x:v>High Court of Karnataka</x:v>
      </x:c>
      <x:c r="E322" s="18" t="str">
        <x:v>JAYANT BANERJI</x:v>
      </x:c>
      <x:c r="F322" s="18" t="str">
        <x:v>Dismissed for Non-Prosecution</x:v>
      </x:c>
      <x:c r="G322" s="20" t="str">
        <x:v>https://indian-high-court-judgments.s3.ap-south-1.amazonaws.com/data/pdf/year=2026/court=29_3/bench=karnataka_bng_old/KAHC010432972025_1_2026-08-29.pdf</x:v>
      </x:c>
    </x:row>
    <x:row r="323">
      <x:c r="A323" s="19">
        <x:f>ROUND(COUNTA(A323:G323)/7*100,0)</x:f>
      </x:c>
      <x:c r="B323" s="18" t="str">
        <x:v>RFA/1160/2007 of SRI KUSHAL CHAND S/O UTTAM CHAND Vs SRI H R NAGENDRA GUPTHA</x:v>
      </x:c>
      <x:c r="C323" s="18" t="str">
        <x:v>2026-09-03</x:v>
      </x:c>
      <x:c r="D323" s="18" t="str">
        <x:v>High Court of Karnataka</x:v>
      </x:c>
      <x:c r="E323" s="18" t="str">
        <x:v>M.G.S. KAMAL</x:v>
      </x:c>
      <x:c r="F323" s="18" t="str">
        <x:v>Partly Allowed</x:v>
      </x:c>
      <x:c r="G323" s="20" t="str">
        <x:v>https://indian-high-court-judgments.s3.ap-south-1.amazonaws.com/data/pdf/year=2026/court=29_3/bench=karnataka_bng_old/KAHC010297222007_1_2023-03-14.pdf</x:v>
      </x:c>
    </x:row>
    <x:row r="324">
      <x:c r="A324" s="19">
        <x:f>ROUND(COUNTA(A324:G324)/7*100,0)</x:f>
      </x:c>
      <x:c r="B324" s="18" t="str">
        <x:v>CRL.P/9700/2026 of MOHAMMED RIZWAN Vs STATE OF KARNATAKA</x:v>
      </x:c>
      <x:c r="C324" s="18" t="str">
        <x:v>2026-08-31</x:v>
      </x:c>
      <x:c r="D324" s="18" t="str">
        <x:v>High Court of Karnataka</x:v>
      </x:c>
      <x:c r="E324" s="18" t="str">
        <x:v>S VISHWAJITH SHETTY</x:v>
      </x:c>
      <x:c r="F324" s="18" t="str">
        <x:v>DISPOSED</x:v>
      </x:c>
      <x:c r="G324" s="20" t="str">
        <x:v>https://indian-high-court-judgments.s3.ap-south-1.amazonaws.com/data/pdf/year=2026/court=29_3/bench=karnataka_bng_old/KAHC010454632026_1_2026-08-31.pdf</x:v>
      </x:c>
    </x:row>
    <x:row r="325">
      <x:c r="A325" s="19">
        <x:f>ROUND(COUNTA(A325:G325)/7*100,0)</x:f>
      </x:c>
      <x:c r="B325" s="18" t="str">
        <x:v>WP/24208/2026 of SRI. SHEKAR HAVANJE Vs THE STATE OF KARNATAKA</x:v>
      </x:c>
      <x:c r="C325" s="18" t="str">
        <x:v>2026-08-31</x:v>
      </x:c>
      <x:c r="D325" s="18" t="str">
        <x:v>High Court of Karnataka</x:v>
      </x:c>
      <x:c r="E325" s="18" t="str">
        <x:v>CHIEF JUSTICE,K.S. HEMALEKHA</x:v>
      </x:c>
      <x:c r="F325" s="18" t="str">
        <x:v>DISPOSED</x:v>
      </x:c>
      <x:c r="G325" s="20" t="str">
        <x:v>https://indian-high-court-judgments.s3.ap-south-1.amazonaws.com/data/pdf/year=2026/court=29_3/bench=karnataka_bng_old/KAHC010535832026_1_2026-08-31.pdf</x:v>
      </x:c>
    </x:row>
    <x:row r="326">
      <x:c r="A326" s="19">
        <x:f>ROUND(COUNTA(A326:G326)/7*100,0)</x:f>
      </x:c>
      <x:c r="B326" s="18" t="str">
        <x:v>RSA/1235/2026 of IMRAN PASHA Vs SHAMEEMUNNISSA</x:v>
      </x:c>
      <x:c r="C326" s="18" t="str">
        <x:v>2026-09-01</x:v>
      </x:c>
      <x:c r="D326" s="18" t="str">
        <x:v>High Court of Karnataka</x:v>
      </x:c>
      <x:c r="E326" s="18" t="str">
        <x:v>V SRISHANANDA</x:v>
      </x:c>
      <x:c r="F326" s="18" t="str">
        <x:v>DISMISSED</x:v>
      </x:c>
      <x:c r="G326" s="20" t="str">
        <x:v>https://indian-high-court-judgments.s3.ap-south-1.amazonaws.com/data/pdf/year=2026/court=29_3/bench=karnataka_bng_old/KAHC010511002026_1_2026-09-01.pdf</x:v>
      </x:c>
    </x:row>
    <x:row r="327">
      <x:c r="A327" s="19">
        <x:f>ROUND(COUNTA(A327:G327)/7*100,0)</x:f>
      </x:c>
      <x:c r="B327" s="18" t="str">
        <x:v>CRL.P/11837/2026 of SRI.NAVEEN KUMAR N Vs THE STATE OF KARNATAKA BY</x:v>
      </x:c>
      <x:c r="C327" s="18" t="str">
        <x:v>2026-08-28</x:v>
      </x:c>
      <x:c r="D327" s="18" t="str">
        <x:v>High Court of Karnataka</x:v>
      </x:c>
      <x:c r="E327" s="18" t="str">
        <x:v>S VISHWAJITH SHETTY</x:v>
      </x:c>
      <x:c r="F327" s="18" t="str">
        <x:v>ALLOWED</x:v>
      </x:c>
      <x:c r="G327" s="20" t="str">
        <x:v>https://indian-high-court-judgments.s3.ap-south-1.amazonaws.com/data/pdf/year=2026/court=29_3/bench=karnataka_bng_old/KAHC010541112026_1_2026-08-28.pdf</x:v>
      </x:c>
    </x:row>
    <x:row r="328">
      <x:c r="A328" s="19">
        <x:f>ROUND(COUNTA(A328:G328)/7*100,0)</x:f>
      </x:c>
      <x:c r="B328" s="18" t="str">
        <x:v>CRL.A/291/2019 of YOGANANDA @ YOGESH Vs STATE OF KARNATAKA BY</x:v>
      </x:c>
      <x:c r="C328" s="18" t="str">
        <x:v>2026-08-28</x:v>
      </x:c>
      <x:c r="D328" s="18" t="str">
        <x:v>High Court of Karnataka</x:v>
      </x:c>
      <x:c r="E328" s="18" t="str">
        <x:v>MOHAMMAD NAWAZ,G BASAVARAJA</x:v>
      </x:c>
      <x:c r="F328" s="18" t="str">
        <x:v>ALLOWED</x:v>
      </x:c>
      <x:c r="G328" s="20" t="str">
        <x:v>https://indian-high-court-judgments.s3.ap-south-1.amazonaws.com/data/pdf/year=2026/court=29_3/bench=karnataka_bng_old/KAHC010058512019_1_2026-08-28.pdf</x:v>
      </x:c>
    </x:row>
    <x:row r="329">
      <x:c r="A329" s="19">
        <x:f>ROUND(COUNTA(A329:G329)/7*100,0)</x:f>
      </x:c>
      <x:c r="B329" s="18" t="str">
        <x:v>ITA/514/2016 of PR. COMMISSIONER OF INCOME TAX-5 Vs M/S NETT APP INDIA PVT LTD</x:v>
      </x:c>
      <x:c r="C329" s="18" t="str">
        <x:v>2026-08-28</x:v>
      </x:c>
      <x:c r="D329" s="18" t="str">
        <x:v>High Court of Karnataka</x:v>
      </x:c>
      <x:c r="E329" s="18" t="str">
        <x:v>S.G.PANDIT,K. V. ARAVIND</x:v>
      </x:c>
      <x:c r="F329" s="18" t="str">
        <x:v>DISPOSED</x:v>
      </x:c>
      <x:c r="G329" s="20" t="str">
        <x:v>https://indian-high-court-judgments.s3.ap-south-1.amazonaws.com/data/pdf/year=2026/court=29_3/bench=karnataka_bng_old/KAHC010422152016_1_2026-08-28.pdf</x:v>
      </x:c>
    </x:row>
    <x:row r="330">
      <x:c r="A330" s="19">
        <x:f>ROUND(COUNTA(A330:G330)/7*100,0)</x:f>
      </x:c>
      <x:c r="B330" s="18" t="str">
        <x:v>CRL.P/13314/2026 of DHRUV SAREEN Vs STATE OF KARNATAKA</x:v>
      </x:c>
      <x:c r="C330" s="18" t="str">
        <x:v>2026-08-28</x:v>
      </x:c>
      <x:c r="D330" s="18" t="str">
        <x:v>High Court of Karnataka</x:v>
      </x:c>
      <x:c r="E330" s="18" t="str">
        <x:v>M.NAGAPRASANNA</x:v>
      </x:c>
      <x:c r="F330" s="18" t="str">
        <x:v>DISPOSED</x:v>
      </x:c>
      <x:c r="G330" s="20" t="str">
        <x:v>https://indian-high-court-judgments.s3.ap-south-1.amazonaws.com/data/pdf/year=2026/court=29_3/bench=karnataka_bng_old/KAHC010601732026_1_2026-08-28.pdf</x:v>
      </x:c>
    </x:row>
    <x:row r="331">
      <x:c r="A331" s="19">
        <x:f>ROUND(COUNTA(A331:G331)/7*100,0)</x:f>
      </x:c>
      <x:c r="B331" s="18" t="str">
        <x:v>WP/26246/2026 of SMT.PUTTAMMA Vs THE STATE OF KARNATAKA</x:v>
      </x:c>
      <x:c r="C331" s="18" t="str">
        <x:v>2026-08-27</x:v>
      </x:c>
      <x:c r="D331" s="18" t="str">
        <x:v>High Court of Karnataka</x:v>
      </x:c>
      <x:c r="E331" s="18" t="str">
        <x:v>SURAJ GOVINDARAJ</x:v>
      </x:c>
      <x:c r="F331" s="18" t="str">
        <x:v>DISPOSED</x:v>
      </x:c>
      <x:c r="G331" s="20" t="str">
        <x:v>https://indian-high-court-judgments.s3.ap-south-1.amazonaws.com/data/pdf/year=2026/court=29_3/bench=karnataka_bng_old/KAHC010576702026_1_2026-08-27.pdf</x:v>
      </x:c>
    </x:row>
    <x:row r="332">
      <x:c r="A332" s="19">
        <x:f>ROUND(COUNTA(A332:G332)/7*100,0)</x:f>
      </x:c>
      <x:c r="B332" s="18" t="str">
        <x:v>WP/26720/2026 of SRI. ALLA BAKHASH Vs THE STATE OF KARNATAKA</x:v>
      </x:c>
      <x:c r="C332" s="18" t="str">
        <x:v>2026-08-28</x:v>
      </x:c>
      <x:c r="D332" s="18" t="str">
        <x:v>High Court of Karnataka</x:v>
      </x:c>
      <x:c r="E332" s="18" t="str">
        <x:v>E.S.INDIRESH</x:v>
      </x:c>
      <x:c r="F332" s="18" t="str">
        <x:v>ALLOWED AND REMANDED</x:v>
      </x:c>
      <x:c r="G332" s="20" t="str">
        <x:v>https://indian-high-court-judgments.s3.ap-south-1.amazonaws.com/data/pdf/year=2026/court=29_3/bench=karnataka_bng_old/KAHC010593182026_1_2026-08-28.pdf</x:v>
      </x:c>
    </x:row>
    <x:row r="333">
      <x:c r="A333" s="19">
        <x:f>ROUND(COUNTA(A333:G333)/7*100,0)</x:f>
      </x:c>
      <x:c r="B333" s="18" t="str">
        <x:v>CRL.P/6240/2020 of SRI RAJAGOPAL Vs STATE OF KARNATAKA</x:v>
      </x:c>
      <x:c r="C333" s="18" t="str">
        <x:v>2026-08-31</x:v>
      </x:c>
      <x:c r="D333" s="18" t="str">
        <x:v>High Court of Karnataka</x:v>
      </x:c>
      <x:c r="E333" s="18" t="str">
        <x:v>RAVI V HOSMANI</x:v>
      </x:c>
      <x:c r="F333" s="18" t="str">
        <x:v>ALLOWED</x:v>
      </x:c>
      <x:c r="G333" s="20" t="str">
        <x:v>https://indian-high-court-judgments.s3.ap-south-1.amazonaws.com/data/pdf/year=2026/court=29_3/bench=karnataka_bng_old/KAHC010337962020_1_2026-08-31.pdf</x:v>
      </x:c>
    </x:row>
    <x:row r="334">
      <x:c r="A334" s="19">
        <x:f>ROUND(COUNTA(A334:G334)/7*100,0)</x:f>
      </x:c>
      <x:c r="B334" s="18" t="str">
        <x:v>WP/26941/2026 of SRI. VITTAL BHAT Vs THE DEPUTY COMMISSIONER</x:v>
      </x:c>
      <x:c r="C334" s="18" t="str">
        <x:v>2026-08-28</x:v>
      </x:c>
      <x:c r="D334" s="18" t="str">
        <x:v>High Court of Karnataka</x:v>
      </x:c>
      <x:c r="E334" s="18" t="str">
        <x:v>SURAJ GOVINDARAJ</x:v>
      </x:c>
      <x:c r="F334" s="18" t="str">
        <x:v>DISPOSED</x:v>
      </x:c>
      <x:c r="G334" s="20" t="str">
        <x:v>https://indian-high-court-judgments.s3.ap-south-1.amazonaws.com/data/pdf/year=2026/court=29_3/bench=karnataka_bng_old/KAHC010601232026_1_2026-08-28.pdf</x:v>
      </x:c>
    </x:row>
    <x:row r="335">
      <x:c r="A335" s="19">
        <x:f>ROUND(COUNTA(A335:G335)/7*100,0)</x:f>
      </x:c>
      <x:c r="B335" s="18" t="str">
        <x:v>WP/7801/2026 of SRI S P SURESH Vs LATE SMT VINODA SATISH</x:v>
      </x:c>
      <x:c r="C335" s="18" t="str">
        <x:v>2026-08-28</x:v>
      </x:c>
      <x:c r="D335" s="18" t="str">
        <x:v>High Court of Karnataka</x:v>
      </x:c>
      <x:c r="E335" s="18" t="str">
        <x:v>B.PRAMOD</x:v>
      </x:c>
      <x:c r="F335" s="18" t="str">
        <x:v>DISPOSED</x:v>
      </x:c>
      <x:c r="G335" s="20" t="str">
        <x:v>https://indian-high-court-judgments.s3.ap-south-1.amazonaws.com/data/pdf/year=2026/court=29_3/bench=karnataka_bng_old/KAHC010177692026_1_2026-08-28.pdf</x:v>
      </x:c>
    </x:row>
    <x:row r="336">
      <x:c r="A336" s="19">
        <x:f>ROUND(COUNTA(A336:G336)/7*100,0)</x:f>
      </x:c>
      <x:c r="B336" s="18" t="str">
        <x:v>MFA/8982/2018 of SRI NANJUNDAPPA Vs THE SPECIAL LAND ACQUISITION OFFICER</x:v>
      </x:c>
      <x:c r="C336" s="18" t="str">
        <x:v>2026-08-28</x:v>
      </x:c>
      <x:c r="D336" s="18" t="str">
        <x:v>High Court of Karnataka</x:v>
      </x:c>
      <x:c r="E336" s="18" t="str">
        <x:v>ANU SIVARAMAN,T.P.VIVEKANANDA</x:v>
      </x:c>
      <x:c r="F336" s="18" t="str">
        <x:v>DISPOSED</x:v>
      </x:c>
      <x:c r="G336" s="20" t="str">
        <x:v>https://indian-high-court-judgments.s3.ap-south-1.amazonaws.com/data/pdf/year=2026/court=29_3/bench=karnataka_bng_old/KAHC010213642018_1_2025-04-09.pdf</x:v>
      </x:c>
    </x:row>
    <x:row r="337">
      <x:c r="A337" s="19">
        <x:f>ROUND(COUNTA(A337:G337)/7*100,0)</x:f>
      </x:c>
      <x:c r="B337" s="18" t="str">
        <x:v>WP/27213/2026 of SRI.AKKALA REDDY Vs THE STATE OF KARNATAKA</x:v>
      </x:c>
      <x:c r="C337" s="18" t="str">
        <x:v>2026-08-31</x:v>
      </x:c>
      <x:c r="D337" s="18" t="str">
        <x:v>High Court of Karnataka</x:v>
      </x:c>
      <x:c r="E337" s="18" t="str">
        <x:v>SURAJ GOVINDARAJ</x:v>
      </x:c>
      <x:c r="F337" s="18" t="str">
        <x:v>DISPOSED</x:v>
      </x:c>
      <x:c r="G337" s="20" t="str">
        <x:v>https://indian-high-court-judgments.s3.ap-south-1.amazonaws.com/data/pdf/year=2026/court=29_3/bench=karnataka_bng_old/KAHC010601092026_1_2026-08-31.pdf</x:v>
      </x:c>
    </x:row>
    <x:row r="338">
      <x:c r="A338" s="19">
        <x:f>ROUND(COUNTA(A338:G338)/7*100,0)</x:f>
      </x:c>
      <x:c r="B338" s="18" t="str">
        <x:v>WP/6511/2026 of SRI. KISHORE KUMAR PRASAD Vs THE STATE OF KARNATAKA</x:v>
      </x:c>
      <x:c r="C338" s="18" t="str">
        <x:v>2026-08-31</x:v>
      </x:c>
      <x:c r="D338" s="18" t="str">
        <x:v>High Court of Karnataka</x:v>
      </x:c>
      <x:c r="E338" s="18" t="str">
        <x:v>E.S.INDIRESH</x:v>
      </x:c>
      <x:c r="F338" s="18" t="str">
        <x:v>ALLOWED</x:v>
      </x:c>
      <x:c r="G338" s="20" t="str">
        <x:v>https://indian-high-court-judgments.s3.ap-south-1.amazonaws.com/data/pdf/year=2026/court=29_3/bench=karnataka_bng_old/KAHC010145462026_1_2026-08-31.pdf</x:v>
      </x:c>
    </x:row>
    <x:row r="339">
      <x:c r="A339" s="19">
        <x:f>ROUND(COUNTA(A339:G339)/7*100,0)</x:f>
      </x:c>
      <x:c r="B339" s="18" t="str">
        <x:v>WP/2644/2023 of CANARA BANK Vs MR Y B SHIVASHANKAR</x:v>
      </x:c>
      <x:c r="C339" s="18" t="str">
        <x:v>2026-08-28</x:v>
      </x:c>
      <x:c r="D339" s="18" t="str">
        <x:v>High Court of Karnataka</x:v>
      </x:c>
      <x:c r="E339" s="18" t="str">
        <x:v>H.T. NARENDRA PRASAD</x:v>
      </x:c>
      <x:c r="F339" s="18" t="str">
        <x:v>DISPOSED</x:v>
      </x:c>
      <x:c r="G339" s="20" t="str">
        <x:v>https://indian-high-court-judgments.s3.ap-south-1.amazonaws.com/data/pdf/year=2026/court=29_3/bench=karnataka_bng_old/KAHC010059062023_1_2026-08-28.pdf</x:v>
      </x:c>
    </x:row>
    <x:row r="340">
      <x:c r="A340" s="19">
        <x:f>ROUND(COUNTA(A340:G340)/7*100,0)</x:f>
      </x:c>
      <x:c r="B340" s="18" t="str">
        <x:v>WA/1708/2025 of ESSAR RENEWABLES LIMITED Vs M/S. RAYS POWER INFRA LIMITED</x:v>
      </x:c>
      <x:c r="C340" s="18" t="str">
        <x:v>2026-08-28</x:v>
      </x:c>
      <x:c r="D340" s="18" t="str">
        <x:v>High Court of Karnataka</x:v>
      </x:c>
      <x:c r="E340" s="18" t="str">
        <x:v>CHIEF JUSTICE,K.S. HEMALEKHA</x:v>
      </x:c>
      <x:c r="F340" s="18" t="str">
        <x:v>ALLOWED</x:v>
      </x:c>
      <x:c r="G340" s="20" t="str">
        <x:v>https://indian-high-court-judgments.s3.ap-south-1.amazonaws.com/data/pdf/year=2026/court=29_3/bench=karnataka_bng_old/KAHC010668382025_1_2026-08-28.pdf</x:v>
      </x:c>
    </x:row>
    <x:row r="341">
      <x:c r="A341" s="19">
        <x:f>ROUND(COUNTA(A341:G341)/7*100,0)</x:f>
      </x:c>
      <x:c r="B341" s="18" t="str">
        <x:v>WP/26817/2026 of SMT ARPITAH AN J Vs THE STATE OF KARNATAKA</x:v>
      </x:c>
      <x:c r="C341" s="18" t="str">
        <x:v>2026-09-03</x:v>
      </x:c>
      <x:c r="D341" s="18" t="str">
        <x:v>High Court of Karnataka</x:v>
      </x:c>
      <x:c r="E341" s="18" t="str">
        <x:v>ASHOK S.KINAGI</x:v>
      </x:c>
      <x:c r="F341" s="18" t="str">
        <x:v>DISPOSED</x:v>
      </x:c>
      <x:c r="G341" s="20" t="str">
        <x:v>https://indian-high-court-judgments.s3.ap-south-1.amazonaws.com/data/pdf/year=2026/court=29_3/bench=karnataka_bng_old/KAHC010596942026_1_2026-09-03.pdf</x:v>
      </x:c>
    </x:row>
    <x:row r="342">
      <x:c r="A342" s="19">
        <x:f>ROUND(COUNTA(A342:G342)/7*100,0)</x:f>
      </x:c>
      <x:c r="B342" s="18" t="str">
        <x:v>WP/2276/2023 of SRI S K RAGHUPATHI Vs SRI S JAYASWAMY</x:v>
      </x:c>
      <x:c r="C342" s="18" t="str">
        <x:v>2026-08-29</x:v>
      </x:c>
      <x:c r="D342" s="18" t="str">
        <x:v>High Court of Karnataka</x:v>
      </x:c>
      <x:c r="E342" s="18" t="str">
        <x:v>VIJAYKUMAR A. PATIL</x:v>
      </x:c>
      <x:c r="F342" s="18" t="str">
        <x:v>ALLOWED</x:v>
      </x:c>
      <x:c r="G342" s="20" t="str">
        <x:v>https://indian-high-court-judgments.s3.ap-south-1.amazonaws.com/data/pdf/year=2026/court=29_3/bench=karnataka_bng_old/KAHC010052912023_1_2026-08-29.pdf</x:v>
      </x:c>
    </x:row>
    <x:row r="343">
      <x:c r="A343" s="19">
        <x:f>ROUND(COUNTA(A343:G343)/7*100,0)</x:f>
      </x:c>
      <x:c r="B343" s="18" t="str">
        <x:v>CRL.P/13396/2026 of SRI. D M LAKSHMANA Vs THE STATE OF KARNATAKA</x:v>
      </x:c>
      <x:c r="C343" s="18" t="str">
        <x:v>2026-09-02</x:v>
      </x:c>
      <x:c r="D343" s="18" t="str">
        <x:v>High Court of Karnataka</x:v>
      </x:c>
      <x:c r="E343" s="18" t="str">
        <x:v>M.NAGAPRASANNA</x:v>
      </x:c>
      <x:c r="F343" s="18" t="str">
        <x:v>DISPOSED</x:v>
      </x:c>
      <x:c r="G343" s="20" t="str">
        <x:v>https://indian-high-court-judgments.s3.ap-south-1.amazonaws.com/data/pdf/year=2026/court=29_3/bench=karnataka_bng_old/KAHC010591952026_1_2026-09-02.pdf</x:v>
      </x:c>
    </x:row>
    <x:row r="344">
      <x:c r="A344" s="19">
        <x:f>ROUND(COUNTA(A344:G344)/7*100,0)</x:f>
      </x:c>
      <x:c r="B344" s="18" t="str">
        <x:v>CRL.A/1438/2026 of LOKESH M Vs STATE OF KARNATAKA</x:v>
      </x:c>
      <x:c r="C344" s="18" t="str">
        <x:v>2026-08-31</x:v>
      </x:c>
      <x:c r="D344" s="18" t="str">
        <x:v>High Court of Karnataka</x:v>
      </x:c>
      <x:c r="E344" s="18" t="str">
        <x:v>S RACHAIAH</x:v>
      </x:c>
      <x:c r="F344" s="18" t="str">
        <x:v>DISMISSED</x:v>
      </x:c>
      <x:c r="G344" s="20" t="str">
        <x:v>https://indian-high-court-judgments.s3.ap-south-1.amazonaws.com/data/pdf/year=2026/court=29_3/bench=karnataka_bng_old/KAHC010586772026_1_2026-08-31.pdf</x:v>
      </x:c>
    </x:row>
    <x:row r="345">
      <x:c r="A345" s="19">
        <x:f>ROUND(COUNTA(A345:G345)/7*100,0)</x:f>
      </x:c>
      <x:c r="B345" s="18" t="str">
        <x:v>RSA/2094/2021 of SMT PUTTAMMA Vs THE STATE OF KARNATAKA</x:v>
      </x:c>
      <x:c r="C345" s="18" t="str">
        <x:v>2026-08-31</x:v>
      </x:c>
      <x:c r="D345" s="18" t="str">
        <x:v>High Court of Karnataka</x:v>
      </x:c>
      <x:c r="E345" s="18" t="str">
        <x:v>V SRISHANANDA</x:v>
      </x:c>
      <x:c r="F345" s="18" t="str">
        <x:v>Dismissed for Non-Prosecution</x:v>
      </x:c>
      <x:c r="G345" s="20" t="str">
        <x:v>https://indian-high-court-judgments.s3.ap-south-1.amazonaws.com/data/pdf/year=2026/court=29_3/bench=karnataka_bng_old/KAHC010360992021_1_2026-07-01.pdf</x:v>
      </x:c>
    </x:row>
    <x:row r="346">
      <x:c r="A346" s="19">
        <x:f>ROUND(COUNTA(A346:G346)/7*100,0)</x:f>
      </x:c>
      <x:c r="B346" s="18" t="str">
        <x:v>MFA/5407/2019 of VEERABASAPPA @ RAJU Vs VIJAYAKUMAR B.E</x:v>
      </x:c>
      <x:c r="C346" s="18" t="str">
        <x:v>2026-09-03</x:v>
      </x:c>
      <x:c r="D346" s="18" t="str">
        <x:v>High Court of Karnataka</x:v>
      </x:c>
      <x:c r="E346" s="18" t="str">
        <x:v>CHILLAKUR SUMALATHA</x:v>
      </x:c>
      <x:c r="F346" s="18" t="str">
        <x:v>Partly Allowed</x:v>
      </x:c>
      <x:c r="G346" s="20" t="str">
        <x:v>https://indian-high-court-judgments.s3.ap-south-1.amazonaws.com/data/pdf/year=2026/court=29_3/bench=karnataka_bng_old/KAHC010387022019_1_2026-09-03.pdf</x:v>
      </x:c>
    </x:row>
    <x:row r="347">
      <x:c r="A347" s="19">
        <x:f>ROUND(COUNTA(A347:G347)/7*100,0)</x:f>
      </x:c>
      <x:c r="B347" s="18" t="str">
        <x:v>CRL.A/1260/2019 of THE STATE OF KARNATAKA Vs NAVEEN P</x:v>
      </x:c>
      <x:c r="C347" s="18" t="str">
        <x:v>2026-08-29</x:v>
      </x:c>
      <x:c r="D347" s="18" t="str">
        <x:v>High Court of Karnataka</x:v>
      </x:c>
      <x:c r="E347" s="18" t="str">
        <x:v>H.P.SANDESH,B.PRAMOD</x:v>
      </x:c>
      <x:c r="F347" s="18" t="str">
        <x:v>DISMISSED</x:v>
      </x:c>
      <x:c r="G347" s="20" t="str">
        <x:v>https://indian-high-court-judgments.s3.ap-south-1.amazonaws.com/data/pdf/year=2026/court=29_3/bench=karnataka_bng_old/KAHC010188592019_1_2026-08-29.pdf</x:v>
      </x:c>
    </x:row>
    <x:row r="348">
      <x:c r="A348" s="19">
        <x:f>ROUND(COUNTA(A348:G348)/7*100,0)</x:f>
      </x:c>
      <x:c r="B348" s="18" t="str">
        <x:v>WP/5912/2024 of SYSTEMANTICS INDIA PVT LD Vs MR SADASHIV J SHENOY</x:v>
      </x:c>
      <x:c r="C348" s="18" t="str">
        <x:v>2026-08-27</x:v>
      </x:c>
      <x:c r="D348" s="18" t="str">
        <x:v>High Court of Karnataka</x:v>
      </x:c>
      <x:c r="E348" s="18" t="str">
        <x:v>JYOTI M</x:v>
      </x:c>
      <x:c r="F348" s="18" t="str">
        <x:v>ALLOWED</x:v>
      </x:c>
      <x:c r="G348" s="20" t="str">
        <x:v>https://indian-high-court-judgments.s3.ap-south-1.amazonaws.com/data/pdf/year=2026/court=29_3/bench=karnataka_bng_old/KAHC010080962024_1_2026-08-27.pdf</x:v>
      </x:c>
    </x:row>
    <x:row r="349">
      <x:c r="A349" s="19">
        <x:f>ROUND(COUNTA(A349:G349)/7*100,0)</x:f>
      </x:c>
      <x:c r="B349" s="18" t="str">
        <x:v>CRP/304/2025 of SRI H VIJAY KUMAR, Vs SRI. MADDINI RAMAIAH CHOUDARY,</x:v>
      </x:c>
      <x:c r="C349" s="18" t="str">
        <x:v>2026-09-03</x:v>
      </x:c>
      <x:c r="D349" s="18" t="str">
        <x:v>High Court of Karnataka</x:v>
      </x:c>
      <x:c r="E349" s="18" t="str">
        <x:v>LALITHA KANNEGANTI</x:v>
      </x:c>
      <x:c r="F349" s="18" t="str">
        <x:v>DISMISSED</x:v>
      </x:c>
      <x:c r="G349" s="20" t="str">
        <x:v>https://indian-high-court-judgments.s3.ap-south-1.amazonaws.com/data/pdf/year=2026/court=29_3/bench=karnataka_bng_old/KAHC010071852025_1_2026-09-03.pdf</x:v>
      </x:c>
    </x:row>
    <x:row r="350">
      <x:c r="A350" s="19">
        <x:f>ROUND(COUNTA(A350:G350)/7*100,0)</x:f>
      </x:c>
      <x:c r="B350" s="18" t="str">
        <x:v>CRL.P/11933/2026 of SHASHIKUMAR Vs STATE OF KARNATAKA</x:v>
      </x:c>
      <x:c r="C350" s="18" t="str">
        <x:v>2026-08-29</x:v>
      </x:c>
      <x:c r="D350" s="18" t="str">
        <x:v>High Court of Karnataka</x:v>
      </x:c>
      <x:c r="E350" s="18" t="str">
        <x:v>S VISHWAJITH SHETTY</x:v>
      </x:c>
      <x:c r="F350" s="18" t="str">
        <x:v>DISMISSED</x:v>
      </x:c>
      <x:c r="G350" s="20" t="str">
        <x:v>https://indian-high-court-judgments.s3.ap-south-1.amazonaws.com/data/pdf/year=2026/court=29_3/bench=karnataka_bng_old/KAHC010540762026_1_2026-08-29.pdf</x:v>
      </x:c>
    </x:row>
    <x:row r="351">
      <x:c r="A351" s="19">
        <x:f>ROUND(COUNTA(A351:G351)/7*100,0)</x:f>
      </x:c>
      <x:c r="B351" s="18" t="str">
        <x:v>WP/25132/2024 of SRI G VENKATARAVANAPPA Vs THE SECRETARY</x:v>
      </x:c>
      <x:c r="C351" s="18" t="str">
        <x:v>2026-09-02</x:v>
      </x:c>
      <x:c r="D351" s="18" t="str">
        <x:v>High Court of Karnataka</x:v>
      </x:c>
      <x:c r="E351" s="18" t="str">
        <x:v>SURAJ GOVINDARAJ</x:v>
      </x:c>
      <x:c r="F351" s="18" t="str">
        <x:v>ALLOWED</x:v>
      </x:c>
      <x:c r="G351" s="20" t="str">
        <x:v>https://indian-high-court-judgments.s3.ap-south-1.amazonaws.com/data/pdf/year=2026/court=29_3/bench=karnataka_bng_old/KAHC010520222024_1_2026-09-02.pdf</x:v>
      </x:c>
    </x:row>
    <x:row r="352">
      <x:c r="A352" s="19">
        <x:f>ROUND(COUNTA(A352:G352)/7*100,0)</x:f>
      </x:c>
      <x:c r="B352" s="18" t="str">
        <x:v>CRL.P/6774/2019 of SRI. MANJUNATH K Vs STATE OF KARNATAKA BY</x:v>
      </x:c>
      <x:c r="C352" s="18" t="str">
        <x:v>2026-09-02</x:v>
      </x:c>
      <x:c r="D352" s="18" t="str">
        <x:v>High Court of Karnataka</x:v>
      </x:c>
      <x:c r="E352" s="18" t="str">
        <x:v>RAVI V HOSMANI</x:v>
      </x:c>
      <x:c r="F352" s="18" t="str">
        <x:v>DISMISSED</x:v>
      </x:c>
      <x:c r="G352" s="20" t="str">
        <x:v>https://indian-high-court-judgments.s3.ap-south-1.amazonaws.com/data/pdf/year=2026/court=29_3/bench=karnataka_bng_old/KAHC010294212019_1_2026-09-02.pdf</x:v>
      </x:c>
    </x:row>
    <x:row r="353">
      <x:c r="A353" s="19">
        <x:f>ROUND(COUNTA(A353:G353)/7*100,0)</x:f>
      </x:c>
      <x:c r="B353" s="18" t="str">
        <x:v>WP/3475/2023 of RAJENDRA @ RAGHAVENDRA Vs AROKY MARY LILEE</x:v>
      </x:c>
      <x:c r="C353" s="18" t="str">
        <x:v>2026-08-29</x:v>
      </x:c>
      <x:c r="D353" s="18" t="str">
        <x:v>High Court of Karnataka</x:v>
      </x:c>
      <x:c r="E353" s="18" t="str">
        <x:v>VIJAYKUMAR A. PATIL</x:v>
      </x:c>
      <x:c r="F353" s="18" t="str">
        <x:v>DISMISSED</x:v>
      </x:c>
      <x:c r="G353" s="20" t="str">
        <x:v>https://indian-high-court-judgments.s3.ap-south-1.amazonaws.com/data/pdf/year=2026/court=29_3/bench=karnataka_bng_old/KAHC010084772023_1_2026-08-29.pdf</x:v>
      </x:c>
    </x:row>
    <x:row r="354">
      <x:c r="A354" s="19">
        <x:f>ROUND(COUNTA(A354:G354)/7*100,0)</x:f>
      </x:c>
      <x:c r="B354" s="18" t="str">
        <x:v>WP/24771/2026 of MR. ASHWIN LESTER ASHOK SERRAO Vs STATE OF KARNATAKA</x:v>
      </x:c>
      <x:c r="C354" s="18" t="str">
        <x:v>2026-08-27</x:v>
      </x:c>
      <x:c r="D354" s="18" t="str">
        <x:v>High Court of Karnataka</x:v>
      </x:c>
      <x:c r="E354" s="18" t="str">
        <x:v>M.NAGAPRASANNA</x:v>
      </x:c>
      <x:c r="F354" s="18" t="str">
        <x:v>ALLOWED</x:v>
      </x:c>
      <x:c r="G354" s="20" t="str">
        <x:v>https://indian-high-court-judgments.s3.ap-south-1.amazonaws.com/data/pdf/year=2026/court=29_3/bench=karnataka_bng_old/KAHC010545502026_1_2026-08-27.pdf</x:v>
      </x:c>
    </x:row>
    <x:row r="355">
      <x:c r="A355" s="19">
        <x:f>ROUND(COUNTA(A355:G355)/7*100,0)</x:f>
      </x:c>
      <x:c r="B355" s="18" t="str">
        <x:v>WP/4651/2026 of SRI NARASIMHAIAH Vs SRI JAVARAYIGOWDA M</x:v>
      </x:c>
      <x:c r="C355" s="18" t="str">
        <x:v>2026-09-02</x:v>
      </x:c>
      <x:c r="D355" s="18" t="str">
        <x:v>High Court of Karnataka</x:v>
      </x:c>
      <x:c r="E355" s="18" t="str">
        <x:v>LALITHA KANNEGANTI</x:v>
      </x:c>
      <x:c r="F355" s="18" t="str">
        <x:v>DISPOSED</x:v>
      </x:c>
      <x:c r="G355" s="20" t="str">
        <x:v>https://indian-high-court-judgments.s3.ap-south-1.amazonaws.com/data/pdf/year=2026/court=29_3/bench=karnataka_bng_old/KAHC010109812026_1_2026-09-02.pdf</x:v>
      </x:c>
    </x:row>
    <x:row r="356">
      <x:c r="A356" s="19">
        <x:f>ROUND(COUNTA(A356:G356)/7*100,0)</x:f>
      </x:c>
      <x:c r="B356" s="18" t="str">
        <x:v>CRL.P/11703/2025 of VRUSHANK R @ VRUSHNAK Vs STATE OF KARNATAKA</x:v>
      </x:c>
      <x:c r="C356" s="18" t="str">
        <x:v>2026-08-29</x:v>
      </x:c>
      <x:c r="D356" s="18" t="str">
        <x:v>High Court of Karnataka</x:v>
      </x:c>
      <x:c r="E356" s="18" t="str">
        <x:v>M.NAGAPRASANNA</x:v>
      </x:c>
      <x:c r="F356" s="18" t="str">
        <x:v>DISPOSED</x:v>
      </x:c>
      <x:c r="G356" s="20" t="str">
        <x:v>https://indian-high-court-judgments.s3.ap-south-1.amazonaws.com/data/pdf/year=2026/court=29_3/bench=karnataka_bng_old/KAHC010530532025_1_2026-08-29.pdf</x:v>
      </x:c>
    </x:row>
    <x:row r="357">
      <x:c r="A357" s="19">
        <x:f>ROUND(COUNTA(A357:G357)/7*100,0)</x:f>
      </x:c>
      <x:c r="B357" s="18" t="str">
        <x:v>CRL.A/110/2017 of SMT RAMADEVI Vs KUM DHANALAKSHMI</x:v>
      </x:c>
      <x:c r="C357" s="18" t="str">
        <x:v>2026-08-28</x:v>
      </x:c>
      <x:c r="D357" s="18" t="str">
        <x:v>High Court of Karnataka</x:v>
      </x:c>
      <x:c r="E357" s="18" t="str">
        <x:v>SHIVASHANKAR AMARANNAVAR</x:v>
      </x:c>
      <x:c r="F357" s="18" t="str">
        <x:v>ALLOWED</x:v>
      </x:c>
      <x:c r="G357" s="20" t="str">
        <x:v>https://indian-high-court-judgments.s3.ap-south-1.amazonaws.com/data/pdf/year=2026/court=29_3/bench=karnataka_bng_old/KAHC010548742017_1_2026-08-28.pdf</x:v>
      </x:c>
    </x:row>
    <x:row r="358">
      <x:c r="A358" s="19">
        <x:f>ROUND(COUNTA(A358:G358)/7*100,0)</x:f>
      </x:c>
      <x:c r="B358" s="18" t="str">
        <x:v>WP/19729/2026 of DR. MANIL RAJ Vs THE STATE OF KARNATAKA</x:v>
      </x:c>
      <x:c r="C358" s="18" t="str">
        <x:v>2026-08-29</x:v>
      </x:c>
      <x:c r="D358" s="18" t="str">
        <x:v>High Court of Karnataka</x:v>
      </x:c>
      <x:c r="E358" s="18" t="str">
        <x:v>R DEVDAS,K.MANMADHA RAO</x:v>
      </x:c>
      <x:c r="F358" s="18" t="str">
        <x:v>DISPOSED</x:v>
      </x:c>
      <x:c r="G358" s="20" t="str">
        <x:v>https://indian-high-court-judgments.s3.ap-south-1.amazonaws.com/data/pdf/year=2026/court=29_3/bench=karnataka_bng_old/KAHC010438892026_1_2026-08-29.pdf</x:v>
      </x:c>
    </x:row>
    <x:row r="359">
      <x:c r="A359" s="19">
        <x:f>ROUND(COUNTA(A359:G359)/7*100,0)</x:f>
      </x:c>
      <x:c r="B359" s="18" t="str">
        <x:v>WP/26525/2026 of MR ISAK PUNCHAME Vs STATE OF KARNATAKA</x:v>
      </x:c>
      <x:c r="C359" s="18" t="str">
        <x:v>2026-08-31</x:v>
      </x:c>
      <x:c r="D359" s="18" t="str">
        <x:v>High Court of Karnataka</x:v>
      </x:c>
      <x:c r="E359" s="18" t="str">
        <x:v>SURAJ GOVINDARAJ</x:v>
      </x:c>
      <x:c r="F359" s="18" t="str">
        <x:v>DISPOSED</x:v>
      </x:c>
      <x:c r="G359" s="20" t="str">
        <x:v>https://indian-high-court-judgments.s3.ap-south-1.amazonaws.com/data/pdf/year=2026/court=29_3/bench=karnataka_bng_old/KAHC010581072026_1_2026-08-31.pdf</x:v>
      </x:c>
    </x:row>
    <x:row r="360">
      <x:c r="A360" s="19">
        <x:f>ROUND(COUNTA(A360:G360)/7*100,0)</x:f>
      </x:c>
      <x:c r="B360" s="18" t="str">
        <x:v>CRL.P/12098/2026 of SUHAIL @ MOHAMMED SUHAIL Vs THE STATE OF KARNATAKA</x:v>
      </x:c>
      <x:c r="C360" s="18" t="str">
        <x:v>2026-09-01</x:v>
      </x:c>
      <x:c r="D360" s="18" t="str">
        <x:v>High Court of Karnataka</x:v>
      </x:c>
      <x:c r="E360" s="18" t="str">
        <x:v>S VISHWAJITH SHETTY</x:v>
      </x:c>
      <x:c r="F360" s="18" t="str">
        <x:v>ALLOWED</x:v>
      </x:c>
      <x:c r="G360" s="20" t="str">
        <x:v>https://indian-high-court-judgments.s3.ap-south-1.amazonaws.com/data/pdf/year=2026/court=29_3/bench=karnataka_bng_old/KAHC010547482026_1_2026-09-01.pdf</x:v>
      </x:c>
    </x:row>
    <x:row r="361">
      <x:c r="A361" s="19">
        <x:f>ROUND(COUNTA(A361:G361)/7*100,0)</x:f>
      </x:c>
      <x:c r="B361" s="18" t="str">
        <x:v>RFA/1184/2018 of DHRUVA TALWALKAR Vs M/S SRI LAKSHMI STEEL SUPPLIERS</x:v>
      </x:c>
      <x:c r="C361" s="18" t="str">
        <x:v>2026-08-28</x:v>
      </x:c>
      <x:c r="D361" s="18" t="str">
        <x:v>High Court of Karnataka</x:v>
      </x:c>
      <x:c r="E361" s="18" t="str">
        <x:v>M.I.ARUN</x:v>
      </x:c>
      <x:c r="F361" s="18" t="str">
        <x:v>DISMISSED</x:v>
      </x:c>
      <x:c r="G361" s="20" t="str">
        <x:v>https://indian-high-court-judgments.s3.ap-south-1.amazonaws.com/data/pdf/year=2026/court=29_3/bench=karnataka_bng_old/KAHC010175862018_1_2026-08-28.pdf</x:v>
      </x:c>
    </x:row>
    <x:row r="362">
      <x:c r="A362" s="19">
        <x:f>ROUND(COUNTA(A362:G362)/7*100,0)</x:f>
      </x:c>
      <x:c r="B362" s="18" t="str">
        <x:v>WP/21106/2022 of SRI V K NARAYANA Vs SRI V DEVAPRASAD</x:v>
      </x:c>
      <x:c r="C362" s="18" t="str">
        <x:v>2026-08-27</x:v>
      </x:c>
      <x:c r="D362" s="18" t="str">
        <x:v>High Court of Karnataka</x:v>
      </x:c>
      <x:c r="E362" s="18" t="str">
        <x:v>VIJAYKUMAR A. PATIL</x:v>
      </x:c>
      <x:c r="F362" s="18" t="str">
        <x:v>DISMISSED</x:v>
      </x:c>
      <x:c r="G362" s="20" t="str">
        <x:v>https://indian-high-court-judgments.s3.ap-south-1.amazonaws.com/data/pdf/year=2026/court=29_3/bench=karnataka_bng_old/KAHC010486682022_1_2026-08-27.pdf</x:v>
      </x:c>
    </x:row>
    <x:row r="363">
      <x:c r="A363" s="19">
        <x:f>ROUND(COUNTA(A363:G363)/7*100,0)</x:f>
      </x:c>
      <x:c r="B363" s="18" t="str">
        <x:v>CRL.P/10380/2026 of SMT VASUKI RAMASWAMY Vs STATE BY</x:v>
      </x:c>
      <x:c r="C363" s="18" t="str">
        <x:v>2026-08-27</x:v>
      </x:c>
      <x:c r="D363" s="18" t="str">
        <x:v>High Court of Karnataka</x:v>
      </x:c>
      <x:c r="E363" s="18" t="str">
        <x:v>S VISHWAJITH SHETTY</x:v>
      </x:c>
      <x:c r="F363" s="18" t="str">
        <x:v>ALLOWED</x:v>
      </x:c>
      <x:c r="G363" s="20" t="str">
        <x:v>https://indian-high-court-judgments.s3.ap-south-1.amazonaws.com/data/pdf/year=2026/court=29_3/bench=karnataka_bng_old/KAHC010480162026_1_2026-08-27.pdf</x:v>
      </x:c>
    </x:row>
    <x:row r="364">
      <x:c r="A364" s="19">
        <x:f>ROUND(COUNTA(A364:G364)/7*100,0)</x:f>
      </x:c>
      <x:c r="B364" s="18" t="str">
        <x:v>WP/9135/2025 of SRI J L NANJUNDA SWAMY Vs THE MANAGING DIRECTOR</x:v>
      </x:c>
      <x:c r="C364" s="18" t="str">
        <x:v>2026-08-29</x:v>
      </x:c>
      <x:c r="D364" s="18" t="str">
        <x:v>High Court of Karnataka</x:v>
      </x:c>
      <x:c r="E364" s="18" t="str">
        <x:v>ASHOK S.KINAGI</x:v>
      </x:c>
      <x:c r="F364" s="18" t="str">
        <x:v>DISPOSED</x:v>
      </x:c>
      <x:c r="G364" s="20" t="str">
        <x:v>https://indian-high-court-judgments.s3.ap-south-1.amazonaws.com/data/pdf/year=2026/court=29_3/bench=karnataka_bng_old/KAHC010182592025_1_2026-08-29.pdf</x:v>
      </x:c>
    </x:row>
    <x:row r="365">
      <x:c r="A365" s="19">
        <x:f>ROUND(COUNTA(A365:G365)/7*100,0)</x:f>
      </x:c>
      <x:c r="B365" s="18" t="str">
        <x:v>WP/27348/2026 of MRS PARVATHAMMA Vs CENTRAL BANK OF INDIA</x:v>
      </x:c>
      <x:c r="C365" s="18" t="str">
        <x:v>2026-08-31</x:v>
      </x:c>
      <x:c r="D365" s="18" t="str">
        <x:v>High Court of Karnataka</x:v>
      </x:c>
      <x:c r="E365" s="18" t="str">
        <x:v>JYOTI M</x:v>
      </x:c>
      <x:c r="F365" s="18" t="str">
        <x:v>DISMISSED</x:v>
      </x:c>
      <x:c r="G365" s="20" t="str">
        <x:v>https://indian-high-court-judgments.s3.ap-south-1.amazonaws.com/data/pdf/year=2026/court=29_3/bench=karnataka_bng_old/KAHC010609322026_1_2026-08-31.pdf</x:v>
      </x:c>
    </x:row>
    <x:row r="366">
      <x:c r="A366" s="19">
        <x:f>ROUND(COUNTA(A366:G366)/7*100,0)</x:f>
      </x:c>
      <x:c r="B366" s="18" t="str">
        <x:v>CRL.P/11845/2026 of B.S RAJESH, Vs THE STATE OF KARNATAKA</x:v>
      </x:c>
      <x:c r="C366" s="18" t="str">
        <x:v>2026-09-01</x:v>
      </x:c>
      <x:c r="D366" s="18" t="str">
        <x:v>High Court of Karnataka</x:v>
      </x:c>
      <x:c r="E366" s="18" t="str">
        <x:v>S VISHWAJITH SHETTY</x:v>
      </x:c>
      <x:c r="F366" s="18" t="str">
        <x:v>ALLOWED</x:v>
      </x:c>
      <x:c r="G366" s="20" t="str">
        <x:v>https://indian-high-court-judgments.s3.ap-south-1.amazonaws.com/data/pdf/year=2026/court=29_3/bench=karnataka_bng_old/KAHC010541742026_1_2026-09-01.pdf</x:v>
      </x:c>
    </x:row>
    <x:row r="367">
      <x:c r="A367" s="19">
        <x:f>ROUND(COUNTA(A367:G367)/7*100,0)</x:f>
      </x:c>
      <x:c r="B367" s="18" t="str">
        <x:v>WP/26783/2026 of M/S BENKA DEVELOPERS AND PROJECTS PVT LTD Vs THE STATE OF KARNATAKA</x:v>
      </x:c>
      <x:c r="C367" s="18" t="str">
        <x:v>2026-08-28</x:v>
      </x:c>
      <x:c r="D367" s="18" t="str">
        <x:v>High Court of Karnataka</x:v>
      </x:c>
      <x:c r="E367" s="18" t="str">
        <x:v>SURAJ GOVINDARAJ</x:v>
      </x:c>
      <x:c r="F367" s="18" t="str">
        <x:v>ALLOWED</x:v>
      </x:c>
      <x:c r="G367" s="20" t="str">
        <x:v>https://indian-high-court-judgments.s3.ap-south-1.amazonaws.com/data/pdf/year=2026/court=29_3/bench=karnataka_bng_old/KAHC010586812026_1_2026-08-28.pdf</x:v>
      </x:c>
    </x:row>
    <x:row r="368">
      <x:c r="A368" s="19">
        <x:f>ROUND(COUNTA(A368:G368)/7*100,0)</x:f>
      </x:c>
      <x:c r="B368" s="18" t="str">
        <x:v>WP/26828/2026 of SRI. S. MAHADEVAPRABHU Vs THE STATE OF KARNATAKA,</x:v>
      </x:c>
      <x:c r="C368" s="18" t="str">
        <x:v>2026-08-28</x:v>
      </x:c>
      <x:c r="D368" s="18" t="str">
        <x:v>High Court of Karnataka</x:v>
      </x:c>
      <x:c r="E368" s="18" t="str">
        <x:v>E.S.INDIRESH</x:v>
      </x:c>
      <x:c r="F368" s="18" t="str">
        <x:v>ALLOWED</x:v>
      </x:c>
      <x:c r="G368" s="20" t="str">
        <x:v>https://indian-high-court-judgments.s3.ap-south-1.amazonaws.com/data/pdf/year=2026/court=29_3/bench=karnataka_bng_old/KAHC010593242026_1_2026-08-28.pdf</x:v>
      </x:c>
    </x:row>
    <x:row r="369">
      <x:c r="A369" s="19">
        <x:f>ROUND(COUNTA(A369:G369)/7*100,0)</x:f>
      </x:c>
      <x:c r="B369" s="18" t="str">
        <x:v>WP/27979/2026 of SMT. SUMAN V Vs THE COMMISSIONER</x:v>
      </x:c>
      <x:c r="C369" s="18" t="str">
        <x:v>2026-09-03</x:v>
      </x:c>
      <x:c r="D369" s="18" t="str">
        <x:v>High Court of Karnataka</x:v>
      </x:c>
      <x:c r="E369" s="18" t="str">
        <x:v>B M SHYAM PRASAD</x:v>
      </x:c>
      <x:c r="F369" s="18" t="str">
        <x:v>DISPOSED</x:v>
      </x:c>
      <x:c r="G369" s="20" t="str">
        <x:v>https://indian-high-court-judgments.s3.ap-south-1.amazonaws.com/data/pdf/year=2026/court=29_3/bench=karnataka_bng_old/KAHC010618392026_1_2026-09-03.pdf</x:v>
      </x:c>
    </x:row>
    <x:row r="370">
      <x:c r="A370" s="19">
        <x:f>ROUND(COUNTA(A370:G370)/7*100,0)</x:f>
      </x:c>
      <x:c r="B370" s="18" t="str">
        <x:v>WP/3370/2021 of SRI DEEPAK D Vs KUM ARTHA GOWDA</x:v>
      </x:c>
      <x:c r="C370" s="18" t="str">
        <x:v>2026-09-01</x:v>
      </x:c>
      <x:c r="D370" s="18" t="str">
        <x:v>High Court of Karnataka</x:v>
      </x:c>
      <x:c r="E370" s="18" t="str">
        <x:v>CHILLAKUR SUMALATHA</x:v>
      </x:c>
      <x:c r="F370" s="18" t="str">
        <x:v>DISMISSED</x:v>
      </x:c>
      <x:c r="G370" s="20" t="str">
        <x:v>https://indian-high-court-judgments.s3.ap-south-1.amazonaws.com/data/pdf/year=2026/court=29_3/bench=karnataka_bng_old/KAHC010284392020_1_2026-09-01.pdf</x:v>
      </x:c>
    </x:row>
    <x:row r="371">
      <x:c r="A371" s="19">
        <x:f>ROUND(COUNTA(A371:G371)/7*100,0)</x:f>
      </x:c>
      <x:c r="B371" s="18" t="str">
        <x:v>WA/1786/2024 of WORKMEN OF BINNY LIMITED Vs MANAGEMENT OF BINNY LTD</x:v>
      </x:c>
      <x:c r="C371" s="18" t="str">
        <x:v>2026-08-27</x:v>
      </x:c>
      <x:c r="D371" s="18" t="str">
        <x:v>High Court of Karnataka</x:v>
      </x:c>
      <x:c r="E371" s="18" t="str">
        <x:v>D K SINGH,T.M.NADAF</x:v>
      </x:c>
      <x:c r="F371" s="18" t="str">
        <x:v>DISPOSED</x:v>
      </x:c>
      <x:c r="G371" s="20" t="str">
        <x:v>https://indian-high-court-judgments.s3.ap-south-1.amazonaws.com/data/pdf/year=2026/court=29_3/bench=karnataka_bng_old/KAHC010702152024_1_2026-08-27.pdf</x:v>
      </x:c>
    </x:row>
    <x:row r="372">
      <x:c r="A372" s="19">
        <x:f>ROUND(COUNTA(A372:G372)/7*100,0)</x:f>
      </x:c>
      <x:c r="B372" s="18" t="str">
        <x:v>CMP/699/2025 of M/S FUTURE MINDS Vs M/S JAIHIND TUBES PRIVATE LIMITED</x:v>
      </x:c>
      <x:c r="C372" s="18" t="str">
        <x:v>2026-08-27</x:v>
      </x:c>
      <x:c r="D372" s="18" t="str">
        <x:v>High Court of Karnataka</x:v>
      </x:c>
      <x:c r="E372" s="18" t="str">
        <x:v>B M SHYAM PRASAD</x:v>
      </x:c>
      <x:c r="F372" s="18" t="str">
        <x:v>ALLOWED</x:v>
      </x:c>
      <x:c r="G372" s="20" t="str">
        <x:v>https://indian-high-court-judgments.s3.ap-south-1.amazonaws.com/data/pdf/year=2026/court=29_3/bench=karnataka_bng_old/KAHC010782342025_1_2026-08-27.pdf</x:v>
      </x:c>
    </x:row>
    <x:row r="373">
      <x:c r="A373" s="19">
        <x:f>ROUND(COUNTA(A373:G373)/7*100,0)</x:f>
      </x:c>
      <x:c r="B373" s="18" t="str">
        <x:v>WP/12522/2022 of B S ABHINANDAN KUMAR Vs JAYANAGAR NADAKACHERI</x:v>
      </x:c>
      <x:c r="C373" s="18" t="str">
        <x:v>2026-09-03</x:v>
      </x:c>
      <x:c r="D373" s="18" t="str">
        <x:v>High Court of Karnataka</x:v>
      </x:c>
      <x:c r="E373" s="18" t="str">
        <x:v>M.G.S. KAMAL</x:v>
      </x:c>
      <x:c r="F373" s="18" t="str">
        <x:v>ALLOWED</x:v>
      </x:c>
      <x:c r="G373" s="20" t="str">
        <x:v>https://indian-high-court-judgments.s3.ap-south-1.amazonaws.com/data/pdf/year=2026/court=29_3/bench=karnataka_bng_old/KAHC010276022022_1_2026-09-03.pdf</x:v>
      </x:c>
    </x:row>
    <x:row r="374">
      <x:c r="A374" s="19">
        <x:f>ROUND(COUNTA(A374:G374)/7*100,0)</x:f>
      </x:c>
      <x:c r="B374" s="18" t="str">
        <x:v>CRL.P/10623/2026 of SYED JAVEED @ JAVEED @ BEND JAVEED Vs STATE OF KARNATAKA</x:v>
      </x:c>
      <x:c r="C374" s="18" t="str">
        <x:v>2026-08-28</x:v>
      </x:c>
      <x:c r="D374" s="18" t="str">
        <x:v>High Court of Karnataka</x:v>
      </x:c>
      <x:c r="E374" s="18" t="str">
        <x:v>S VISHWAJITH SHETTY</x:v>
      </x:c>
      <x:c r="F374" s="18" t="str">
        <x:v>ALLOWED</x:v>
      </x:c>
      <x:c r="G374" s="20" t="str">
        <x:v>https://indian-high-court-judgments.s3.ap-south-1.amazonaws.com/data/pdf/year=2026/court=29_3/bench=karnataka_bng_old/KAHC010491212026_1_2026-08-28.pdf</x:v>
      </x:c>
    </x:row>
    <x:row r="375">
      <x:c r="A375" s="19">
        <x:f>ROUND(COUNTA(A375:G375)/7*100,0)</x:f>
      </x:c>
      <x:c r="B375" s="18" t="str">
        <x:v>CRL.P/13567/2026 of RAHAN M Vs STATE OF KARNATAKA</x:v>
      </x:c>
      <x:c r="C375" s="18" t="str">
        <x:v>2026-09-03</x:v>
      </x:c>
      <x:c r="D375" s="18" t="str">
        <x:v>High Court of Karnataka</x:v>
      </x:c>
      <x:c r="E375" s="18" t="str">
        <x:v>S VISHWAJITH SHETTY</x:v>
      </x:c>
      <x:c r="F375" s="18" t="str">
        <x:v>DISMISSED</x:v>
      </x:c>
      <x:c r="G375" s="20" t="str">
        <x:v>https://indian-high-court-judgments.s3.ap-south-1.amazonaws.com/data/pdf/year=2026/court=29_3/bench=karnataka_bng_old/KAHC010607542026_1_2026-09-03.pdf</x:v>
      </x:c>
    </x:row>
    <x:row r="376">
      <x:c r="A376" s="19">
        <x:f>ROUND(COUNTA(A376:G376)/7*100,0)</x:f>
      </x:c>
      <x:c r="B376" s="18" t="str">
        <x:v>WP/37209/2025 of SMT SATHYAVANI Vs STATE OF KARNATAKA</x:v>
      </x:c>
      <x:c r="C376" s="18" t="str">
        <x:v>2026-08-29</x:v>
      </x:c>
      <x:c r="D376" s="18" t="str">
        <x:v>High Court of Karnataka</x:v>
      </x:c>
      <x:c r="E376" s="18" t="str">
        <x:v>E.S.INDIRESH</x:v>
      </x:c>
      <x:c r="F376" s="18" t="str">
        <x:v>DISPOSED</x:v>
      </x:c>
      <x:c r="G376" s="20" t="str">
        <x:v>https://indian-high-court-judgments.s3.ap-south-1.amazonaws.com/data/pdf/year=2026/court=29_3/bench=karnataka_bng_old/KAHC010792992025_1_2026-08-29.pdf</x:v>
      </x:c>
    </x:row>
    <x:row r="377">
      <x:c r="A377" s="19">
        <x:f>ROUND(COUNTA(A377:G377)/7*100,0)</x:f>
      </x:c>
      <x:c r="B377" s="18" t="str">
        <x:v>CMP/88/2026 of M/S M V CONSTRUCTIONS Vs UNION OF INDIA</x:v>
      </x:c>
      <x:c r="C377" s="18" t="str">
        <x:v>2026-08-27</x:v>
      </x:c>
      <x:c r="D377" s="18" t="str">
        <x:v>High Court of Karnataka</x:v>
      </x:c>
      <x:c r="E377" s="18" t="str">
        <x:v>B M SHYAM PRASAD</x:v>
      </x:c>
      <x:c r="F377" s="18" t="str">
        <x:v>ALLOWED</x:v>
      </x:c>
      <x:c r="G377" s="20" t="str">
        <x:v>https://indian-high-court-judgments.s3.ap-south-1.amazonaws.com/data/pdf/year=2026/court=29_3/bench=karnataka_bng_old/KAHC010125372026_1_2026-08-27.pdf</x:v>
      </x:c>
    </x:row>
    <x:row r="378">
      <x:c r="A378" s="19">
        <x:f>ROUND(COUNTA(A378:G378)/7*100,0)</x:f>
      </x:c>
      <x:c r="B378" s="18" t="str">
        <x:v>WP/27477/2026 of SRI M P NATARAJ Vs THE STATE OF KARNATAKA</x:v>
      </x:c>
      <x:c r="C378" s="18" t="str">
        <x:v>2026-09-03</x:v>
      </x:c>
      <x:c r="D378" s="18" t="str">
        <x:v>High Court of Karnataka</x:v>
      </x:c>
      <x:c r="E378" s="18" t="str">
        <x:v>SURAJ GOVINDARAJ</x:v>
      </x:c>
      <x:c r="F378" s="18" t="str">
        <x:v>ALLOWED</x:v>
      </x:c>
      <x:c r="G378" s="20" t="str">
        <x:v>https://indian-high-court-judgments.s3.ap-south-1.amazonaws.com/data/pdf/year=2026/court=29_3/bench=karnataka_bng_old/KAHC010599962026_1_2026-09-03.pdf</x:v>
      </x:c>
    </x:row>
    <x:row r="379">
      <x:c r="A379" s="19">
        <x:f>ROUND(COUNTA(A379:G379)/7*100,0)</x:f>
      </x:c>
      <x:c r="B379" s="18" t="str">
        <x:v>ITA/10/2011 of SAP LABS INDIA PRIVATE LIMITED Vs THE INCOME TAX OFFICER</x:v>
      </x:c>
      <x:c r="C379" s="18" t="str">
        <x:v>2026-08-28</x:v>
      </x:c>
      <x:c r="D379" s="18" t="str">
        <x:v>High Court of Karnataka</x:v>
      </x:c>
      <x:c r="E379" s="18" t="str">
        <x:v>S.G.PANDIT,K. V. ARAVIND</x:v>
      </x:c>
      <x:c r="F379" s="18" t="str">
        <x:v>DISPOSED</x:v>
      </x:c>
      <x:c r="G379" s="20" t="str">
        <x:v>https://indian-high-court-judgments.s3.ap-south-1.amazonaws.com/data/pdf/year=2026/court=29_3/bench=karnataka_bng_old/KAHC010109032011_1_2026-08-28.pdf</x:v>
      </x:c>
    </x:row>
    <x:row r="380">
      <x:c r="A380" s="19">
        <x:f>ROUND(COUNTA(A380:G380)/7*100,0)</x:f>
      </x:c>
      <x:c r="B380" s="18" t="str">
        <x:v>CRL.P/710/2026 of RANGASWAMY S L Vs H N RADHA KRISHNA</x:v>
      </x:c>
      <x:c r="C380" s="18" t="str">
        <x:v>2026-08-27</x:v>
      </x:c>
      <x:c r="D380" s="18" t="str">
        <x:v>High Court of Karnataka</x:v>
      </x:c>
      <x:c r="E380" s="18" t="str">
        <x:v>M.NAGAPRASANNA</x:v>
      </x:c>
      <x:c r="F380" s="18" t="str">
        <x:v>DISPOSED</x:v>
      </x:c>
      <x:c r="G380" s="20" t="str">
        <x:v>https://indian-high-court-judgments.s3.ap-south-1.amazonaws.com/data/pdf/year=2026/court=29_3/bench=karnataka_bng_old/KAHC010037262026_1_2026-08-27.pdf</x:v>
      </x:c>
    </x:row>
    <x:row r="381">
      <x:c r="A381" s="19">
        <x:f>ROUND(COUNTA(A381:G381)/7*100,0)</x:f>
      </x:c>
      <x:c r="B381" s="18" t="str">
        <x:v>WP/26914/2026 of SRI.PRASHNATH K M Vs THE STATE OF KARNATAKA</x:v>
      </x:c>
      <x:c r="C381" s="18" t="str">
        <x:v>2026-08-29</x:v>
      </x:c>
      <x:c r="D381" s="18" t="str">
        <x:v>High Court of Karnataka</x:v>
      </x:c>
      <x:c r="E381" s="18" t="str">
        <x:v>E.S.INDIRESH</x:v>
      </x:c>
      <x:c r="F381" s="18" t="str">
        <x:v>DISPOSED</x:v>
      </x:c>
      <x:c r="G381" s="20" t="str">
        <x:v>https://indian-high-court-judgments.s3.ap-south-1.amazonaws.com/data/pdf/year=2026/court=29_3/bench=karnataka_bng_old/KAHC010601062026_1_2026-08-29.pdf</x:v>
      </x:c>
    </x:row>
    <x:row r="382">
      <x:c r="A382" s="19">
        <x:f>ROUND(COUNTA(A382:G382)/7*100,0)</x:f>
      </x:c>
      <x:c r="B382" s="18" t="str">
        <x:v>CRL.P/11392/2026 of NARASIMHA PRABHU M Vs STATE BY NANDINI LAYOUT POLICE STATION</x:v>
      </x:c>
      <x:c r="C382" s="18" t="str">
        <x:v>2026-08-28</x:v>
      </x:c>
      <x:c r="D382" s="18" t="str">
        <x:v>High Court of Karnataka</x:v>
      </x:c>
      <x:c r="E382" s="18" t="str">
        <x:v>S VISHWAJITH SHETTY</x:v>
      </x:c>
      <x:c r="F382" s="18" t="str">
        <x:v>ALLOWED</x:v>
      </x:c>
      <x:c r="G382" s="20" t="str">
        <x:v>https://indian-high-court-judgments.s3.ap-south-1.amazonaws.com/data/pdf/year=2026/court=29_3/bench=karnataka_bng_old/KAHC010517662026_1_2026-08-28.pdf</x:v>
      </x:c>
    </x:row>
    <x:row r="383">
      <x:c r="A383" s="19">
        <x:f>ROUND(COUNTA(A383:G383)/7*100,0)</x:f>
      </x:c>
      <x:c r="B383" s="18" t="str">
        <x:v>CRL.A/200/2019 of STATE OF KARNATAKA Vs DR PARVEEN</x:v>
      </x:c>
      <x:c r="C383" s="18" t="str">
        <x:v>2026-09-03</x:v>
      </x:c>
      <x:c r="D383" s="18" t="str">
        <x:v>High Court of Karnataka</x:v>
      </x:c>
      <x:c r="E383" s="18" t="str">
        <x:v>H.P.SANDESH,B.PRAMOD</x:v>
      </x:c>
      <x:c r="F383" s="18" t="str">
        <x:v>DISMISSED</x:v>
      </x:c>
      <x:c r="G383" s="20" t="str">
        <x:v>https://indian-high-court-judgments.s3.ap-south-1.amazonaws.com/data/pdf/year=2026/court=29_3/bench=karnataka_bng_old/KAHC010033572019_1_2026-09-03.pdf</x:v>
      </x:c>
    </x:row>
    <x:row r="384">
      <x:c r="A384" s="19">
        <x:f>ROUND(COUNTA(A384:G384)/7*100,0)</x:f>
      </x:c>
      <x:c r="B384" s="18" t="str">
        <x:v>RFA/996/2020 of SMT. VIJAYALAKSHMI Vs SRI T R NAGARAJ</x:v>
      </x:c>
      <x:c r="C384" s="18" t="str">
        <x:v>2026-09-01</x:v>
      </x:c>
      <x:c r="D384" s="18" t="str">
        <x:v>High Court of Karnataka</x:v>
      </x:c>
      <x:c r="E384" s="18" t="str">
        <x:v>SHIVASHANKAR AMARANNAVAR</x:v>
      </x:c>
      <x:c r="F384" s="18" t="str">
        <x:v>DISPOSED</x:v>
      </x:c>
      <x:c r="G384" s="20" t="str">
        <x:v>https://indian-high-court-judgments.s3.ap-south-1.amazonaws.com/data/pdf/year=2026/court=29_3/bench=karnataka_bng_old/KAHC010174342020_1_2026-09-01.pdf</x:v>
      </x:c>
    </x:row>
    <x:row r="385">
      <x:c r="A385" s="19">
        <x:f>ROUND(COUNTA(A385:G385)/7*100,0)</x:f>
      </x:c>
      <x:c r="B385" s="18" t="str">
        <x:v>WP/667/2023 of MR MUDDURANGAPPA Vs ANRIYA GREINBERG APARTMENT OWNERS ASSOCIATION</x:v>
      </x:c>
      <x:c r="C385" s="18" t="str">
        <x:v>2026-08-29</x:v>
      </x:c>
      <x:c r="D385" s="18" t="str">
        <x:v>High Court of Karnataka</x:v>
      </x:c>
      <x:c r="E385" s="18" t="str">
        <x:v>VIJAYKUMAR A. PATIL</x:v>
      </x:c>
      <x:c r="F385" s="18" t="str">
        <x:v>Dismissed for Non-Prosecution</x:v>
      </x:c>
      <x:c r="G385" s="20" t="str">
        <x:v>https://indian-high-court-judgments.s3.ap-south-1.amazonaws.com/data/pdf/year=2026/court=29_3/bench=karnataka_bng_old/KAHC010023512023_1_2026-08-29.pdf</x:v>
      </x:c>
    </x:row>
    <x:row r="386">
      <x:c r="A386" s="19">
        <x:f>ROUND(COUNTA(A386:G386)/7*100,0)</x:f>
      </x:c>
      <x:c r="B386" s="18" t="str">
        <x:v>CRL.P/11867/2026 of GOPALA S Vs THE STATE OF KARNATAKA</x:v>
      </x:c>
      <x:c r="C386" s="18" t="str">
        <x:v>2026-08-28</x:v>
      </x:c>
      <x:c r="D386" s="18" t="str">
        <x:v>High Court of Karnataka</x:v>
      </x:c>
      <x:c r="E386" s="18" t="str">
        <x:v>S VISHWAJITH SHETTY</x:v>
      </x:c>
      <x:c r="F386" s="18" t="str">
        <x:v>ALLOWED</x:v>
      </x:c>
      <x:c r="G386" s="20" t="str">
        <x:v>https://indian-high-court-judgments.s3.ap-south-1.amazonaws.com/data/pdf/year=2026/court=29_3/bench=karnataka_bng_old/KAHC010541972026_1_2026-08-28.pdf</x:v>
      </x:c>
    </x:row>
    <x:row r="387">
      <x:c r="A387" s="19">
        <x:f>ROUND(COUNTA(A387:G387)/7*100,0)</x:f>
      </x:c>
      <x:c r="B387" s="18" t="str">
        <x:v>WP/17115/2013 of KARNATAKA RAJYA DHARMIKA PARISHAT Vs SRI R RAGHOTHAMAN</x:v>
      </x:c>
      <x:c r="C387" s="18" t="str">
        <x:v>2026-09-03</x:v>
      </x:c>
      <x:c r="D387" s="18" t="str">
        <x:v>High Court of Karnataka</x:v>
      </x:c>
      <x:c r="E387" s="18" t="str">
        <x:v>M.G.S. KAMAL</x:v>
      </x:c>
      <x:c r="F387" s="18" t="str">
        <x:v>ALLOWED</x:v>
      </x:c>
      <x:c r="G387" s="20" t="str">
        <x:v>https://indian-high-court-judgments.s3.ap-south-1.amazonaws.com/data/pdf/year=2026/court=29_3/bench=karnataka_bng_old/KAHC010029782013_1_2026-09-03.pdf</x:v>
      </x:c>
    </x:row>
    <x:row r="388">
      <x:c r="A388" s="19">
        <x:f>ROUND(COUNTA(A388:G388)/7*100,0)</x:f>
      </x:c>
      <x:c r="B388" s="18" t="str">
        <x:v>MFA/3453/2016 of UNITED INDIA INSURANCE CO LTD Vs SRI MURTHY</x:v>
      </x:c>
      <x:c r="C388" s="18" t="str">
        <x:v>2026-09-03</x:v>
      </x:c>
      <x:c r="D388" s="18" t="str">
        <x:v>High Court of Karnataka</x:v>
      </x:c>
      <x:c r="E388" s="18" t="str">
        <x:v>P SREE SUDHA</x:v>
      </x:c>
      <x:c r="F388" s="18" t="str">
        <x:v>ALLOWED</x:v>
      </x:c>
      <x:c r="G388" s="20" t="str">
        <x:v>https://indian-high-court-judgments.s3.ap-south-1.amazonaws.com/data/pdf/year=2026/court=29_3/bench=karnataka_bng_old/KAHC010290962016_1_2026-09-03.pdf</x:v>
      </x:c>
    </x:row>
    <x:row r="389">
      <x:c r="A389" s="19">
        <x:f>ROUND(COUNTA(A389:G389)/7*100,0)</x:f>
      </x:c>
      <x:c r="B389" s="18" t="str">
        <x:v>WP/4790/2023 of SRI VENKATESHAPPA Vs SRI M RAMESH</x:v>
      </x:c>
      <x:c r="C389" s="18" t="str">
        <x:v>2026-08-31</x:v>
      </x:c>
      <x:c r="D389" s="18" t="str">
        <x:v>High Court of Karnataka</x:v>
      </x:c>
      <x:c r="E389" s="18" t="str">
        <x:v>VIJAYKUMAR A. PATIL</x:v>
      </x:c>
      <x:c r="F389" s="18" t="str">
        <x:v>DISMISSED</x:v>
      </x:c>
      <x:c r="G389" s="20" t="str">
        <x:v>https://indian-high-court-judgments.s3.ap-south-1.amazonaws.com/data/pdf/year=2026/court=29_3/bench=karnataka_bng_old/KAHC010107632023_1_2026-08-31.pdf</x:v>
      </x:c>
    </x:row>
    <x:row r="390">
      <x:c r="A390" s="19">
        <x:f>ROUND(COUNTA(A390:G390)/7*100,0)</x:f>
      </x:c>
      <x:c r="B390" s="18" t="str">
        <x:v>WP/4836/2023 of SMT CHIKKAMMA Vs SMT PARVATHAMMA</x:v>
      </x:c>
      <x:c r="C390" s="18" t="str">
        <x:v>2026-08-28</x:v>
      </x:c>
      <x:c r="D390" s="18" t="str">
        <x:v>High Court of Karnataka</x:v>
      </x:c>
      <x:c r="E390" s="18" t="str">
        <x:v>S SUNIL DUTT YADAV</x:v>
      </x:c>
      <x:c r="F390" s="18" t="str">
        <x:v>ALLOWED AND REMANDED</x:v>
      </x:c>
      <x:c r="G390" s="20" t="str">
        <x:v>https://indian-high-court-judgments.s3.ap-south-1.amazonaws.com/data/pdf/year=2026/court=29_3/bench=karnataka_bng_old/KAHC010108312023_1_2026-08-28.pdf</x:v>
      </x:c>
    </x:row>
    <x:row r="391">
      <x:c r="A391" s="19">
        <x:f>ROUND(COUNTA(A391:G391)/7*100,0)</x:f>
      </x:c>
      <x:c r="B391" s="18" t="str">
        <x:v>WP/26840/2026 of SRI M M REHMAN Vs STATE OF KARNATAKA</x:v>
      </x:c>
      <x:c r="C391" s="18" t="str">
        <x:v>2026-08-29</x:v>
      </x:c>
      <x:c r="D391" s="18" t="str">
        <x:v>High Court of Karnataka</x:v>
      </x:c>
      <x:c r="E391" s="18" t="str">
        <x:v>E.S.INDIRESH</x:v>
      </x:c>
      <x:c r="F391" s="18" t="str">
        <x:v>DISPOSED</x:v>
      </x:c>
      <x:c r="G391" s="20" t="str">
        <x:v>https://indian-high-court-judgments.s3.ap-south-1.amazonaws.com/data/pdf/year=2026/court=29_3/bench=karnataka_bng_old/KAHC010584632026_1_2026-08-29.pdf</x:v>
      </x:c>
    </x:row>
    <x:row r="392">
      <x:c r="A392" s="19">
        <x:f>ROUND(COUNTA(A392:G392)/7*100,0)</x:f>
      </x:c>
      <x:c r="B392" s="18" t="str">
        <x:v>CRL.P/3671/2026 of SHEIKH AHMED Vs STATE OF KARNATAKA</x:v>
      </x:c>
      <x:c r="C392" s="18" t="str">
        <x:v>2026-09-01</x:v>
      </x:c>
      <x:c r="D392" s="18" t="str">
        <x:v>High Court of Karnataka</x:v>
      </x:c>
      <x:c r="E392" s="18" t="str">
        <x:v>S VISHWAJITH SHETTY</x:v>
      </x:c>
      <x:c r="F392" s="18" t="str">
        <x:v>Dismissed for Non-Prosecution</x:v>
      </x:c>
      <x:c r="G392" s="20" t="str">
        <x:v>https://indian-high-court-judgments.s3.ap-south-1.amazonaws.com/data/pdf/year=2026/court=29_3/bench=karnataka_bng_old/KAHC010168602026_1_2026-09-01.pdf</x:v>
      </x:c>
    </x:row>
    <x:row r="393">
      <x:c r="A393" s="19">
        <x:f>ROUND(COUNTA(A393:G393)/7*100,0)</x:f>
      </x:c>
      <x:c r="B393" s="18" t="str">
        <x:v>RFA/1568/2015 of MRS ZEENA MASCARENHAS Vs MRS AMY R VASANTH</x:v>
      </x:c>
      <x:c r="C393" s="18" t="str">
        <x:v>2026-09-03</x:v>
      </x:c>
      <x:c r="D393" s="18" t="str">
        <x:v>High Court of Karnataka</x:v>
      </x:c>
      <x:c r="E393" s="18" t="str">
        <x:v>VIJAYKUMAR A. PATIL</x:v>
      </x:c>
      <x:c r="F393" s="18" t="str">
        <x:v>DISPOSED</x:v>
      </x:c>
      <x:c r="G393" s="20" t="str">
        <x:v>https://indian-high-court-judgments.s3.ap-south-1.amazonaws.com/data/pdf/year=2026/court=29_3/bench=karnataka_bng_old/KAHC010520562015_1_2026-09-03.pdf</x:v>
      </x:c>
    </x:row>
    <x:row r="394">
      <x:c r="A394" s="19">
        <x:f>ROUND(COUNTA(A394:G394)/7*100,0)</x:f>
      </x:c>
      <x:c r="B394" s="18" t="str">
        <x:v>WP/25628/2026 of SRI. GANGAIAH Vs THE STATE OF KARNATAKA</x:v>
      </x:c>
      <x:c r="C394" s="18" t="str">
        <x:v>2026-08-29</x:v>
      </x:c>
      <x:c r="D394" s="18" t="str">
        <x:v>High Court of Karnataka</x:v>
      </x:c>
      <x:c r="E394" s="18" t="str">
        <x:v>E.S.INDIRESH</x:v>
      </x:c>
      <x:c r="F394" s="18" t="str">
        <x:v>DISPOSED</x:v>
      </x:c>
      <x:c r="G394" s="20" t="str">
        <x:v>https://indian-high-court-judgments.s3.ap-south-1.amazonaws.com/data/pdf/year=2026/court=29_3/bench=karnataka_bng_old/KAHC010566362026_1_2026-08-29.pdf</x:v>
      </x:c>
    </x:row>
    <x:row r="395">
      <x:c r="A395" s="19">
        <x:f>ROUND(COUNTA(A395:G395)/7*100,0)</x:f>
      </x:c>
      <x:c r="B395" s="18" t="str">
        <x:v>MFA/4091/2016 of MR MAHESH G Vs THE MANAGER,</x:v>
      </x:c>
      <x:c r="C395" s="18" t="str">
        <x:v>2026-09-03</x:v>
      </x:c>
      <x:c r="D395" s="18" t="str">
        <x:v>High Court of Karnataka</x:v>
      </x:c>
      <x:c r="E395" s="18" t="str">
        <x:v>P SREE SUDHA</x:v>
      </x:c>
      <x:c r="F395" s="18" t="str">
        <x:v>Partly Allowed</x:v>
      </x:c>
      <x:c r="G395" s="20" t="str">
        <x:v>https://indian-high-court-judgments.s3.ap-south-1.amazonaws.com/data/pdf/year=2026/court=29_3/bench=karnataka_bng_old/KAHC010254262016_1_2026-09-03.pdf</x:v>
      </x:c>
    </x:row>
    <x:row r="396">
      <x:c r="A396" s="19">
        <x:f>ROUND(COUNTA(A396:G396)/7*100,0)</x:f>
      </x:c>
      <x:c r="B396" s="18" t="str">
        <x:v>CCC/316/2025 of ABHIRAM INFRA PROJECTS PRIVATE LIMITED Vs N JAYA KUMAR</x:v>
      </x:c>
      <x:c r="C396" s="18" t="str">
        <x:v>2026-09-07</x:v>
      </x:c>
      <x:c r="D396" s="18" t="str">
        <x:v>High Court of Karnataka</x:v>
      </x:c>
      <x:c r="E396" s="18" t="str">
        <x:v>JAYANT BANERJI,TARA VITASTA GANJU</x:v>
      </x:c>
      <x:c r="F396" s="18" t="str">
        <x:v>CONSIGNED</x:v>
      </x:c>
      <x:c r="G396" s="20" t="str">
        <x:v>https://indian-high-court-judgments.s3.ap-south-1.amazonaws.com/data/pdf/year=2026/court=29_3/bench=karnataka_bng_old/KAHC010178652025_1_2026-09-07.pdf</x:v>
      </x:c>
    </x:row>
    <x:row r="397">
      <x:c r="A397" s="19">
        <x:f>ROUND(COUNTA(A397:G397)/7*100,0)</x:f>
      </x:c>
      <x:c r="B397" s="18" t="str">
        <x:v>CRL.P/11525/2026 of CHANDRASHEKAR @ CHAPPER CHANDU Vs STATE OF KARNATAKA BY</x:v>
      </x:c>
      <x:c r="C397" s="18" t="str">
        <x:v>2026-08-29</x:v>
      </x:c>
      <x:c r="D397" s="18" t="str">
        <x:v>High Court of Karnataka</x:v>
      </x:c>
      <x:c r="E397" s="18" t="str">
        <x:v>S VISHWAJITH SHETTY</x:v>
      </x:c>
      <x:c r="F397" s="18" t="str">
        <x:v>ALLOWED</x:v>
      </x:c>
      <x:c r="G397" s="20" t="str">
        <x:v>https://indian-high-court-judgments.s3.ap-south-1.amazonaws.com/data/pdf/year=2026/court=29_3/bench=karnataka_bng_old/KAHC010526362026_1_2026-08-29.pdf</x:v>
      </x:c>
    </x:row>
    <x:row r="398">
      <x:c r="A398" s="19">
        <x:f>ROUND(COUNTA(A398:G398)/7*100,0)</x:f>
      </x:c>
      <x:c r="B398" s="18" t="str">
        <x:v>MFA.CROB/13/2022 of RAJAPPA Vs SMT.GEETHA</x:v>
      </x:c>
      <x:c r="C398" s="18" t="str">
        <x:v>2026-08-28</x:v>
      </x:c>
      <x:c r="D398" s="18" t="str">
        <x:v>High Court of Karnataka</x:v>
      </x:c>
      <x:c r="E398" s="18" t="str">
        <x:v>RAJESH RAI K</x:v>
      </x:c>
      <x:c r="F398" s="18" t="str">
        <x:v>DISMISSED</x:v>
      </x:c>
      <x:c r="G398" s="20" t="str">
        <x:v>https://indian-high-court-judgments.s3.ap-south-1.amazonaws.com/data/pdf/year=2026/court=29_3/bench=karnataka_bng_old/KAHC010115912021_1_2026-08-28.pdf</x:v>
      </x:c>
    </x:row>
    <x:row r="399">
      <x:c r="A399" s="19">
        <x:f>ROUND(COUNTA(A399:G399)/7*100,0)</x:f>
      </x:c>
      <x:c r="B399" s="18" t="str">
        <x:v>MFA/522/2026 of SMT. R GAYATHRI Vs SRI K R RAMESH</x:v>
      </x:c>
      <x:c r="C399" s="18" t="str">
        <x:v>2026-08-27</x:v>
      </x:c>
      <x:c r="D399" s="18" t="str">
        <x:v>High Court of Karnataka</x:v>
      </x:c>
      <x:c r="E399" s="18" t="str">
        <x:v>PRADEEP SINGH YERUR</x:v>
      </x:c>
      <x:c r="F399" s="18" t="str">
        <x:v>DISPOSED</x:v>
      </x:c>
      <x:c r="G399" s="20" t="str">
        <x:v>https://indian-high-court-judgments.s3.ap-south-1.amazonaws.com/data/pdf/year=2026/court=29_3/bench=karnataka_bng_old/KAHC010042632026_1_2026-08-27.pdf</x:v>
      </x:c>
    </x:row>
    <x:row r="400">
      <x:c r="A400" s="19">
        <x:f>ROUND(COUNTA(A400:G400)/7*100,0)</x:f>
      </x:c>
      <x:c r="B400" s="18" t="str">
        <x:v>WA/434/2025 of SRI.M.MAHADEVAIAH Vs THE STATE OFKARNATAKA</x:v>
      </x:c>
      <x:c r="C400" s="18" t="str">
        <x:v>2026-08-29</x:v>
      </x:c>
      <x:c r="D400" s="18" t="str">
        <x:v>High Court of Karnataka</x:v>
      </x:c>
      <x:c r="E400" s="18" t="str">
        <x:v>D K SINGH,H.SHANTHI BHUSHAN</x:v>
      </x:c>
      <x:c r="F400" s="18" t="str">
        <x:v>ALLOWED</x:v>
      </x:c>
      <x:c r="G400" s="20" t="str">
        <x:v>https://indian-high-court-judgments.s3.ap-south-1.amazonaws.com/data/pdf/year=2026/court=29_3/bench=karnataka_bng_old/KAHC010185342025_1_2026-08-29.pdf</x:v>
      </x:c>
    </x:row>
    <x:row r="401">
      <x:c r="A401" s="19">
        <x:f>ROUND(COUNTA(A401:G401)/7*100,0)</x:f>
      </x:c>
      <x:c r="B401" s="18" t="str">
        <x:v>WA/1975/2026 of KARNATAKA STATE SOUHARDA FEDERAL Vs DR. VIRUPAXI</x:v>
      </x:c>
      <x:c r="C401" s="18" t="str">
        <x:v>2026-08-31</x:v>
      </x:c>
      <x:c r="D401" s="18" t="str">
        <x:v>High Court of Karnataka</x:v>
      </x:c>
      <x:c r="E401" s="18" t="str">
        <x:v>CHIEF JUSTICE,K.S. HEMALEKHA</x:v>
      </x:c>
      <x:c r="F401" s="18" t="str">
        <x:v>DISMISSED</x:v>
      </x:c>
      <x:c r="G401" s="20" t="str">
        <x:v>https://indian-high-court-judgments.s3.ap-south-1.amazonaws.com/data/pdf/year=2026/court=29_3/bench=karnataka_bng_old/KAHC010581622026_1_2026-08-31.pdf</x:v>
      </x:c>
    </x:row>
    <x:row r="402">
      <x:c r="A402" s="19">
        <x:f>ROUND(COUNTA(A402:G402)/7*100,0)</x:f>
      </x:c>
      <x:c r="B402" s="18" t="str">
        <x:v>WA/3324/2016 of BENGALURU DEVELOPMENT AUTHORITY Vs NATIONAL TECHNOLOGICAL INSTITUTIONS</x:v>
      </x:c>
      <x:c r="C402" s="18" t="str">
        <x:v>2026-09-07</x:v>
      </x:c>
      <x:c r="D402" s="18" t="str">
        <x:v>High Court of Karnataka</x:v>
      </x:c>
      <x:c r="E402" s="18" t="str">
        <x:v>D K SINGH,H.SHANTHI BHUSHAN</x:v>
      </x:c>
      <x:c r="F402" s="18" t="str">
        <x:v>ALLOWED</x:v>
      </x:c>
      <x:c r="G402" s="20" t="str">
        <x:v>https://indian-high-court-judgments.s3.ap-south-1.amazonaws.com/data/pdf/year=2026/court=29_3/bench=karnataka_bng_old/KAHC010167832016_1_2026-09-07.pdf</x:v>
      </x:c>
    </x:row>
    <x:row r="403">
      <x:c r="A403" s="19">
        <x:f>ROUND(COUNTA(A403:G403)/7*100,0)</x:f>
      </x:c>
      <x:c r="B403" s="18" t="str">
        <x:v>MFA/75/2026 of SRI MUDDAPPA Vs SRI SOURABH BISWAS</x:v>
      </x:c>
      <x:c r="C403" s="18" t="str">
        <x:v>2026-09-07</x:v>
      </x:c>
      <x:c r="D403" s="18" t="str">
        <x:v>High Court of Karnataka</x:v>
      </x:c>
      <x:c r="E403" s="18" t="str">
        <x:v>SHIVASHANKAR AMARANNAVAR</x:v>
      </x:c>
      <x:c r="F403" s="18" t="str">
        <x:v>Partly Allowed</x:v>
      </x:c>
      <x:c r="G403" s="20" t="str">
        <x:v>https://indian-high-court-judgments.s3.ap-south-1.amazonaws.com/data/pdf/year=2026/court=29_3/bench=karnataka_bng_old/KAHC010006392026_1_2026-09-07.pdf</x:v>
      </x:c>
    </x:row>
    <x:row r="404">
      <x:c r="A404" s="19">
        <x:f>ROUND(COUNTA(A404:G404)/7*100,0)</x:f>
      </x:c>
      <x:c r="B404" s="18" t="str">
        <x:v>WP/16453/2026 of M/S GROWW INVEST TECH PRIVATE LIMITED Vs THE INSPECTOR OF POLICE</x:v>
      </x:c>
      <x:c r="C404" s="18" t="str">
        <x:v>2026-09-01</x:v>
      </x:c>
      <x:c r="D404" s="18" t="str">
        <x:v>High Court of Karnataka</x:v>
      </x:c>
      <x:c r="E404" s="18" t="str">
        <x:v>SURAJ GOVINDARAJ</x:v>
      </x:c>
      <x:c r="F404" s="18" t="str">
        <x:v>DISMISSED</x:v>
      </x:c>
      <x:c r="G404" s="20" t="str">
        <x:v>https://indian-high-court-judgments.s3.ap-south-1.amazonaws.com/data/pdf/year=2026/court=29_3/bench=karnataka_bng_old/KAHC010360542026_1_2026-09-01.pdf</x:v>
      </x:c>
    </x:row>
    <x:row r="405">
      <x:c r="A405" s="19">
        <x:f>ROUND(COUNTA(A405:G405)/7*100,0)</x:f>
      </x:c>
      <x:c r="B405" s="18" t="str">
        <x:v>WP/25518/2023 of SMT. TANUJA M.R Vs STATE OF KARNATAKA</x:v>
      </x:c>
      <x:c r="C405" s="18" t="str">
        <x:v>2026-08-31</x:v>
      </x:c>
      <x:c r="D405" s="18" t="str">
        <x:v>High Court of Karnataka</x:v>
      </x:c>
      <x:c r="E405" s="18" t="str">
        <x:v>ASHOK S.KINAGI</x:v>
      </x:c>
      <x:c r="F405" s="18" t="str">
        <x:v>DISMISSED</x:v>
      </x:c>
      <x:c r="G405" s="20" t="str">
        <x:v>https://indian-high-court-judgments.s3.ap-south-1.amazonaws.com/data/pdf/year=2026/court=29_3/bench=karnataka_bng_old/KAHC010595302023_1_2026-08-31.pdf</x:v>
      </x:c>
    </x:row>
    <x:row r="406">
      <x:c r="A406" s="19">
        <x:f>ROUND(COUNTA(A406:G406)/7*100,0)</x:f>
      </x:c>
      <x:c r="B406" s="18" t="str">
        <x:v>CRL.P/4967/2019 of SRI LAKSHMANA GOWDA M Vs STATE OF KARNATAKA</x:v>
      </x:c>
      <x:c r="C406" s="18" t="str">
        <x:v>2026-09-08</x:v>
      </x:c>
      <x:c r="D406" s="18" t="str">
        <x:v>High Court of Karnataka</x:v>
      </x:c>
      <x:c r="E406" s="18" t="str">
        <x:v>H.P.SANDESH</x:v>
      </x:c>
      <x:c r="F406" s="18" t="str">
        <x:v>ALLOWED</x:v>
      </x:c>
      <x:c r="G406" s="20" t="str">
        <x:v>https://indian-high-court-judgments.s3.ap-south-1.amazonaws.com/data/pdf/year=2026/court=29_3/bench=karnataka_bng_old/KAHC010191982019_1_2026-09-08.pdf</x:v>
      </x:c>
    </x:row>
    <x:row r="407">
      <x:c r="A407" s="19">
        <x:f>ROUND(COUNTA(A407:G407)/7*100,0)</x:f>
      </x:c>
      <x:c r="B407" s="18" t="str">
        <x:v>WP/24297/2022 of SRI. S V KRISHNAPPA Vs THE STATE OF KARNATAKA</x:v>
      </x:c>
      <x:c r="C407" s="18" t="str">
        <x:v>2026-08-27</x:v>
      </x:c>
      <x:c r="D407" s="18" t="str">
        <x:v>High Court of Karnataka</x:v>
      </x:c>
      <x:c r="E407" s="18" t="str">
        <x:v>M.I.ARUN</x:v>
      </x:c>
      <x:c r="F407" s="18" t="str">
        <x:v>DISMISSED</x:v>
      </x:c>
      <x:c r="G407" s="20" t="str">
        <x:v>https://indian-high-court-judgments.s3.ap-south-1.amazonaws.com/data/pdf/year=2026/court=29_3/bench=karnataka_bng_old/KAHC010558392022_1_2026-08-27.pdf</x:v>
      </x:c>
    </x:row>
    <x:row r="408">
      <x:c r="A408" s="19">
        <x:f>ROUND(COUNTA(A408:G408)/7*100,0)</x:f>
      </x:c>
      <x:c r="B408" s="18" t="str">
        <x:v>WP/24769/2024 of SRI JAYARANGAPPA Vs THE PRINCIPAL SECRETARY</x:v>
      </x:c>
      <x:c r="C408" s="18" t="str">
        <x:v>2026-08-29</x:v>
      </x:c>
      <x:c r="D408" s="18" t="str">
        <x:v>High Court of Karnataka</x:v>
      </x:c>
      <x:c r="E408" s="18" t="str">
        <x:v>ASHOK S.KINAGI</x:v>
      </x:c>
      <x:c r="F408" s="18" t="str">
        <x:v>ALLOWED</x:v>
      </x:c>
      <x:c r="G408" s="20" t="str">
        <x:v>https://indian-high-court-judgments.s3.ap-south-1.amazonaws.com/data/pdf/year=2026/court=29_3/bench=karnataka_bng_old/KAHC010522642024_1_2026-08-29.pdf</x:v>
      </x:c>
    </x:row>
    <x:row r="409">
      <x:c r="A409" s="19">
        <x:f>ROUND(COUNTA(A409:G409)/7*100,0)</x:f>
      </x:c>
      <x:c r="B409" s="18" t="str">
        <x:v>CRL.P/2622/2019 of VENKATACHALA Vs THE STATE OF KARNATAKA</x:v>
      </x:c>
      <x:c r="C409" s="18" t="str">
        <x:v>2026-09-07</x:v>
      </x:c>
      <x:c r="D409" s="18" t="str">
        <x:v>High Court of Karnataka</x:v>
      </x:c>
      <x:c r="E409" s="18" t="str">
        <x:v>H.P.SANDESH</x:v>
      </x:c>
      <x:c r="F409" s="18" t="str">
        <x:v>DISMISSED</x:v>
      </x:c>
      <x:c r="G409" s="20" t="str">
        <x:v>https://indian-high-court-judgments.s3.ap-south-1.amazonaws.com/data/pdf/year=2026/court=29_3/bench=karnataka_bng_old/KAHC010103132019_1_2026-09-07.pdf</x:v>
      </x:c>
    </x:row>
    <x:row r="410">
      <x:c r="A410" s="19">
        <x:f>ROUND(COUNTA(A410:G410)/7*100,0)</x:f>
      </x:c>
      <x:c r="B410" s="18" t="str">
        <x:v>CRL.P/7198/2016 of SRI. V. NAGARAJ Vs STATE OF KARNATAKA</x:v>
      </x:c>
      <x:c r="C410" s="18" t="str">
        <x:v>2026-09-03</x:v>
      </x:c>
      <x:c r="D410" s="18" t="str">
        <x:v>High Court of Karnataka</x:v>
      </x:c>
      <x:c r="E410" s="18" t="str">
        <x:v>RAVI V HOSMANI</x:v>
      </x:c>
      <x:c r="F410" s="18" t="str">
        <x:v>DISMISSED</x:v>
      </x:c>
      <x:c r="G410" s="20" t="str">
        <x:v>https://indian-high-court-judgments.s3.ap-south-1.amazonaws.com/data/pdf/year=2026/court=29_3/bench=karnataka_bng_old/KAHC010423272016_1_2026-09-03.pdf</x:v>
      </x:c>
    </x:row>
    <x:row r="411">
      <x:c r="A411" s="19">
        <x:f>ROUND(COUNTA(A411:G411)/7*100,0)</x:f>
      </x:c>
      <x:c r="B411" s="18" t="str">
        <x:v>WP/20373/2025 of SRI KALAIAH Vs SRI G S ANANDA</x:v>
      </x:c>
      <x:c r="C411" s="18" t="str">
        <x:v>2026-08-29</x:v>
      </x:c>
      <x:c r="D411" s="18" t="str">
        <x:v>High Court of Karnataka</x:v>
      </x:c>
      <x:c r="E411" s="18" t="str">
        <x:v>H.T. NARENDRA PRASAD</x:v>
      </x:c>
      <x:c r="F411" s="18" t="str">
        <x:v>DISMISSED</x:v>
      </x:c>
      <x:c r="G411" s="20" t="str">
        <x:v>https://indian-high-court-judgments.s3.ap-south-1.amazonaws.com/data/pdf/year=2026/court=29_3/bench=karnataka_bng_old/KAHC010439982025_1_2026-08-29.pdf</x:v>
      </x:c>
    </x:row>
    <x:row r="412">
      <x:c r="A412" s="19">
        <x:f>ROUND(COUNTA(A412:G412)/7*100,0)</x:f>
      </x:c>
      <x:c r="B412" s="18" t="str">
        <x:v>WP/106920/2025 of M/S INDIA IRON WORKS Vs KARNATAKA STATE POLLUTION CONTROL BOARD</x:v>
      </x:c>
      <x:c r="C412" s="18" t="str">
        <x:v>2026-09-01</x:v>
      </x:c>
      <x:c r="D412" s="18" t="str">
        <x:v>High Court of Karnataka</x:v>
      </x:c>
      <x:c r="E412" s="18" t="str">
        <x:v>CHIEF JUSTICE,K.S. HEMALEKHA</x:v>
      </x:c>
      <x:c r="F412" s="18" t="str">
        <x:v>DISMISSED</x:v>
      </x:c>
      <x:c r="G412" s="20" t="str">
        <x:v>https://indian-high-court-judgments.s3.ap-south-1.amazonaws.com/data/pdf/year=2026/court=29_3/bench=karnataka_bng_old/KAHC010600632026_1_2026-09-01.pdf</x:v>
      </x:c>
    </x:row>
    <x:row r="413">
      <x:c r="A413" s="19">
        <x:f>ROUND(COUNTA(A413:G413)/7*100,0)</x:f>
      </x:c>
      <x:c r="B413" s="18" t="str">
        <x:v>WP/22841/2021 of DR. N. RAMA RAO Vs THE STATE OF KARNATAKA</x:v>
      </x:c>
      <x:c r="C413" s="18" t="str">
        <x:v>2026-09-07</x:v>
      </x:c>
      <x:c r="D413" s="18" t="str">
        <x:v>High Court of Karnataka</x:v>
      </x:c>
      <x:c r="E413" s="18" t="str">
        <x:v>S.G.PANDIT,CHILLAKUR SUMALATHA</x:v>
      </x:c>
      <x:c r="F413" s="18" t="str">
        <x:v>REJECTED</x:v>
      </x:c>
      <x:c r="G413" s="20" t="str">
        <x:v>https://indian-high-court-judgments.s3.ap-south-1.amazonaws.com/data/pdf/year=2026/court=29_3/bench=karnataka_bng_old/KAHC010468682021_1_2023-12-08.pdf</x:v>
      </x:c>
    </x:row>
    <x:row r="414">
      <x:c r="A414" s="19">
        <x:f>ROUND(COUNTA(A414:G414)/7*100,0)</x:f>
      </x:c>
      <x:c r="B414" s="18" t="str">
        <x:v>WP/5820/2021 of SRI. K R SUBRAHMANYA Vs CHIEF OFFICER, MUNICIPAL OFFICE,</x:v>
      </x:c>
      <x:c r="C414" s="18" t="str">
        <x:v>2026-08-28</x:v>
      </x:c>
      <x:c r="D414" s="18" t="str">
        <x:v>High Court of Karnataka</x:v>
      </x:c>
      <x:c r="E414" s="18" t="str">
        <x:v>B M SHYAM PRASAD</x:v>
      </x:c>
      <x:c r="F414" s="18" t="str">
        <x:v>DISPOSED</x:v>
      </x:c>
      <x:c r="G414" s="20" t="str">
        <x:v>https://indian-high-court-judgments.s3.ap-south-1.amazonaws.com/data/pdf/year=2026/court=29_3/bench=karnataka_bng_old/KAHC010043292021_1_2026-08-28.pdf</x:v>
      </x:c>
    </x:row>
    <x:row r="415">
      <x:c r="A415" s="19">
        <x:f>ROUND(COUNTA(A415:G415)/7*100,0)</x:f>
      </x:c>
      <x:c r="B415" s="18" t="str">
        <x:v>MFA/297/2021 of THE BRANCH MANAGER Vs DADI @ M DADAPEER</x:v>
      </x:c>
      <x:c r="C415" s="18" t="str">
        <x:v>2026-09-02</x:v>
      </x:c>
      <x:c r="D415" s="18" t="str">
        <x:v>High Court of Karnataka</x:v>
      </x:c>
      <x:c r="E415" s="18" t="str">
        <x:v>RAJESH RAI K</x:v>
      </x:c>
      <x:c r="F415" s="18" t="str">
        <x:v>DISPOSED</x:v>
      </x:c>
      <x:c r="G415" s="20" t="str">
        <x:v>https://indian-high-court-judgments.s3.ap-south-1.amazonaws.com/data/pdf/year=2026/court=29_3/bench=karnataka_bng_old/KAHC010391752020_1_2026-09-02.pdf</x:v>
      </x:c>
    </x:row>
    <x:row r="416">
      <x:c r="A416" s="19">
        <x:f>ROUND(COUNTA(A416:G416)/7*100,0)</x:f>
      </x:c>
      <x:c r="B416" s="18" t="str">
        <x:v>WP/24544/2026 of ASHOK KUMAR. G Vs THE UNION OF INDIA</x:v>
      </x:c>
      <x:c r="C416" s="18" t="str">
        <x:v>2026-08-28</x:v>
      </x:c>
      <x:c r="D416" s="18" t="str">
        <x:v>High Court of Karnataka</x:v>
      </x:c>
      <x:c r="E416" s="18" t="str">
        <x:v>D K SINGH,H.SHANTHI BHUSHAN</x:v>
      </x:c>
      <x:c r="F416" s="18" t="str">
        <x:v>DISMISSED</x:v>
      </x:c>
      <x:c r="G416" s="20" t="str">
        <x:v>https://indian-high-court-judgments.s3.ap-south-1.amazonaws.com/data/pdf/year=2026/court=29_3/bench=karnataka_bng_old/KAHC010539212026_1_2026-08-28.pdf</x:v>
      </x:c>
    </x:row>
    <x:row r="417">
      <x:c r="A417" s="19">
        <x:f>ROUND(COUNTA(A417:G417)/7*100,0)</x:f>
      </x:c>
      <x:c r="B417" s="18" t="str">
        <x:v>WP/27440/2026 of SRI N. RAVICHANDRA Vs THE STATE OF KARNATAKA</x:v>
      </x:c>
      <x:c r="C417" s="18" t="str">
        <x:v>2026-08-31</x:v>
      </x:c>
      <x:c r="D417" s="18" t="str">
        <x:v>High Court of Karnataka</x:v>
      </x:c>
      <x:c r="E417" s="18" t="str">
        <x:v>E.S.INDIRESH</x:v>
      </x:c>
      <x:c r="F417" s="18" t="str">
        <x:v>ALLOWED</x:v>
      </x:c>
      <x:c r="G417" s="20" t="str">
        <x:v>https://indian-high-court-judgments.s3.ap-south-1.amazonaws.com/data/pdf/year=2026/court=29_3/bench=karnataka_bng_old/KAHC010612342026_1_2026-08-31.pdf</x:v>
      </x:c>
    </x:row>
    <x:row r="418">
      <x:c r="A418" s="19">
        <x:f>ROUND(COUNTA(A418:G418)/7*100,0)</x:f>
      </x:c>
      <x:c r="B418" s="18" t="str">
        <x:v>MFA/2130/2026 of SRI SHETTYGOWDA Vs SRI MADHUSUDHAN H S</x:v>
      </x:c>
      <x:c r="C418" s="18" t="str">
        <x:v>2026-08-27</x:v>
      </x:c>
      <x:c r="D418" s="18" t="str">
        <x:v>High Court of Karnataka</x:v>
      </x:c>
      <x:c r="E418" s="18" t="str">
        <x:v>SHIVASHANKAR AMARANNAVAR</x:v>
      </x:c>
      <x:c r="F418" s="18" t="str">
        <x:v>Partly Allowed</x:v>
      </x:c>
      <x:c r="G418" s="20" t="str">
        <x:v>https://indian-high-court-judgments.s3.ap-south-1.amazonaws.com/data/pdf/year=2026/court=29_3/bench=karnataka_bng_old/KAHC010206132026_1_2026-08-27.pdf</x:v>
      </x:c>
    </x:row>
    <x:row r="419">
      <x:c r="A419" s="19">
        <x:f>ROUND(COUNTA(A419:G419)/7*100,0)</x:f>
      </x:c>
      <x:c r="B419" s="18" t="str">
        <x:v>WP/11202/2023 of SRI. SOMASHEKARAPPA Vs THE STATE OF KARNATAKA</x:v>
      </x:c>
      <x:c r="C419" s="18" t="str">
        <x:v>2026-08-27</x:v>
      </x:c>
      <x:c r="D419" s="18" t="str">
        <x:v>High Court of Karnataka</x:v>
      </x:c>
      <x:c r="E419" s="18" t="str">
        <x:v>CHIEF JUSTICE,K.S. HEMALEKHA</x:v>
      </x:c>
      <x:c r="F419" s="18" t="str">
        <x:v>DISPOSED</x:v>
      </x:c>
      <x:c r="G419" s="20" t="str">
        <x:v>https://indian-high-court-judgments.s3.ap-south-1.amazonaws.com/data/pdf/year=2026/court=29_3/bench=karnataka_bng_old/KAHC010267802023_1_2026-08-27.pdf</x:v>
      </x:c>
    </x:row>
    <x:row r="420">
      <x:c r="A420" s="19">
        <x:f>ROUND(COUNTA(A420:G420)/7*100,0)</x:f>
      </x:c>
      <x:c r="B420" s="18" t="str">
        <x:v>WP/8713/2026 of M/S ROCKSAND MINERALS PVT LTD Vs THE STATE OF KARNATAKA</x:v>
      </x:c>
      <x:c r="C420" s="18" t="str">
        <x:v>2026-09-03</x:v>
      </x:c>
      <x:c r="D420" s="18" t="str">
        <x:v>High Court of Karnataka</x:v>
      </x:c>
      <x:c r="E420" s="18" t="str">
        <x:v>CHIEF JUSTICE,K.S. HEMALEKHA</x:v>
      </x:c>
      <x:c r="F420" s="18" t="str">
        <x:v>DISPOSED</x:v>
      </x:c>
      <x:c r="G420" s="20" t="str">
        <x:v>https://indian-high-court-judgments.s3.ap-south-1.amazonaws.com/data/pdf/year=2026/court=29_3/bench=karnataka_bng_old/KAHC010193022026_1_2026-09-03.pdf</x:v>
      </x:c>
    </x:row>
    <x:row r="421">
      <x:c r="A421" s="19">
        <x:f>ROUND(COUNTA(A421:G421)/7*100,0)</x:f>
      </x:c>
      <x:c r="B421" s="18" t="str">
        <x:v>WP/23203/2026 of SRI. DHANANJAYA Vs THE STATE OF KARNATAKA,</x:v>
      </x:c>
      <x:c r="C421" s="18" t="str">
        <x:v>2026-08-28</x:v>
      </x:c>
      <x:c r="D421" s="18" t="str">
        <x:v>High Court of Karnataka</x:v>
      </x:c>
      <x:c r="E421" s="18" t="str">
        <x:v>CHIEF JUSTICE,K.S. HEMALEKHA</x:v>
      </x:c>
      <x:c r="F421" s="18" t="str">
        <x:v>DISPOSED</x:v>
      </x:c>
      <x:c r="G421" s="20" t="str">
        <x:v>https://indian-high-court-judgments.s3.ap-south-1.amazonaws.com/data/pdf/year=2026/court=29_3/bench=karnataka_bng_old/KAHC010496002026_1_2026-08-28.pdf</x:v>
      </x:c>
    </x:row>
    <x:row r="422">
      <x:c r="A422" s="19">
        <x:f>ROUND(COUNTA(A422:G422)/7*100,0)</x:f>
      </x:c>
      <x:c r="B422" s="18" t="str">
        <x:v>CRL.P/8994/2026 of MARUTHI @ MARUTHESHA Vs STATE BY BANAVARA POLICE</x:v>
      </x:c>
      <x:c r="C422" s="18" t="str">
        <x:v>2026-08-31</x:v>
      </x:c>
      <x:c r="D422" s="18" t="str">
        <x:v>High Court of Karnataka</x:v>
      </x:c>
      <x:c r="E422" s="18" t="str">
        <x:v>S VISHWAJITH SHETTY</x:v>
      </x:c>
      <x:c r="F422" s="18" t="str">
        <x:v>ALLOWED</x:v>
      </x:c>
      <x:c r="G422" s="20" t="str">
        <x:v>https://indian-high-court-judgments.s3.ap-south-1.amazonaws.com/data/pdf/year=2026/court=29_3/bench=karnataka_bng_old/KAHC010423052026_1_2026-08-31.pdf</x:v>
      </x:c>
    </x:row>
    <x:row r="423">
      <x:c r="A423" s="19">
        <x:f>ROUND(COUNTA(A423:G423)/7*100,0)</x:f>
      </x:c>
      <x:c r="B423" s="18" t="str">
        <x:v>CRL.P/7623/2025 of SRI BASANAGOUDA R PATIL (YATNAL) Vs STATE OF KARNATAKA</x:v>
      </x:c>
      <x:c r="C423" s="18" t="str">
        <x:v>2026-08-28</x:v>
      </x:c>
      <x:c r="D423" s="18" t="str">
        <x:v>High Court of Karnataka</x:v>
      </x:c>
      <x:c r="E423" s="18" t="str">
        <x:v>M.NAGAPRASANNA</x:v>
      </x:c>
      <x:c r="F423" s="18" t="str">
        <x:v>ALLOWED</x:v>
      </x:c>
      <x:c r="G423" s="20" t="str">
        <x:v>https://indian-high-court-judgments.s3.ap-south-1.amazonaws.com/data/pdf/year=2026/court=29_3/bench=karnataka_bng_old/KAHC010347332025_1_2026-08-28.pdf</x:v>
      </x:c>
    </x:row>
    <x:row r="424">
      <x:c r="A424" s="19">
        <x:f>ROUND(COUNTA(A424:G424)/7*100,0)</x:f>
      </x:c>
      <x:c r="B424" s="18" t="str">
        <x:v>CRL.P/11451/2026 of MAHESH BABU @ BABU Vs STATE OF KARNATAKA</x:v>
      </x:c>
      <x:c r="C424" s="18" t="str">
        <x:v>2026-08-29</x:v>
      </x:c>
      <x:c r="D424" s="18" t="str">
        <x:v>High Court of Karnataka</x:v>
      </x:c>
      <x:c r="E424" s="18" t="str">
        <x:v>S VISHWAJITH SHETTY</x:v>
      </x:c>
      <x:c r="F424" s="18" t="str">
        <x:v>ALLOWED</x:v>
      </x:c>
      <x:c r="G424" s="20" t="str">
        <x:v>https://indian-high-court-judgments.s3.ap-south-1.amazonaws.com/data/pdf/year=2026/court=29_3/bench=karnataka_bng_old/KAHC010521612026_1_2026-08-29.pdf</x:v>
      </x:c>
    </x:row>
    <x:row r="425">
      <x:c r="A425" s="19">
        <x:f>ROUND(COUNTA(A425:G425)/7*100,0)</x:f>
      </x:c>
      <x:c r="B425" s="18" t="str">
        <x:v>WP/11487/2026 of SMT SHILPA JADHAV Vs STATE OF KARNATAKA</x:v>
      </x:c>
      <x:c r="C425" s="18" t="str">
        <x:v>2026-08-27</x:v>
      </x:c>
      <x:c r="D425" s="18" t="str">
        <x:v>High Court of Karnataka</x:v>
      </x:c>
      <x:c r="E425" s="18" t="str">
        <x:v>SURAJ GOVINDARAJ</x:v>
      </x:c>
      <x:c r="F425" s="18" t="str">
        <x:v>DISMISSED</x:v>
      </x:c>
      <x:c r="G425" s="20" t="str">
        <x:v>https://indian-high-court-judgments.s3.ap-south-1.amazonaws.com/data/pdf/year=2026/court=29_3/bench=karnataka_bng_old/KAHC010242282026_1_2026-08-27.pdf</x:v>
      </x:c>
    </x:row>
    <x:row r="426">
      <x:c r="A426" s="19">
        <x:f>ROUND(COUNTA(A426:G426)/7*100,0)</x:f>
      </x:c>
      <x:c r="B426" s="18" t="str">
        <x:v>CRL.P/11913/2026 of CHETAN D S Vs THE STATE BY</x:v>
      </x:c>
      <x:c r="C426" s="18" t="str">
        <x:v>2026-08-29</x:v>
      </x:c>
      <x:c r="D426" s="18" t="str">
        <x:v>High Court of Karnataka</x:v>
      </x:c>
      <x:c r="E426" s="18" t="str">
        <x:v>S VISHWAJITH SHETTY</x:v>
      </x:c>
      <x:c r="F426" s="18" t="str">
        <x:v>ALLOWED</x:v>
      </x:c>
      <x:c r="G426" s="20" t="str">
        <x:v>https://indian-high-court-judgments.s3.ap-south-1.amazonaws.com/data/pdf/year=2026/court=29_3/bench=karnataka_bng_old/KAHC010542552026_1_2026-08-29.pdf</x:v>
      </x:c>
    </x:row>
    <x:row r="427">
      <x:c r="A427" s="19">
        <x:f>ROUND(COUNTA(A427:G427)/7*100,0)</x:f>
      </x:c>
      <x:c r="B427" s="18" t="str">
        <x:v>WP/31565/2025 of SRI RAGHAVENDRA K Vs THE MANAGER</x:v>
      </x:c>
      <x:c r="C427" s="18" t="str">
        <x:v>2026-09-03</x:v>
      </x:c>
      <x:c r="D427" s="18" t="str">
        <x:v>High Court of Karnataka</x:v>
      </x:c>
      <x:c r="E427" s="18" t="str">
        <x:v>T.P.VIVEKANANDA</x:v>
      </x:c>
      <x:c r="F427" s="18" t="str">
        <x:v>DISMISSED</x:v>
      </x:c>
      <x:c r="G427" s="20" t="str">
        <x:v>https://indian-high-court-judgments.s3.ap-south-1.amazonaws.com/data/pdf/year=2026/court=29_3/bench=karnataka_bng_old/KAHC010677482025_1_2026-09-03.pdf</x:v>
      </x:c>
    </x:row>
    <x:row r="428">
      <x:c r="A428" s="19">
        <x:f>ROUND(COUNTA(A428:G428)/7*100,0)</x:f>
      </x:c>
      <x:c r="B428" s="18" t="str">
        <x:v>WP/13254/2021 of M/S RAGHAVA BUILDERS AND DEVELOPERS Vs THE AUTHORIZED OFFICER,</x:v>
      </x:c>
      <x:c r="C428" s="18" t="str">
        <x:v>2026-09-03</x:v>
      </x:c>
      <x:c r="D428" s="18" t="str">
        <x:v>High Court of Karnataka</x:v>
      </x:c>
      <x:c r="E428" s="18" t="str">
        <x:v>M.G.S. KAMAL</x:v>
      </x:c>
      <x:c r="F428" s="18" t="str">
        <x:v>DISMISSED</x:v>
      </x:c>
      <x:c r="G428" s="20" t="str">
        <x:v>https://indian-high-court-judgments.s3.ap-south-1.amazonaws.com/data/pdf/year=2026/court=29_3/bench=karnataka_bng_old/KAHC010255902021_1_2026-09-03.pdf</x:v>
      </x:c>
    </x:row>
    <x:row r="429">
      <x:c r="A429" s="19">
        <x:f>ROUND(COUNTA(A429:G429)/7*100,0)</x:f>
      </x:c>
      <x:c r="B429" s="18" t="str">
        <x:v>CRL.P/1694/2021 of SRI PANCHAKSHARAIAH Vs G S CHANDRASHEKAR</x:v>
      </x:c>
      <x:c r="C429" s="18" t="str">
        <x:v>2026-09-02</x:v>
      </x:c>
      <x:c r="D429" s="18" t="str">
        <x:v>High Court of Karnataka</x:v>
      </x:c>
      <x:c r="E429" s="18" t="str">
        <x:v>RAVI V HOSMANI</x:v>
      </x:c>
      <x:c r="F429" s="18" t="str">
        <x:v>ALLOWED</x:v>
      </x:c>
      <x:c r="G429" s="20" t="str">
        <x:v>https://indian-high-court-judgments.s3.ap-south-1.amazonaws.com/data/pdf/year=2026/court=29_3/bench=karnataka_bng_old/KAHC010082292021_1_2026-09-02.pdf</x:v>
      </x:c>
    </x:row>
    <x:row r="430">
      <x:c r="A430" s="19">
        <x:f>ROUND(COUNTA(A430:G430)/7*100,0)</x:f>
      </x:c>
      <x:c r="B430" s="18" t="str">
        <x:v>RP/263/2026 of SRI SWAMY Vs STATE OF KARNATAKA</x:v>
      </x:c>
      <x:c r="C430" s="18" t="str">
        <x:v>2026-08-28</x:v>
      </x:c>
      <x:c r="D430" s="18" t="str">
        <x:v>High Court of Karnataka</x:v>
      </x:c>
      <x:c r="E430" s="18" t="str">
        <x:v>D K SINGH,RAJESH RAI K</x:v>
      </x:c>
      <x:c r="F430" s="18" t="str">
        <x:v>DISMISSED</x:v>
      </x:c>
      <x:c r="G430" s="20" t="str">
        <x:v>https://indian-high-court-judgments.s3.ap-south-1.amazonaws.com/data/pdf/year=2026/court=29_3/bench=karnataka_bng_old/KAHC010322872026_1_2026-08-28.pdf</x:v>
      </x:c>
    </x:row>
    <x:row r="431">
      <x:c r="A431" s="19">
        <x:f>ROUND(COUNTA(A431:G431)/7*100,0)</x:f>
      </x:c>
      <x:c r="B431" s="18" t="str">
        <x:v>MFA/7629/2022 of SRI KARIGOWDA Vs SRI UMESH S</x:v>
      </x:c>
      <x:c r="C431" s="18" t="str">
        <x:v>2026-08-29</x:v>
      </x:c>
      <x:c r="D431" s="18" t="str">
        <x:v>High Court of Karnataka</x:v>
      </x:c>
      <x:c r="E431" s="18" t="str">
        <x:v>RAJESH RAI K</x:v>
      </x:c>
      <x:c r="F431" s="18" t="str">
        <x:v>Partly Allowed</x:v>
      </x:c>
      <x:c r="G431" s="20" t="str">
        <x:v>https://indian-high-court-judgments.s3.ap-south-1.amazonaws.com/data/pdf/year=2026/court=29_3/bench=karnataka_bng_old/KAHC010513442022_1_2026-08-29.pdf</x:v>
      </x:c>
    </x:row>
    <x:row r="432">
      <x:c r="A432" s="19">
        <x:f>ROUND(COUNTA(A432:G432)/7*100,0)</x:f>
      </x:c>
      <x:c r="B432" s="18" t="str">
        <x:v>MFA/4539/2023 of SRI THULASI RAMAIAH Vs SRI MOHAN KUMAR</x:v>
      </x:c>
      <x:c r="C432" s="18" t="str">
        <x:v>2026-08-27</x:v>
      </x:c>
      <x:c r="D432" s="18" t="str">
        <x:v>High Court of Karnataka</x:v>
      </x:c>
      <x:c r="E432" s="18" t="str">
        <x:v>T.M.NADAF</x:v>
      </x:c>
      <x:c r="F432" s="18" t="str">
        <x:v>Partly Allowed</x:v>
      </x:c>
      <x:c r="G432" s="20" t="str">
        <x:v>https://indian-high-court-judgments.s3.ap-south-1.amazonaws.com/data/pdf/year=2026/court=29_3/bench=karnataka_bng_old/KAHC010334582023_1_2026-08-27.pdf</x:v>
      </x:c>
    </x:row>
    <x:row r="433">
      <x:c r="A433" s="19">
        <x:f>ROUND(COUNTA(A433:G433)/7*100,0)</x:f>
      </x:c>
      <x:c r="B433" s="18" t="str">
        <x:v>CCC/584/2023 of SRI DURGAMBA EDUCATIONAL TRUST (R) Vs SMT HUCHAMMA @ PADMAVATHAMMA SINCE DECEASED BY HER LRS SMT RAMA</x:v>
      </x:c>
      <x:c r="C433" s="18" t="str">
        <x:v>2026-08-27</x:v>
      </x:c>
      <x:c r="D433" s="18" t="str">
        <x:v>High Court of Karnataka</x:v>
      </x:c>
      <x:c r="E433" s="18" t="str">
        <x:v>ANU SIVARAMAN,T.P.VIVEKANANDA</x:v>
      </x:c>
      <x:c r="F433" s="18" t="str">
        <x:v>DROPPED</x:v>
      </x:c>
      <x:c r="G433" s="20" t="str">
        <x:v>https://indian-high-court-judgments.s3.ap-south-1.amazonaws.com/data/pdf/year=2026/court=29_3/bench=karnataka_bng_old/KAHC010309022023_1_2026-08-27.pdf</x:v>
      </x:c>
    </x:row>
    <x:row r="434">
      <x:c r="A434" s="19">
        <x:f>ROUND(COUNTA(A434:G434)/7*100,0)</x:f>
      </x:c>
      <x:c r="B434" s="18" t="str">
        <x:v>WP/14417/2026 of PARVATHAMMA Vs STATE OF KARNATAKA</x:v>
      </x:c>
      <x:c r="C434" s="18" t="str">
        <x:v>2026-09-01</x:v>
      </x:c>
      <x:c r="D434" s="18" t="str">
        <x:v>High Court of Karnataka</x:v>
      </x:c>
      <x:c r="E434" s="18" t="str">
        <x:v>SURAJ GOVINDARAJ</x:v>
      </x:c>
      <x:c r="F434" s="18" t="str">
        <x:v>ALLOWED</x:v>
      </x:c>
      <x:c r="G434" s="20" t="str">
        <x:v>https://indian-high-court-judgments.s3.ap-south-1.amazonaws.com/data/pdf/year=2026/court=29_3/bench=karnataka_bng_old/KAHC010314422026_1_2026-09-01.pdf</x:v>
      </x:c>
    </x:row>
    <x:row r="435">
      <x:c r="A435" s="19">
        <x:f>ROUND(COUNTA(A435:G435)/7*100,0)</x:f>
      </x:c>
      <x:c r="B435" s="18" t="str">
        <x:v>CRL.P/9771/2026 of KRISHNA @ KRISHNA M Vs STATE OF KARNATAKA</x:v>
      </x:c>
      <x:c r="C435" s="18" t="str">
        <x:v>2026-09-02</x:v>
      </x:c>
      <x:c r="D435" s="18" t="str">
        <x:v>High Court of Karnataka</x:v>
      </x:c>
      <x:c r="E435" s="18" t="str">
        <x:v>S VISHWAJITH SHETTY</x:v>
      </x:c>
      <x:c r="F435" s="18" t="str">
        <x:v>DISMISSED</x:v>
      </x:c>
      <x:c r="G435" s="20" t="str">
        <x:v>https://indian-high-court-judgments.s3.ap-south-1.amazonaws.com/data/pdf/year=2026/court=29_3/bench=karnataka_bng_old/KAHC010452402026_1_2026-09-02.pdf</x:v>
      </x:c>
    </x:row>
    <x:row r="436">
      <x:c r="A436" s="19">
        <x:f>ROUND(COUNTA(A436:G436)/7*100,0)</x:f>
      </x:c>
      <x:c r="B436" s="18" t="str">
        <x:v>STRP/65/2025 of M/S SUPERB STEEL SALES Vs JOINT COMMISSIONER</x:v>
      </x:c>
      <x:c r="C436" s="18" t="str">
        <x:v>2026-09-03</x:v>
      </x:c>
      <x:c r="D436" s="18" t="str">
        <x:v>High Court of Karnataka</x:v>
      </x:c>
      <x:c r="E436" s="18" t="str">
        <x:v>R DEVDAS,K.MANMADHA RAO</x:v>
      </x:c>
      <x:c r="F436" s="18" t="str">
        <x:v>DISMISSED</x:v>
      </x:c>
      <x:c r="G436" s="20" t="str">
        <x:v>https://indian-high-court-judgments.s3.ap-south-1.amazonaws.com/data/pdf/year=2026/court=29_3/bench=karnataka_bng_old/KAHC010790072025_1_2026-09-03.pdf</x:v>
      </x:c>
    </x:row>
    <x:row r="437">
      <x:c r="A437" s="19">
        <x:f>ROUND(COUNTA(A437:G437)/7*100,0)</x:f>
      </x:c>
      <x:c r="B437" s="18" t="str">
        <x:v>WP/26355/2026 of SRI PREETHAM JEEVAN D SOUZA Vs THE SPECIAL LAND ACQUISITION OFFICER</x:v>
      </x:c>
      <x:c r="C437" s="18" t="str">
        <x:v>2026-08-27</x:v>
      </x:c>
      <x:c r="D437" s="18" t="str">
        <x:v>High Court of Karnataka</x:v>
      </x:c>
      <x:c r="E437" s="18" t="str">
        <x:v>R. NATARAJ</x:v>
      </x:c>
      <x:c r="F437" s="18" t="str">
        <x:v>DISPOSED</x:v>
      </x:c>
      <x:c r="G437" s="20" t="str">
        <x:v>https://indian-high-court-judgments.s3.ap-south-1.amazonaws.com/data/pdf/year=2026/court=29_3/bench=karnataka_bng_old/KAHC010579332026_1_2026-08-27.pdf</x:v>
      </x:c>
    </x:row>
    <x:row r="438">
      <x:c r="A438" s="19">
        <x:f>ROUND(COUNTA(A438:G438)/7*100,0)</x:f>
      </x:c>
      <x:c r="B438" s="18" t="str">
        <x:v>CRL.P/1274/2023 of UMESH Vs THE STATE OF KARNATAKA</x:v>
      </x:c>
      <x:c r="C438" s="18" t="str">
        <x:v>2026-09-08</x:v>
      </x:c>
      <x:c r="D438" s="18" t="str">
        <x:v>High Court of Karnataka</x:v>
      </x:c>
      <x:c r="E438" s="18" t="str">
        <x:v>S VISHWAJITH SHETTY</x:v>
      </x:c>
      <x:c r="F438" s="18" t="str">
        <x:v>DISMISSED</x:v>
      </x:c>
      <x:c r="G438" s="20" t="str">
        <x:v>https://indian-high-court-judgments.s3.ap-south-1.amazonaws.com/data/pdf/year=2026/court=29_3/bench=karnataka_bng_old/KAHC010076522023_1_2026-09-08.pdf</x:v>
      </x:c>
    </x:row>
    <x:row r="439">
      <x:c r="A439" s="19">
        <x:f>ROUND(COUNTA(A439:G439)/7*100,0)</x:f>
      </x:c>
      <x:c r="B439" s="18" t="str">
        <x:v>WP/4142/2026 of SRI K N SURESH Vs KUM. KAVYA SHREE. S.</x:v>
      </x:c>
      <x:c r="C439" s="18" t="str">
        <x:v>2026-09-02</x:v>
      </x:c>
      <x:c r="D439" s="18" t="str">
        <x:v>High Court of Karnataka</x:v>
      </x:c>
      <x:c r="E439" s="18" t="str">
        <x:v>CHILLAKUR SUMALATHA</x:v>
      </x:c>
      <x:c r="F439" s="18" t="str">
        <x:v>DISMISSED</x:v>
      </x:c>
      <x:c r="G439" s="20" t="str">
        <x:v>https://indian-high-court-judgments.s3.ap-south-1.amazonaws.com/data/pdf/year=2026/court=29_3/bench=karnataka_bng_old/KAHC010094692026_1_2026-09-02.pdf</x:v>
      </x:c>
    </x:row>
    <x:row r="440">
      <x:c r="A440" s="19">
        <x:f>ROUND(COUNTA(A440:G440)/7*100,0)</x:f>
      </x:c>
      <x:c r="B440" s="18" t="str">
        <x:v>WP/756/2024 of SRI SHARANAYYA Vs SRI DEVARAJ C R</x:v>
      </x:c>
      <x:c r="C440" s="18" t="str">
        <x:v>2026-08-31</x:v>
      </x:c>
      <x:c r="D440" s="18" t="str">
        <x:v>High Court of Karnataka</x:v>
      </x:c>
      <x:c r="E440" s="18" t="str">
        <x:v>JYOTI M</x:v>
      </x:c>
      <x:c r="F440" s="18" t="str">
        <x:v>DISMISSED</x:v>
      </x:c>
      <x:c r="G440" s="20" t="str">
        <x:v>https://indian-high-court-judgments.s3.ap-south-1.amazonaws.com/data/pdf/year=2026/court=29_3/bench=karnataka_bng_old/KAHC010007272024_1_2026-08-31.pdf</x:v>
      </x:c>
    </x:row>
    <x:row r="441">
      <x:c r="A441" s="19">
        <x:f>ROUND(COUNTA(A441:G441)/7*100,0)</x:f>
      </x:c>
      <x:c r="B441" s="18" t="str">
        <x:v>WP/8770/2026 of KUM NETHRAVATHI G Vs THE DIRECTOR ( A AND HR)</x:v>
      </x:c>
      <x:c r="C441" s="18" t="str">
        <x:v>2026-09-02</x:v>
      </x:c>
      <x:c r="D441" s="18" t="str">
        <x:v>High Court of Karnataka</x:v>
      </x:c>
      <x:c r="E441" s="18" t="str">
        <x:v>ASHOK S.KINAGI</x:v>
      </x:c>
      <x:c r="F441" s="18" t="str">
        <x:v>DISPOSED</x:v>
      </x:c>
      <x:c r="G441" s="20" t="str">
        <x:v>https://indian-high-court-judgments.s3.ap-south-1.amazonaws.com/data/pdf/year=2026/court=29_3/bench=karnataka_bng_old/KAHC010190472026_1_2026-09-02.pdf</x:v>
      </x:c>
    </x:row>
    <x:row r="442">
      <x:c r="A442" s="19">
        <x:f>ROUND(COUNTA(A442:G442)/7*100,0)</x:f>
      </x:c>
      <x:c r="B442" s="18" t="str">
        <x:v>MFA/1959/2022 of SMT SUJATHAMMA Vs M/S UNITED INDIA INSURANCE CO. LTD</x:v>
      </x:c>
      <x:c r="C442" s="18" t="str">
        <x:v>2026-08-27</x:v>
      </x:c>
      <x:c r="D442" s="18" t="str">
        <x:v>High Court of Karnataka</x:v>
      </x:c>
      <x:c r="E442" s="18" t="str">
        <x:v>RAJESH RAI K</x:v>
      </x:c>
      <x:c r="F442" s="18" t="str">
        <x:v>Partly Allowed</x:v>
      </x:c>
      <x:c r="G442" s="20" t="str">
        <x:v>https://indian-high-court-judgments.s3.ap-south-1.amazonaws.com/data/pdf/year=2026/court=29_3/bench=karnataka_bng_old/KAHC010094362022_1_2026-08-27.pdf</x:v>
      </x:c>
    </x:row>
    <x:row r="443">
      <x:c r="A443" s="19">
        <x:f>ROUND(COUNTA(A443:G443)/7*100,0)</x:f>
      </x:c>
      <x:c r="B443" s="18" t="str">
        <x:v>CRL.P/337/2026 of SMT.PUSHPA B P Vs THE STATE OF KARNATAKA</x:v>
      </x:c>
      <x:c r="C443" s="18" t="str">
        <x:v>2026-09-08</x:v>
      </x:c>
      <x:c r="D443" s="18" t="str">
        <x:v>High Court of Karnataka</x:v>
      </x:c>
      <x:c r="E443" s="18" t="str">
        <x:v>S VISHWAJITH SHETTY</x:v>
      </x:c>
      <x:c r="F443" s="18" t="str">
        <x:v>ALLOWED</x:v>
      </x:c>
      <x:c r="G443" s="20" t="str">
        <x:v>https://indian-high-court-judgments.s3.ap-south-1.amazonaws.com/data/pdf/year=2026/court=29_3/bench=karnataka_bng_old/KAHC010015252026_1_2026-09-08.pdf</x:v>
      </x:c>
    </x:row>
    <x:row r="444">
      <x:c r="A444" s="19">
        <x:f>ROUND(COUNTA(A444:G444)/7*100,0)</x:f>
      </x:c>
      <x:c r="B444" s="18" t="str">
        <x:v>CRL.P/355/2026 of SRI. LINGARAJU K, Vs STATE OF KARNATAKA</x:v>
      </x:c>
      <x:c r="C444" s="18" t="str">
        <x:v>2026-09-07</x:v>
      </x:c>
      <x:c r="D444" s="18" t="str">
        <x:v>High Court of Karnataka</x:v>
      </x:c>
      <x:c r="E444" s="18" t="str">
        <x:v>S VISHWAJITH SHETTY</x:v>
      </x:c>
      <x:c r="F444" s="18" t="str">
        <x:v>DISMISSED</x:v>
      </x:c>
      <x:c r="G444" s="20" t="str">
        <x:v>https://indian-high-court-judgments.s3.ap-south-1.amazonaws.com/data/pdf/year=2026/court=29_3/bench=karnataka_bng_old/KAHC010018352026_1_2026-09-07.pdf</x:v>
      </x:c>
    </x:row>
    <x:row r="445">
      <x:c r="A445" s="19">
        <x:f>ROUND(COUNTA(A445:G445)/7*100,0)</x:f>
      </x:c>
      <x:c r="B445" s="18" t="str">
        <x:v>WP/26931/2026 of SRI. H.C NARASIMHAIAH Vs STATE OF KARNATAKA,</x:v>
      </x:c>
      <x:c r="C445" s="18" t="str">
        <x:v>2026-08-27</x:v>
      </x:c>
      <x:c r="D445" s="18" t="str">
        <x:v>High Court of Karnataka</x:v>
      </x:c>
      <x:c r="E445" s="18" t="str">
        <x:v>E.S.INDIRESH</x:v>
      </x:c>
      <x:c r="F445" s="18" t="str">
        <x:v>DISPOSED</x:v>
      </x:c>
      <x:c r="G445" s="20" t="str">
        <x:v>https://indian-high-court-judgments.s3.ap-south-1.amazonaws.com/data/pdf/year=2026/court=29_3/bench=karnataka_bng_old/KAHC010600252026_1_2026-08-27.pdf</x:v>
      </x:c>
    </x:row>
    <x:row r="446">
      <x:c r="A446" s="19">
        <x:f>ROUND(COUNTA(A446:G446)/7*100,0)</x:f>
      </x:c>
      <x:c r="B446" s="18" t="str">
        <x:v>WP/26806/2026 of SRI. S. SOMANNA, Vs THE STATE OF KARNATAKA,</x:v>
      </x:c>
      <x:c r="C446" s="18" t="str">
        <x:v>2026-08-28</x:v>
      </x:c>
      <x:c r="D446" s="18" t="str">
        <x:v>High Court of Karnataka</x:v>
      </x:c>
      <x:c r="E446" s="18" t="str">
        <x:v>E.S.INDIRESH</x:v>
      </x:c>
      <x:c r="F446" s="18" t="str">
        <x:v>ALLOWED</x:v>
      </x:c>
      <x:c r="G446" s="20" t="str">
        <x:v>https://indian-high-court-judgments.s3.ap-south-1.amazonaws.com/data/pdf/year=2026/court=29_3/bench=karnataka_bng_old/KAHC010593252026_1_2026-08-28.pdf</x:v>
      </x:c>
    </x:row>
    <x:row r="447">
      <x:c r="A447" s="19">
        <x:f>ROUND(COUNTA(A447:G447)/7*100,0)</x:f>
      </x:c>
      <x:c r="B447" s="18" t="str">
        <x:v>CRL.RP/1707/2023 of REKHA T S, Vs STATE OF KARNATAKA</x:v>
      </x:c>
      <x:c r="C447" s="18" t="str">
        <x:v>2026-09-03</x:v>
      </x:c>
      <x:c r="D447" s="18" t="str">
        <x:v>High Court of Karnataka</x:v>
      </x:c>
      <x:c r="E447" s="18" t="str">
        <x:v>VENKATESH NAIK T</x:v>
      </x:c>
      <x:c r="F447" s="18" t="str">
        <x:v>DISMISSED</x:v>
      </x:c>
      <x:c r="G447" s="20" t="str">
        <x:v>https://indian-high-court-judgments.s3.ap-south-1.amazonaws.com/data/pdf/year=2026/court=29_3/bench=karnataka_bng_old/KAHC010695112023_1_2026-09-03.pdf</x:v>
      </x:c>
    </x:row>
    <x:row r="448">
      <x:c r="A448" s="19">
        <x:f>ROUND(COUNTA(A448:G448)/7*100,0)</x:f>
      </x:c>
      <x:c r="B448" s="18" t="str">
        <x:v>CRL.P/11146/2026 of PRUTHVIRAJ Vs STATE OF KARNATAKA</x:v>
      </x:c>
      <x:c r="C448" s="18" t="str">
        <x:v>2026-09-01</x:v>
      </x:c>
      <x:c r="D448" s="18" t="str">
        <x:v>High Court of Karnataka</x:v>
      </x:c>
      <x:c r="E448" s="18" t="str">
        <x:v>M.NAGAPRASANNA</x:v>
      </x:c>
      <x:c r="F448" s="18" t="str">
        <x:v>ALLOWED</x:v>
      </x:c>
      <x:c r="G448" s="20" t="str">
        <x:v>https://indian-high-court-judgments.s3.ap-south-1.amazonaws.com/data/pdf/year=2026/court=29_3/bench=karnataka_bng_old/KAHC010509112026_1_2026-09-01.pdf</x:v>
      </x:c>
    </x:row>
    <x:row r="449">
      <x:c r="A449" s="19">
        <x:f>ROUND(COUNTA(A449:G449)/7*100,0)</x:f>
      </x:c>
      <x:c r="B449" s="18" t="str">
        <x:v>CRL.P/4837/2020 of MANJU D Vs STATE OF KARNATAKA</x:v>
      </x:c>
      <x:c r="C449" s="18" t="str">
        <x:v>2026-08-29</x:v>
      </x:c>
      <x:c r="D449" s="18" t="str">
        <x:v>High Court of Karnataka</x:v>
      </x:c>
      <x:c r="E449" s="18" t="str">
        <x:v>RAVI V HOSMANI</x:v>
      </x:c>
      <x:c r="F449" s="18" t="str">
        <x:v>DISMISSED</x:v>
      </x:c>
      <x:c r="G449" s="20" t="str">
        <x:v>https://indian-high-court-judgments.s3.ap-south-1.amazonaws.com/data/pdf/year=2026/court=29_3/bench=karnataka_bng_old/KAHC010229792020_1_2026-08-29.pdf</x:v>
      </x:c>
    </x:row>
    <x:row r="450">
      <x:c r="A450" s="19">
        <x:f>ROUND(COUNTA(A450:G450)/7*100,0)</x:f>
      </x:c>
      <x:c r="B450" s="18" t="str">
        <x:v>WP/33225/2024 of SRI. B. MANJUNATH Vs SRI K GOVINDAPPA</x:v>
      </x:c>
      <x:c r="C450" s="18" t="str">
        <x:v>2026-08-28</x:v>
      </x:c>
      <x:c r="D450" s="18" t="str">
        <x:v>High Court of Karnataka</x:v>
      </x:c>
      <x:c r="E450" s="18" t="str">
        <x:v>VIJAYKUMAR A. PATIL</x:v>
      </x:c>
      <x:c r="F450" s="18" t="str">
        <x:v>DISPOSED</x:v>
      </x:c>
      <x:c r="G450" s="20" t="str">
        <x:v>https://indian-high-court-judgments.s3.ap-south-1.amazonaws.com/data/pdf/year=2026/court=29_3/bench=karnataka_bng_old/KAHC010683942024_1_2026-08-28.pdf</x:v>
      </x:c>
    </x:row>
    <x:row r="451">
      <x:c r="A451" s="19">
        <x:f>ROUND(COUNTA(A451:G451)/7*100,0)</x:f>
      </x:c>
      <x:c r="B451" s="18" t="str">
        <x:v>CRL.P/11774/2026 of SRI PRAMOD SHET Vs STATE OF KARNATAKA</x:v>
      </x:c>
      <x:c r="C451" s="18" t="str">
        <x:v>2026-08-29</x:v>
      </x:c>
      <x:c r="D451" s="18" t="str">
        <x:v>High Court of Karnataka</x:v>
      </x:c>
      <x:c r="E451" s="18" t="str">
        <x:v>S VISHWAJITH SHETTY</x:v>
      </x:c>
      <x:c r="F451" s="18" t="str">
        <x:v>ALLOWED</x:v>
      </x:c>
      <x:c r="G451" s="20" t="str">
        <x:v>https://indian-high-court-judgments.s3.ap-south-1.amazonaws.com/data/pdf/year=2026/court=29_3/bench=karnataka_bng_old/KAHC010532702026_1_2026-08-29.pdf</x:v>
      </x:c>
    </x:row>
    <x:row r="452">
      <x:c r="A452" s="19">
        <x:f>ROUND(COUNTA(A452:G452)/7*100,0)</x:f>
      </x:c>
      <x:c r="B452" s="18" t="str">
        <x:v>CRL.P/11677/2026 of KALEEMKHAN Vs STATE BY</x:v>
      </x:c>
      <x:c r="C452" s="18" t="str">
        <x:v>2026-08-28</x:v>
      </x:c>
      <x:c r="D452" s="18" t="str">
        <x:v>High Court of Karnataka</x:v>
      </x:c>
      <x:c r="E452" s="18" t="str">
        <x:v>S VISHWAJITH SHETTY</x:v>
      </x:c>
      <x:c r="F452" s="18" t="str">
        <x:v>ALLOWED</x:v>
      </x:c>
      <x:c r="G452" s="20" t="str">
        <x:v>https://indian-high-court-judgments.s3.ap-south-1.amazonaws.com/data/pdf/year=2026/court=29_3/bench=karnataka_bng_old/KAHC010529522026_1_2026-08-28.pdf</x:v>
      </x:c>
    </x:row>
    <x:row r="453">
      <x:c r="A453" s="19">
        <x:f>ROUND(COUNTA(A453:G453)/7*100,0)</x:f>
      </x:c>
      <x:c r="B453" s="18" t="str">
        <x:v>WP/8100/2023 of SMT SOUBHAGYAMMA Vs SRI DEVEGOWDA</x:v>
      </x:c>
      <x:c r="C453" s="18" t="str">
        <x:v>2026-09-01</x:v>
      </x:c>
      <x:c r="D453" s="18" t="str">
        <x:v>High Court of Karnataka</x:v>
      </x:c>
      <x:c r="E453" s="18" t="str">
        <x:v>VIJAYKUMAR A. PATIL</x:v>
      </x:c>
      <x:c r="F453" s="18" t="str">
        <x:v>DISMISSED</x:v>
      </x:c>
      <x:c r="G453" s="20" t="str">
        <x:v>https://indian-high-court-judgments.s3.ap-south-1.amazonaws.com/data/pdf/year=2026/court=29_3/bench=karnataka_bng_old/KAHC010182562023_1_2026-09-01.pdf</x:v>
      </x:c>
    </x:row>
    <x:row r="454">
      <x:c r="A454" s="19">
        <x:f>ROUND(COUNTA(A454:G454)/7*100,0)</x:f>
      </x:c>
      <x:c r="B454" s="18" t="str">
        <x:v>WP/20133/2023 of M/S KPN TRAVELS PVT LTD., Vs SMT SHILPA M B</x:v>
      </x:c>
      <x:c r="C454" s="18" t="str">
        <x:v>2026-08-31</x:v>
      </x:c>
      <x:c r="D454" s="18" t="str">
        <x:v>High Court of Karnataka</x:v>
      </x:c>
      <x:c r="E454" s="18" t="str">
        <x:v>VIJAYKUMAR A. PATIL</x:v>
      </x:c>
      <x:c r="F454" s="18" t="str">
        <x:v>ALLOWED</x:v>
      </x:c>
      <x:c r="G454" s="20" t="str">
        <x:v>https://indian-high-court-judgments.s3.ap-south-1.amazonaws.com/data/pdf/year=2026/court=29_3/bench=karnataka_bng_old/KAHC010472442023_1_2026-08-31.pdf</x:v>
      </x:c>
    </x:row>
    <x:row r="455">
      <x:c r="A455" s="19">
        <x:f>ROUND(COUNTA(A455:G455)/7*100,0)</x:f>
      </x:c>
      <x:c r="B455" s="18" t="str">
        <x:v>WP/18164/2022 of SRI. RAMESH PARMAR Vs SMT. K.M LEELAVATHI</x:v>
      </x:c>
      <x:c r="C455" s="18" t="str">
        <x:v>2026-08-28</x:v>
      </x:c>
      <x:c r="D455" s="18" t="str">
        <x:v>High Court of Karnataka</x:v>
      </x:c>
      <x:c r="E455" s="18" t="str">
        <x:v>VIJAYKUMAR A. PATIL</x:v>
      </x:c>
      <x:c r="F455" s="18" t="str">
        <x:v>ALLOWED</x:v>
      </x:c>
      <x:c r="G455" s="20" t="str">
        <x:v>https://indian-high-court-judgments.s3.ap-south-1.amazonaws.com/data/pdf/year=2026/court=29_3/bench=karnataka_bng_old/KAHC010413132022_1_2026-08-28.pdf</x:v>
      </x:c>
    </x:row>
    <x:row r="456">
      <x:c r="A456" s="19">
        <x:f>ROUND(COUNTA(A456:G456)/7*100,0)</x:f>
      </x:c>
      <x:c r="B456" s="18" t="str">
        <x:v>WP/12082/2025 of MR CHANDRA SHEKHAR Y Vs STATE OF KARNATAKA</x:v>
      </x:c>
      <x:c r="C456" s="18" t="str">
        <x:v>2026-09-02</x:v>
      </x:c>
      <x:c r="D456" s="18" t="str">
        <x:v>High Court of Karnataka</x:v>
      </x:c>
      <x:c r="E456" s="18" t="str">
        <x:v>M.NAGAPRASANNA</x:v>
      </x:c>
      <x:c r="F456" s="18" t="str">
        <x:v>ALLOWED</x:v>
      </x:c>
      <x:c r="G456" s="20" t="str">
        <x:v>https://indian-high-court-judgments.s3.ap-south-1.amazonaws.com/data/pdf/year=2026/court=29_3/bench=karnataka_bng_old/KAHC010264872025_1_2026-09-02.pdf</x:v>
      </x:c>
    </x:row>
    <x:row r="457">
      <x:c r="A457" s="19">
        <x:f>ROUND(COUNTA(A457:G457)/7*100,0)</x:f>
      </x:c>
      <x:c r="B457" s="18" t="str">
        <x:v>WP/13912/2025 of YOGISH P Vs A MADEGOWDA</x:v>
      </x:c>
      <x:c r="C457" s="18" t="str">
        <x:v>2026-08-29</x:v>
      </x:c>
      <x:c r="D457" s="18" t="str">
        <x:v>High Court of Karnataka</x:v>
      </x:c>
      <x:c r="E457" s="18" t="str">
        <x:v>LALITHA KANNEGANTI</x:v>
      </x:c>
      <x:c r="F457" s="18" t="str">
        <x:v>DISMISSED</x:v>
      </x:c>
      <x:c r="G457" s="20" t="str">
        <x:v>https://indian-high-court-judgments.s3.ap-south-1.amazonaws.com/data/pdf/year=2026/court=29_3/bench=karnataka_bng_old/KAHC010282652025_1_2026-08-29.pdf</x:v>
      </x:c>
    </x:row>
    <x:row r="458">
      <x:c r="A458" s="19">
        <x:f>ROUND(COUNTA(A458:G458)/7*100,0)</x:f>
      </x:c>
      <x:c r="B458" s="18" t="str">
        <x:v>WP/50606/2019 of SMT. GOWRAMMA Vs SMT. MALLAMMA</x:v>
      </x:c>
      <x:c r="C458" s="18" t="str">
        <x:v>2026-09-01</x:v>
      </x:c>
      <x:c r="D458" s="18" t="str">
        <x:v>High Court of Karnataka</x:v>
      </x:c>
      <x:c r="E458" s="18" t="str">
        <x:v>VIJAYKUMAR A. PATIL</x:v>
      </x:c>
      <x:c r="F458" s="18" t="str">
        <x:v>DISPOSED</x:v>
      </x:c>
      <x:c r="G458" s="20" t="str">
        <x:v>https://indian-high-court-judgments.s3.ap-south-1.amazonaws.com/data/pdf/year=2026/court=29_3/bench=karnataka_bng_old/KAHC010458782019_1_2026-09-01.pdf</x:v>
      </x:c>
    </x:row>
    <x:row r="459">
      <x:c r="A459" s="19">
        <x:f>ROUND(COUNTA(A459:G459)/7*100,0)</x:f>
      </x:c>
      <x:c r="B459" s="18" t="str">
        <x:v>WP/8503/2024 of M. ABRAHAM DIVAKAR Vs THE TAHASILDAR</x:v>
      </x:c>
      <x:c r="C459" s="18" t="str">
        <x:v>2026-08-29</x:v>
      </x:c>
      <x:c r="D459" s="18" t="str">
        <x:v>High Court of Karnataka</x:v>
      </x:c>
      <x:c r="E459" s="18" t="str">
        <x:v>E.S.INDIRESH</x:v>
      </x:c>
      <x:c r="F459" s="18" t="str">
        <x:v>DISMISSED</x:v>
      </x:c>
      <x:c r="G459" s="20" t="str">
        <x:v>https://indian-high-court-judgments.s3.ap-south-1.amazonaws.com/data/pdf/year=2026/court=29_3/bench=karnataka_bng_old/KAHC010145412024_1_2026-08-29.pdf</x:v>
      </x:c>
    </x:row>
    <x:row r="460">
      <x:c r="A460" s="19">
        <x:f>ROUND(COUNTA(A460:G460)/7*100,0)</x:f>
      </x:c>
      <x:c r="B460" s="18" t="str">
        <x:v>MFA/4767/2025 of MAHESH B Vs BHAJANLAL</x:v>
      </x:c>
      <x:c r="C460" s="18" t="str">
        <x:v>2026-08-28</x:v>
      </x:c>
      <x:c r="D460" s="18" t="str">
        <x:v>High Court of Karnataka</x:v>
      </x:c>
      <x:c r="E460" s="18" t="str">
        <x:v>SHIVASHANKAR AMARANNAVAR</x:v>
      </x:c>
      <x:c r="F460" s="18" t="str">
        <x:v>Partly Allowed</x:v>
      </x:c>
      <x:c r="G460" s="20" t="str">
        <x:v>https://indian-high-court-judgments.s3.ap-south-1.amazonaws.com/data/pdf/year=2026/court=29_3/bench=karnataka_bng_old/KAHC010415202025_1_2026-08-28.pdf</x:v>
      </x:c>
    </x:row>
    <x:row r="461">
      <x:c r="A461" s="19">
        <x:f>ROUND(COUNTA(A461:G461)/7*100,0)</x:f>
      </x:c>
      <x:c r="B461" s="18" t="str">
        <x:v>CRL.A/92/2013 of SRI N CHANDRASEKAR Vs STATE BY POLICE INSPECTOR</x:v>
      </x:c>
      <x:c r="C461" s="18" t="str">
        <x:v>2026-08-31</x:v>
      </x:c>
      <x:c r="D461" s="18" t="str">
        <x:v>High Court of Karnataka</x:v>
      </x:c>
      <x:c r="E461" s="18" t="str">
        <x:v>G BASAVARAJA</x:v>
      </x:c>
      <x:c r="F461" s="18" t="str">
        <x:v>ALLOWED</x:v>
      </x:c>
      <x:c r="G461" s="20" t="str">
        <x:v>https://indian-high-court-judgments.s3.ap-south-1.amazonaws.com/data/pdf/year=2026/court=29_3/bench=karnataka_bng_old/KAHC010125142013_1_2026-08-31.pdf</x:v>
      </x:c>
    </x:row>
    <x:row r="462">
      <x:c r="A462" s="19">
        <x:f>ROUND(COUNTA(A462:G462)/7*100,0)</x:f>
      </x:c>
      <x:c r="B462" s="18" t="str">
        <x:v>CRL.A/1400/2025 of SRI SACHIN KALMANI N Vs SMT DHANALAKSHMI @ LAKSHMI</x:v>
      </x:c>
      <x:c r="C462" s="18" t="str">
        <x:v>2026-09-01</x:v>
      </x:c>
      <x:c r="D462" s="18" t="str">
        <x:v>High Court of Karnataka</x:v>
      </x:c>
      <x:c r="E462" s="18" t="str">
        <x:v>REGISTRAR (RECRUITMENT)</x:v>
      </x:c>
      <x:c r="F462" s="18" t="str">
        <x:v>Dismissal for Non Compliance of Office Objections</x:v>
      </x:c>
      <x:c r="G462" s="20" t="str">
        <x:v>https://indian-high-court-judgments.s3.ap-south-1.amazonaws.com/data/pdf/year=2026/court=29_3/bench=karnataka_bng_old/KAHC010401242025_1_2025-06-27.pdf</x:v>
      </x:c>
    </x:row>
    <x:row r="463">
      <x:c r="A463" s="19">
        <x:f>ROUND(COUNTA(A463:G463)/7*100,0)</x:f>
      </x:c>
      <x:c r="B463" s="18" t="str">
        <x:v>WP/20895/2022 of MR RAKESH M Vs STATE OF KARNATAKA</x:v>
      </x:c>
      <x:c r="C463" s="18" t="str">
        <x:v>2026-09-03</x:v>
      </x:c>
      <x:c r="D463" s="18" t="str">
        <x:v>High Court of Karnataka</x:v>
      </x:c>
      <x:c r="E463" s="18" t="str">
        <x:v>RAVI V HOSMANI</x:v>
      </x:c>
      <x:c r="F463" s="18" t="str">
        <x:v>DISMISSED</x:v>
      </x:c>
      <x:c r="G463" s="20" t="str">
        <x:v>https://indian-high-court-judgments.s3.ap-south-1.amazonaws.com/data/pdf/year=2026/court=29_3/bench=karnataka_bng_old/KAHC010480122022_1_2026-09-03.pdf</x:v>
      </x:c>
    </x:row>
    <x:row r="464">
      <x:c r="A464" s="19">
        <x:f>ROUND(COUNTA(A464:G464)/7*100,0)</x:f>
      </x:c>
      <x:c r="B464" s="18" t="str">
        <x:v>CRL.P/4170/2019 of THE STATE OF KARNATAKA Vs MR RANJETH SHETTY</x:v>
      </x:c>
      <x:c r="C464" s="18" t="str">
        <x:v>2026-08-31</x:v>
      </x:c>
      <x:c r="D464" s="18" t="str">
        <x:v>High Court of Karnataka</x:v>
      </x:c>
      <x:c r="E464" s="18" t="str">
        <x:v>RAVI V HOSMANI</x:v>
      </x:c>
      <x:c r="F464" s="18" t="str">
        <x:v>ALLOWED</x:v>
      </x:c>
      <x:c r="G464" s="20" t="str">
        <x:v>https://indian-high-court-judgments.s3.ap-south-1.amazonaws.com/data/pdf/year=2026/court=29_3/bench=karnataka_bng_old/KAHC010159692019_1_2026-08-31.pdf</x:v>
      </x:c>
    </x:row>
    <x:row r="465">
      <x:c r="A465" s="19">
        <x:f>ROUND(COUNTA(A465:G465)/7*100,0)</x:f>
      </x:c>
      <x:c r="B465" s="18" t="str">
        <x:v>WP/34302/2024 of SRI DOMMARAJU SUBRAMANYAM Vs STATE OF KARNATAKA</x:v>
      </x:c>
      <x:c r="C465" s="18" t="str">
        <x:v>2026-09-01</x:v>
      </x:c>
      <x:c r="D465" s="18" t="str">
        <x:v>High Court of Karnataka</x:v>
      </x:c>
      <x:c r="E465" s="18" t="str">
        <x:v>SURAJ GOVINDARAJ</x:v>
      </x:c>
      <x:c r="F465" s="18" t="str">
        <x:v>DISMISSED</x:v>
      </x:c>
      <x:c r="G465" s="20" t="str">
        <x:v>https://indian-high-court-judgments.s3.ap-south-1.amazonaws.com/data/pdf/year=2026/court=29_3/bench=karnataka_bng_old/KAHC010730672024_1_2026-09-01.pdf</x:v>
      </x:c>
    </x:row>
    <x:row r="466">
      <x:c r="A466" s="19">
        <x:f>ROUND(COUNTA(A466:G466)/7*100,0)</x:f>
      </x:c>
      <x:c r="B466" s="18" t="str">
        <x:v>WP/24700/2024 of SMT.PREMA Vs THE STATE OF KARNATAKA</x:v>
      </x:c>
      <x:c r="C466" s="18" t="str">
        <x:v>2026-08-31</x:v>
      </x:c>
      <x:c r="D466" s="18" t="str">
        <x:v>High Court of Karnataka</x:v>
      </x:c>
      <x:c r="E466" s="18" t="str">
        <x:v>E.S.INDIRESH</x:v>
      </x:c>
      <x:c r="F466" s="18" t="str">
        <x:v>DISMISSED</x:v>
      </x:c>
      <x:c r="G466" s="20" t="str">
        <x:v>https://indian-high-court-judgments.s3.ap-south-1.amazonaws.com/data/pdf/year=2026/court=29_3/bench=karnataka_bng_old/KAHC010516202024_1_2026-08-31.pdf</x:v>
      </x:c>
    </x:row>
    <x:row r="467">
      <x:c r="A467" s="19">
        <x:f>ROUND(COUNTA(A467:G467)/7*100,0)</x:f>
      </x:c>
      <x:c r="B467" s="18" t="str">
        <x:v>WP/5619/2023 of M/S VIJAYA BANK EMPLOYEES HOUSING Vs SMT NIRMALA SRIDHAR</x:v>
      </x:c>
      <x:c r="C467" s="18" t="str">
        <x:v>2026-09-03</x:v>
      </x:c>
      <x:c r="D467" s="18" t="str">
        <x:v>High Court of Karnataka</x:v>
      </x:c>
      <x:c r="E467" s="18" t="str">
        <x:v>D K SINGH,H.SHANTHI BHUSHAN</x:v>
      </x:c>
      <x:c r="F467" s="18" t="str">
        <x:v>DISMISSED</x:v>
      </x:c>
      <x:c r="G467" s="20" t="str">
        <x:v>https://indian-high-court-judgments.s3.ap-south-1.amazonaws.com/data/pdf/year=2026/court=29_3/bench=karnataka_bng_old/KAHC010121172023_1_2026-09-03.pdf</x:v>
      </x:c>
    </x:row>
    <x:row r="468">
      <x:c r="A468" s="19">
        <x:f>ROUND(COUNTA(A468:G468)/7*100,0)</x:f>
      </x:c>
      <x:c r="B468" s="18" t="str">
        <x:v>RSA/1890/2025 of HANUMANTHA DEVARU (ANJANEYASWAMY) DEVASTHANA ABHIVRUDHI SEVA TRUST Vs G RAMANJANEYALU</x:v>
      </x:c>
      <x:c r="C468" s="18" t="str">
        <x:v>2026-08-28</x:v>
      </x:c>
      <x:c r="D468" s="18" t="str">
        <x:v>High Court of Karnataka</x:v>
      </x:c>
      <x:c r="E468" s="18" t="str">
        <x:v>V SRISHANANDA</x:v>
      </x:c>
      <x:c r="F468" s="18" t="str">
        <x:v>DISMISSED</x:v>
      </x:c>
      <x:c r="G468" s="20" t="str">
        <x:v>https://indian-high-court-judgments.s3.ap-south-1.amazonaws.com/data/pdf/year=2026/court=29_3/bench=karnataka_bng_old/KAHC010779872025_1_2026-08-28.pdf</x:v>
      </x:c>
    </x:row>
    <x:row r="469">
      <x:c r="A469" s="19">
        <x:f>ROUND(COUNTA(A469:G469)/7*100,0)</x:f>
      </x:c>
      <x:c r="B469" s="18" t="str">
        <x:v>CCC/297/2026 of M. P. RAJANNA Vs DR. SHALINI RAJNEESH</x:v>
      </x:c>
      <x:c r="C469" s="18" t="str">
        <x:v>2026-09-02</x:v>
      </x:c>
      <x:c r="D469" s="18" t="str">
        <x:v>High Court of Karnataka</x:v>
      </x:c>
      <x:c r="E469" s="18" t="str">
        <x:v>JAYANT BANERJI,T.M.NADAF</x:v>
      </x:c>
      <x:c r="F469" s="18" t="str">
        <x:v>CONSIGNED</x:v>
      </x:c>
      <x:c r="G469" s="20" t="str">
        <x:v>https://indian-high-court-judgments.s3.ap-south-1.amazonaws.com/data/pdf/year=2026/court=29_3/bench=karnataka_bng_old/KAHC010174962026_1_2026-09-02.pdf</x:v>
      </x:c>
    </x:row>
    <x:row r="470">
      <x:c r="A470" s="19">
        <x:f>ROUND(COUNTA(A470:G470)/7*100,0)</x:f>
      </x:c>
      <x:c r="B470" s="18" t="str">
        <x:v>WP/20995/2026 of SRI B V RAJGOPALACHAR Vs THE STATE OF KARNATAKA</x:v>
      </x:c>
      <x:c r="C470" s="18" t="str">
        <x:v>2026-08-27</x:v>
      </x:c>
      <x:c r="D470" s="18" t="str">
        <x:v>High Court of Karnataka</x:v>
      </x:c>
      <x:c r="E470" s="18" t="str">
        <x:v>SURAJ GOVINDARAJ</x:v>
      </x:c>
      <x:c r="F470" s="18" t="str">
        <x:v>DISPOSED</x:v>
      </x:c>
      <x:c r="G470" s="20" t="str">
        <x:v>https://indian-high-court-judgments.s3.ap-south-1.amazonaws.com/data/pdf/year=2026/court=29_3/bench=karnataka_bng_old/KAHC010464482026_1_2026-08-27.pdf</x:v>
      </x:c>
    </x:row>
    <x:row r="471">
      <x:c r="A471" s="19">
        <x:f>ROUND(COUNTA(A471:G471)/7*100,0)</x:f>
      </x:c>
      <x:c r="B471" s="18" t="str">
        <x:v>RFA/1165/2009 of M/S.RAJESH EXPORTS LIMITED Vs SRI.B DEVARAJ S/O BALASUBRAMANYA</x:v>
      </x:c>
      <x:c r="C471" s="18" t="str">
        <x:v>2026-08-29</x:v>
      </x:c>
      <x:c r="D471" s="18" t="str">
        <x:v>High Court of Karnataka</x:v>
      </x:c>
      <x:c r="E471" s="18" t="str">
        <x:v>JAYANT BANERJI,TARA VITASTA GANJU</x:v>
      </x:c>
      <x:c r="F471" s="18" t="str">
        <x:v>ALLOWED</x:v>
      </x:c>
      <x:c r="G471" s="20" t="str">
        <x:v>https://indian-high-court-judgments.s3.ap-south-1.amazonaws.com/data/pdf/year=2026/court=29_3/bench=karnataka_bng_old/KAHC010779572009_1_2026-08-29.pdf</x:v>
      </x:c>
    </x:row>
    <x:row r="472">
      <x:c r="A472" s="19">
        <x:f>ROUND(COUNTA(A472:G472)/7*100,0)</x:f>
      </x:c>
      <x:c r="B472" s="18" t="str">
        <x:v>CRL.P/11078/2026 of SRI BASAVARAJU Vs STATE OF KARNATAKA</x:v>
      </x:c>
      <x:c r="C472" s="18" t="str">
        <x:v>2026-08-29</x:v>
      </x:c>
      <x:c r="D472" s="18" t="str">
        <x:v>High Court of Karnataka</x:v>
      </x:c>
      <x:c r="E472" s="18" t="str">
        <x:v>M.NAGAPRASANNA</x:v>
      </x:c>
      <x:c r="F472" s="18" t="str">
        <x:v>ALLOWED</x:v>
      </x:c>
      <x:c r="G472" s="20" t="str">
        <x:v>https://indian-high-court-judgments.s3.ap-south-1.amazonaws.com/data/pdf/year=2026/court=29_3/bench=karnataka_bng_old/KAHC010505492026_1_2026-08-29.pdf</x:v>
      </x:c>
    </x:row>
    <x:row r="473">
      <x:c r="A473" s="19">
        <x:f>ROUND(COUNTA(A473:G473)/7*100,0)</x:f>
      </x:c>
      <x:c r="B473" s="18" t="str">
        <x:v>RP/100/2024 of THE COMMISSIONER Vs SRI J NANDA KISHORE</x:v>
      </x:c>
      <x:c r="C473" s="18" t="str">
        <x:v>2026-09-07</x:v>
      </x:c>
      <x:c r="D473" s="18" t="str">
        <x:v>High Court of Karnataka</x:v>
      </x:c>
      <x:c r="E473" s="18" t="str">
        <x:v>S.R.KRISHNA KUMAR</x:v>
      </x:c>
      <x:c r="F473" s="18" t="str">
        <x:v>DISMISSED</x:v>
      </x:c>
      <x:c r="G473" s="20" t="str">
        <x:v>https://indian-high-court-judgments.s3.ap-south-1.amazonaws.com/data/pdf/year=2026/court=29_3/bench=karnataka_bng_old/KAHC010138832024_1_2026-09-07.pdf</x:v>
      </x:c>
    </x:row>
    <x:row r="474">
      <x:c r="A474" s="19">
        <x:f>ROUND(COUNTA(A474:G474)/7*100,0)</x:f>
      </x:c>
      <x:c r="B474" s="18" t="str">
        <x:v>MFA/4152/2026 of NIKHIL M Vs THE PRINCIPAL,</x:v>
      </x:c>
      <x:c r="C474" s="18" t="str">
        <x:v>2026-08-28</x:v>
      </x:c>
      <x:c r="D474" s="18" t="str">
        <x:v>High Court of Karnataka</x:v>
      </x:c>
      <x:c r="E474" s="18" t="str">
        <x:v>SHIVASHANKAR AMARANNAVAR</x:v>
      </x:c>
      <x:c r="F474" s="18" t="str">
        <x:v>Partly Allowed</x:v>
      </x:c>
      <x:c r="G474" s="20" t="str">
        <x:v>https://indian-high-court-judgments.s3.ap-south-1.amazonaws.com/data/pdf/year=2026/court=29_3/bench=karnataka_bng_old/KAHC010383302026_1_2026-08-28.pdf</x:v>
      </x:c>
    </x:row>
    <x:row r="475">
      <x:c r="A475" s="19">
        <x:f>ROUND(COUNTA(A475:G475)/7*100,0)</x:f>
      </x:c>
      <x:c r="B475" s="18" t="str">
        <x:v>WP/6519/2026 of SMT LAKSHMI BHUSHAN Vs THE CHIEF COMMISSIONER</x:v>
      </x:c>
      <x:c r="C475" s="18" t="str">
        <x:v>2026-08-28</x:v>
      </x:c>
      <x:c r="D475" s="18" t="str">
        <x:v>High Court of Karnataka</x:v>
      </x:c>
      <x:c r="E475" s="18" t="str">
        <x:v>B M SHYAM PRASAD</x:v>
      </x:c>
      <x:c r="F475" s="18" t="str">
        <x:v>DISMISSED</x:v>
      </x:c>
      <x:c r="G475" s="20" t="str">
        <x:v>https://indian-high-court-judgments.s3.ap-south-1.amazonaws.com/data/pdf/year=2026/court=29_3/bench=karnataka_bng_old/KAHC010149312026_1_2026-08-28.pdf</x:v>
      </x:c>
    </x:row>
    <x:row r="476">
      <x:c r="A476" s="19">
        <x:f>ROUND(COUNTA(A476:G476)/7*100,0)</x:f>
      </x:c>
      <x:c r="B476" s="18" t="str">
        <x:v>MFA/7012/2016 of BHANWAR SINGH Vs VISHNUKUMAR BRIJKISHORE SHARMA</x:v>
      </x:c>
      <x:c r="C476" s="18" t="str">
        <x:v>2026-08-28</x:v>
      </x:c>
      <x:c r="D476" s="18" t="str">
        <x:v>High Court of Karnataka</x:v>
      </x:c>
      <x:c r="E476" s="18" t="str">
        <x:v>P SREE SUDHA</x:v>
      </x:c>
      <x:c r="F476" s="18" t="str">
        <x:v>DISMISSED</x:v>
      </x:c>
      <x:c r="G476" s="20" t="str">
        <x:v>https://indian-high-court-judgments.s3.ap-south-1.amazonaws.com/data/pdf/year=2026/court=29_3/bench=karnataka_bng_old/KAHC010417992016_1_2026-08-28.pdf</x:v>
      </x:c>
    </x:row>
    <x:row r="477">
      <x:c r="A477" s="19">
        <x:f>ROUND(COUNTA(A477:G477)/7*100,0)</x:f>
      </x:c>
      <x:c r="B477" s="18" t="str">
        <x:v>WP/30872/2025 of THE MANAGER Vs SRI. RUDRANAIKA</x:v>
      </x:c>
      <x:c r="C477" s="18" t="str">
        <x:v>2026-08-31</x:v>
      </x:c>
      <x:c r="D477" s="18" t="str">
        <x:v>High Court of Karnataka</x:v>
      </x:c>
      <x:c r="E477" s="18" t="str">
        <x:v>SURAJ GOVINDARAJ</x:v>
      </x:c>
      <x:c r="F477" s="18" t="str">
        <x:v>DISPOSED</x:v>
      </x:c>
      <x:c r="G477" s="20" t="str">
        <x:v>https://indian-high-court-judgments.s3.ap-south-1.amazonaws.com/data/pdf/year=2026/court=29_3/bench=karnataka_bng_old/KAHC010662082025_1_2026-08-31.pdf</x:v>
      </x:c>
    </x:row>
    <x:row r="478">
      <x:c r="A478" s="19">
        <x:f>ROUND(COUNTA(A478:G478)/7*100,0)</x:f>
      </x:c>
      <x:c r="B478" s="18" t="str">
        <x:v>WP/26959/2026 of K.SUPRITH @ SUDDI Vs THE STATE OF KARNATAKA</x:v>
      </x:c>
      <x:c r="C478" s="18" t="str">
        <x:v>2026-08-29</x:v>
      </x:c>
      <x:c r="D478" s="18" t="str">
        <x:v>High Court of Karnataka</x:v>
      </x:c>
      <x:c r="E478" s="18" t="str">
        <x:v>SURAJ GOVINDARAJ</x:v>
      </x:c>
      <x:c r="F478" s="18" t="str">
        <x:v>ALLOWED</x:v>
      </x:c>
      <x:c r="G478" s="20" t="str">
        <x:v>https://indian-high-court-judgments.s3.ap-south-1.amazonaws.com/data/pdf/year=2026/court=29_3/bench=karnataka_bng_old/KAHC010601142026_1_2026-08-29.pdf</x:v>
      </x:c>
    </x:row>
    <x:row r="479">
      <x:c r="A479" s="19">
        <x:f>ROUND(COUNTA(A479:G479)/7*100,0)</x:f>
      </x:c>
      <x:c r="B479" s="18" t="str">
        <x:v>CRL.P/11310/2026 of SMT.DURGAMMA Vs STATE BY KARNATAKA</x:v>
      </x:c>
      <x:c r="C479" s="18" t="str">
        <x:v>2026-09-02</x:v>
      </x:c>
      <x:c r="D479" s="18" t="str">
        <x:v>High Court of Karnataka</x:v>
      </x:c>
      <x:c r="E479" s="18" t="str">
        <x:v>S VISHWAJITH SHETTY</x:v>
      </x:c>
      <x:c r="F479" s="18" t="str">
        <x:v>ALLOWED</x:v>
      </x:c>
      <x:c r="G479" s="20" t="str">
        <x:v>https://indian-high-court-judgments.s3.ap-south-1.amazonaws.com/data/pdf/year=2026/court=29_3/bench=karnataka_bng_old/KAHC010520822026_1_2026-09-02.pdf</x:v>
      </x:c>
    </x:row>
    <x:row r="480">
      <x:c r="A480" s="19">
        <x:f>ROUND(COUNTA(A480:G480)/7*100,0)</x:f>
      </x:c>
      <x:c r="B480" s="18" t="str">
        <x:v>CCC/61/2021 of SRI. N. YOGESH Vs SMT. KRISHNAVENI. R</x:v>
      </x:c>
      <x:c r="C480" s="18" t="str">
        <x:v>2026-08-27</x:v>
      </x:c>
      <x:c r="D480" s="18" t="str">
        <x:v>High Court of Karnataka</x:v>
      </x:c>
      <x:c r="E480" s="18" t="str">
        <x:v>ANU SIVARAMAN,T.P.VIVEKANANDA</x:v>
      </x:c>
      <x:c r="F480" s="18" t="str">
        <x:v>DISPOSED</x:v>
      </x:c>
      <x:c r="G480" s="20" t="str">
        <x:v>https://indian-high-court-judgments.s3.ap-south-1.amazonaws.com/data/pdf/year=2026/court=29_3/bench=karnataka_bng_old/KAHC010025862021_1_2026-08-27.pdf</x:v>
      </x:c>
    </x:row>
    <x:row r="481">
      <x:c r="A481" s="19">
        <x:f>ROUND(COUNTA(A481:G481)/7*100,0)</x:f>
      </x:c>
      <x:c r="B481" s="18" t="str">
        <x:v>WP/20746/2026 of SRI.SATISH R Vs THE MANAGING DIRECTOR</x:v>
      </x:c>
      <x:c r="C481" s="18" t="str">
        <x:v>2026-08-28</x:v>
      </x:c>
      <x:c r="D481" s="18" t="str">
        <x:v>High Court of Karnataka</x:v>
      </x:c>
      <x:c r="E481" s="18" t="str">
        <x:v>ASHOK S.KINAGI</x:v>
      </x:c>
      <x:c r="F481" s="18" t="str">
        <x:v>DISMISSED</x:v>
      </x:c>
      <x:c r="G481" s="20" t="str">
        <x:v>https://indian-high-court-judgments.s3.ap-south-1.amazonaws.com/data/pdf/year=2026/court=29_3/bench=karnataka_bng_old/KAHC010465612026_1_2026-08-28.pdf</x:v>
      </x:c>
    </x:row>
    <x:row r="482">
      <x:c r="A482" s="19">
        <x:f>ROUND(COUNTA(A482:G482)/7*100,0)</x:f>
      </x:c>
      <x:c r="B482" s="18" t="str">
        <x:v>CRL.P/8042/2026 of STEPHEN ARTHUR JONES Vs THE STATE OF KARNATAKA</x:v>
      </x:c>
      <x:c r="C482" s="18" t="str">
        <x:v>2026-08-31</x:v>
      </x:c>
      <x:c r="D482" s="18" t="str">
        <x:v>High Court of Karnataka</x:v>
      </x:c>
      <x:c r="E482" s="18" t="str">
        <x:v>S VISHWAJITH SHETTY</x:v>
      </x:c>
      <x:c r="F482" s="18" t="str">
        <x:v>DISMISSED</x:v>
      </x:c>
      <x:c r="G482" s="20" t="str">
        <x:v>https://indian-high-court-judgments.s3.ap-south-1.amazonaws.com/data/pdf/year=2026/court=29_3/bench=karnataka_bng_old/KAHC010379422026_1_2026-08-31.pdf</x:v>
      </x:c>
    </x:row>
    <x:row r="483">
      <x:c r="A483" s="19">
        <x:f>ROUND(COUNTA(A483:G483)/7*100,0)</x:f>
      </x:c>
      <x:c r="B483" s="18" t="str">
        <x:v>AP.IM/5/2026 of ELCOMPONICS SALES PRIVATE LIMITED Vs TAMURA EUROPE LIMITED</x:v>
      </x:c>
      <x:c r="C483" s="18" t="str">
        <x:v>2026-08-28</x:v>
      </x:c>
      <x:c r="D483" s="18" t="str">
        <x:v>High Court of Karnataka</x:v>
      </x:c>
      <x:c r="E483" s="18" t="str">
        <x:v>M.G.S. KAMAL</x:v>
      </x:c>
      <x:c r="F483" s="18" t="str">
        <x:v>DISPOSED</x:v>
      </x:c>
      <x:c r="G483" s="20" t="str">
        <x:v>https://indian-high-court-judgments.s3.ap-south-1.amazonaws.com/data/pdf/year=2026/court=29_3/bench=karnataka_bng_old/KAHC010447722026_1_2026-08-28.pdf</x:v>
      </x:c>
    </x:row>
    <x:row r="484">
      <x:c r="A484" s="19">
        <x:f>ROUND(COUNTA(A484:G484)/7*100,0)</x:f>
      </x:c>
      <x:c r="B484" s="18" t="str">
        <x:v>WP/3695/2026 of SRI B UTTAM KUMAR Vs SRI P G PRAKASH</x:v>
      </x:c>
      <x:c r="C484" s="18" t="str">
        <x:v>2026-08-28</x:v>
      </x:c>
      <x:c r="D484" s="18" t="str">
        <x:v>High Court of Karnataka</x:v>
      </x:c>
      <x:c r="E484" s="18" t="str">
        <x:v>B.PRAMOD</x:v>
      </x:c>
      <x:c r="F484" s="18" t="str">
        <x:v>REJECTED</x:v>
      </x:c>
      <x:c r="G484" s="20" t="str">
        <x:v>https://indian-high-court-judgments.s3.ap-south-1.amazonaws.com/data/pdf/year=2026/court=29_3/bench=karnataka_bng_old/KAHC010076742026_1_2026-08-28.pdf</x:v>
      </x:c>
    </x:row>
    <x:row r="485">
      <x:c r="A485" s="19">
        <x:f>ROUND(COUNTA(A485:G485)/7*100,0)</x:f>
      </x:c>
      <x:c r="B485" s="18" t="str">
        <x:v>RSA/2468/2017 of SRI. MARISIDDAIAH Vs SRI. T. R. SIDDARAJU</x:v>
      </x:c>
      <x:c r="C485" s="18" t="str">
        <x:v>2026-09-01</x:v>
      </x:c>
      <x:c r="D485" s="18" t="str">
        <x:v>High Court of Karnataka</x:v>
      </x:c>
      <x:c r="E485" s="18" t="str">
        <x:v>V SRISHANANDA</x:v>
      </x:c>
      <x:c r="F485" s="18" t="str">
        <x:v>Dismissed for Non-Prosecution</x:v>
      </x:c>
      <x:c r="G485" s="20" t="str">
        <x:v>https://indian-high-court-judgments.s3.ap-south-1.amazonaws.com/data/pdf/year=2026/court=29_3/bench=karnataka_bng_old/KAHC010526282017_1_2026-09-01.pdf</x:v>
      </x:c>
    </x:row>
    <x:row r="486">
      <x:c r="A486" s="19">
        <x:f>ROUND(COUNTA(A486:G486)/7*100,0)</x:f>
      </x:c>
      <x:c r="B486" s="18" t="str">
        <x:v>CRL.P/8328/2026 of CHETAN Vs STATE OF KARNATAKA</x:v>
      </x:c>
      <x:c r="C486" s="18" t="str">
        <x:v>2026-09-03</x:v>
      </x:c>
      <x:c r="D486" s="18" t="str">
        <x:v>High Court of Karnataka</x:v>
      </x:c>
      <x:c r="E486" s="18" t="str">
        <x:v>S VISHWAJITH SHETTY</x:v>
      </x:c>
      <x:c r="F486" s="18" t="str">
        <x:v>DISMISSED</x:v>
      </x:c>
      <x:c r="G486" s="20" t="str">
        <x:v>https://indian-high-court-judgments.s3.ap-south-1.amazonaws.com/data/pdf/year=2026/court=29_3/bench=karnataka_bng_old/KAHC010397882026_1_2026-09-03.pdf</x:v>
      </x:c>
    </x:row>
    <x:row r="487">
      <x:c r="A487" s="19">
        <x:f>ROUND(COUNTA(A487:G487)/7*100,0)</x:f>
      </x:c>
      <x:c r="B487" s="18" t="str">
        <x:v>CRL.P/11135/2026 of JAGADISH @ JUMKI JAGGA @ JAGGA Vs STATE OF KARNATAKA</x:v>
      </x:c>
      <x:c r="C487" s="18" t="str">
        <x:v>2026-08-29</x:v>
      </x:c>
      <x:c r="D487" s="18" t="str">
        <x:v>High Court of Karnataka</x:v>
      </x:c>
      <x:c r="E487" s="18" t="str">
        <x:v>M.NAGAPRASANNA</x:v>
      </x:c>
      <x:c r="F487" s="18" t="str">
        <x:v>ALLOWED</x:v>
      </x:c>
      <x:c r="G487" s="20" t="str">
        <x:v>https://indian-high-court-judgments.s3.ap-south-1.amazonaws.com/data/pdf/year=2026/court=29_3/bench=karnataka_bng_old/KAHC010510152026_1_2026-08-29.pdf</x:v>
      </x:c>
    </x:row>
    <x:row r="488">
      <x:c r="A488" s="19">
        <x:f>ROUND(COUNTA(A488:G488)/7*100,0)</x:f>
      </x:c>
      <x:c r="B488" s="18" t="str">
        <x:v>WP/54594/2015 of MR GURUPRASAD JOSHI Vs KARNATAKA STATE FINANCIAL CORPORTATION</x:v>
      </x:c>
      <x:c r="C488" s="18" t="str">
        <x:v>2026-08-29</x:v>
      </x:c>
      <x:c r="D488" s="18" t="str">
        <x:v>High Court of Karnataka</x:v>
      </x:c>
      <x:c r="E488" s="18" t="str">
        <x:v>M.G.S. KAMAL</x:v>
      </x:c>
      <x:c r="F488" s="18" t="str">
        <x:v>DISPOSED</x:v>
      </x:c>
      <x:c r="G488" s="20" t="str">
        <x:v>https://indian-high-court-judgments.s3.ap-south-1.amazonaws.com/data/pdf/year=2026/court=29_3/bench=karnataka_bng_old/KAHC010104252015_1_2026-08-29.pdf</x:v>
      </x:c>
    </x:row>
    <x:row r="489">
      <x:c r="A489" s="19">
        <x:f>ROUND(COUNTA(A489:G489)/7*100,0)</x:f>
      </x:c>
      <x:c r="B489" s="18" t="str">
        <x:v>CRL.P/6900/2019 of M/S. RAISED ON DENIM INDIA Vs R.SURESH BABU</x:v>
      </x:c>
      <x:c r="C489" s="18" t="str">
        <x:v>2026-09-01</x:v>
      </x:c>
      <x:c r="D489" s="18" t="str">
        <x:v>High Court of Karnataka</x:v>
      </x:c>
      <x:c r="E489" s="18" t="str">
        <x:v>RAVI V HOSMANI</x:v>
      </x:c>
      <x:c r="F489" s="18" t="str">
        <x:v>ALLOWED</x:v>
      </x:c>
      <x:c r="G489" s="20" t="str">
        <x:v>https://indian-high-court-judgments.s3.ap-south-1.amazonaws.com/data/pdf/year=2026/court=29_3/bench=karnataka_bng_old/KAHC010293882019_1_2026-09-01.pdf</x:v>
      </x:c>
    </x:row>
    <x:row r="490">
      <x:c r="A490" s="19">
        <x:f>ROUND(COUNTA(A490:G490)/7*100,0)</x:f>
      </x:c>
      <x:c r="B490" s="18" t="str">
        <x:v>CRL.P/3812/2022 of P K GAJRA @ PREMA KUMAR GAJRA Vs THE STATE OF KARNATAKA</x:v>
      </x:c>
      <x:c r="C490" s="18" t="str">
        <x:v>2026-08-27</x:v>
      </x:c>
      <x:c r="D490" s="18" t="str">
        <x:v>High Court of Karnataka</x:v>
      </x:c>
      <x:c r="E490" s="18" t="str">
        <x:v>RAVI V HOSMANI</x:v>
      </x:c>
      <x:c r="F490" s="18" t="str">
        <x:v>ALLOWED</x:v>
      </x:c>
      <x:c r="G490" s="20" t="str">
        <x:v>https://indian-high-court-judgments.s3.ap-south-1.amazonaws.com/data/pdf/year=2026/court=29_3/bench=karnataka_bng_old/KAHC010184992022_1_2026-08-27.pdf</x:v>
      </x:c>
    </x:row>
    <x:row r="491">
      <x:c r="A491" s="19">
        <x:f>ROUND(COUNTA(A491:G491)/7*100,0)</x:f>
      </x:c>
      <x:c r="B491" s="18" t="str">
        <x:v>CA/810/2010 of OFFFICIAL LIQUIDATOR OF M/S RAYOTS TEXTILES AND OILS PVT LTD (IN LIQN.) Vs M R PATIL</x:v>
      </x:c>
      <x:c r="C491" s="18" t="str">
        <x:v>2026-08-27</x:v>
      </x:c>
      <x:c r="D491" s="18" t="str">
        <x:v>High Court of Karnataka</x:v>
      </x:c>
      <x:c r="E491" s="18" t="str">
        <x:v>JYOTI M</x:v>
      </x:c>
      <x:c r="F491" s="18" t="str">
        <x:v>Partly Allowed</x:v>
      </x:c>
      <x:c r="G491" s="20" t="str">
        <x:v>https://indian-high-court-judgments.s3.ap-south-1.amazonaws.com/data/pdf/year=2026/court=29_3/bench=karnataka_bng_old/KAHC010601992010_1_2026-08-27.pdf</x:v>
      </x:c>
    </x:row>
    <x:row r="492">
      <x:c r="A492" s="19">
        <x:f>ROUND(COUNTA(A492:G492)/7*100,0)</x:f>
      </x:c>
      <x:c r="B492" s="18" t="str">
        <x:v>MFA/5318/2022 of KARIGOWDA Vs UNITED INDIA INSURANCE COMPANY LTD.,</x:v>
      </x:c>
      <x:c r="C492" s="18" t="str">
        <x:v>2026-08-28</x:v>
      </x:c>
      <x:c r="D492" s="18" t="str">
        <x:v>High Court of Karnataka</x:v>
      </x:c>
      <x:c r="E492" s="18" t="str">
        <x:v>RAJESH RAI K</x:v>
      </x:c>
      <x:c r="F492" s="18" t="str">
        <x:v>Partly Allowed</x:v>
      </x:c>
      <x:c r="G492" s="20" t="str">
        <x:v>https://indian-high-court-judgments.s3.ap-south-1.amazonaws.com/data/pdf/year=2026/court=29_3/bench=karnataka_bng_old/KAHC010337962022_1_2026-08-28.pdf</x:v>
      </x:c>
    </x:row>
    <x:row r="493">
      <x:c r="A493" s="19">
        <x:f>ROUND(COUNTA(A493:G493)/7*100,0)</x:f>
      </x:c>
      <x:c r="B493" s="18" t="str">
        <x:v>WP/26676/2026 of SRI. KAMAL Vs THE STATE OF KARNATAKA,</x:v>
      </x:c>
      <x:c r="C493" s="18" t="str">
        <x:v>2026-09-03</x:v>
      </x:c>
      <x:c r="D493" s="18" t="str">
        <x:v>High Court of Karnataka</x:v>
      </x:c>
      <x:c r="E493" s="18" t="str">
        <x:v>SURAJ GOVINDARAJ</x:v>
      </x:c>
      <x:c r="F493" s="18" t="str">
        <x:v>DISPOSED</x:v>
      </x:c>
      <x:c r="G493" s="20" t="str">
        <x:v>https://indian-high-court-judgments.s3.ap-south-1.amazonaws.com/data/pdf/year=2026/court=29_3/bench=karnataka_bng_old/KAHC010589312026_1_2026-09-03.pdf</x:v>
      </x:c>
    </x:row>
    <x:row r="494">
      <x:c r="A494" s="19">
        <x:f>ROUND(COUNTA(A494:G494)/7*100,0)</x:f>
      </x:c>
      <x:c r="B494" s="18" t="str">
        <x:v>MFA/155/2022 of B MEENALAKSHMI Vs M SELVA KUMAR</x:v>
      </x:c>
      <x:c r="C494" s="18" t="str">
        <x:v>2026-08-27</x:v>
      </x:c>
      <x:c r="D494" s="18" t="str">
        <x:v>High Court of Karnataka</x:v>
      </x:c>
      <x:c r="E494" s="18" t="str">
        <x:v>RAJESH RAI K</x:v>
      </x:c>
      <x:c r="F494" s="18" t="str">
        <x:v>Partly Allowed</x:v>
      </x:c>
      <x:c r="G494" s="20" t="str">
        <x:v>https://indian-high-court-judgments.s3.ap-south-1.amazonaws.com/data/pdf/year=2026/court=29_3/bench=karnataka_bng_old/KAHC010005572022_1_2026-08-27.pdf</x:v>
      </x:c>
    </x:row>
    <x:row r="495">
      <x:c r="A495" s="19">
        <x:f>ROUND(COUNTA(A495:G495)/7*100,0)</x:f>
      </x:c>
      <x:c r="B495" s="18" t="str">
        <x:v>MFA/1236/2021 of P KRISHNA MURTHY Vs H CHUDAMANI</x:v>
      </x:c>
      <x:c r="C495" s="18" t="str">
        <x:v>2026-08-28</x:v>
      </x:c>
      <x:c r="D495" s="18" t="str">
        <x:v>High Court of Karnataka</x:v>
      </x:c>
      <x:c r="E495" s="18" t="str">
        <x:v>PRADEEP SINGH YERUR</x:v>
      </x:c>
      <x:c r="F495" s="18" t="str">
        <x:v>DISMISSED</x:v>
      </x:c>
      <x:c r="G495" s="20" t="str">
        <x:v>https://indian-high-court-judgments.s3.ap-south-1.amazonaws.com/data/pdf/year=2026/court=29_3/bench=karnataka_bng_old/KAHC010007012021_1_2026-08-28.pdf</x:v>
      </x:c>
    </x:row>
    <x:row r="496">
      <x:c r="A496" s="19">
        <x:f>ROUND(COUNTA(A496:G496)/7*100,0)</x:f>
      </x:c>
      <x:c r="B496" s="18" t="str">
        <x:v>MFA/2253/2025 of KAMALAMMA Vs RUDRESH H B</x:v>
      </x:c>
      <x:c r="C496" s="18" t="str">
        <x:v>2026-09-07</x:v>
      </x:c>
      <x:c r="D496" s="18" t="str">
        <x:v>High Court of Karnataka</x:v>
      </x:c>
      <x:c r="E496" s="18" t="str">
        <x:v>SHIVASHANKAR AMARANNAVAR</x:v>
      </x:c>
      <x:c r="F496" s="18" t="str">
        <x:v>Partly Allowed</x:v>
      </x:c>
      <x:c r="G496" s="20" t="str">
        <x:v>https://indian-high-court-judgments.s3.ap-south-1.amazonaws.com/data/pdf/year=2026/court=29_3/bench=karnataka_bng_old/KAHC010206052025_1_2026-09-07.pdf</x:v>
      </x:c>
    </x:row>
    <x:row r="497">
      <x:c r="A497" s="19">
        <x:f>ROUND(COUNTA(A497:G497)/7*100,0)</x:f>
      </x:c>
      <x:c r="B497" s="18" t="str">
        <x:v>RFA/969/2025 of SRI V K RAMAMURTHY Vs BENGALURU DEVELOPMENT AUTHORITY</x:v>
      </x:c>
      <x:c r="C497" s="18" t="str">
        <x:v>2026-08-28</x:v>
      </x:c>
      <x:c r="D497" s="18" t="str">
        <x:v>High Court of Karnataka</x:v>
      </x:c>
      <x:c r="E497" s="18" t="str">
        <x:v>HANCHATE SANJEEVKUMAR</x:v>
      </x:c>
      <x:c r="F497" s="18" t="str">
        <x:v>DISMISSED</x:v>
      </x:c>
      <x:c r="G497" s="20" t="str">
        <x:v>https://indian-high-court-judgments.s3.ap-south-1.amazonaws.com/data/pdf/year=2026/court=29_3/bench=karnataka_bng_old/KAHC010256902025_1_2026-08-28.pdf</x:v>
      </x:c>
    </x:row>
    <x:row r="498">
      <x:c r="A498" s="19">
        <x:f>ROUND(COUNTA(A498:G498)/7*100,0)</x:f>
      </x:c>
      <x:c r="B498" s="18" t="str">
        <x:v>WP/25309/2026 of SRI SATISH Vs THE STATE OF KARNATAKA</x:v>
      </x:c>
      <x:c r="C498" s="18" t="str">
        <x:v>2026-08-28</x:v>
      </x:c>
      <x:c r="D498" s="18" t="str">
        <x:v>High Court of Karnataka</x:v>
      </x:c>
      <x:c r="E498" s="18" t="str">
        <x:v>CHIEF JUSTICE,K.S. HEMALEKHA</x:v>
      </x:c>
      <x:c r="F498" s="18" t="str">
        <x:v>DISPOSED</x:v>
      </x:c>
      <x:c r="G498" s="20" t="str">
        <x:v>https://indian-high-court-judgments.s3.ap-south-1.amazonaws.com/data/pdf/year=2026/court=29_3/bench=karnataka_bng_old/KAHC010559112026_1_2026-08-28.pdf</x:v>
      </x:c>
    </x:row>
    <x:row r="499">
      <x:c r="A499" s="19">
        <x:f>ROUND(COUNTA(A499:G499)/7*100,0)</x:f>
      </x:c>
      <x:c r="B499" s="18" t="str">
        <x:v>CRL.P/11378/2026 of MANSOOR PASHA Vs STATE OF KARNATAKA BY</x:v>
      </x:c>
      <x:c r="C499" s="18" t="str">
        <x:v>2026-08-27</x:v>
      </x:c>
      <x:c r="D499" s="18" t="str">
        <x:v>High Court of Karnataka</x:v>
      </x:c>
      <x:c r="E499" s="18" t="str">
        <x:v>S VISHWAJITH SHETTY</x:v>
      </x:c>
      <x:c r="F499" s="18" t="str">
        <x:v>ALLOWED</x:v>
      </x:c>
      <x:c r="G499" s="20" t="str">
        <x:v>https://indian-high-court-judgments.s3.ap-south-1.amazonaws.com/data/pdf/year=2026/court=29_3/bench=karnataka_bng_old/KAHC010519122026_1_2026-08-27.pdf</x:v>
      </x:c>
    </x:row>
    <x:row r="500">
      <x:c r="A500" s="19">
        <x:f>ROUND(COUNTA(A500:G500)/7*100,0)</x:f>
      </x:c>
      <x:c r="B500" s="18" t="str">
        <x:v>CRL.P/11916/2026 of MR.PRAVEEN SHIVASHANKARAYYA KULKARNI Vs THE STATE BY</x:v>
      </x:c>
      <x:c r="C500" s="18" t="str">
        <x:v>2026-08-29</x:v>
      </x:c>
      <x:c r="D500" s="18" t="str">
        <x:v>High Court of Karnataka</x:v>
      </x:c>
      <x:c r="E500" s="18" t="str">
        <x:v>S VISHWAJITH SHETTY</x:v>
      </x:c>
      <x:c r="F500" s="18" t="str">
        <x:v>DISMISSED</x:v>
      </x:c>
      <x:c r="G500" s="20" t="str">
        <x:v>https://indian-high-court-judgments.s3.ap-south-1.amazonaws.com/data/pdf/year=2026/court=29_3/bench=karnataka_bng_old/KAHC010543872026_1_2026-08-29.pdf</x:v>
      </x:c>
    </x:row>
    <x:row r="501">
      <x:c r="A501" s="19">
        <x:f>ROUND(COUNTA(A501:G501)/7*100,0)</x:f>
      </x:c>
      <x:c r="B501" s="18" t="str">
        <x:v>MFA/8652/2024 of SMT. B. G. LEENA Vs SRI. SREENIVASA MURTHY RAJU</x:v>
      </x:c>
      <x:c r="C501" s="18" t="str">
        <x:v>2026-08-27</x:v>
      </x:c>
      <x:c r="D501" s="18" t="str">
        <x:v>High Court of Karnataka</x:v>
      </x:c>
      <x:c r="E501" s="18" t="str">
        <x:v>PRADEEP SINGH YERUR</x:v>
      </x:c>
      <x:c r="F501" s="18" t="str">
        <x:v>DISMISSED</x:v>
      </x:c>
      <x:c r="G501" s="20" t="str">
        <x:v>https://indian-high-court-judgments.s3.ap-south-1.amazonaws.com/data/pdf/year=2026/court=29_3/bench=karnataka_bng_old/KAHC010750172024_1_2026-08-27.pdf</x:v>
      </x:c>
    </x:row>
    <x:row r="502">
      <x:c r="A502" s="19">
        <x:f>ROUND(COUNTA(A502:G502)/7*100,0)</x:f>
      </x:c>
      <x:c r="B502" s="18" t="str">
        <x:v>CRL.P/11075/2026 of SRI. SALEEM PASHA @ AUTO SALEEM Vs STATE OF KARNATAKA</x:v>
      </x:c>
      <x:c r="C502" s="18" t="str">
        <x:v>2026-08-29</x:v>
      </x:c>
      <x:c r="D502" s="18" t="str">
        <x:v>High Court of Karnataka</x:v>
      </x:c>
      <x:c r="E502" s="18" t="str">
        <x:v>M.NAGAPRASANNA</x:v>
      </x:c>
      <x:c r="F502" s="18" t="str">
        <x:v>ALLOWED</x:v>
      </x:c>
      <x:c r="G502" s="20" t="str">
        <x:v>https://indian-high-court-judgments.s3.ap-south-1.amazonaws.com/data/pdf/year=2026/court=29_3/bench=karnataka_bng_old/KAHC010505612026_1_2026-08-29.pdf</x:v>
      </x:c>
    </x:row>
    <x:row r="503">
      <x:c r="A503" s="19">
        <x:f>ROUND(COUNTA(A503:G503)/7*100,0)</x:f>
      </x:c>
      <x:c r="B503" s="18" t="str">
        <x:v>MFA/6924/2022 of SMT RINA SETHI @ RINA SETHY Vs THE MANAGING DIRECTOR</x:v>
      </x:c>
      <x:c r="C503" s="18" t="str">
        <x:v>2026-08-29</x:v>
      </x:c>
      <x:c r="D503" s="18" t="str">
        <x:v>High Court of Karnataka</x:v>
      </x:c>
      <x:c r="E503" s="18" t="str">
        <x:v>RAJESH RAI K</x:v>
      </x:c>
      <x:c r="F503" s="18" t="str">
        <x:v>Partly Allowed</x:v>
      </x:c>
      <x:c r="G503" s="20" t="str">
        <x:v>https://indian-high-court-judgments.s3.ap-south-1.amazonaws.com/data/pdf/year=2026/court=29_3/bench=karnataka_bng_old/KAHC010461562022_1_2026-08-29.pdf</x:v>
      </x:c>
    </x:row>
    <x:row r="504">
      <x:c r="A504" s="19">
        <x:f>ROUND(COUNTA(A504:G504)/7*100,0)</x:f>
      </x:c>
      <x:c r="B504" s="18" t="str">
        <x:v>RSA/632/2020 of SRI H.RAJAPPA Vs SMT. RATHNAMMA</x:v>
      </x:c>
      <x:c r="C504" s="18" t="str">
        <x:v>2026-09-01</x:v>
      </x:c>
      <x:c r="D504" s="18" t="str">
        <x:v>High Court of Karnataka</x:v>
      </x:c>
      <x:c r="E504" s="18" t="str">
        <x:v>V SRISHANANDA</x:v>
      </x:c>
      <x:c r="F504" s="18" t="str">
        <x:v>DISMISSED</x:v>
      </x:c>
      <x:c r="G504" s="20" t="str">
        <x:v>https://indian-high-court-judgments.s3.ap-south-1.amazonaws.com/data/pdf/year=2026/court=29_3/bench=karnataka_bng_old/KAHC010017542020_1_2026-09-01.pdf</x:v>
      </x:c>
    </x:row>
    <x:row r="505">
      <x:c r="A505" s="19">
        <x:f>ROUND(COUNTA(A505:G505)/7*100,0)</x:f>
      </x:c>
      <x:c r="B505" s="18" t="str">
        <x:v>MFA/5989/2015 of THE NEW INDIA ASSURANCE Vs SRI ANWAR SAB @ SYED ANWAR</x:v>
      </x:c>
      <x:c r="C505" s="18" t="str">
        <x:v>2026-08-29</x:v>
      </x:c>
      <x:c r="D505" s="18" t="str">
        <x:v>High Court of Karnataka</x:v>
      </x:c>
      <x:c r="E505" s="18" t="str">
        <x:v>P SREE SUDHA</x:v>
      </x:c>
      <x:c r="F505" s="18" t="str">
        <x:v>Partly Allowed</x:v>
      </x:c>
      <x:c r="G505" s="20" t="str">
        <x:v>https://indian-high-court-judgments.s3.ap-south-1.amazonaws.com/data/pdf/year=2026/court=29_3/bench=karnataka_bng_old/KAHC010387452015_1_2026-08-29.pdf</x:v>
      </x:c>
    </x:row>
    <x:row r="506">
      <x:c r="A506" s="19">
        <x:f>ROUND(COUNTA(A506:G506)/7*100,0)</x:f>
      </x:c>
      <x:c r="B506" s="18" t="str">
        <x:v>CRL.P/10994/2026 of SRI.ADIL Vs STATE OF KARNATAKA</x:v>
      </x:c>
      <x:c r="C506" s="18" t="str">
        <x:v>2026-08-28</x:v>
      </x:c>
      <x:c r="D506" s="18" t="str">
        <x:v>High Court of Karnataka</x:v>
      </x:c>
      <x:c r="E506" s="18" t="str">
        <x:v>S VISHWAJITH SHETTY</x:v>
      </x:c>
      <x:c r="F506" s="18" t="str">
        <x:v>ALLOWED</x:v>
      </x:c>
      <x:c r="G506" s="20" t="str">
        <x:v>https://indian-high-court-judgments.s3.ap-south-1.amazonaws.com/data/pdf/year=2026/court=29_3/bench=karnataka_bng_old/KAHC010504932026_1_2026-08-28.pdf</x:v>
      </x:c>
    </x:row>
    <x:row r="507">
      <x:c r="A507" s="19">
        <x:f>ROUND(COUNTA(A507:G507)/7*100,0)</x:f>
      </x:c>
      <x:c r="B507" s="18" t="str">
        <x:v>WA/1670/2026 of SRI G GANGAPPA Vs THE DEPUTY COMMISSIONER</x:v>
      </x:c>
      <x:c r="C507" s="18" t="str">
        <x:v>2026-09-02</x:v>
      </x:c>
      <x:c r="D507" s="18" t="str">
        <x:v>High Court of Karnataka</x:v>
      </x:c>
      <x:c r="E507" s="18" t="str">
        <x:v>D K SINGH,H.SHANTHI BHUSHAN</x:v>
      </x:c>
      <x:c r="F507" s="18" t="str">
        <x:v>ALLOWED</x:v>
      </x:c>
      <x:c r="G507" s="20" t="str">
        <x:v>https://indian-high-court-judgments.s3.ap-south-1.amazonaws.com/data/pdf/year=2026/court=29_3/bench=karnataka_bng_old/KAHC010444232026_1_2026-09-02.pdf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0b6e934207b489c"/>
  <x:tableParts count="1">
    <x:tablePart xmlns:r="http://schemas.openxmlformats.org/officeDocument/2006/relationships" r:id="R88edd8acdd694278"/>
  </x:tableParts>
</x:worksheet>
</file>