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a86e15b2d74fae" /></Relationships>
</file>

<file path=xl/workbook.xml><?xml version="1.0" encoding="utf-8"?>
<x:workbook xmlns:x="http://schemas.openxmlformats.org/spreadsheetml/2006/main">
  <x:sheets>
    <x:sheet xmlns:r="http://schemas.openxmlformats.org/officeDocument/2006/relationships" name="F42 CAT &amp; Consumer Disputes (NC" sheetId="1" r:id="R1591b2a1f5ae42a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7">
    <x:font>
      <x:sz val="11"/>
      <x:name val="Carlito"/>
    </x:font>
    <x:font>
      <x:sz val="9"/>
      <x:color rgb="FF1F2937"/>
      <x:name val="Arial"/>
    </x:font>
    <x:font>
      <x:b/>
      <x:sz val="15"/>
      <x:color rgb="FF7030A0"/>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7030A0"/>
      </x:patternFill>
    </x:fill>
  </x:fills>
  <x:borders count="3">
    <x:border/>
    <x:border>
      <x:bottom style="medium">
        <x:color rgb="FF7030A0"/>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1" fontId="1" fillId="0" borderId="2" xfId="0" applyNumberFormat="1" applyFont="1" applyFill="1" applyBorder="1" applyAlignment="1">
      <x:alignment vertical="top" wrapText="1"/>
    </x:xf>
    <x:xf numFmtId="202" fontId="1" fillId="0" borderId="2" xfId="0" applyNumberFormat="1" applyFont="1" applyFill="1" applyBorder="1" applyAlignment="1">
      <x:alignment vertical="top" wrapText="1"/>
    </x:xf>
    <x:xf numFmtId="0" fontId="6"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90dde8090e41a1" /><Relationship Type="http://schemas.openxmlformats.org/officeDocument/2006/relationships/theme" Target="/xl/theme/theme1.xml" Id="R70cb7b243654401f" /><Relationship Type="http://schemas.openxmlformats.org/officeDocument/2006/relationships/sharedStrings" Target="/xl/sharedStrings.xml" Id="Ref10e52834854ff5" /><Relationship Type="http://schemas.openxmlformats.org/officeDocument/2006/relationships/worksheet" Target="/xl/worksheets/sheet1.xml" Id="R1591b2a1f5ae42ab" /></Relationships>
</file>

<file path=xl/drawings/_rels/drawing1.xml.rels>&#65279;<?xml version="1.0" encoding="utf-8"?><Relationships xmlns="http://schemas.openxmlformats.org/package/2006/relationships"><Relationship Type="http://schemas.openxmlformats.org/officeDocument/2006/relationships/chart" Target="/xl/drawings/charts/chart1.xml" Id="Reca9578a3c004b9d" /><Relationship Type="http://schemas.openxmlformats.org/officeDocument/2006/relationships/chart" Target="/xl/drawings/charts/chart2.xml" Id="R74d81031ce994025" /><Relationship Type="http://schemas.openxmlformats.org/officeDocument/2006/relationships/chart" Target="/xl/drawings/charts/chart3.xml" Id="Re33194e94f504b9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Cases by forum and subject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'F42 CAT &amp; Consumer Disputes (NC'!$AZ$3:$AZ$13</c:f>
              <c:strCache>
                <c:ptCount val="0"/>
              </c:strCache>
            </c:strRef>
          </c:cat>
          <c:val>
            <c:numRef>
              <c:f>'F42 CAT &amp; Consumer Disputes (NC'!$BA$3:$BA$13</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Orders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'F42 CAT &amp; Consumer Disputes (NC'!$BC$3</c:f>
              <c:strCache>
                <c:ptCount val="0"/>
              </c:strCache>
            </c:strRef>
          </c:cat>
          <c:val>
            <c:numRef>
              <c:f>'F42 CAT &amp; Consumer Disputes (NC'!$BD$3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Disposal and pendency trend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'F42 CAT &amp; Consumer Disputes (NC'!$BF$3:$BF$14</c:f>
              <c:strCache>
                <c:ptCount val="0"/>
              </c:strCache>
            </c:strRef>
          </c:cat>
          <c:val>
            <c:numRef>
              <c:f>'F42 CAT &amp; Consumer Disputes (NC'!$BG$3:$BG$14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a9578a3c004b9d"/>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4d81031ce994025"/>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3194e94f504b96"/>
        </a:graphicData>
      </a:graphic>
    </xdr:graphicFrame>
    <xdr:clientData/>
  </xdr:twoCellAnchor>
</xdr:wsDr>
</file>

<file path=xl/tables/table1.xml><?xml version="1.0" encoding="utf-8"?>
<x:table xmlns:x="http://schemas.openxmlformats.org/spreadsheetml/2006/main" id="1" name="T_law_42_clean_9dd269" displayName="T_law_42_clean_9dd269" ref="A8:AC43" headerRowCount="1" totalsRowCount="0" totalsRowShown="0">
  <x:tableColumns count="29">
    <x:tableColumn id="1" name="record_id"/>
    <x:tableColumn id="2" name="record_title"/>
    <x:tableColumn id="3" name="record_date"/>
    <x:tableColumn id="4" name="year"/>
    <x:tableColumn id="5" name="month"/>
    <x:tableColumn id="6" name="status"/>
    <x:tableColumn id="7" name="category"/>
    <x:tableColumn id="8" name="geography"/>
    <x:tableColumn id="9" name="primary_entity"/>
    <x:tableColumn id="10" name="metric_value"/>
    <x:tableColumn id="11" name="metric_unit"/>
    <x:tableColumn id="12" name="title"/>
    <x:tableColumn id="13" name="publisher"/>
    <x:tableColumn id="14" name="query"/>
    <x:tableColumn id="15" name="published_at"/>
    <x:tableColumn id="16" name="publisher_url"/>
    <x:tableColumn id="17" name="coverage_status"/>
    <x:tableColumn id="18" name="coverage_scope"/>
    <x:tableColumn id="19" name="coverage_start"/>
    <x:tableColumn id="20" name="coverage_end"/>
    <x:tableColumn id="21" name="universe_count"/>
    <x:tableColumn id="22" name="record_age_days"/>
    <x:tableColumn id="23" name="record_completeness_pct"/>
    <x:tableColumn id="24" name="source_provider"/>
    <x:tableColumn id="25" name="source_url"/>
    <x:tableColumn id="26" name="source_published_at"/>
    <x:tableColumn id="27" name="source_retrieved_at"/>
    <x:tableColumn id="28" name="provenance"/>
    <x:tableColumn id="29" name="quality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bdd487de2624a01" /><Relationship Type="http://schemas.openxmlformats.org/officeDocument/2006/relationships/table" Target="/xl/tables/table1.xml" Id="R6a6f06a42d5b477d" /></Relationships>
</file>

<file path=xl/worksheets/sheet1.xml><?xml version="1.0" encoding="utf-8"?>
<x:worksheet xmlns:x="http://schemas.openxmlformats.org/spreadsheetml/2006/main">
  <x:sheetPr>
    <x:tabColor rgb="FF7030A0"/>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15" hidden="0" customWidth="1"/>
    <x:col min="8" max="8" width="24" hidden="0" customWidth="1"/>
    <x:col min="9" max="9" width="24" hidden="0" customWidth="1"/>
    <x:col min="10" max="10" width="15" hidden="0" customWidth="1"/>
    <x:col min="11" max="11" width="15" hidden="0" customWidth="1"/>
    <x:col min="12" max="12" width="32" hidden="0" customWidth="1"/>
    <x:col min="13" max="13" width="15" hidden="0" customWidth="1"/>
    <x:col min="14" max="14" width="15" hidden="0" customWidth="1"/>
    <x:col min="15" max="15" width="15" hidden="0" customWidth="1"/>
    <x:col min="16" max="16" width="42"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8" hidden="0" customWidth="1"/>
    <x:col min="25" max="25" width="42" hidden="0" customWidth="1"/>
    <x:col min="26" max="26" width="15" hidden="0" customWidth="1"/>
    <x:col min="27" max="27" width="15" hidden="0" customWidth="1"/>
    <x:col min="28" max="28" width="15" hidden="0" customWidth="1"/>
    <x:col min="29" max="29" width="15" hidden="0" customWidth="1"/>
  </x:cols>
  <x:sheetData>
    <x:row r="1" ht="25" customHeight="1">
      <x:c r="A1" s="4" t="str">
        <x:v>CAT &amp; Consumer Disputes (NCDRC) Watch</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35 enrichment records • DEFINED_TERMINAL_OR_FEED_SCOPE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18" t="str">
        <x:v>2026-08-27</x:v>
      </x:c>
      <x:c r="BA3" s="18" t="n">
        <x:v>1</x:v>
      </x:c>
      <x:c r="BC3" s="18" t="str">
        <x:v>"Central Administrative Tribunal" OR "Nationa</x:v>
      </x:c>
      <x:c r="BD3" s="18" t="n">
        <x:v>35</x:v>
      </x:c>
      <x:c r="BF3" s="18" t="str">
        <x:v>Lawtext</x:v>
      </x:c>
      <x:c r="BG3" s="18" t="n">
        <x:v>11</x:v>
      </x:c>
    </x:row>
    <x:row r="4">
      <x:c r="A4" s="9" t="str">
        <x:v>Records</x:v>
      </x:c>
      <x:c r="B4" s="10" t="n">
        <x:v>35</x:v>
      </x:c>
      <x:c r="C4" s="9" t="str">
        <x:v>Dated records</x:v>
      </x:c>
      <x:c r="D4" s="10" t="n">
        <x:v>35</x:v>
      </x:c>
      <x:c r="E4" s="9" t="str">
        <x:v>Sources</x:v>
      </x:c>
      <x:c r="F4" s="10" t="n">
        <x:v>1</x:v>
      </x:c>
      <x:c r="G4" s="9" t="str">
        <x:v>Freshest record</x:v>
      </x:c>
      <x:c r="H4" s="9" t="str">
        <x:v>2026-09-09</x:v>
      </x:c>
      <x:c r="AZ4" s="18" t="str">
        <x:v>2026-08-29</x:v>
      </x:c>
      <x:c r="BA4" s="18" t="n">
        <x:v>4</x:v>
      </x:c>
      <x:c r="BF4" s="18" t="str">
        <x:v>Live Law</x:v>
      </x:c>
      <x:c r="BG4" s="18" t="n">
        <x:v>4</x:v>
      </x:c>
    </x:row>
    <x:row r="5">
      <x:c r="AZ5" s="18" t="str">
        <x:v>2026-08-31</x:v>
      </x:c>
      <x:c r="BA5" s="18" t="n">
        <x:v>1</x:v>
      </x:c>
      <x:c r="BF5" s="18" t="str">
        <x:v>Whispers in the Corridors</x:v>
      </x:c>
      <x:c r="BG5" s="18" t="n">
        <x:v>2</x:v>
      </x:c>
    </x:row>
    <x:row r="6">
      <x:c r="AZ6" s="18" t="str">
        <x:v>2026-09-01</x:v>
      </x:c>
      <x:c r="BA6" s="18" t="n">
        <x:v>4</x:v>
      </x:c>
      <x:c r="BF6" s="18" t="str">
        <x:v>Wansom AI</x:v>
      </x:c>
      <x:c r="BG6" s="18" t="n">
        <x:v>2</x:v>
      </x:c>
    </x:row>
    <x:row r="7">
      <x:c r="AZ7" s="18" t="str">
        <x:v>2026-09-02</x:v>
      </x:c>
      <x:c r="BA7" s="18" t="n">
        <x:v>2</x:v>
      </x:c>
      <x:c r="BF7" s="18" t="str">
        <x:v>PSU Connect</x:v>
      </x:c>
      <x:c r="BG7" s="18" t="n">
        <x:v>2</x:v>
      </x:c>
    </x:row>
    <x:row r="8" ht="30" customHeight="1">
      <x:c r="A8" s="15" t="str">
        <x:v>record_id</x:v>
      </x:c>
      <x:c r="B8" s="15" t="str">
        <x:v>record_title</x:v>
      </x:c>
      <x:c r="C8" s="15" t="str">
        <x:v>record_date</x:v>
      </x:c>
      <x:c r="D8" s="15" t="str">
        <x:v>year</x:v>
      </x:c>
      <x:c r="E8" s="15" t="str">
        <x:v>month</x:v>
      </x:c>
      <x:c r="F8" s="15" t="str">
        <x:v>status</x:v>
      </x:c>
      <x:c r="G8" s="15" t="str">
        <x:v>category</x:v>
      </x:c>
      <x:c r="H8" s="15" t="str">
        <x:v>geography</x:v>
      </x:c>
      <x:c r="I8" s="15" t="str">
        <x:v>primary_entity</x:v>
      </x:c>
      <x:c r="J8" s="15" t="str">
        <x:v>metric_value</x:v>
      </x:c>
      <x:c r="K8" s="15" t="str">
        <x:v>metric_unit</x:v>
      </x:c>
      <x:c r="L8" s="15" t="str">
        <x:v>title</x:v>
      </x:c>
      <x:c r="M8" s="15" t="str">
        <x:v>publisher</x:v>
      </x:c>
      <x:c r="N8" s="15" t="str">
        <x:v>query</x:v>
      </x:c>
      <x:c r="O8" s="15" t="str">
        <x:v>published_at</x:v>
      </x:c>
      <x:c r="P8" s="15" t="str">
        <x:v>publisher_url</x:v>
      </x:c>
      <x:c r="Q8" s="15" t="str">
        <x:v>coverage_status</x:v>
      </x:c>
      <x:c r="R8" s="15" t="str">
        <x:v>coverage_scope</x:v>
      </x:c>
      <x:c r="S8" s="15" t="str">
        <x:v>coverage_start</x:v>
      </x:c>
      <x:c r="T8" s="15" t="str">
        <x:v>coverage_end</x:v>
      </x:c>
      <x:c r="U8" s="15" t="str">
        <x:v>universe_count</x:v>
      </x:c>
      <x:c r="V8" s="15" t="str">
        <x:v>record_age_days</x:v>
      </x:c>
      <x:c r="W8" s="15" t="str">
        <x:v>record_completeness_pct</x:v>
      </x:c>
      <x:c r="X8" s="15" t="str">
        <x:v>source_provider</x:v>
      </x:c>
      <x:c r="Y8" s="15" t="str">
        <x:v>source_url</x:v>
      </x:c>
      <x:c r="Z8" s="15" t="str">
        <x:v>source_published_at</x:v>
      </x:c>
      <x:c r="AA8" s="15" t="str">
        <x:v>source_retrieved_at</x:v>
      </x:c>
      <x:c r="AB8" s="15" t="str">
        <x:v>provenance</x:v>
      </x:c>
      <x:c r="AC8" s="15" t="str">
        <x:v>quality_status</x:v>
      </x:c>
      <x:c r="AZ8" s="18" t="str">
        <x:v>2026-09-03</x:v>
      </x:c>
      <x:c r="BA8" s="18" t="n">
        <x:v>4</x:v>
      </x:c>
      <x:c r="BF8" s="18" t="str">
        <x:v>LawBeat</x:v>
      </x:c>
      <x:c r="BG8" s="18" t="n">
        <x:v>1</x:v>
      </x:c>
    </x:row>
    <x:row r="9">
      <x:c r="A9" s="18" t="str">
        <x:v>NYT-42-62d19cc25a16b3f7</x:v>
      </x:c>
      <x:c r="B9" s="18" t="str">
        <x:v>5 Years On, Allahabad HC Directs CAT Lucknow to Decide Ex-IPS Officer Amitabh Thakur’s Plea Against... - LawBeat</x:v>
      </x:c>
      <x:c r="C9" s="18" t="str">
        <x:v>2026-09-09</x:v>
      </x:c>
      <x:c r="D9" s="18" t="n">
        <x:v>2026</x:v>
      </x:c>
      <x:c r="E9" s="18" t="str">
        <x:v>2026-09</x:v>
      </x:c>
      <x:c r="F9" s="18" t="str"/>
      <x:c r="G9" s="18" t="str">
        <x:v>"Central Administrative Tribunal" OR "National Consumer Disputes Redressal Commission"</x:v>
      </x:c>
      <x:c r="H9" s="18" t="str"/>
      <x:c r="I9" s="18" t="str">
        <x:v>LawBeat</x:v>
      </x:c>
      <x:c r="J9" s="20" t="str"/>
      <x:c r="K9" s="18" t="str"/>
      <x:c r="L9" s="18" t="str">
        <x:v>5 Years On, Allahabad HC Directs CAT Lucknow to Decide Ex-IPS Officer Amitabh Thakur’s Plea Against... - LawBeat</x:v>
      </x:c>
      <x:c r="M9" s="18" t="str">
        <x:v>LawBeat</x:v>
      </x:c>
      <x:c r="N9" s="18" t="str">
        <x:v>"Central Administrative Tribunal" OR "National Consumer Disputes Redressal Commission"</x:v>
      </x:c>
      <x:c r="O9" s="18" t="n">
        <x:v>46274.47960648148</x:v>
      </x:c>
      <x:c r="P9" s="18" t="str">
        <x:v>https://lawbeat.in</x:v>
      </x:c>
      <x:c r="Q9" s="18" t="str">
        <x:v>DEFINED_TERMINAL_OR_FEED_SCOPE</x:v>
      </x:c>
      <x:c r="R9" s="18" t="str">
        <x:v>news_cat_ncdrc_14d.json — published records loaded</x:v>
      </x:c>
      <x:c r="S9" s="18" t="str"/>
      <x:c r="T9" s="18" t="str"/>
      <x:c r="U9" s="20" t="n">
        <x:v>35</x:v>
      </x:c>
      <x:c r="V9" s="19" t="n">
        <x:f>IFERROR(TODAY()-DATEVALUE(C9),"")</x:f>
        <x:v>1</x:v>
      </x:c>
      <x:c r="W9" s="21" t="n">
        <x:f>ROUND(COUNTA(A9:K9)/11*100,0)</x:f>
        <x:v>100</x:v>
      </x:c>
      <x:c r="X9" s="18" t="str">
        <x:v>Google News RSS</x:v>
      </x:c>
      <x:c r="Y9" s="22" t="str">
        <x:v>https://news.google.com/rss/articles/CBMi6gFBVV95cUxPaGxxM0NTN2g0em1TZmlHWUhVUEg5R2FlOUltM0FiQmV4MWJmdVdwdmdYX2dFNjdUbGtpLTM1c2lmanVuNEJCM2ZuY0MzMmIzNmdnbkdac2RfR2ViM2gtOFdORnRJb1I1SkhwX0sxR2lSWEkwdndFWHpVME9MSFFuY1luY1YyRnpCekdRVGRueEVrejNhTjRNWjRyR0I1N01JSjNTUVZWUHBHZGxtSU5aMkJ4ZWQ1Q053aVZYakhqZDhxMVFSWEJhNnlkWEN6ZzNBNGN4d0N4Z3lRMnBfQjZYRldGaElkMjh5eUHSAeoBQVVfeXFMT2hscTNDUzdoNHptU2ZpR1lIVVBIOUdhZTlJbTNBYkJleDFiZnVXcHZnWF9nRTY3VGxraS0zNXNpZmp1bjRCQjNmbmNDMzJiMzZnZ25HWnNkX0dlYjNoLThXTkZ0SW9SNUpIcF9LMUdpUlhJMHZ3RVh6VTBPTEhRbmNZbmNWMkZ6QnpHUVRkbnhFa3ozYU40TVo0ckdCNTdNSUozU1FWVlBwR2RsbUlOWjJCeGVkNUNOd2lWWGpIamQ4cTFRUlhCYTZ5ZFhDemczQTRjeHdDeGd5UTJwX0I2WEZXRmhJZDI4eXlB?oc=5</x:v>
      </x:c>
      <x:c r="Z9" s="18" t="n">
        <x:v>46274.47960648148</x:v>
      </x:c>
      <x:c r="AA9" s="18" t="n">
        <x:v>46275.38862103009</x:v>
      </x:c>
      <x:c r="AB9" s="18" t="str">
        <x:v>public_rss</x:v>
      </x:c>
      <x:c r="AC9" s="18" t="str">
        <x:v>READY</x:v>
      </x:c>
      <x:c r="AZ9" s="18" t="str">
        <x:v>2026-09-04</x:v>
      </x:c>
      <x:c r="BA9" s="18" t="n">
        <x:v>3</x:v>
      </x:c>
      <x:c r="BF9" s="18" t="str">
        <x:v>The Indian Express</x:v>
      </x:c>
      <x:c r="BG9" s="18" t="n">
        <x:v>1</x:v>
      </x:c>
    </x:row>
    <x:row r="10">
      <x:c r="A10" s="18" t="str">
        <x:v>NYT-42-c85664dc09717c1c</x:v>
      </x:c>
      <x:c r="B10" s="18" t="str">
        <x:v>National Consumer Disputes Redressal Commission Dismisses Builder's Appeals in Execution Proceedings for Refund with Interest. State Commission's Calculation of Decretal Amount Upheld Under Section 73 of Consumer Protection Act, 2019. - Lawtext</x:v>
      </x:c>
      <x:c r="C10" s="18" t="str">
        <x:v>2026-08-29</x:v>
      </x:c>
      <x:c r="D10" s="18" t="n">
        <x:v>2026</x:v>
      </x:c>
      <x:c r="E10" s="18" t="str">
        <x:v>2026-08</x:v>
      </x:c>
      <x:c r="F10" s="18" t="str"/>
      <x:c r="G10" s="18" t="str">
        <x:v>"Central Administrative Tribunal" OR "National Consumer Disputes Redressal Commission"</x:v>
      </x:c>
      <x:c r="H10" s="18" t="str"/>
      <x:c r="I10" s="18" t="str">
        <x:v>Lawtext</x:v>
      </x:c>
      <x:c r="J10" s="20" t="str"/>
      <x:c r="K10" s="18" t="str"/>
      <x:c r="L10" s="18" t="str">
        <x:v>National Consumer Disputes Redressal Commission Dismisses Builder's Appeals in Execution Proceedings for Refund with Interest. State Commission's Calculation of Decretal Amount Upheld Under Section 73 of Consumer Protection Act, 2019. - Lawtext</x:v>
      </x:c>
      <x:c r="M10" s="18" t="str">
        <x:v>Lawtext</x:v>
      </x:c>
      <x:c r="N10" s="18" t="str">
        <x:v>"Central Administrative Tribunal" OR "National Consumer Disputes Redressal Commission"</x:v>
      </x:c>
      <x:c r="O10" s="18" t="n">
        <x:v>46263.291666666664</x:v>
      </x:c>
      <x:c r="P10" s="18" t="str">
        <x:v>https://lawtext.in</x:v>
      </x:c>
      <x:c r="Q10" s="18" t="str">
        <x:v>DEFINED_TERMINAL_OR_FEED_SCOPE</x:v>
      </x:c>
      <x:c r="R10" s="18" t="str">
        <x:v>news_cat_ncdrc_14d.json — published records loaded</x:v>
      </x:c>
      <x:c r="S10" s="18" t="str"/>
      <x:c r="T10" s="18" t="str"/>
      <x:c r="U10" s="20" t="n">
        <x:v>35</x:v>
      </x:c>
      <x:c r="V10" s="19" t="n">
        <x:f>IFERROR(TODAY()-DATEVALUE(C10),"")</x:f>
        <x:v>12</x:v>
      </x:c>
      <x:c r="W10" s="21" t="n">
        <x:f>ROUND(COUNTA(A10:K10)/11*100,0)</x:f>
        <x:v>100</x:v>
      </x:c>
      <x:c r="X10" s="18" t="str">
        <x:v>Google News RSS</x:v>
      </x:c>
      <x:c r="Y10" s="22" t="str">
        <x:v>https://news.google.com/rss/articles/CBMiZkFVX3lxTFBEdmlLMEJrOHlXdXlKWnM4ZThuNTFja2JHQTBESUI5VnJ5Z2ZqaFVRb1diRl9UdVhWNlpyejhabGEwa19LU0tJZVpFMFh2bnRCazNSb09FUTVnX0F3emFGVU5IYTZOdw?oc=5</x:v>
      </x:c>
      <x:c r="Z10" s="18" t="n">
        <x:v>46263.291666666664</x:v>
      </x:c>
      <x:c r="AA10" s="18" t="n">
        <x:v>46275.38862103009</x:v>
      </x:c>
      <x:c r="AB10" s="18" t="str">
        <x:v>public_rss</x:v>
      </x:c>
      <x:c r="AC10" s="18" t="str">
        <x:v>READY</x:v>
      </x:c>
      <x:c r="AZ10" s="18" t="str">
        <x:v>2026-09-05</x:v>
      </x:c>
      <x:c r="BA10" s="18" t="n">
        <x:v>3</x:v>
      </x:c>
      <x:c r="BF10" s="18" t="str">
        <x:v>The New Indian Express</x:v>
      </x:c>
      <x:c r="BG10" s="18" t="n">
        <x:v>1</x:v>
      </x:c>
    </x:row>
    <x:row r="11">
      <x:c r="A11" s="18" t="str">
        <x:v>NYT-42-5d34dce1256a625b</x:v>
      </x:c>
      <x:c r="B11" s="18" t="str">
        <x:v>NCDRC Refuses To Entertain Complaint Seeking Same Refund Already Granted By K-RERA; Doctrine Of Election... - Live Law</x:v>
      </x:c>
      <x:c r="C11" s="18" t="str">
        <x:v>2026-09-08</x:v>
      </x:c>
      <x:c r="D11" s="18" t="n">
        <x:v>2026</x:v>
      </x:c>
      <x:c r="E11" s="18" t="str">
        <x:v>2026-09</x:v>
      </x:c>
      <x:c r="F11" s="18" t="str"/>
      <x:c r="G11" s="18" t="str">
        <x:v>"Central Administrative Tribunal" OR "National Consumer Disputes Redressal Commission"</x:v>
      </x:c>
      <x:c r="H11" s="18" t="str"/>
      <x:c r="I11" s="18" t="str">
        <x:v>Live Law</x:v>
      </x:c>
      <x:c r="J11" s="20" t="str"/>
      <x:c r="K11" s="18" t="str"/>
      <x:c r="L11" s="18" t="str">
        <x:v>NCDRC Refuses To Entertain Complaint Seeking Same Refund Already Granted By K-RERA; Doctrine Of Election... - Live Law</x:v>
      </x:c>
      <x:c r="M11" s="18" t="str">
        <x:v>Live Law</x:v>
      </x:c>
      <x:c r="N11" s="18" t="str">
        <x:v>"Central Administrative Tribunal" OR "National Consumer Disputes Redressal Commission"</x:v>
      </x:c>
      <x:c r="O11" s="18" t="n">
        <x:v>46273.2368287037</x:v>
      </x:c>
      <x:c r="P11" s="18" t="str">
        <x:v>https://www.livelaw.in</x:v>
      </x:c>
      <x:c r="Q11" s="18" t="str">
        <x:v>DEFINED_TERMINAL_OR_FEED_SCOPE</x:v>
      </x:c>
      <x:c r="R11" s="18" t="str">
        <x:v>news_cat_ncdrc_14d.json — published records loaded</x:v>
      </x:c>
      <x:c r="S11" s="18" t="str"/>
      <x:c r="T11" s="18" t="str"/>
      <x:c r="U11" s="20" t="n">
        <x:v>35</x:v>
      </x:c>
      <x:c r="V11" s="19" t="n">
        <x:f>IFERROR(TODAY()-DATEVALUE(C11),"")</x:f>
        <x:v>2</x:v>
      </x:c>
      <x:c r="W11" s="21" t="n">
        <x:f>ROUND(COUNTA(A11:K11)/11*100,0)</x:f>
        <x:v>100</x:v>
      </x:c>
      <x:c r="X11" s="18" t="str">
        <x:v>Google News RSS</x:v>
      </x:c>
      <x:c r="Y11" s="22" t="str">
        <x:v>https://news.google.com/rss/articles/CBMi8gFBVV95cUxQRTdVbTNHSFZnRXZjV2dvTThZYVBZQnE4dHMxc3hoUS00cEJrY3Q0QU1xLTJUc1lZS2JvR3VFNHRZTE15aUtQTUFlUm0tR01TMUVIWVZpelEtbXdzb3Y1aDhGemRfckgxTU1JUVNNRmRpeHJpS0dZN1VOc1M3eVRiWW5XUWVEZWV2UnZnVDJrQWdvakRjaUhXTnZYTzBYTWp0cGM3YWdLZVNaUUE1Y0Z4UTlOaGlTdjIxQzZENU1tQnJwWmk1cjA0QnhtaE02NTh5LVdnMmpPa1pQLW1fTDdwWjYyYmMwVEtORFI4X19YRWJkd9IB8gFBVV95cUxQRTdVbTNHSFZnRXZjV2dvTThZYVBZQnE4dHMxc3hoUS00cEJrY3Q0QU1xLTJUc1lZS2JvR3VFNHRZTE15aUtQTUFlUm0tR01TMUVIWVZpelEtbXdzb3Y1aDhGemRfckgxTU1JUVNNRmRpeHJpS0dZN1VOc1M3eVRiWW5XUWVEZWV2UnZnVDJrQWdvakRjaUhXTnZYTzBYTWp0cGM3YWdLZVNaUUE1Y0Z4UTlOaGlTdjIxQzZENU1tQnJwWmk1cjA0QnhtaE02NTh5LVdnMmpPa1pQLW1fTDdwWjYyYmMwVEtORFI4X19YRWJkdw?oc=5</x:v>
      </x:c>
      <x:c r="Z11" s="18" t="n">
        <x:v>46273.2368287037</x:v>
      </x:c>
      <x:c r="AA11" s="18" t="n">
        <x:v>46275.38862103009</x:v>
      </x:c>
      <x:c r="AB11" s="18" t="str">
        <x:v>public_rss</x:v>
      </x:c>
      <x:c r="AC11" s="18" t="str">
        <x:v>READY</x:v>
      </x:c>
      <x:c r="AZ11" s="18" t="str">
        <x:v>2026-09-07</x:v>
      </x:c>
      <x:c r="BA11" s="18" t="n">
        <x:v>1</x:v>
      </x:c>
      <x:c r="BF11" s="18" t="str">
        <x:v>ANI News</x:v>
      </x:c>
      <x:c r="BG11" s="18" t="n">
        <x:v>1</x:v>
      </x:c>
    </x:row>
    <x:row r="12">
      <x:c r="A12" s="18" t="str">
        <x:v>NYT-42-515c4f8911a178d9</x:v>
      </x:c>
      <x:c r="B12" s="18" t="str">
        <x:v>Govt revises tenure of Chairman Central Administrative Tribunal, More - Whispers in the Corridors</x:v>
      </x:c>
      <x:c r="C12" s="18" t="str">
        <x:v>2026-09-01</x:v>
      </x:c>
      <x:c r="D12" s="18" t="n">
        <x:v>2026</x:v>
      </x:c>
      <x:c r="E12" s="18" t="str">
        <x:v>2026-09</x:v>
      </x:c>
      <x:c r="F12" s="18" t="str"/>
      <x:c r="G12" s="18" t="str">
        <x:v>"Central Administrative Tribunal" OR "National Consumer Disputes Redressal Commission"</x:v>
      </x:c>
      <x:c r="H12" s="18" t="str"/>
      <x:c r="I12" s="18" t="str">
        <x:v>Whispers in the Corridors</x:v>
      </x:c>
      <x:c r="J12" s="20" t="str"/>
      <x:c r="K12" s="18" t="str"/>
      <x:c r="L12" s="18" t="str">
        <x:v>Govt revises tenure of Chairman Central Administrative Tribunal, More - Whispers in the Corridors</x:v>
      </x:c>
      <x:c r="M12" s="18" t="str">
        <x:v>Whispers in the Corridors</x:v>
      </x:c>
      <x:c r="N12" s="18" t="str">
        <x:v>"Central Administrative Tribunal" OR "National Consumer Disputes Redressal Commission"</x:v>
      </x:c>
      <x:c r="O12" s="18" t="n">
        <x:v>46266.413252314815</x:v>
      </x:c>
      <x:c r="P12" s="18" t="str">
        <x:v>https://whispersinthecorridors.com</x:v>
      </x:c>
      <x:c r="Q12" s="18" t="str">
        <x:v>DEFINED_TERMINAL_OR_FEED_SCOPE</x:v>
      </x:c>
      <x:c r="R12" s="18" t="str">
        <x:v>news_cat_ncdrc_14d.json — published records loaded</x:v>
      </x:c>
      <x:c r="S12" s="18" t="str"/>
      <x:c r="T12" s="18" t="str"/>
      <x:c r="U12" s="20" t="n">
        <x:v>35</x:v>
      </x:c>
      <x:c r="V12" s="19" t="n">
        <x:f>IFERROR(TODAY()-DATEVALUE(C12),"")</x:f>
        <x:v>9</x:v>
      </x:c>
      <x:c r="W12" s="21" t="n">
        <x:f>ROUND(COUNTA(A12:K12)/11*100,0)</x:f>
        <x:v>100</x:v>
      </x:c>
      <x:c r="X12" s="18" t="str">
        <x:v>Google News RSS</x:v>
      </x:c>
      <x:c r="Y12" s="22" t="str">
        <x:v>https://news.google.com/rss/articles/CBMigAFBVV95cUxPT014YjN5LTl0UVM1a2lTVTZ2NVFIYkM0Zkg4MHowbms3WFZ3VUUtT2VRaV9TeUhmeVMtMGN3SGFaeExYQlJFZjlXWEVlaGF2MEtjOXQ3OGF0UGFYRUNsbERrSWJhV0M1MVBFanQwSmZUcUE5NnNabWEtN1h3dEFETA?oc=5</x:v>
      </x:c>
      <x:c r="Z12" s="18" t="n">
        <x:v>46266.413252314815</x:v>
      </x:c>
      <x:c r="AA12" s="18" t="n">
        <x:v>46275.38862103009</x:v>
      </x:c>
      <x:c r="AB12" s="18" t="str">
        <x:v>public_rss</x:v>
      </x:c>
      <x:c r="AC12" s="18" t="str">
        <x:v>READY</x:v>
      </x:c>
      <x:c r="AZ12" s="18" t="str">
        <x:v>2026-09-08</x:v>
      </x:c>
      <x:c r="BA12" s="18" t="n">
        <x:v>8</x:v>
      </x:c>
      <x:c r="BF12" s="18" t="str">
        <x:v>Livemint</x:v>
      </x:c>
      <x:c r="BG12" s="18" t="n">
        <x:v>1</x:v>
      </x:c>
    </x:row>
    <x:row r="13">
      <x:c r="A13" s="18" t="str">
        <x:v>NYT-42-0afe1edabd1acd3d</x:v>
      </x:c>
      <x:c r="B13" s="18" t="str">
        <x:v>Nearly 6 lakh cases pending in consumer commissions, over 860 posts vacant: Centre - The Indian Express</x:v>
      </x:c>
      <x:c r="C13" s="18" t="str">
        <x:v>2026-09-04</x:v>
      </x:c>
      <x:c r="D13" s="18" t="n">
        <x:v>2026</x:v>
      </x:c>
      <x:c r="E13" s="18" t="str">
        <x:v>2026-09</x:v>
      </x:c>
      <x:c r="F13" s="18" t="str"/>
      <x:c r="G13" s="18" t="str">
        <x:v>"Central Administrative Tribunal" OR "National Consumer Disputes Redressal Commission"</x:v>
      </x:c>
      <x:c r="H13" s="18" t="str"/>
      <x:c r="I13" s="18" t="str">
        <x:v>The Indian Express</x:v>
      </x:c>
      <x:c r="J13" s="20" t="str"/>
      <x:c r="K13" s="18" t="str"/>
      <x:c r="L13" s="18" t="str">
        <x:v>Nearly 6 lakh cases pending in consumer commissions, over 860 posts vacant: Centre - The Indian Express</x:v>
      </x:c>
      <x:c r="M13" s="18" t="str">
        <x:v>The Indian Express</x:v>
      </x:c>
      <x:c r="N13" s="18" t="str">
        <x:v>"Central Administrative Tribunal" OR "National Consumer Disputes Redressal Commission"</x:v>
      </x:c>
      <x:c r="O13" s="18" t="n">
        <x:v>46269.256944444445</x:v>
      </x:c>
      <x:c r="P13" s="18" t="str">
        <x:v>https://indianexpress.com</x:v>
      </x:c>
      <x:c r="Q13" s="18" t="str">
        <x:v>DEFINED_TERMINAL_OR_FEED_SCOPE</x:v>
      </x:c>
      <x:c r="R13" s="18" t="str">
        <x:v>news_cat_ncdrc_14d.json — published records loaded</x:v>
      </x:c>
      <x:c r="S13" s="18" t="str"/>
      <x:c r="T13" s="18" t="str"/>
      <x:c r="U13" s="20" t="n">
        <x:v>35</x:v>
      </x:c>
      <x:c r="V13" s="19" t="n">
        <x:f>IFERROR(TODAY()-DATEVALUE(C13),"")</x:f>
        <x:v>6</x:v>
      </x:c>
      <x:c r="W13" s="21" t="n">
        <x:f>ROUND(COUNTA(A13:K13)/11*100,0)</x:f>
        <x:v>100</x:v>
      </x:c>
      <x:c r="X13" s="18" t="str">
        <x:v>Google News RSS</x:v>
      </x:c>
      <x:c r="Y13" s="22" t="str">
        <x:v>https://news.google.com/rss/articles/CBMivAFBVV95cUxNVHZPeS1MOEdKNzFBdkVZMUpMSnl0ZWJnSmFUMjh5TVJOdlR5d1ZhdlpNQS1VUlptLXljY05xZzhvd05jWENSMDc2RXdfam44aFR3bmlFYllBeEp6eTNGTmtOdmFQeVh6ZUVhcHFzcmV2N1g5ZW9obGJqQ2pzdWYzRUVOd042QjR5anE4UW9HYnhkMml1ZGxzNWJUVXp5OWdKREtzSzNmNUN1SzF4WVNPR1dtVXhITDczVzE3MNIBwwFBVV95cUxQTjBqR3pMeE9nV2MxNnlNLXQ3TXNHa255ZERvdkNRMzBNU2Q4ZVc2bHZQU2tZT2xxX0xlX2NMT2s3d0dWbmsxOWJ3dHZzX0NTYTM2ZXlBQm4xRmFDQWRYbUNDa1dHN0RMYzM0YXpfZ2ROR0JBa0NxOEFPY1Rka1FPOXZsV1FFSjZXX2hjRUVTcnh0NXdoX3NBbWpWSVFOQTNJU3RrNGpFTFFKdVZ4MWVIREh1WXIyTTNaVUxKcmFNRTVFM1E?oc=5</x:v>
      </x:c>
      <x:c r="Z13" s="18" t="n">
        <x:v>46269.256944444445</x:v>
      </x:c>
      <x:c r="AA13" s="18" t="n">
        <x:v>46275.38862103009</x:v>
      </x:c>
      <x:c r="AB13" s="18" t="str">
        <x:v>public_rss</x:v>
      </x:c>
      <x:c r="AC13" s="18" t="str">
        <x:v>READY</x:v>
      </x:c>
      <x:c r="AZ13" s="18" t="str">
        <x:v>2026-09-09</x:v>
      </x:c>
      <x:c r="BA13" s="18" t="n">
        <x:v>4</x:v>
      </x:c>
      <x:c r="BF13" s="18" t="str">
        <x:v>TradingView</x:v>
      </x:c>
      <x:c r="BG13" s="18" t="n">
        <x:v>1</x:v>
      </x:c>
    </x:row>
    <x:row r="14">
      <x:c r="A14" s="18" t="str">
        <x:v>NYT-42-a0bbc107c4dec613</x:v>
      </x:c>
      <x:c r="B14" s="18" t="str">
        <x:v>Karnataka HC pulls up postal department for delaying disbursal of NSC payout - The New Indian Express</x:v>
      </x:c>
      <x:c r="C14" s="18" t="str">
        <x:v>2026-08-29</x:v>
      </x:c>
      <x:c r="D14" s="18" t="n">
        <x:v>2026</x:v>
      </x:c>
      <x:c r="E14" s="18" t="str">
        <x:v>2026-08</x:v>
      </x:c>
      <x:c r="F14" s="18" t="str"/>
      <x:c r="G14" s="18" t="str">
        <x:v>"Central Administrative Tribunal" OR "National Consumer Disputes Redressal Commission"</x:v>
      </x:c>
      <x:c r="H14" s="18" t="str"/>
      <x:c r="I14" s="18" t="str">
        <x:v>The New Indian Express</x:v>
      </x:c>
      <x:c r="J14" s="20" t="str"/>
      <x:c r="K14" s="18" t="str"/>
      <x:c r="L14" s="18" t="str">
        <x:v>Karnataka HC pulls up postal department for delaying disbursal of NSC payout - The New Indian Express</x:v>
      </x:c>
      <x:c r="M14" s="18" t="str">
        <x:v>The New Indian Express</x:v>
      </x:c>
      <x:c r="N14" s="18" t="str">
        <x:v>"Central Administrative Tribunal" OR "National Consumer Disputes Redressal Commission"</x:v>
      </x:c>
      <x:c r="O14" s="18" t="n">
        <x:v>46263.291666666664</x:v>
      </x:c>
      <x:c r="P14" s="18" t="str">
        <x:v>https://www.newindianexpress.com</x:v>
      </x:c>
      <x:c r="Q14" s="18" t="str">
        <x:v>DEFINED_TERMINAL_OR_FEED_SCOPE</x:v>
      </x:c>
      <x:c r="R14" s="18" t="str">
        <x:v>news_cat_ncdrc_14d.json — published records loaded</x:v>
      </x:c>
      <x:c r="S14" s="18" t="str"/>
      <x:c r="T14" s="18" t="str"/>
      <x:c r="U14" s="20" t="n">
        <x:v>35</x:v>
      </x:c>
      <x:c r="V14" s="19" t="n">
        <x:f>IFERROR(TODAY()-DATEVALUE(C14),"")</x:f>
        <x:v>12</x:v>
      </x:c>
      <x:c r="W14" s="21" t="n">
        <x:f>ROUND(COUNTA(A14:K14)/11*100,0)</x:f>
        <x:v>100</x:v>
      </x:c>
      <x:c r="X14" s="18" t="str">
        <x:v>Google News RSS</x:v>
      </x:c>
      <x:c r="Y14" s="22" t="str">
        <x:v>https://news.google.com/rss/articles/CBMi1AFBVV95cUxOejBldEhNeG5wQ0xfckx0SjJoZFFBTDhjSnNwNjloUDhEOHBodHZrRUxpcTlvRTYwMTBkNHRlN2FTN1RLNGlKYWxDUDhydy1JTldKd0VmaGxOSEQzR09XcThYb1FGTU9HU0ZvMXVmSWFrS0loNVh4UDVMYzFXNy1ZYVJ2UmpoUUVhaTNyNU1pRjQ0TGhJdXNSUHRNY3BRRVgya1ZhcVJiZTdldklsYVhZWHZMY1otQXNmRURqeVlYVk9UT29TT0EwOUUwMXhFR09EQjhQNtIB4gFBVV95cUxNY18zWkw1S25UMG1UcktVRzl4aHhBS2RZY2UzdFBTaWVzS3hhejNyVUM2SkdJTHJReGRnRWEzQUx3Tjd6RDQtR2YtdmJxay1GellCNFJBVnZsaHpqd21rS3dEc0tqOTNYdkxYT0xtbE41VHRpTEs1M1B5TGRwLV83Z2FuRktXUzhPTWp6SlJMRjRJdjFsWVpqQU1TYzZkeGFBUUJIT3FFR29EX1cwVENvbmM1WTVzVTVoQUxkbWRyeVJiemJsbTZKR1lsNG1KXzh1ellfTkxXcGNvd1B0Z0x1bmNB?oc=5</x:v>
      </x:c>
      <x:c r="Z14" s="18" t="n">
        <x:v>46263.291666666664</x:v>
      </x:c>
      <x:c r="AA14" s="18" t="n">
        <x:v>46275.38862103009</x:v>
      </x:c>
      <x:c r="AB14" s="18" t="str">
        <x:v>public_rss</x:v>
      </x:c>
      <x:c r="AC14" s="18" t="str">
        <x:v>READY</x:v>
      </x:c>
      <x:c r="BF14" s="18" t="str">
        <x:v>NorthBlockSouthBlock</x:v>
      </x:c>
      <x:c r="BG14" s="18" t="n">
        <x:v>1</x:v>
      </x:c>
    </x:row>
    <x:row r="15">
      <x:c r="A15" s="18" t="str">
        <x:v>NYT-42-394410f159f786e9</x:v>
      </x:c>
      <x:c r="B15" s="18" t="str">
        <x:v>Delhi HC directs railways to comply with tribunal order on regularisation of commission vendors, bearers within four weeks - ANI News</x:v>
      </x:c>
      <x:c r="C15" s="18" t="str">
        <x:v>2026-09-08</x:v>
      </x:c>
      <x:c r="D15" s="18" t="n">
        <x:v>2026</x:v>
      </x:c>
      <x:c r="E15" s="18" t="str">
        <x:v>2026-09</x:v>
      </x:c>
      <x:c r="F15" s="18" t="str"/>
      <x:c r="G15" s="18" t="str">
        <x:v>"Central Administrative Tribunal" OR "National Consumer Disputes Redressal Commission"</x:v>
      </x:c>
      <x:c r="H15" s="18" t="str"/>
      <x:c r="I15" s="18" t="str">
        <x:v>ANI News</x:v>
      </x:c>
      <x:c r="J15" s="20" t="str"/>
      <x:c r="K15" s="18" t="str"/>
      <x:c r="L15" s="18" t="str">
        <x:v>Delhi HC directs railways to comply with tribunal order on regularisation of commission vendors, bearers within four weeks - ANI News</x:v>
      </x:c>
      <x:c r="M15" s="18" t="str">
        <x:v>ANI News</x:v>
      </x:c>
      <x:c r="N15" s="18" t="str">
        <x:v>"Central Administrative Tribunal" OR "National Consumer Disputes Redressal Commission"</x:v>
      </x:c>
      <x:c r="O15" s="18" t="n">
        <x:v>46273.467361111114</x:v>
      </x:c>
      <x:c r="P15" s="18" t="str">
        <x:v>https://www.aninews.in</x:v>
      </x:c>
      <x:c r="Q15" s="18" t="str">
        <x:v>DEFINED_TERMINAL_OR_FEED_SCOPE</x:v>
      </x:c>
      <x:c r="R15" s="18" t="str">
        <x:v>news_cat_ncdrc_14d.json — published records loaded</x:v>
      </x:c>
      <x:c r="S15" s="18" t="str"/>
      <x:c r="T15" s="18" t="str"/>
      <x:c r="U15" s="20" t="n">
        <x:v>35</x:v>
      </x:c>
      <x:c r="V15" s="19" t="n">
        <x:f>IFERROR(TODAY()-DATEVALUE(C15),"")</x:f>
        <x:v>2</x:v>
      </x:c>
      <x:c r="W15" s="21" t="n">
        <x:f>ROUND(COUNTA(A15:K15)/11*100,0)</x:f>
        <x:v>100</x:v>
      </x:c>
      <x:c r="X15" s="18" t="str">
        <x:v>Google News RSS</x:v>
      </x:c>
      <x:c r="Y15" s="22" t="str">
        <x:v>https://news.google.com/rss/articles/CBMikwJBVV95cUxPNkdiRnFOR0dHcWREcXlvV0xZTXUzNnZRdzFZMG56UkozOHRhQzVSQzhwbkUtWWt5R3VSRHhaMTV0SEUtNVNQcUZ3cGZYRHhGQkc5TzNZQVhObWJwdDlBZEJPZ0JBckdmZTJGeExZUlNjUjl4VUVLbkdMYUoyWlhVNEFkRG9NZVh0OHhNSk84bkJSV3RCT20wR1JycEZFQzVCbVNhNDBnbTV5dVhnbEdKd19nM2tKaUVFdUZ3emtORkpzYjlLVXF5Xy1VY2dBNl8xZ2ZRTndoMXY4SkFVdS02SmhKNTFXdkhxTzhoSkxfZlk0VUg1QVFEZHg4NlMwSkM1aWdhb1FHUThwV3lhZXlWeHlMcw?oc=5</x:v>
      </x:c>
      <x:c r="Z15" s="18" t="n">
        <x:v>46273.467361111114</x:v>
      </x:c>
      <x:c r="AA15" s="18" t="n">
        <x:v>46275.38862103009</x:v>
      </x:c>
      <x:c r="AB15" s="18" t="str">
        <x:v>public_rss</x:v>
      </x:c>
      <x:c r="AC15" s="18" t="str">
        <x:v>READY</x:v>
      </x:c>
    </x:row>
    <x:row r="16">
      <x:c r="A16" s="18" t="str">
        <x:v>NYT-42-6e277bb9d6b67cbc</x:v>
      </x:c>
      <x:c r="B16" s="18" t="str">
        <x:v>Pledged your life insurance policy for a bank loan? NCDRC says lender can surrender it without consent - Livemint</x:v>
      </x:c>
      <x:c r="C16" s="18" t="str">
        <x:v>2026-09-01</x:v>
      </x:c>
      <x:c r="D16" s="18" t="n">
        <x:v>2026</x:v>
      </x:c>
      <x:c r="E16" s="18" t="str">
        <x:v>2026-09</x:v>
      </x:c>
      <x:c r="F16" s="18" t="str"/>
      <x:c r="G16" s="18" t="str">
        <x:v>"Central Administrative Tribunal" OR "National Consumer Disputes Redressal Commission"</x:v>
      </x:c>
      <x:c r="H16" s="18" t="str"/>
      <x:c r="I16" s="18" t="str">
        <x:v>Livemint</x:v>
      </x:c>
      <x:c r="J16" s="20" t="str"/>
      <x:c r="K16" s="18" t="str"/>
      <x:c r="L16" s="18" t="str">
        <x:v>Pledged your life insurance policy for a bank loan? NCDRC says lender can surrender it without consent - Livemint</x:v>
      </x:c>
      <x:c r="M16" s="18" t="str">
        <x:v>Livemint</x:v>
      </x:c>
      <x:c r="N16" s="18" t="str">
        <x:v>"Central Administrative Tribunal" OR "National Consumer Disputes Redressal Commission"</x:v>
      </x:c>
      <x:c r="O16" s="18" t="n">
        <x:v>46266.38836805556</x:v>
      </x:c>
      <x:c r="P16" s="18" t="str">
        <x:v>https://www.livemint.com</x:v>
      </x:c>
      <x:c r="Q16" s="18" t="str">
        <x:v>DEFINED_TERMINAL_OR_FEED_SCOPE</x:v>
      </x:c>
      <x:c r="R16" s="18" t="str">
        <x:v>news_cat_ncdrc_14d.json — published records loaded</x:v>
      </x:c>
      <x:c r="S16" s="18" t="str"/>
      <x:c r="T16" s="18" t="str"/>
      <x:c r="U16" s="20" t="n">
        <x:v>35</x:v>
      </x:c>
      <x:c r="V16" s="19" t="n">
        <x:f>IFERROR(TODAY()-DATEVALUE(C16),"")</x:f>
        <x:v>9</x:v>
      </x:c>
      <x:c r="W16" s="21" t="n">
        <x:f>ROUND(COUNTA(A16:K16)/11*100,0)</x:f>
        <x:v>100</x:v>
      </x:c>
      <x:c r="X16" s="18" t="str">
        <x:v>Google News RSS</x:v>
      </x:c>
      <x:c r="Y16" s="22" t="str">
        <x:v>https://news.google.com/rss/articles/CBMi_gFBVV95cUxPQXhqano2VUJJWFFHbmZxSGZlNHU1bWZkYVVNcndEc0MyQWVPY0l3aHNLZmNFLVpGeDFjX19zclpDTGdWUHNueGJKTUZtandRTkhxTTd3cVhwVFJ5cUtfN2RGUXEyLVZMb2JiQm11by1CTXRzZy1LZzhZUV8tU013bVFRMDRUSVc0dnRNWmo1V2hlMnBVS1JVSzNfTUg2dUlzbU82OUtqMHJFRjBFZHZveUgyZHR4eHkxVmZsR1JxQVVFcDNoSVlwc1hCeVA0OEYzZ3dLcENHS3ZLNXdVaDN2b2NXVEVOT3NjanotOEJmUFZlMUNMM0plQWFrSXRod9IBgwJBVV95cUxNd1Z0MmFPT1NMeW9KOWZpT1FROUdaX0tzaGFDN3dBQTV4WWxwSFBYZWQ1MmNZMGRSc0VZeVE0RE5Hai1IYkVBNDc2YmhQQ3QzdkVnMG05cDBLSm5VYzcxZjhxaWRxTzFhWTVhX3FrOW5PcnlId1dVZUNMN3JleXUzeGlzRy1uMXZJZngyamx4UklZMjdJZnZmalpGZGQ5dVNEWWlfdVhtclpEYlVLYTJ6cGNYZXItQmV4ZGZYUzNoQ3ctczFmWl9TX21ZWndKX0RXM1ZmdHZ1N2lnRTRzbm5MQTNzYndrN0o3UXprN0ZLa2pENmpnb2F4bzZsQnZVbU9zNktj?oc=5</x:v>
      </x:c>
      <x:c r="Z16" s="18" t="n">
        <x:v>46266.38836805556</x:v>
      </x:c>
      <x:c r="AA16" s="18" t="n">
        <x:v>46275.38862103009</x:v>
      </x:c>
      <x:c r="AB16" s="18" t="str">
        <x:v>public_rss</x:v>
      </x:c>
      <x:c r="AC16" s="18" t="str">
        <x:v>READY</x:v>
      </x:c>
    </x:row>
    <x:row r="17">
      <x:c r="A17" s="18" t="str">
        <x:v>NYT-42-c1d9b6332c9ffcef</x:v>
      </x:c>
      <x:c r="B17" s="18" t="str">
        <x:v>Used LIC policy as collateral for a loan? Know what the lender can do if you fail to repay the outstanding dues - TradingView</x:v>
      </x:c>
      <x:c r="C17" s="18" t="str">
        <x:v>2026-08-27</x:v>
      </x:c>
      <x:c r="D17" s="18" t="n">
        <x:v>2026</x:v>
      </x:c>
      <x:c r="E17" s="18" t="str">
        <x:v>2026-08</x:v>
      </x:c>
      <x:c r="F17" s="18" t="str"/>
      <x:c r="G17" s="18" t="str">
        <x:v>"Central Administrative Tribunal" OR "National Consumer Disputes Redressal Commission"</x:v>
      </x:c>
      <x:c r="H17" s="18" t="str"/>
      <x:c r="I17" s="18" t="str">
        <x:v>TradingView</x:v>
      </x:c>
      <x:c r="J17" s="20" t="str"/>
      <x:c r="K17" s="18" t="str"/>
      <x:c r="L17" s="18" t="str">
        <x:v>Used LIC policy as collateral for a loan? Know what the lender can do if you fail to repay the outstanding dues - TradingView</x:v>
      </x:c>
      <x:c r="M17" s="18" t="str">
        <x:v>TradingView</x:v>
      </x:c>
      <x:c r="N17" s="18" t="str">
        <x:v>"Central Administrative Tribunal" OR "National Consumer Disputes Redressal Commission"</x:v>
      </x:c>
      <x:c r="O17" s="18" t="n">
        <x:v>46261.47121527778</x:v>
      </x:c>
      <x:c r="P17" s="18" t="str">
        <x:v>https://www.tradingview.com</x:v>
      </x:c>
      <x:c r="Q17" s="18" t="str">
        <x:v>DEFINED_TERMINAL_OR_FEED_SCOPE</x:v>
      </x:c>
      <x:c r="R17" s="18" t="str">
        <x:v>news_cat_ncdrc_14d.json — published records loaded</x:v>
      </x:c>
      <x:c r="S17" s="18" t="str"/>
      <x:c r="T17" s="18" t="str"/>
      <x:c r="U17" s="20" t="n">
        <x:v>35</x:v>
      </x:c>
      <x:c r="V17" s="19" t="n">
        <x:f>IFERROR(TODAY()-DATEVALUE(C17),"")</x:f>
        <x:v>14</x:v>
      </x:c>
      <x:c r="W17" s="21" t="n">
        <x:f>ROUND(COUNTA(A17:K17)/11*100,0)</x:f>
        <x:v>100</x:v>
      </x:c>
      <x:c r="X17" s="18" t="str">
        <x:v>Google News RSS</x:v>
      </x:c>
      <x:c r="Y17" s="22" t="str">
        <x:v>https://news.google.com/rss/articles/CBMi-wFBVV95cUxOT2RZUDlMTGxpalZfOUpvQ0dvcXJuU2ZDbVFWWUY0WkVHT0FYVld5MG51ZUw4bVRyaVpJSGtnRUpjN0dmODRHcENSQkZ2cW5iYk9WNnFKalZ6OUVsaUxvTFlmSWxaMzZNbXNSUG15Q0FNNng2MXhpakFjbGpTb3NmVmZXXzRzUndKTEJkTktpeWpTcTM5a05lamRieGF0YURyYVJLQXFIbjFEcmZFQmhnUlliVmFNVU82cFZ1cnYzR0ljekVVYTlBSXdXTkR4M00tdzBJSVc2MHBXakFmZzNXS0NWc1ROSldiY2JwQjBrWFpqTFRBaDNIR3ZMOA?oc=5</x:v>
      </x:c>
      <x:c r="Z17" s="18" t="n">
        <x:v>46261.47121527778</x:v>
      </x:c>
      <x:c r="AA17" s="18" t="n">
        <x:v>46275.38862103009</x:v>
      </x:c>
      <x:c r="AB17" s="18" t="str">
        <x:v>public_rss</x:v>
      </x:c>
      <x:c r="AC17" s="18" t="str">
        <x:v>READY</x:v>
      </x:c>
    </x:row>
    <x:row r="18">
      <x:c r="A18" s="18" t="str">
        <x:v>NYT-42-bb19b2461d5dc9df</x:v>
      </x:c>
      <x:c r="B18" s="18" t="str">
        <x:v>CAT: 5 Yr Tenure to Justice More as Chairman – Earlier 4 Yr Term Revised - NorthBlockSouthBlock</x:v>
      </x:c>
      <x:c r="C18" s="18" t="str">
        <x:v>2026-09-03</x:v>
      </x:c>
      <x:c r="D18" s="18" t="n">
        <x:v>2026</x:v>
      </x:c>
      <x:c r="E18" s="18" t="str">
        <x:v>2026-09</x:v>
      </x:c>
      <x:c r="F18" s="18" t="str"/>
      <x:c r="G18" s="18" t="str">
        <x:v>"Central Administrative Tribunal" OR "National Consumer Disputes Redressal Commission"</x:v>
      </x:c>
      <x:c r="H18" s="18" t="str"/>
      <x:c r="I18" s="18" t="str">
        <x:v>NorthBlockSouthBlock</x:v>
      </x:c>
      <x:c r="J18" s="20" t="str"/>
      <x:c r="K18" s="18" t="str"/>
      <x:c r="L18" s="18" t="str">
        <x:v>CAT: 5 Yr Tenure to Justice More as Chairman – Earlier 4 Yr Term Revised - NorthBlockSouthBlock</x:v>
      </x:c>
      <x:c r="M18" s="18" t="str">
        <x:v>NorthBlockSouthBlock</x:v>
      </x:c>
      <x:c r="N18" s="18" t="str">
        <x:v>"Central Administrative Tribunal" OR "National Consumer Disputes Redressal Commission"</x:v>
      </x:c>
      <x:c r="O18" s="18" t="n">
        <x:v>46268.40523148148</x:v>
      </x:c>
      <x:c r="P18" s="18" t="str">
        <x:v>https://www.northblocksouthblock.com</x:v>
      </x:c>
      <x:c r="Q18" s="18" t="str">
        <x:v>DEFINED_TERMINAL_OR_FEED_SCOPE</x:v>
      </x:c>
      <x:c r="R18" s="18" t="str">
        <x:v>news_cat_ncdrc_14d.json — published records loaded</x:v>
      </x:c>
      <x:c r="S18" s="18" t="str"/>
      <x:c r="T18" s="18" t="str"/>
      <x:c r="U18" s="20" t="n">
        <x:v>35</x:v>
      </x:c>
      <x:c r="V18" s="19" t="n">
        <x:f>IFERROR(TODAY()-DATEVALUE(C18),"")</x:f>
        <x:v>7</x:v>
      </x:c>
      <x:c r="W18" s="21" t="n">
        <x:f>ROUND(COUNTA(A18:K18)/11*100,0)</x:f>
        <x:v>100</x:v>
      </x:c>
      <x:c r="X18" s="18" t="str">
        <x:v>Google News RSS</x:v>
      </x:c>
      <x:c r="Y18" s="22" t="str">
        <x:v>https://news.google.com/rss/articles/CBMiwwFBVV95cUxNN1lYM3l6dnc2RGVfbTZsY1Vsb2J4NXdyZjJsaXA0cGxUWDAyZllvOGsyQXBiR0E3YWZ4RmhVVEZma2pDVWhRMU9CNkNDdlFTOHJCZzg3cmVRXzBYTklxOVZ4dU44X3c2Smp0RTBLUUxqSkJLX0VlOHMwQmx5dk00Mkd6THV4MlZpbGktXzNNTlo2aGZ4N20wZDZwRUd6NWhCeTBSTFJqQVlydjFMWjN4aDFDZ2ZMZk9GWTRFU210aDM1alk?oc=5</x:v>
      </x:c>
      <x:c r="Z18" s="18" t="n">
        <x:v>46268.40523148148</x:v>
      </x:c>
      <x:c r="AA18" s="18" t="n">
        <x:v>46275.38862103009</x:v>
      </x:c>
      <x:c r="AB18" s="18" t="str">
        <x:v>public_rss</x:v>
      </x:c>
      <x:c r="AC18" s="18" t="str">
        <x:v>READY</x:v>
      </x:c>
    </x:row>
    <x:row r="19">
      <x:c r="A19" s="18" t="str">
        <x:v>NYT-42-1d944a679e24749e</x:v>
      </x:c>
      <x:c r="B19" s="18" t="str">
        <x:v>Lack Of Security Escorts &amp; Unfastened Doors In Reserved Coaches Amounts To Deficiency In Service: NCDRC - Live Law</x:v>
      </x:c>
      <x:c r="C19" s="18" t="str">
        <x:v>2026-09-09</x:v>
      </x:c>
      <x:c r="D19" s="18" t="n">
        <x:v>2026</x:v>
      </x:c>
      <x:c r="E19" s="18" t="str">
        <x:v>2026-09</x:v>
      </x:c>
      <x:c r="F19" s="18" t="str"/>
      <x:c r="G19" s="18" t="str">
        <x:v>"Central Administrative Tribunal" OR "National Consumer Disputes Redressal Commission"</x:v>
      </x:c>
      <x:c r="H19" s="18" t="str"/>
      <x:c r="I19" s="18" t="str">
        <x:v>Live Law</x:v>
      </x:c>
      <x:c r="J19" s="20" t="str"/>
      <x:c r="K19" s="18" t="str"/>
      <x:c r="L19" s="18" t="str">
        <x:v>Lack Of Security Escorts &amp; Unfastened Doors In Reserved Coaches Amounts To Deficiency In Service: NCDRC - Live Law</x:v>
      </x:c>
      <x:c r="M19" s="18" t="str">
        <x:v>Live Law</x:v>
      </x:c>
      <x:c r="N19" s="18" t="str">
        <x:v>"Central Administrative Tribunal" OR "National Consumer Disputes Redressal Commission"</x:v>
      </x:c>
      <x:c r="O19" s="18" t="n">
        <x:v>46274.239652777775</x:v>
      </x:c>
      <x:c r="P19" s="18" t="str">
        <x:v>https://www.livelaw.in</x:v>
      </x:c>
      <x:c r="Q19" s="18" t="str">
        <x:v>DEFINED_TERMINAL_OR_FEED_SCOPE</x:v>
      </x:c>
      <x:c r="R19" s="18" t="str">
        <x:v>news_cat_ncdrc_14d.json — published records loaded</x:v>
      </x:c>
      <x:c r="S19" s="18" t="str"/>
      <x:c r="T19" s="18" t="str"/>
      <x:c r="U19" s="20" t="n">
        <x:v>35</x:v>
      </x:c>
      <x:c r="V19" s="19" t="n">
        <x:f>IFERROR(TODAY()-DATEVALUE(C19),"")</x:f>
        <x:v>1</x:v>
      </x:c>
      <x:c r="W19" s="21" t="n">
        <x:f>ROUND(COUNTA(A19:K19)/11*100,0)</x:f>
        <x:v>100</x:v>
      </x:c>
      <x:c r="X19" s="18" t="str">
        <x:v>Google News RSS</x:v>
      </x:c>
      <x:c r="Y19" s="22" t="str">
        <x:v>https://news.google.com/rss/articles/CBMi4wFBVV95cUxPU2U3b1pQay0yQzMzaWRpUHR4bXRMMHcxMUxHakIxRFhHbGpFTlhJLVcydU9OQzlsd2VZMGZ4QXBHcDJWSFFjTGNmZEZTNW1jaC1ZcFgtWEhSU3BibVUxcjJTOHhVejE5ZF9QdFR1QmtaSzIyWXFqbGZuWmVnVTFPbGFvMjdkOEtGNEZUaV9La3Q4ZkhUOVZlUzVKRmhRWkI2TmtQOUZrSnBZdjd6RUhYNXRpMWtIaVlnYkJlME55Mk1iZnlDVW9xNzk0S0pFTDFjcy1lMWVhZ3NXM09EUDBZc1ZBWdIB4wFBVV95cUxPU2U3b1pQay0yQzMzaWRpUHR4bXRMMHcxMUxHakIxRFhHbGpFTlhJLVcydU9OQzlsd2VZMGZ4QXBHcDJWSFFjTGNmZEZTNW1jaC1ZcFgtWEhSU3BibVUxcjJTOHhVejE5ZF9QdFR1QmtaSzIyWXFqbGZuWmVnVTFPbGFvMjdkOEtGNEZUaV9La3Q4ZkhUOVZlUzVKRmhRWkI2TmtQOUZrSnBZdjd6RUhYNXRpMWtIaVlnYkJlME55Mk1iZnlDVW9xNzk0S0pFTDFjcy1lMWVhZ3NXM09EUDBZc1ZBWQ?oc=5</x:v>
      </x:c>
      <x:c r="Z19" s="18" t="n">
        <x:v>46274.239652777775</x:v>
      </x:c>
      <x:c r="AA19" s="18" t="n">
        <x:v>46275.38862103009</x:v>
      </x:c>
      <x:c r="AB19" s="18" t="str">
        <x:v>public_rss</x:v>
      </x:c>
      <x:c r="AC19" s="18" t="str">
        <x:v>READY</x:v>
      </x:c>
    </x:row>
    <x:row r="20">
      <x:c r="A20" s="18" t="str">
        <x:v>NYT-42-a259c7093ebb2c25</x:v>
      </x:c>
      <x:c r="B20" s="18" t="str">
        <x:v>Govt revises tenure of Administrative Members of Central Administrative Tribunal - Whispers in the Corridors</x:v>
      </x:c>
      <x:c r="C20" s="18" t="str">
        <x:v>2026-09-01</x:v>
      </x:c>
      <x:c r="D20" s="18" t="n">
        <x:v>2026</x:v>
      </x:c>
      <x:c r="E20" s="18" t="str">
        <x:v>2026-09</x:v>
      </x:c>
      <x:c r="F20" s="18" t="str"/>
      <x:c r="G20" s="18" t="str">
        <x:v>"Central Administrative Tribunal" OR "National Consumer Disputes Redressal Commission"</x:v>
      </x:c>
      <x:c r="H20" s="18" t="str"/>
      <x:c r="I20" s="18" t="str">
        <x:v>Whispers in the Corridors</x:v>
      </x:c>
      <x:c r="J20" s="20" t="str"/>
      <x:c r="K20" s="18" t="str"/>
      <x:c r="L20" s="18" t="str">
        <x:v>Govt revises tenure of Administrative Members of Central Administrative Tribunal - Whispers in the Corridors</x:v>
      </x:c>
      <x:c r="M20" s="18" t="str">
        <x:v>Whispers in the Corridors</x:v>
      </x:c>
      <x:c r="N20" s="18" t="str">
        <x:v>"Central Administrative Tribunal" OR "National Consumer Disputes Redressal Commission"</x:v>
      </x:c>
      <x:c r="O20" s="18" t="n">
        <x:v>46266.415613425925</x:v>
      </x:c>
      <x:c r="P20" s="18" t="str">
        <x:v>https://whispersinthecorridors.com</x:v>
      </x:c>
      <x:c r="Q20" s="18" t="str">
        <x:v>DEFINED_TERMINAL_OR_FEED_SCOPE</x:v>
      </x:c>
      <x:c r="R20" s="18" t="str">
        <x:v>news_cat_ncdrc_14d.json — published records loaded</x:v>
      </x:c>
      <x:c r="S20" s="18" t="str"/>
      <x:c r="T20" s="18" t="str"/>
      <x:c r="U20" s="20" t="n">
        <x:v>35</x:v>
      </x:c>
      <x:c r="V20" s="19" t="n">
        <x:f>IFERROR(TODAY()-DATEVALUE(C20),"")</x:f>
        <x:v>9</x:v>
      </x:c>
      <x:c r="W20" s="21" t="n">
        <x:f>ROUND(COUNTA(A20:K20)/11*100,0)</x:f>
        <x:v>100</x:v>
      </x:c>
      <x:c r="X20" s="18" t="str">
        <x:v>Google News RSS</x:v>
      </x:c>
      <x:c r="Y20" s="22" t="str">
        <x:v>https://news.google.com/rss/articles/CBMikAFBVV95cUxQS1NnYUYzOW0zdkdqbjIzUHluYVVpOGdhMk9EcXpuYU9hZHYtUW9rTWZyMVRhVW83bktRSkNzbnNDM3NHVGYxcjVmbU1vTmFuQjlMeGVtbC1EdHBzeGdWdHppUFB6cTZPRkh1Y3RkSmItekZMY01ielFSTHpScFRORXplVzF5dmlpRmxKclVoRG8?oc=5</x:v>
      </x:c>
      <x:c r="Z20" s="18" t="n">
        <x:v>46266.415613425925</x:v>
      </x:c>
      <x:c r="AA20" s="18" t="n">
        <x:v>46275.38862103009</x:v>
      </x:c>
      <x:c r="AB20" s="18" t="str">
        <x:v>public_rss</x:v>
      </x:c>
      <x:c r="AC20" s="18" t="str">
        <x:v>READY</x:v>
      </x:c>
    </x:row>
    <x:row r="21">
      <x:c r="A21" s="18" t="str">
        <x:v>NYT-42-05dac1e44d2cb4fe</x:v>
      </x:c>
      <x:c r="B21" s="18" t="str">
        <x:v>National Consumer Disputes Redressal Commission Allows Manufacturer's Appeal in Vehicle Defect Case — Manufacturer Not Vicariously Liable for Independent Dealer's Service Deficiencies. Concurrent Findings of Lower Fora Set Aside as No Privity of Co - Lawtext</x:v>
      </x:c>
      <x:c r="C21" s="18" t="str">
        <x:v>2026-09-02</x:v>
      </x:c>
      <x:c r="D21" s="18" t="n">
        <x:v>2026</x:v>
      </x:c>
      <x:c r="E21" s="18" t="str">
        <x:v>2026-09</x:v>
      </x:c>
      <x:c r="F21" s="18" t="str"/>
      <x:c r="G21" s="18" t="str">
        <x:v>"Central Administrative Tribunal" OR "National Consumer Disputes Redressal Commission"</x:v>
      </x:c>
      <x:c r="H21" s="18" t="str"/>
      <x:c r="I21" s="18" t="str">
        <x:v>Lawtext</x:v>
      </x:c>
      <x:c r="J21" s="20" t="str"/>
      <x:c r="K21" s="18" t="str"/>
      <x:c r="L21" s="18" t="str">
        <x:v>National Consumer Disputes Redressal Commission Allows Manufacturer's Appeal in Vehicle Defect Case — Manufacturer Not Vicariously Liable for Independent Dealer's Service Deficiencies. Concurrent Findings of Lower Fora Set Aside as No Privity of Co - Lawtext</x:v>
      </x:c>
      <x:c r="M21" s="18" t="str">
        <x:v>Lawtext</x:v>
      </x:c>
      <x:c r="N21" s="18" t="str">
        <x:v>"Central Administrative Tribunal" OR "National Consumer Disputes Redressal Commission"</x:v>
      </x:c>
      <x:c r="O21" s="18" t="n">
        <x:v>46267.52686342593</x:v>
      </x:c>
      <x:c r="P21" s="18" t="str">
        <x:v>https://lawtext.in</x:v>
      </x:c>
      <x:c r="Q21" s="18" t="str">
        <x:v>DEFINED_TERMINAL_OR_FEED_SCOPE</x:v>
      </x:c>
      <x:c r="R21" s="18" t="str">
        <x:v>news_cat_ncdrc_14d.json — published records loaded</x:v>
      </x:c>
      <x:c r="S21" s="18" t="str"/>
      <x:c r="T21" s="18" t="str"/>
      <x:c r="U21" s="20" t="n">
        <x:v>35</x:v>
      </x:c>
      <x:c r="V21" s="19" t="n">
        <x:f>IFERROR(TODAY()-DATEVALUE(C21),"")</x:f>
        <x:v>8</x:v>
      </x:c>
      <x:c r="W21" s="21" t="n">
        <x:f>ROUND(COUNTA(A21:K21)/11*100,0)</x:f>
        <x:v>100</x:v>
      </x:c>
      <x:c r="X21" s="18" t="str">
        <x:v>Google News RSS</x:v>
      </x:c>
      <x:c r="Y21" s="22" t="str">
        <x:v>https://news.google.com/rss/articles/CBMiaEFVX3lxTE41cjJPSUVKbE1DZmVLdy1OMTk1YVJhMkhKRThXSFdzOG5CQTVabGU1b0J2ZTY1Rk1xUEdhLVZ4SzdaTHh6MWdUc0hSUTZtdkktUzNQUlNzSk05QW9vOWd5cWhZTDc3ZDVl?oc=5</x:v>
      </x:c>
      <x:c r="Z21" s="18" t="n">
        <x:v>46267.52686342593</x:v>
      </x:c>
      <x:c r="AA21" s="18" t="n">
        <x:v>46275.38862103009</x:v>
      </x:c>
      <x:c r="AB21" s="18" t="str">
        <x:v>public_rss</x:v>
      </x:c>
      <x:c r="AC21" s="18" t="str">
        <x:v>READY</x:v>
      </x:c>
    </x:row>
    <x:row r="22">
      <x:c r="A22" s="18" t="str">
        <x:v>NYT-42-8cf05ad69593bc2e</x:v>
      </x:c>
      <x:c r="B22" s="18" t="str">
        <x:v>Allahabad High Court Directs CAT To Expeditiously Decide Ex-IPS Amitabh Thakur's Challenge To Compulsory... - Live Law</x:v>
      </x:c>
      <x:c r="C22" s="18" t="str">
        <x:v>2026-09-08</x:v>
      </x:c>
      <x:c r="D22" s="18" t="n">
        <x:v>2026</x:v>
      </x:c>
      <x:c r="E22" s="18" t="str">
        <x:v>2026-09</x:v>
      </x:c>
      <x:c r="F22" s="18" t="str"/>
      <x:c r="G22" s="18" t="str">
        <x:v>"Central Administrative Tribunal" OR "National Consumer Disputes Redressal Commission"</x:v>
      </x:c>
      <x:c r="H22" s="18" t="str"/>
      <x:c r="I22" s="18" t="str">
        <x:v>Live Law</x:v>
      </x:c>
      <x:c r="J22" s="20" t="str"/>
      <x:c r="K22" s="18" t="str"/>
      <x:c r="L22" s="18" t="str">
        <x:v>Allahabad High Court Directs CAT To Expeditiously Decide Ex-IPS Amitabh Thakur's Challenge To Compulsory... - Live Law</x:v>
      </x:c>
      <x:c r="M22" s="18" t="str">
        <x:v>Live Law</x:v>
      </x:c>
      <x:c r="N22" s="18" t="str">
        <x:v>"Central Administrative Tribunal" OR "National Consumer Disputes Redressal Commission"</x:v>
      </x:c>
      <x:c r="O22" s="18" t="n">
        <x:v>46273.59820601852</x:v>
      </x:c>
      <x:c r="P22" s="18" t="str">
        <x:v>https://www.livelaw.in</x:v>
      </x:c>
      <x:c r="Q22" s="18" t="str">
        <x:v>DEFINED_TERMINAL_OR_FEED_SCOPE</x:v>
      </x:c>
      <x:c r="R22" s="18" t="str">
        <x:v>news_cat_ncdrc_14d.json — published records loaded</x:v>
      </x:c>
      <x:c r="S22" s="18" t="str"/>
      <x:c r="T22" s="18" t="str"/>
      <x:c r="U22" s="20" t="n">
        <x:v>35</x:v>
      </x:c>
      <x:c r="V22" s="19" t="n">
        <x:f>IFERROR(TODAY()-DATEVALUE(C22),"")</x:f>
        <x:v>2</x:v>
      </x:c>
      <x:c r="W22" s="21" t="n">
        <x:f>ROUND(COUNTA(A22:K22)/11*100,0)</x:f>
        <x:v>100</x:v>
      </x:c>
      <x:c r="X22" s="18" t="str">
        <x:v>Google News RSS</x:v>
      </x:c>
      <x:c r="Y22" s="22" t="str">
        <x:v>https://news.google.com/rss/articles/CBMi3wFBVV95cUxNb3VWYVdwSllGUzVTT1U2d2dPX0xhT3h4a0pXZ3NWZk15OGFraUxRNmFwdTZzN0ptMVcycGJmQktMX21jTGUwNTU2c3RvZlFhZS1fbUVyaTdXNEE2SjBkSTdQTXM2N214Q2ZvNlE2ZWN3dlljMXV1Z3NlV3E0YnZtaFFvTUc5OW1fTlVQbXc0enczalFjdXFfdXNYWlNOcC1pazhPTmNXQkpmQ20xYk92S3QxVWlaaVI0NjdvbC1nZTBKWTZRdUlOeFJiMFQ3TnZVRkNDZTc1elNYS0Q3cUU00gHfAUFVX3lxTE1vdVZhV3BKWUZTNVNPVTZ3Z09fTGFPeHhrSldnc1ZmTXk4YWtpTFE2YXB1NnM3Sm0xVzJwYmZCS0xfbWNMZTA1NTZzdG9mUWFlLV9tRXJpN1c0QTZKMGRJN1BNczY3bXhDZm82UTZlY3d2WWMxdXVnc2VXcTRidm1oUW9NRzk5bV9OVVBtdzR6dzNqUWN1cV91c1haU05wLWlrOE9OY1dCSmZDbTFiT3ZLdDFVaVppUjQ2N29sLWdlMEpZNlF1SU54UmIwVDdOdlVGQ0NlNzV6U1hLRDdxRTQ?oc=5</x:v>
      </x:c>
      <x:c r="Z22" s="18" t="n">
        <x:v>46273.59820601852</x:v>
      </x:c>
      <x:c r="AA22" s="18" t="n">
        <x:v>46275.38862103009</x:v>
      </x:c>
      <x:c r="AB22" s="18" t="str">
        <x:v>public_rss</x:v>
      </x:c>
      <x:c r="AC22" s="18" t="str">
        <x:v>READY</x:v>
      </x:c>
    </x:row>
    <x:row r="23">
      <x:c r="A23" s="18" t="str">
        <x:v>NYT-42-9046382bd87005b4</x:v>
      </x:c>
      <x:c r="B23" s="18" t="str">
        <x:v>National Consumer Disputes Redressal Commission Dismisses Second Appeal Due to 399-Day Delay — Condonation Denied for Lack of Sufficient Cause. Internal administrative delays and employee turnover held not sufficient to explain each day of delay u - Lawtext</x:v>
      </x:c>
      <x:c r="C23" s="18" t="str">
        <x:v>2026-09-08</x:v>
      </x:c>
      <x:c r="D23" s="18" t="n">
        <x:v>2026</x:v>
      </x:c>
      <x:c r="E23" s="18" t="str">
        <x:v>2026-09</x:v>
      </x:c>
      <x:c r="F23" s="18" t="str"/>
      <x:c r="G23" s="18" t="str">
        <x:v>"Central Administrative Tribunal" OR "National Consumer Disputes Redressal Commission"</x:v>
      </x:c>
      <x:c r="H23" s="18" t="str"/>
      <x:c r="I23" s="18" t="str">
        <x:v>Lawtext</x:v>
      </x:c>
      <x:c r="J23" s="20" t="str"/>
      <x:c r="K23" s="18" t="str"/>
      <x:c r="L23" s="18" t="str">
        <x:v>National Consumer Disputes Redressal Commission Dismisses Second Appeal Due to 399-Day Delay — Condonation Denied for Lack of Sufficient Cause. Internal administrative delays and employee turnover held not sufficient to explain each day of delay u - Lawtext</x:v>
      </x:c>
      <x:c r="M23" s="18" t="str">
        <x:v>Lawtext</x:v>
      </x:c>
      <x:c r="N23" s="18" t="str">
        <x:v>"Central Administrative Tribunal" OR "National Consumer Disputes Redressal Commission"</x:v>
      </x:c>
      <x:c r="O23" s="18" t="n">
        <x:v>46273.93070601852</x:v>
      </x:c>
      <x:c r="P23" s="18" t="str">
        <x:v>https://lawtext.in</x:v>
      </x:c>
      <x:c r="Q23" s="18" t="str">
        <x:v>DEFINED_TERMINAL_OR_FEED_SCOPE</x:v>
      </x:c>
      <x:c r="R23" s="18" t="str">
        <x:v>news_cat_ncdrc_14d.json — published records loaded</x:v>
      </x:c>
      <x:c r="S23" s="18" t="str"/>
      <x:c r="T23" s="18" t="str"/>
      <x:c r="U23" s="20" t="n">
        <x:v>35</x:v>
      </x:c>
      <x:c r="V23" s="19" t="n">
        <x:f>IFERROR(TODAY()-DATEVALUE(C23),"")</x:f>
        <x:v>2</x:v>
      </x:c>
      <x:c r="W23" s="21" t="n">
        <x:f>ROUND(COUNTA(A23:K23)/11*100,0)</x:f>
        <x:v>100</x:v>
      </x:c>
      <x:c r="X23" s="18" t="str">
        <x:v>Google News RSS</x:v>
      </x:c>
      <x:c r="Y23" s="22" t="str">
        <x:v>https://news.google.com/rss/articles/CBMiZkFVX3lxTE9xTzdveUpnWFdqeGE5MzhpdHRWM0RpVjIwbWxPZjNuZVV1blpzSXFfVHF5dlBuMHlzRVJUbFh4ZnV6dy1nMDgxWVYyLXNrRjV4ZHJEazUwQnZFVzVRelRQcEl5blpnQQ?oc=5</x:v>
      </x:c>
      <x:c r="Z23" s="18" t="n">
        <x:v>46273.93070601852</x:v>
      </x:c>
      <x:c r="AA23" s="18" t="n">
        <x:v>46275.38862103009</x:v>
      </x:c>
      <x:c r="AB23" s="18" t="str">
        <x:v>public_rss</x:v>
      </x:c>
      <x:c r="AC23" s="18" t="str">
        <x:v>READY</x:v>
      </x:c>
    </x:row>
    <x:row r="24">
      <x:c r="A24" s="18" t="str">
        <x:v>NYT-42-bb94c569e7544349</x:v>
      </x:c>
      <x:c r="B24" s="18" t="str">
        <x:v>National Consumer Disputes Redressal Commission Dismisses Insurance Company's Appeal in PMJJBY Claim Dispute — Insurance Company Cannot Repudiate Claim After Issuing Policy Without Verifying Eligibility. The Commission held that the insurer's fa - Lawtext</x:v>
      </x:c>
      <x:c r="C24" s="18" t="str">
        <x:v>2026-08-29</x:v>
      </x:c>
      <x:c r="D24" s="18" t="n">
        <x:v>2026</x:v>
      </x:c>
      <x:c r="E24" s="18" t="str">
        <x:v>2026-08</x:v>
      </x:c>
      <x:c r="F24" s="18" t="str"/>
      <x:c r="G24" s="18" t="str">
        <x:v>"Central Administrative Tribunal" OR "National Consumer Disputes Redressal Commission"</x:v>
      </x:c>
      <x:c r="H24" s="18" t="str"/>
      <x:c r="I24" s="18" t="str">
        <x:v>Lawtext</x:v>
      </x:c>
      <x:c r="J24" s="20" t="str"/>
      <x:c r="K24" s="18" t="str"/>
      <x:c r="L24" s="18" t="str">
        <x:v>National Consumer Disputes Redressal Commission Dismisses Insurance Company's Appeal in PMJJBY Claim Dispute — Insurance Company Cannot Repudiate Claim After Issuing Policy Without Verifying Eligibility. The Commission held that the insurer's fa - Lawtext</x:v>
      </x:c>
      <x:c r="M24" s="18" t="str">
        <x:v>Lawtext</x:v>
      </x:c>
      <x:c r="N24" s="18" t="str">
        <x:v>"Central Administrative Tribunal" OR "National Consumer Disputes Redressal Commission"</x:v>
      </x:c>
      <x:c r="O24" s="18" t="n">
        <x:v>46263.291666666664</x:v>
      </x:c>
      <x:c r="P24" s="18" t="str">
        <x:v>https://lawtext.in</x:v>
      </x:c>
      <x:c r="Q24" s="18" t="str">
        <x:v>DEFINED_TERMINAL_OR_FEED_SCOPE</x:v>
      </x:c>
      <x:c r="R24" s="18" t="str">
        <x:v>news_cat_ncdrc_14d.json — published records loaded</x:v>
      </x:c>
      <x:c r="S24" s="18" t="str"/>
      <x:c r="T24" s="18" t="str"/>
      <x:c r="U24" s="20" t="n">
        <x:v>35</x:v>
      </x:c>
      <x:c r="V24" s="19" t="n">
        <x:f>IFERROR(TODAY()-DATEVALUE(C24),"")</x:f>
        <x:v>12</x:v>
      </x:c>
      <x:c r="W24" s="21" t="n">
        <x:f>ROUND(COUNTA(A24:K24)/11*100,0)</x:f>
        <x:v>100</x:v>
      </x:c>
      <x:c r="X24" s="18" t="str">
        <x:v>Google News RSS</x:v>
      </x:c>
      <x:c r="Y24" s="22" t="str">
        <x:v>https://news.google.com/rss/articles/CBMiVEFVX3lxTE91MVFQc2NfRHJtcFRFUnhtSVRvZEJMOHJzS296b3A0dWRTZWVhY3JtNkhNNWtiNlM4UXFoMmlzRWN0bTY3TXlJaWVRckRaQmlhZFo3Qg?oc=5</x:v>
      </x:c>
      <x:c r="Z24" s="18" t="n">
        <x:v>46263.291666666664</x:v>
      </x:c>
      <x:c r="AA24" s="18" t="n">
        <x:v>46275.38862103009</x:v>
      </x:c>
      <x:c r="AB24" s="18" t="str">
        <x:v>public_rss</x:v>
      </x:c>
      <x:c r="AC24" s="18" t="str">
        <x:v>READY</x:v>
      </x:c>
    </x:row>
    <x:row r="25">
      <x:c r="A25" s="18" t="str">
        <x:v>NYT-42-1c6ff8cd23b7c37f</x:v>
      </x:c>
      <x:c r="B25" s="18" t="str">
        <x:v>Widow's Family Pension Must Be Paid From Date Of Husband's Death : Supreme Court - Live Law</x:v>
      </x:c>
      <x:c r="C25" s="18" t="str">
        <x:v>2026-09-08</x:v>
      </x:c>
      <x:c r="D25" s="18" t="n">
        <x:v>2026</x:v>
      </x:c>
      <x:c r="E25" s="18" t="str">
        <x:v>2026-09</x:v>
      </x:c>
      <x:c r="F25" s="18" t="str"/>
      <x:c r="G25" s="18" t="str">
        <x:v>"Central Administrative Tribunal" OR "National Consumer Disputes Redressal Commission"</x:v>
      </x:c>
      <x:c r="H25" s="18" t="str"/>
      <x:c r="I25" s="18" t="str">
        <x:v>Live Law</x:v>
      </x:c>
      <x:c r="J25" s="20" t="str"/>
      <x:c r="K25" s="18" t="str"/>
      <x:c r="L25" s="18" t="str">
        <x:v>Widow's Family Pension Must Be Paid From Date Of Husband's Death : Supreme Court - Live Law</x:v>
      </x:c>
      <x:c r="M25" s="18" t="str">
        <x:v>Live Law</x:v>
      </x:c>
      <x:c r="N25" s="18" t="str">
        <x:v>"Central Administrative Tribunal" OR "National Consumer Disputes Redressal Commission"</x:v>
      </x:c>
      <x:c r="O25" s="18" t="n">
        <x:v>46273.59542824074</x:v>
      </x:c>
      <x:c r="P25" s="18" t="str">
        <x:v>https://www.livelaw.in</x:v>
      </x:c>
      <x:c r="Q25" s="18" t="str">
        <x:v>DEFINED_TERMINAL_OR_FEED_SCOPE</x:v>
      </x:c>
      <x:c r="R25" s="18" t="str">
        <x:v>news_cat_ncdrc_14d.json — published records loaded</x:v>
      </x:c>
      <x:c r="S25" s="18" t="str"/>
      <x:c r="T25" s="18" t="str"/>
      <x:c r="U25" s="20" t="n">
        <x:v>35</x:v>
      </x:c>
      <x:c r="V25" s="19" t="n">
        <x:f>IFERROR(TODAY()-DATEVALUE(C25),"")</x:f>
        <x:v>2</x:v>
      </x:c>
      <x:c r="W25" s="21" t="n">
        <x:f>ROUND(COUNTA(A25:K25)/11*100,0)</x:f>
        <x:v>100</x:v>
      </x:c>
      <x:c r="X25" s="18" t="str">
        <x:v>Google News RSS</x:v>
      </x:c>
      <x:c r="Y25" s="22" t="str">
        <x:v>https://news.google.com/rss/articles/CBMivwFBVV95cUxNMTUxdEVGYldrRk41aFFmM01XVjBPV0dkQVFnOGJ3Q0ZWSXBwa0VCTFJCNktNZS01M3RYclJWVFNOX0NpWjFVeTJheldxSXJWWlA3RDlIN3MwTDY4b1MxOTRDaFgwZ21hYi10NzlNcndNbEVSOUg5alBYZWtySTJ5NkVmY2N0ZzhRZUpMSG9PUFdIWEU1Yk9wbTA2V195UUQ1QUVhNGVVcWNfSFRld2NaY3JQS0NMbmtiYk1LRm9za9IBvwFBVV95cUxNMTUxdEVGYldrRk41aFFmM01XVjBPV0dkQVFnOGJ3Q0ZWSXBwa0VCTFJCNktNZS01M3RYclJWVFNOX0NpWjFVeTJheldxSXJWWlA3RDlIN3MwTDY4b1MxOTRDaFgwZ21hYi10NzlNcndNbEVSOUg5alBYZWtySTJ5NkVmY2N0ZzhRZUpMSG9PUFdIWEU1Yk9wbTA2V195UUQ1QUVhNGVVcWNfSFRld2NaY3JQS0NMbmtiYk1LRm9zaw?oc=5</x:v>
      </x:c>
      <x:c r="Z25" s="18" t="n">
        <x:v>46273.59542824074</x:v>
      </x:c>
      <x:c r="AA25" s="18" t="n">
        <x:v>46275.38862103009</x:v>
      </x:c>
      <x:c r="AB25" s="18" t="str">
        <x:v>public_rss</x:v>
      </x:c>
      <x:c r="AC25" s="18" t="str">
        <x:v>READY</x:v>
      </x:c>
    </x:row>
    <x:row r="26">
      <x:c r="A26" s="18" t="str">
        <x:v>NYT-42-cc55e571739d0c3e</x:v>
      </x:c>
      <x:c r="B26" s="18" t="str">
        <x:v>Supreme Court Allows Appeal by State Transport Corporation Against Consumer Forum's Motor Accident Compensation Award. National Consumer Disputes Redressal Commission Lacks Jurisdiction Over Fatal Motor Vehicle Accident Claims Under Consum - Lawtext</x:v>
      </x:c>
      <x:c r="C26" s="18" t="str">
        <x:v>2026-09-09</x:v>
      </x:c>
      <x:c r="D26" s="18" t="n">
        <x:v>2026</x:v>
      </x:c>
      <x:c r="E26" s="18" t="str">
        <x:v>2026-09</x:v>
      </x:c>
      <x:c r="F26" s="18" t="str"/>
      <x:c r="G26" s="18" t="str">
        <x:v>"Central Administrative Tribunal" OR "National Consumer Disputes Redressal Commission"</x:v>
      </x:c>
      <x:c r="H26" s="18" t="str"/>
      <x:c r="I26" s="18" t="str">
        <x:v>Lawtext</x:v>
      </x:c>
      <x:c r="J26" s="20" t="str"/>
      <x:c r="K26" s="18" t="str"/>
      <x:c r="L26" s="18" t="str">
        <x:v>Supreme Court Allows Appeal by State Transport Corporation Against Consumer Forum's Motor Accident Compensation Award. National Consumer Disputes Redressal Commission Lacks Jurisdiction Over Fatal Motor Vehicle Accident Claims Under Consum - Lawtext</x:v>
      </x:c>
      <x:c r="M26" s="18" t="str">
        <x:v>Lawtext</x:v>
      </x:c>
      <x:c r="N26" s="18" t="str">
        <x:v>"Central Administrative Tribunal" OR "National Consumer Disputes Redressal Commission"</x:v>
      </x:c>
      <x:c r="O26" s="18" t="n">
        <x:v>46274.61875</x:v>
      </x:c>
      <x:c r="P26" s="18" t="str">
        <x:v>https://lawtext.in</x:v>
      </x:c>
      <x:c r="Q26" s="18" t="str">
        <x:v>DEFINED_TERMINAL_OR_FEED_SCOPE</x:v>
      </x:c>
      <x:c r="R26" s="18" t="str">
        <x:v>news_cat_ncdrc_14d.json — published records loaded</x:v>
      </x:c>
      <x:c r="S26" s="18" t="str"/>
      <x:c r="T26" s="18" t="str"/>
      <x:c r="U26" s="20" t="n">
        <x:v>35</x:v>
      </x:c>
      <x:c r="V26" s="19" t="n">
        <x:f>IFERROR(TODAY()-DATEVALUE(C26),"")</x:f>
        <x:v>1</x:v>
      </x:c>
      <x:c r="W26" s="21" t="n">
        <x:f>ROUND(COUNTA(A26:K26)/11*100,0)</x:f>
        <x:v>100</x:v>
      </x:c>
      <x:c r="X26" s="18" t="str">
        <x:v>Google News RSS</x:v>
      </x:c>
      <x:c r="Y26" s="22" t="str">
        <x:v>https://news.google.com/rss/articles/CBMiZkFVX3lxTE5US21PRXl3ZXNRdU9mdzlyd0NsSnFHc2RhZHFBdUpkM0RBZzJqNno3MFZJNzROT2FkY0RkdUttU2ZCc3pGaUpIeTgxVzJFWFFqeEdnd201dTdIS1RaMmtYblFTV3VzUQ?oc=5</x:v>
      </x:c>
      <x:c r="Z26" s="18" t="n">
        <x:v>46274.61875</x:v>
      </x:c>
      <x:c r="AA26" s="18" t="n">
        <x:v>46275.38862103009</x:v>
      </x:c>
      <x:c r="AB26" s="18" t="str">
        <x:v>public_rss</x:v>
      </x:c>
      <x:c r="AC26" s="18" t="str">
        <x:v>READY</x:v>
      </x:c>
    </x:row>
    <x:row r="27">
      <x:c r="A27" s="18" t="str">
        <x:v>NYT-42-fe4af596c85c713a</x:v>
      </x:c>
      <x:c r="B27" s="18" t="str">
        <x:v>Supreme Court Allows Union of India's Appeal and Dismisses IPS Officer's Application Challenging Cadre Allocation. Principles of Cadre Allocation for Reserved Candidates Upheld Under Rule 5(2) of Cadre Rules. - Lawtext</x:v>
      </x:c>
      <x:c r="C27" s="18" t="str">
        <x:v>2026-09-05</x:v>
      </x:c>
      <x:c r="D27" s="18" t="n">
        <x:v>2026</x:v>
      </x:c>
      <x:c r="E27" s="18" t="str">
        <x:v>2026-09</x:v>
      </x:c>
      <x:c r="F27" s="18" t="str"/>
      <x:c r="G27" s="18" t="str">
        <x:v>"Central Administrative Tribunal" OR "National Consumer Disputes Redressal Commission"</x:v>
      </x:c>
      <x:c r="H27" s="18" t="str"/>
      <x:c r="I27" s="18" t="str">
        <x:v>Lawtext</x:v>
      </x:c>
      <x:c r="J27" s="20" t="str"/>
      <x:c r="K27" s="18" t="str"/>
      <x:c r="L27" s="18" t="str">
        <x:v>Supreme Court Allows Union of India's Appeal and Dismisses IPS Officer's Application Challenging Cadre Allocation. Principles of Cadre Allocation for Reserved Candidates Upheld Under Rule 5(2) of Cadre Rules. - Lawtext</x:v>
      </x:c>
      <x:c r="M27" s="18" t="str">
        <x:v>Lawtext</x:v>
      </x:c>
      <x:c r="N27" s="18" t="str">
        <x:v>"Central Administrative Tribunal" OR "National Consumer Disputes Redressal Commission"</x:v>
      </x:c>
      <x:c r="O27" s="18" t="n">
        <x:v>46270.46465277778</x:v>
      </x:c>
      <x:c r="P27" s="18" t="str">
        <x:v>https://lawtext.in</x:v>
      </x:c>
      <x:c r="Q27" s="18" t="str">
        <x:v>DEFINED_TERMINAL_OR_FEED_SCOPE</x:v>
      </x:c>
      <x:c r="R27" s="18" t="str">
        <x:v>news_cat_ncdrc_14d.json — published records loaded</x:v>
      </x:c>
      <x:c r="S27" s="18" t="str"/>
      <x:c r="T27" s="18" t="str"/>
      <x:c r="U27" s="20" t="n">
        <x:v>35</x:v>
      </x:c>
      <x:c r="V27" s="19" t="n">
        <x:f>IFERROR(TODAY()-DATEVALUE(C27),"")</x:f>
        <x:v>5</x:v>
      </x:c>
      <x:c r="W27" s="21" t="n">
        <x:f>ROUND(COUNTA(A27:K27)/11*100,0)</x:f>
        <x:v>100</x:v>
      </x:c>
      <x:c r="X27" s="18" t="str">
        <x:v>Google News RSS</x:v>
      </x:c>
      <x:c r="Y27" s="22" t="str">
        <x:v>https://news.google.com/rss/articles/CBMiZkFVX3lxTE40TTJuNEo0VVI4ZkgtcnBnNVRaS1ZHMDZTTF9ua255M2pWTkNxVElLSVhfYkxDU1JscllMbXZEOTJTUUlBRkZGNU9QOHF0WXA3Z1p6SlNMaV9IVnJqTVdZckRQME5MUQ?oc=5</x:v>
      </x:c>
      <x:c r="Z27" s="18" t="n">
        <x:v>46270.46465277778</x:v>
      </x:c>
      <x:c r="AA27" s="18" t="n">
        <x:v>46275.38862103009</x:v>
      </x:c>
      <x:c r="AB27" s="18" t="str">
        <x:v>public_rss</x:v>
      </x:c>
      <x:c r="AC27" s="18" t="str">
        <x:v>READY</x:v>
      </x:c>
    </x:row>
    <x:row r="28">
      <x:c r="A28" s="18" t="str">
        <x:v>NYT-42-2efcfabf4b801cd6</x:v>
      </x:c>
      <x:c r="B28" s="18" t="str">
        <x:v>Gujarat High Court Upholds Tribunal's Order for Pay Fixation Based on Last Drawn Pay for Regularized Employees — Denies Seniority and Service Benefits from Earlier Date. The court held that while pay must be fixed protecting last drawn pay immediately b - Lawtext</x:v>
      </x:c>
      <x:c r="C28" s="18" t="str">
        <x:v>2026-09-03</x:v>
      </x:c>
      <x:c r="D28" s="18" t="n">
        <x:v>2026</x:v>
      </x:c>
      <x:c r="E28" s="18" t="str">
        <x:v>2026-09</x:v>
      </x:c>
      <x:c r="F28" s="18" t="str"/>
      <x:c r="G28" s="18" t="str">
        <x:v>"Central Administrative Tribunal" OR "National Consumer Disputes Redressal Commission"</x:v>
      </x:c>
      <x:c r="H28" s="18" t="str"/>
      <x:c r="I28" s="18" t="str">
        <x:v>Lawtext</x:v>
      </x:c>
      <x:c r="J28" s="20" t="str"/>
      <x:c r="K28" s="18" t="str"/>
      <x:c r="L28" s="18" t="str">
        <x:v>Gujarat High Court Upholds Tribunal's Order for Pay Fixation Based on Last Drawn Pay for Regularized Employees — Denies Seniority and Service Benefits from Earlier Date. The court held that while pay must be fixed protecting last drawn pay immediately b - Lawtext</x:v>
      </x:c>
      <x:c r="M28" s="18" t="str">
        <x:v>Lawtext</x:v>
      </x:c>
      <x:c r="N28" s="18" t="str">
        <x:v>"Central Administrative Tribunal" OR "National Consumer Disputes Redressal Commission"</x:v>
      </x:c>
      <x:c r="O28" s="18" t="n">
        <x:v>46268.048171296294</x:v>
      </x:c>
      <x:c r="P28" s="18" t="str">
        <x:v>https://lawtext.in</x:v>
      </x:c>
      <x:c r="Q28" s="18" t="str">
        <x:v>DEFINED_TERMINAL_OR_FEED_SCOPE</x:v>
      </x:c>
      <x:c r="R28" s="18" t="str">
        <x:v>news_cat_ncdrc_14d.json — published records loaded</x:v>
      </x:c>
      <x:c r="S28" s="18" t="str"/>
      <x:c r="T28" s="18" t="str"/>
      <x:c r="U28" s="20" t="n">
        <x:v>35</x:v>
      </x:c>
      <x:c r="V28" s="19" t="n">
        <x:f>IFERROR(TODAY()-DATEVALUE(C28),"")</x:f>
        <x:v>7</x:v>
      </x:c>
      <x:c r="W28" s="21" t="n">
        <x:f>ROUND(COUNTA(A28:K28)/11*100,0)</x:f>
        <x:v>100</x:v>
      </x:c>
      <x:c r="X28" s="18" t="str">
        <x:v>Google News RSS</x:v>
      </x:c>
      <x:c r="Y28" s="22" t="str">
        <x:v>https://news.google.com/rss/articles/CBMiZkFVX3lxTE01ZzFDS0hjQzVzbFo3MDRLeUdFWGNZRGlicUlVakJaQmE1b3B0dUxCdnhpTzEwTmg3UFVVMFR2MTBCeldVVmxPcFpvU0ZTVjktT25vUlBIb3h1Ti05UkV2YTZDZE9Sdw?oc=5</x:v>
      </x:c>
      <x:c r="Z28" s="18" t="n">
        <x:v>46268.048171296294</x:v>
      </x:c>
      <x:c r="AA28" s="18" t="n">
        <x:v>46275.38862103009</x:v>
      </x:c>
      <x:c r="AB28" s="18" t="str">
        <x:v>public_rss</x:v>
      </x:c>
      <x:c r="AC28" s="18" t="str">
        <x:v>READY</x:v>
      </x:c>
    </x:row>
    <x:row r="29">
      <x:c r="A29" s="18" t="str">
        <x:v>NYT-42-6656d009e11658f5</x:v>
      </x:c>
      <x:c r="B29" s="18" t="str">
        <x:v>Chandigarh: CAT orders common seniority list for UT clerks | Hindustan Times - Hindustan Times</x:v>
      </x:c>
      <x:c r="C29" s="18" t="str">
        <x:v>2026-09-08</x:v>
      </x:c>
      <x:c r="D29" s="18" t="n">
        <x:v>2026</x:v>
      </x:c>
      <x:c r="E29" s="18" t="str">
        <x:v>2026-09</x:v>
      </x:c>
      <x:c r="F29" s="18" t="str"/>
      <x:c r="G29" s="18" t="str">
        <x:v>"Central Administrative Tribunal" OR "National Consumer Disputes Redressal Commission"</x:v>
      </x:c>
      <x:c r="H29" s="18" t="str"/>
      <x:c r="I29" s="18" t="str">
        <x:v>Hindustan Times</x:v>
      </x:c>
      <x:c r="J29" s="20" t="str"/>
      <x:c r="K29" s="18" t="str"/>
      <x:c r="L29" s="18" t="str">
        <x:v>Chandigarh: CAT orders common seniority list for UT clerks | Hindustan Times - Hindustan Times</x:v>
      </x:c>
      <x:c r="M29" s="18" t="str">
        <x:v>Hindustan Times</x:v>
      </x:c>
      <x:c r="N29" s="18" t="str">
        <x:v>"Central Administrative Tribunal" OR "National Consumer Disputes Redressal Commission"</x:v>
      </x:c>
      <x:c r="O29" s="18" t="n">
        <x:v>46273.100810185184</x:v>
      </x:c>
      <x:c r="P29" s="18" t="str">
        <x:v>https://www.hindustantimes.com</x:v>
      </x:c>
      <x:c r="Q29" s="18" t="str">
        <x:v>DEFINED_TERMINAL_OR_FEED_SCOPE</x:v>
      </x:c>
      <x:c r="R29" s="18" t="str">
        <x:v>news_cat_ncdrc_14d.json — published records loaded</x:v>
      </x:c>
      <x:c r="S29" s="18" t="str"/>
      <x:c r="T29" s="18" t="str"/>
      <x:c r="U29" s="20" t="n">
        <x:v>35</x:v>
      </x:c>
      <x:c r="V29" s="19" t="n">
        <x:f>IFERROR(TODAY()-DATEVALUE(C29),"")</x:f>
        <x:v>2</x:v>
      </x:c>
      <x:c r="W29" s="21" t="n">
        <x:f>ROUND(COUNTA(A29:K29)/11*100,0)</x:f>
        <x:v>100</x:v>
      </x:c>
      <x:c r="X29" s="18" t="str">
        <x:v>Google News RSS</x:v>
      </x:c>
      <x:c r="Y29" s="22" t="str">
        <x:v>https://news.google.com/rss/articles/CBMi0gFBVV95cUxQd0VSZFNpdmhLTVVUd2pBNzhDYWNkWVF2QS1CcVlvUWE2WnZPcVlzXzUtX1hoc3lyZ2tmMmN0UkRGNzlULVVfNGoyQjdWcmM4S3phTVZMNXROXzJkSVpva0xTRjY5a1FHSl9OU244Q0ZnRWRhUkR3cE4wbThXUVpIZHpPRHRFVVZPTXF5bzVpc3Uta1FCa0Z0T2dWSzc0OS15ZnFoOC1oeEVRVS1CQ2xMMUtaRjYtR2ppZTg1SFFaY1Z4RE1XVlktdzhxNy0xbjFoT0HSAdIBQVVfeXFMUHdFUmRTaXZoS01VVHdqQTc4Q2FjZFlRdkEtQnFZb1FhNlp2T3FZc181LV9YaHN5cmdrZjJjdFJERjc5VC1VXzRqMkI3VnJjOEt6YU1WTDV0Tl8yZElab2tMU0Y2OWtRR0pfTlNuOENGZ0VkYVJEd3BOMG04V1FaSGR6T0R0RVVWT01xeW81aXN1LWtRQmtGdE9nVks3NDkteWZxaDgtaHhFUVUtQkNsTDFLWkY2LUdqaWU4NUhRWmNWeERNV1ZZLXc4cTctMW4xaE9B?oc=5</x:v>
      </x:c>
      <x:c r="Z29" s="18" t="n">
        <x:v>46273.100810185184</x:v>
      </x:c>
      <x:c r="AA29" s="18" t="n">
        <x:v>46275.38862103009</x:v>
      </x:c>
      <x:c r="AB29" s="18" t="str">
        <x:v>public_rss</x:v>
      </x:c>
      <x:c r="AC29" s="18" t="str">
        <x:v>READY</x:v>
      </x:c>
    </x:row>
    <x:row r="30">
      <x:c r="A30" s="18" t="str">
        <x:v>NYT-42-21d3e26956233b1a</x:v>
      </x:c>
      <x:c r="B30" s="18" t="str">
        <x:v>Allahabad High Court: Directs CAT to Expedite Amitabh Thakur Compulsory Retirement - Wansom AI</x:v>
      </x:c>
      <x:c r="C30" s="18" t="str">
        <x:v>2026-09-09</x:v>
      </x:c>
      <x:c r="D30" s="18" t="n">
        <x:v>2026</x:v>
      </x:c>
      <x:c r="E30" s="18" t="str">
        <x:v>2026-09</x:v>
      </x:c>
      <x:c r="F30" s="18" t="str"/>
      <x:c r="G30" s="18" t="str">
        <x:v>"Central Administrative Tribunal" OR "National Consumer Disputes Redressal Commission"</x:v>
      </x:c>
      <x:c r="H30" s="18" t="str"/>
      <x:c r="I30" s="18" t="str">
        <x:v>Wansom AI</x:v>
      </x:c>
      <x:c r="J30" s="20" t="str"/>
      <x:c r="K30" s="18" t="str"/>
      <x:c r="L30" s="18" t="str">
        <x:v>Allahabad High Court: Directs CAT to Expedite Amitabh Thakur Compulsory Retirement - Wansom AI</x:v>
      </x:c>
      <x:c r="M30" s="18" t="str">
        <x:v>Wansom AI</x:v>
      </x:c>
      <x:c r="N30" s="18" t="str">
        <x:v>"Central Administrative Tribunal" OR "National Consumer Disputes Redressal Commission"</x:v>
      </x:c>
      <x:c r="O30" s="18" t="n">
        <x:v>46274.47960648148</x:v>
      </x:c>
      <x:c r="P30" s="18" t="str">
        <x:v>https://www.wansom.ai</x:v>
      </x:c>
      <x:c r="Q30" s="18" t="str">
        <x:v>DEFINED_TERMINAL_OR_FEED_SCOPE</x:v>
      </x:c>
      <x:c r="R30" s="18" t="str">
        <x:v>news_cat_ncdrc_14d.json — published records loaded</x:v>
      </x:c>
      <x:c r="S30" s="18" t="str"/>
      <x:c r="T30" s="18" t="str"/>
      <x:c r="U30" s="20" t="n">
        <x:v>35</x:v>
      </x:c>
      <x:c r="V30" s="19" t="n">
        <x:f>IFERROR(TODAY()-DATEVALUE(C30),"")</x:f>
        <x:v>1</x:v>
      </x:c>
      <x:c r="W30" s="21" t="n">
        <x:f>ROUND(COUNTA(A30:K30)/11*100,0)</x:f>
        <x:v>100</x:v>
      </x:c>
      <x:c r="X30" s="18" t="str">
        <x:v>Google News RSS</x:v>
      </x:c>
      <x:c r="Y30" s="22" t="str">
        <x:v>https://news.google.com/rss/articles/CBMiyAFBVV95cUxQOUQ1Mjl4Rk5PT0NsWWF6NjhRZEJWSlZfY1lHYlc0SlU4aE1tTnFfNzJ5MWttZ1gzMVA5UXpkd1hJV0k3TmtjOXZsMkx5ZGNVdXY2Ymd3UTV4cDdNdnIydTA0QlU4YkE3MENybHItWG5KV2pQU1hNVE5iRWZTOE9HY3l5SFBoeHhGdW1yTjh0R0EyeEdsWHhvMzN6VjhmQmFJRVAtRGpwa3hRbmwxR21RamwySnEydkRBZktQN194TE5KLVhFNGUteA?oc=5</x:v>
      </x:c>
      <x:c r="Z30" s="18" t="n">
        <x:v>46274.47960648148</x:v>
      </x:c>
      <x:c r="AA30" s="18" t="n">
        <x:v>46275.38862103009</x:v>
      </x:c>
      <x:c r="AB30" s="18" t="str">
        <x:v>public_rss</x:v>
      </x:c>
      <x:c r="AC30" s="18" t="str">
        <x:v>READY</x:v>
      </x:c>
    </x:row>
    <x:row r="31">
      <x:c r="A31" s="18" t="str">
        <x:v>NYT-42-ca86dd943c56d359</x:v>
      </x:c>
      <x:c r="B31" s="18" t="str">
        <x:v>High Court of Karnataka Upholds CAT Order Quashing IAS Selection List for Violation of Recruitment Rules. Selection of officers for IAS by selection method set aside as the Selection Committee failed to consider the Annual Confidential Reports (ACRs) of the - Lawtext</x:v>
      </x:c>
      <x:c r="C31" s="18" t="str">
        <x:v>2026-09-08</x:v>
      </x:c>
      <x:c r="D31" s="18" t="n">
        <x:v>2026</x:v>
      </x:c>
      <x:c r="E31" s="18" t="str">
        <x:v>2026-09</x:v>
      </x:c>
      <x:c r="F31" s="18" t="str"/>
      <x:c r="G31" s="18" t="str">
        <x:v>"Central Administrative Tribunal" OR "National Consumer Disputes Redressal Commission"</x:v>
      </x:c>
      <x:c r="H31" s="18" t="str"/>
      <x:c r="I31" s="18" t="str">
        <x:v>Lawtext</x:v>
      </x:c>
      <x:c r="J31" s="20" t="str"/>
      <x:c r="K31" s="18" t="str"/>
      <x:c r="L31" s="18" t="str">
        <x:v>High Court of Karnataka Upholds CAT Order Quashing IAS Selection List for Violation of Recruitment Rules. Selection of officers for IAS by selection method set aside as the Selection Committee failed to consider the Annual Confidential Reports (ACRs) of the - Lawtext</x:v>
      </x:c>
      <x:c r="M31" s="18" t="str">
        <x:v>Lawtext</x:v>
      </x:c>
      <x:c r="N31" s="18" t="str">
        <x:v>"Central Administrative Tribunal" OR "National Consumer Disputes Redressal Commission"</x:v>
      </x:c>
      <x:c r="O31" s="18" t="n">
        <x:v>46273.18195601852</x:v>
      </x:c>
      <x:c r="P31" s="18" t="str">
        <x:v>https://lawtext.in</x:v>
      </x:c>
      <x:c r="Q31" s="18" t="str">
        <x:v>DEFINED_TERMINAL_OR_FEED_SCOPE</x:v>
      </x:c>
      <x:c r="R31" s="18" t="str">
        <x:v>news_cat_ncdrc_14d.json — published records loaded</x:v>
      </x:c>
      <x:c r="S31" s="18" t="str"/>
      <x:c r="T31" s="18" t="str"/>
      <x:c r="U31" s="20" t="n">
        <x:v>35</x:v>
      </x:c>
      <x:c r="V31" s="19" t="n">
        <x:f>IFERROR(TODAY()-DATEVALUE(C31),"")</x:f>
        <x:v>2</x:v>
      </x:c>
      <x:c r="W31" s="21" t="n">
        <x:f>ROUND(COUNTA(A31:K31)/11*100,0)</x:f>
        <x:v>100</x:v>
      </x:c>
      <x:c r="X31" s="18" t="str">
        <x:v>Google News RSS</x:v>
      </x:c>
      <x:c r="Y31" s="22" t="str">
        <x:v>https://news.google.com/rss/articles/CBMiZkFVX3lxTE1vdzhPOFRRa3BkY3gzYmowZW9xU0p3dVVwRW11andRM3h6b0pBbWVSSFBTeHFVeFloZGxSZnNOTzZHdFhtWm8tTXBqN1c2czg4S1Nzemx4d0tGRE1GclR4Y0ZoTzJYZw?oc=5</x:v>
      </x:c>
      <x:c r="Z31" s="18" t="n">
        <x:v>46273.18195601852</x:v>
      </x:c>
      <x:c r="AA31" s="18" t="n">
        <x:v>46275.38862103009</x:v>
      </x:c>
      <x:c r="AB31" s="18" t="str">
        <x:v>public_rss</x:v>
      </x:c>
      <x:c r="AC31" s="18" t="str">
        <x:v>READY</x:v>
      </x:c>
    </x:row>
    <x:row r="32">
      <x:c r="A32" s="18" t="str">
        <x:v>NYT-42-02b295730457a041</x:v>
      </x:c>
      <x:c r="B32" s="18" t="str">
        <x:v>High Court of Madras Sets Aside CAT Order for Regularization of Co-Terminus Employee Due to Pre-existing Termination. Order of Termination Dated 05.07.2018 Became Final and Unchallenged, Rendering CAT's Direction for Re-examination Infructuous. - Lawtext</x:v>
      </x:c>
      <x:c r="C32" s="18" t="str">
        <x:v>2026-09-02</x:v>
      </x:c>
      <x:c r="D32" s="18" t="n">
        <x:v>2026</x:v>
      </x:c>
      <x:c r="E32" s="18" t="str">
        <x:v>2026-09</x:v>
      </x:c>
      <x:c r="F32" s="18" t="str"/>
      <x:c r="G32" s="18" t="str">
        <x:v>"Central Administrative Tribunal" OR "National Consumer Disputes Redressal Commission"</x:v>
      </x:c>
      <x:c r="H32" s="18" t="str"/>
      <x:c r="I32" s="18" t="str">
        <x:v>Lawtext</x:v>
      </x:c>
      <x:c r="J32" s="20" t="str"/>
      <x:c r="K32" s="18" t="str"/>
      <x:c r="L32" s="18" t="str">
        <x:v>High Court of Madras Sets Aside CAT Order for Regularization of Co-Terminus Employee Due to Pre-existing Termination. Order of Termination Dated 05.07.2018 Became Final and Unchallenged, Rendering CAT's Direction for Re-examination Infructuous. - Lawtext</x:v>
      </x:c>
      <x:c r="M32" s="18" t="str">
        <x:v>Lawtext</x:v>
      </x:c>
      <x:c r="N32" s="18" t="str">
        <x:v>"Central Administrative Tribunal" OR "National Consumer Disputes Redressal Commission"</x:v>
      </x:c>
      <x:c r="O32" s="18" t="n">
        <x:v>46267.78711805555</x:v>
      </x:c>
      <x:c r="P32" s="18" t="str">
        <x:v>https://lawtext.in</x:v>
      </x:c>
      <x:c r="Q32" s="18" t="str">
        <x:v>DEFINED_TERMINAL_OR_FEED_SCOPE</x:v>
      </x:c>
      <x:c r="R32" s="18" t="str">
        <x:v>news_cat_ncdrc_14d.json — published records loaded</x:v>
      </x:c>
      <x:c r="S32" s="18" t="str"/>
      <x:c r="T32" s="18" t="str"/>
      <x:c r="U32" s="20" t="n">
        <x:v>35</x:v>
      </x:c>
      <x:c r="V32" s="19" t="n">
        <x:f>IFERROR(TODAY()-DATEVALUE(C32),"")</x:f>
        <x:v>8</x:v>
      </x:c>
      <x:c r="W32" s="21" t="n">
        <x:f>ROUND(COUNTA(A32:K32)/11*100,0)</x:f>
        <x:v>100</x:v>
      </x:c>
      <x:c r="X32" s="18" t="str">
        <x:v>Google News RSS</x:v>
      </x:c>
      <x:c r="Y32" s="22" t="str">
        <x:v>https://news.google.com/rss/articles/CBMiZkFVX3lxTE94YkNMSzBYZjNLTFBzX3Z1ZnNoci1Hb0ZXT1ZpcHJaN1dqUG1sLUVhVExibGxFTlhqWlhhUE8yM2lZcnNaQWlKczR5ZzloRW5LOUYwazF5Z2pnb2FWZlJ5UE0zQUpFQQ?oc=5</x:v>
      </x:c>
      <x:c r="Z32" s="18" t="n">
        <x:v>46267.78711805555</x:v>
      </x:c>
      <x:c r="AA32" s="18" t="n">
        <x:v>46275.38862103009</x:v>
      </x:c>
      <x:c r="AB32" s="18" t="str">
        <x:v>public_rss</x:v>
      </x:c>
      <x:c r="AC32" s="18" t="str">
        <x:v>READY</x:v>
      </x:c>
    </x:row>
    <x:row r="33">
      <x:c r="A33" s="18" t="str">
        <x:v>NYT-42-3b0369ed9aa9dee8</x:v>
      </x:c>
      <x:c r="B33" s="18" t="str">
        <x:v>Bombay High Court Dismisses Petitions Challenging CAT Order Quashing Seniority List. Seniority of Direct Recruit Inspectors Cannot Be Antedated Over Promotees Without Following DoPT OM and Recruitment Rules. - Lawtext</x:v>
      </x:c>
      <x:c r="C33" s="18" t="str">
        <x:v>2026-09-04</x:v>
      </x:c>
      <x:c r="D33" s="18" t="n">
        <x:v>2026</x:v>
      </x:c>
      <x:c r="E33" s="18" t="str">
        <x:v>2026-09</x:v>
      </x:c>
      <x:c r="F33" s="18" t="str"/>
      <x:c r="G33" s="18" t="str">
        <x:v>"Central Administrative Tribunal" OR "National Consumer Disputes Redressal Commission"</x:v>
      </x:c>
      <x:c r="H33" s="18" t="str"/>
      <x:c r="I33" s="18" t="str">
        <x:v>Lawtext</x:v>
      </x:c>
      <x:c r="J33" s="20" t="str"/>
      <x:c r="K33" s="18" t="str"/>
      <x:c r="L33" s="18" t="str">
        <x:v>Bombay High Court Dismisses Petitions Challenging CAT Order Quashing Seniority List. Seniority of Direct Recruit Inspectors Cannot Be Antedated Over Promotees Without Following DoPT OM and Recruitment Rules. - Lawtext</x:v>
      </x:c>
      <x:c r="M33" s="18" t="str">
        <x:v>Lawtext</x:v>
      </x:c>
      <x:c r="N33" s="18" t="str">
        <x:v>"Central Administrative Tribunal" OR "National Consumer Disputes Redressal Commission"</x:v>
      </x:c>
      <x:c r="O33" s="18" t="n">
        <x:v>46269.25048611111</x:v>
      </x:c>
      <x:c r="P33" s="18" t="str">
        <x:v>https://lawtext.in</x:v>
      </x:c>
      <x:c r="Q33" s="18" t="str">
        <x:v>DEFINED_TERMINAL_OR_FEED_SCOPE</x:v>
      </x:c>
      <x:c r="R33" s="18" t="str">
        <x:v>news_cat_ncdrc_14d.json — published records loaded</x:v>
      </x:c>
      <x:c r="S33" s="18" t="str"/>
      <x:c r="T33" s="18" t="str"/>
      <x:c r="U33" s="20" t="n">
        <x:v>35</x:v>
      </x:c>
      <x:c r="V33" s="19" t="n">
        <x:f>IFERROR(TODAY()-DATEVALUE(C33),"")</x:f>
        <x:v>6</x:v>
      </x:c>
      <x:c r="W33" s="21" t="n">
        <x:f>ROUND(COUNTA(A33:K33)/11*100,0)</x:f>
        <x:v>100</x:v>
      </x:c>
      <x:c r="X33" s="18" t="str">
        <x:v>Google News RSS</x:v>
      </x:c>
      <x:c r="Y33" s="22" t="str">
        <x:v>https://news.google.com/rss/articles/CBMiZkFVX3lxTFBISE1Eclp2VmJkRDhzOG9EdjJPYXVUZG9LMUcxbW1NX09YeVE4VXJkclFmMU9Rck5sejZwMHdsci02anMzeWZsNEVaLU9SSXRmeTduQ1dwVThKYnBBVWl1TVVNUWI5QQ?oc=5</x:v>
      </x:c>
      <x:c r="Z33" s="18" t="n">
        <x:v>46269.25048611111</x:v>
      </x:c>
      <x:c r="AA33" s="18" t="n">
        <x:v>46275.38862103009</x:v>
      </x:c>
      <x:c r="AB33" s="18" t="str">
        <x:v>public_rss</x:v>
      </x:c>
      <x:c r="AC33" s="18" t="str">
        <x:v>READY</x:v>
      </x:c>
    </x:row>
    <x:row r="34">
      <x:c r="A34" s="18" t="str">
        <x:v>NYT-42-d3cde69976cb1658</x:v>
      </x:c>
      <x:c r="B34" s="18" t="str">
        <x:v>Bombay High Court Dismisses Petition Challenging Removal from Service for Unauthorized Absence — Upholds Disciplinary Authority's Findings. The Court held that the penalty of removal from service for unauthorized absence of 81 days was proportionate - Lawtext</x:v>
      </x:c>
      <x:c r="C34" s="18" t="str">
        <x:v>2026-09-03</x:v>
      </x:c>
      <x:c r="D34" s="18" t="n">
        <x:v>2026</x:v>
      </x:c>
      <x:c r="E34" s="18" t="str">
        <x:v>2026-09</x:v>
      </x:c>
      <x:c r="F34" s="18" t="str"/>
      <x:c r="G34" s="18" t="str">
        <x:v>"Central Administrative Tribunal" OR "National Consumer Disputes Redressal Commission"</x:v>
      </x:c>
      <x:c r="H34" s="18" t="str"/>
      <x:c r="I34" s="18" t="str">
        <x:v>Lawtext</x:v>
      </x:c>
      <x:c r="J34" s="20" t="str"/>
      <x:c r="K34" s="18" t="str"/>
      <x:c r="L34" s="18" t="str">
        <x:v>Bombay High Court Dismisses Petition Challenging Removal from Service for Unauthorized Absence — Upholds Disciplinary Authority's Findings. The Court held that the penalty of removal from service for unauthorized absence of 81 days was proportionate - Lawtext</x:v>
      </x:c>
      <x:c r="M34" s="18" t="str">
        <x:v>Lawtext</x:v>
      </x:c>
      <x:c r="N34" s="18" t="str">
        <x:v>"Central Administrative Tribunal" OR "National Consumer Disputes Redressal Commission"</x:v>
      </x:c>
      <x:c r="O34" s="18" t="n">
        <x:v>46268.779178240744</x:v>
      </x:c>
      <x:c r="P34" s="18" t="str">
        <x:v>https://lawtext.in</x:v>
      </x:c>
      <x:c r="Q34" s="18" t="str">
        <x:v>DEFINED_TERMINAL_OR_FEED_SCOPE</x:v>
      </x:c>
      <x:c r="R34" s="18" t="str">
        <x:v>news_cat_ncdrc_14d.json — published records loaded</x:v>
      </x:c>
      <x:c r="S34" s="18" t="str"/>
      <x:c r="T34" s="18" t="str"/>
      <x:c r="U34" s="20" t="n">
        <x:v>35</x:v>
      </x:c>
      <x:c r="V34" s="19" t="n">
        <x:f>IFERROR(TODAY()-DATEVALUE(C34),"")</x:f>
        <x:v>7</x:v>
      </x:c>
      <x:c r="W34" s="21" t="n">
        <x:f>ROUND(COUNTA(A34:K34)/11*100,0)</x:f>
        <x:v>100</x:v>
      </x:c>
      <x:c r="X34" s="18" t="str">
        <x:v>Google News RSS</x:v>
      </x:c>
      <x:c r="Y34" s="22" t="str">
        <x:v>https://news.google.com/rss/articles/CBMiZkFVX3lxTE1tQnI4V1ozNU5BVDQ5NnF4aXEzRjJQWHRlWDlGeVFTX1JBZ1AzSlZyWHUtRHRXUGV4WkxyaWhBdm40VEF3Ym5QZ1Y0LXB3Ymt6TzFOUEgtejR6c2FkcGJYdlJOTWh1Zw?oc=5</x:v>
      </x:c>
      <x:c r="Z34" s="18" t="n">
        <x:v>46268.779178240744</x:v>
      </x:c>
      <x:c r="AA34" s="18" t="n">
        <x:v>46275.38862103009</x:v>
      </x:c>
      <x:c r="AB34" s="18" t="str">
        <x:v>public_rss</x:v>
      </x:c>
      <x:c r="AC34" s="18" t="str">
        <x:v>READY</x:v>
      </x:c>
    </x:row>
    <x:row r="35">
      <x:c r="A35" s="18" t="str">
        <x:v>NYT-42-52a7293187541e1e</x:v>
      </x:c>
      <x:c r="B35" s="18" t="str">
        <x:v>CAT TENURE EXTENSION 62 MEMBERS GRANTED ADDITIONAL YEAR IN OFFICE - IndianMandarins</x:v>
      </x:c>
      <x:c r="C35" s="18" t="str">
        <x:v>2026-09-01</x:v>
      </x:c>
      <x:c r="D35" s="18" t="n">
        <x:v>2026</x:v>
      </x:c>
      <x:c r="E35" s="18" t="str">
        <x:v>2026-09</x:v>
      </x:c>
      <x:c r="F35" s="18" t="str"/>
      <x:c r="G35" s="18" t="str">
        <x:v>"Central Administrative Tribunal" OR "National Consumer Disputes Redressal Commission"</x:v>
      </x:c>
      <x:c r="H35" s="18" t="str"/>
      <x:c r="I35" s="18" t="str">
        <x:v>IndianMandarins</x:v>
      </x:c>
      <x:c r="J35" s="20" t="str"/>
      <x:c r="K35" s="18" t="str"/>
      <x:c r="L35" s="18" t="str">
        <x:v>CAT TENURE EXTENSION 62 MEMBERS GRANTED ADDITIONAL YEAR IN OFFICE - IndianMandarins</x:v>
      </x:c>
      <x:c r="M35" s="18" t="str">
        <x:v>IndianMandarins</x:v>
      </x:c>
      <x:c r="N35" s="18" t="str">
        <x:v>"Central Administrative Tribunal" OR "National Consumer Disputes Redressal Commission"</x:v>
      </x:c>
      <x:c r="O35" s="18" t="n">
        <x:v>46266.41365740741</x:v>
      </x:c>
      <x:c r="P35" s="18" t="str">
        <x:v>https://www.indianmandarins.com</x:v>
      </x:c>
      <x:c r="Q35" s="18" t="str">
        <x:v>DEFINED_TERMINAL_OR_FEED_SCOPE</x:v>
      </x:c>
      <x:c r="R35" s="18" t="str">
        <x:v>news_cat_ncdrc_14d.json — published records loaded</x:v>
      </x:c>
      <x:c r="S35" s="18" t="str"/>
      <x:c r="T35" s="18" t="str"/>
      <x:c r="U35" s="20" t="n">
        <x:v>35</x:v>
      </x:c>
      <x:c r="V35" s="19" t="n">
        <x:f>IFERROR(TODAY()-DATEVALUE(C35),"")</x:f>
        <x:v>9</x:v>
      </x:c>
      <x:c r="W35" s="21" t="n">
        <x:f>ROUND(COUNTA(A35:K35)/11*100,0)</x:f>
        <x:v>100</x:v>
      </x:c>
      <x:c r="X35" s="18" t="str">
        <x:v>Google News RSS</x:v>
      </x:c>
      <x:c r="Y35" s="22" t="str">
        <x:v>https://news.google.com/rss/articles/CBMirAFBVV95cUxQQVR1VXk0NlZRSDdwbVJrM0Rzc3FQZkU4end1WjZDekhPdWdXT3NEQ0pvSFdnTDRLWnJqOHpIV0UxTW12U1VVSHZTTHNEaWV0OVJYRnNNWXFDRlhqbmkwdTdlbDMtaFlhbGJzUXVWZ0RiWWtNcVpmTVdEZ2xBWXpYaHluUkppa0dmRnJXR1FYVnNNaTAzTGw4eThYX2xmc2Q1djlMRk13TzRQTGlS?oc=5</x:v>
      </x:c>
      <x:c r="Z35" s="18" t="n">
        <x:v>46266.41365740741</x:v>
      </x:c>
      <x:c r="AA35" s="18" t="n">
        <x:v>46275.38862103009</x:v>
      </x:c>
      <x:c r="AB35" s="18" t="str">
        <x:v>public_rss</x:v>
      </x:c>
      <x:c r="AC35" s="18" t="str">
        <x:v>READY</x:v>
      </x:c>
    </x:row>
    <x:row r="36">
      <x:c r="A36" s="18" t="str">
        <x:v>NYT-42-0734b39ed8fc40de</x:v>
      </x:c>
      <x:c r="B36" s="18" t="str">
        <x:v>CAT Rejects Ex-Karnataka DGP Rao Plea: Disciplinary Inquiry Proceeds - Wansom AI</x:v>
      </x:c>
      <x:c r="C36" s="18" t="str">
        <x:v>2026-08-31</x:v>
      </x:c>
      <x:c r="D36" s="18" t="n">
        <x:v>2026</x:v>
      </x:c>
      <x:c r="E36" s="18" t="str">
        <x:v>2026-08</x:v>
      </x:c>
      <x:c r="F36" s="18" t="str"/>
      <x:c r="G36" s="18" t="str">
        <x:v>"Central Administrative Tribunal" OR "National Consumer Disputes Redressal Commission"</x:v>
      </x:c>
      <x:c r="H36" s="18" t="str"/>
      <x:c r="I36" s="18" t="str">
        <x:v>Wansom AI</x:v>
      </x:c>
      <x:c r="J36" s="20" t="str"/>
      <x:c r="K36" s="18" t="str"/>
      <x:c r="L36" s="18" t="str">
        <x:v>CAT Rejects Ex-Karnataka DGP Rao Plea: Disciplinary Inquiry Proceeds - Wansom AI</x:v>
      </x:c>
      <x:c r="M36" s="18" t="str">
        <x:v>Wansom AI</x:v>
      </x:c>
      <x:c r="N36" s="18" t="str">
        <x:v>"Central Administrative Tribunal" OR "National Consumer Disputes Redressal Commission"</x:v>
      </x:c>
      <x:c r="O36" s="18" t="n">
        <x:v>46265.3656712963</x:v>
      </x:c>
      <x:c r="P36" s="18" t="str">
        <x:v>https://www.wansom.ai</x:v>
      </x:c>
      <x:c r="Q36" s="18" t="str">
        <x:v>DEFINED_TERMINAL_OR_FEED_SCOPE</x:v>
      </x:c>
      <x:c r="R36" s="18" t="str">
        <x:v>news_cat_ncdrc_14d.json — published records loaded</x:v>
      </x:c>
      <x:c r="S36" s="18" t="str"/>
      <x:c r="T36" s="18" t="str"/>
      <x:c r="U36" s="20" t="n">
        <x:v>35</x:v>
      </x:c>
      <x:c r="V36" s="19" t="n">
        <x:f>IFERROR(TODAY()-DATEVALUE(C36),"")</x:f>
        <x:v>10</x:v>
      </x:c>
      <x:c r="W36" s="21" t="n">
        <x:f>ROUND(COUNTA(A36:K36)/11*100,0)</x:f>
        <x:v>100</x:v>
      </x:c>
      <x:c r="X36" s="18" t="str">
        <x:v>Google News RSS</x:v>
      </x:c>
      <x:c r="Y36" s="22" t="str">
        <x:v>https://news.google.com/rss/articles/CBMiwAFBVV95cUxQTDBRUEctMmJvMmhEaGk5c20xa0NlenZIaXR2YzFJM0l1U1A0MGlYMElzQ0ZhdUQ5eEk2MWx5R0o0MjBvRDZyTElncnU1bHJ0Q2ZQTURPaEhPdE1RU0tZb0tNd052VnpwSDNoa2N3MXM1VWZuM25kQWo1UjM1V3QxUzl1ZzZYTmhCRk9waWtZNV9yekU0bUUteVpiRE44N3NyRDI2bTlZbG04aXlla01BS3VZaUVOUnJXOV9SWlBPTzQ?oc=5</x:v>
      </x:c>
      <x:c r="Z36" s="18" t="n">
        <x:v>46265.3656712963</x:v>
      </x:c>
      <x:c r="AA36" s="18" t="n">
        <x:v>46275.38862103009</x:v>
      </x:c>
      <x:c r="AB36" s="18" t="str">
        <x:v>public_rss</x:v>
      </x:c>
      <x:c r="AC36" s="18" t="str">
        <x:v>READY</x:v>
      </x:c>
    </x:row>
    <x:row r="37">
      <x:c r="A37" s="18" t="str">
        <x:v>NYT-42-18cf7009960fd447</x:v>
      </x:c>
      <x:c r="B37" s="18" t="str">
        <x:v>Pradyumna Bal Birth Anniversary Celebrations from Nov 6-8; Retd Justice Manoranjan Mohanty Named Committee Chairman - Pragativadi</x:v>
      </x:c>
      <x:c r="C37" s="18" t="str">
        <x:v>2026-09-08</x:v>
      </x:c>
      <x:c r="D37" s="18" t="n">
        <x:v>2026</x:v>
      </x:c>
      <x:c r="E37" s="18" t="str">
        <x:v>2026-09</x:v>
      </x:c>
      <x:c r="F37" s="18" t="str"/>
      <x:c r="G37" s="18" t="str">
        <x:v>"Central Administrative Tribunal" OR "National Consumer Disputes Redressal Commission"</x:v>
      </x:c>
      <x:c r="H37" s="18" t="str"/>
      <x:c r="I37" s="18" t="str">
        <x:v>Pragativadi</x:v>
      </x:c>
      <x:c r="J37" s="20" t="str"/>
      <x:c r="K37" s="18" t="str"/>
      <x:c r="L37" s="18" t="str">
        <x:v>Pradyumna Bal Birth Anniversary Celebrations from Nov 6-8; Retd Justice Manoranjan Mohanty Named Committee Chairman - Pragativadi</x:v>
      </x:c>
      <x:c r="M37" s="18" t="str">
        <x:v>Pragativadi</x:v>
      </x:c>
      <x:c r="N37" s="18" t="str">
        <x:v>"Central Administrative Tribunal" OR "National Consumer Disputes Redressal Commission"</x:v>
      </x:c>
      <x:c r="O37" s="18" t="n">
        <x:v>46273.61635416667</x:v>
      </x:c>
      <x:c r="P37" s="18" t="str">
        <x:v>https://pragativadi.com</x:v>
      </x:c>
      <x:c r="Q37" s="18" t="str">
        <x:v>DEFINED_TERMINAL_OR_FEED_SCOPE</x:v>
      </x:c>
      <x:c r="R37" s="18" t="str">
        <x:v>news_cat_ncdrc_14d.json — published records loaded</x:v>
      </x:c>
      <x:c r="S37" s="18" t="str"/>
      <x:c r="T37" s="18" t="str"/>
      <x:c r="U37" s="20" t="n">
        <x:v>35</x:v>
      </x:c>
      <x:c r="V37" s="19" t="n">
        <x:f>IFERROR(TODAY()-DATEVALUE(C37),"")</x:f>
        <x:v>2</x:v>
      </x:c>
      <x:c r="W37" s="21" t="n">
        <x:f>ROUND(COUNTA(A37:K37)/11*100,0)</x:f>
        <x:v>100</x:v>
      </x:c>
      <x:c r="X37" s="18" t="str">
        <x:v>Google News RSS</x:v>
      </x:c>
      <x:c r="Y37" s="22" t="str">
        <x:v>https://news.google.com/rss/articles/CBMi1gFBVV95cUxQX0llRXUyRV8wZTVJOWd2Um54ay04aG9BbE9aLWtmZmhPU1U3c3VyUzVlZjk2NjNPQXJHV1oyQWlldlctZjhVRkpTZzRoaG9OOWpuVzhNZFFPRFl6eFlEOWNyczVGNkN4R0owNTRDN3dCdHZqUld0SFFjb25XN1hCRzl3eDFCU0FhcTk5R0FGdG04QW5nTF9DSW5kZnlJcXo0NUxFckszVGN6bnUzS0xhdllRR1lLS1p5ZzJfaGtlMFRicnF0SGE5YWtia2lzbzBmdk1Wb2dR?oc=5</x:v>
      </x:c>
      <x:c r="Z37" s="18" t="n">
        <x:v>46273.61635416667</x:v>
      </x:c>
      <x:c r="AA37" s="18" t="n">
        <x:v>46275.38862103009</x:v>
      </x:c>
      <x:c r="AB37" s="18" t="str">
        <x:v>public_rss</x:v>
      </x:c>
      <x:c r="AC37" s="18" t="str">
        <x:v>READY</x:v>
      </x:c>
    </x:row>
    <x:row r="38">
      <x:c r="A38" s="18" t="str">
        <x:v>NYT-42-f8871417f30ac40f</x:v>
      </x:c>
      <x:c r="B38" s="18" t="str">
        <x:v>CAT Principal Bench: Anuj Kumar Keshri Joins as Assistant Section Officer - PSU Connect</x:v>
      </x:c>
      <x:c r="C38" s="18" t="str">
        <x:v>2026-09-04</x:v>
      </x:c>
      <x:c r="D38" s="18" t="n">
        <x:v>2026</x:v>
      </x:c>
      <x:c r="E38" s="18" t="str">
        <x:v>2026-09</x:v>
      </x:c>
      <x:c r="F38" s="18" t="str"/>
      <x:c r="G38" s="18" t="str">
        <x:v>"Central Administrative Tribunal" OR "National Consumer Disputes Redressal Commission"</x:v>
      </x:c>
      <x:c r="H38" s="18" t="str"/>
      <x:c r="I38" s="18" t="str">
        <x:v>PSU Connect</x:v>
      </x:c>
      <x:c r="J38" s="20" t="str"/>
      <x:c r="K38" s="18" t="str"/>
      <x:c r="L38" s="18" t="str">
        <x:v>CAT Principal Bench: Anuj Kumar Keshri Joins as Assistant Section Officer - PSU Connect</x:v>
      </x:c>
      <x:c r="M38" s="18" t="str">
        <x:v>PSU Connect</x:v>
      </x:c>
      <x:c r="N38" s="18" t="str">
        <x:v>"Central Administrative Tribunal" OR "National Consumer Disputes Redressal Commission"</x:v>
      </x:c>
      <x:c r="O38" s="18" t="n">
        <x:v>46269.493055555555</x:v>
      </x:c>
      <x:c r="P38" s="18" t="str">
        <x:v>https://www.psuconnect.in</x:v>
      </x:c>
      <x:c r="Q38" s="18" t="str">
        <x:v>DEFINED_TERMINAL_OR_FEED_SCOPE</x:v>
      </x:c>
      <x:c r="R38" s="18" t="str">
        <x:v>news_cat_ncdrc_14d.json — published records loaded</x:v>
      </x:c>
      <x:c r="S38" s="18" t="str"/>
      <x:c r="T38" s="18" t="str"/>
      <x:c r="U38" s="20" t="n">
        <x:v>35</x:v>
      </x:c>
      <x:c r="V38" s="19" t="n">
        <x:f>IFERROR(TODAY()-DATEVALUE(C38),"")</x:f>
        <x:v>6</x:v>
      </x:c>
      <x:c r="W38" s="21" t="n">
        <x:f>ROUND(COUNTA(A38:K38)/11*100,0)</x:f>
        <x:v>100</x:v>
      </x:c>
      <x:c r="X38" s="18" t="str">
        <x:v>Google News RSS</x:v>
      </x:c>
      <x:c r="Y38" s="22" t="str">
        <x:v>https://news.google.com/rss/articles/CBMipgFBVV95cUxQUVp5VS1weW53RzZCMUpTVlAxNHNtVXN3Wm9PVVFwZVpzNXpHQnZrczR5RTdnQVhUVjRFNFV5cXRMajIxbnk2cmdJOTFDak1KWG83SWVZbXd5NHFJNFAxRk5pVVJHUG1zWlRVWUx3TUhfN3drLVFxM2IzMmkzRHdBb0RWSEhSNUZsa3luc1BPZFJsTXNlamN6TTJLbThUc0hvSXFpUk5R?oc=5</x:v>
      </x:c>
      <x:c r="Z38" s="18" t="n">
        <x:v>46269.493055555555</x:v>
      </x:c>
      <x:c r="AA38" s="18" t="n">
        <x:v>46275.38862103009</x:v>
      </x:c>
      <x:c r="AB38" s="18" t="str">
        <x:v>public_rss</x:v>
      </x:c>
      <x:c r="AC38" s="18" t="str">
        <x:v>READY</x:v>
      </x:c>
    </x:row>
    <x:row r="39">
      <x:c r="A39" s="18" t="str">
        <x:v>NYT-42-90e97fe1acc7b223</x:v>
      </x:c>
      <x:c r="B39" s="18" t="str">
        <x:v>CAT Principal Bench Issues Notice; Cases Adjourned Due to Member Unavailability - PSU Connect</x:v>
      </x:c>
      <x:c r="C39" s="18" t="str">
        <x:v>2026-09-05</x:v>
      </x:c>
      <x:c r="D39" s="18" t="n">
        <x:v>2026</x:v>
      </x:c>
      <x:c r="E39" s="18" t="str">
        <x:v>2026-09</x:v>
      </x:c>
      <x:c r="F39" s="18" t="str"/>
      <x:c r="G39" s="18" t="str">
        <x:v>"Central Administrative Tribunal" OR "National Consumer Disputes Redressal Commission"</x:v>
      </x:c>
      <x:c r="H39" s="18" t="str"/>
      <x:c r="I39" s="18" t="str">
        <x:v>PSU Connect</x:v>
      </x:c>
      <x:c r="J39" s="20" t="str"/>
      <x:c r="K39" s="18" t="str"/>
      <x:c r="L39" s="18" t="str">
        <x:v>CAT Principal Bench Issues Notice; Cases Adjourned Due to Member Unavailability - PSU Connect</x:v>
      </x:c>
      <x:c r="M39" s="18" t="str">
        <x:v>PSU Connect</x:v>
      </x:c>
      <x:c r="N39" s="18" t="str">
        <x:v>"Central Administrative Tribunal" OR "National Consumer Disputes Redressal Commission"</x:v>
      </x:c>
      <x:c r="O39" s="18" t="n">
        <x:v>46270.24097222222</x:v>
      </x:c>
      <x:c r="P39" s="18" t="str">
        <x:v>https://www.psuconnect.in</x:v>
      </x:c>
      <x:c r="Q39" s="18" t="str">
        <x:v>DEFINED_TERMINAL_OR_FEED_SCOPE</x:v>
      </x:c>
      <x:c r="R39" s="18" t="str">
        <x:v>news_cat_ncdrc_14d.json — published records loaded</x:v>
      </x:c>
      <x:c r="S39" s="18" t="str"/>
      <x:c r="T39" s="18" t="str"/>
      <x:c r="U39" s="20" t="n">
        <x:v>35</x:v>
      </x:c>
      <x:c r="V39" s="19" t="n">
        <x:f>IFERROR(TODAY()-DATEVALUE(C39),"")</x:f>
        <x:v>5</x:v>
      </x:c>
      <x:c r="W39" s="21" t="n">
        <x:f>ROUND(COUNTA(A39:K39)/11*100,0)</x:f>
        <x:v>100</x:v>
      </x:c>
      <x:c r="X39" s="18" t="str">
        <x:v>Google News RSS</x:v>
      </x:c>
      <x:c r="Y39" s="22" t="str">
        <x:v>https://news.google.com/rss/articles/CBMirgFBVV95cUxON2hTNDRLMWZSMXdDbWdmQkRtTFFjS2I1T3Ytem9TNVZsM2w3NDkyTWIxalMxOW5nTVJoRERGMTFjbHdMRC1aaWxYMHBSbTNfOHNWMm9uZGFnVGtLeF9jYnN6OFFKTEM1TnRkQnlHOVpnV3ZQVUtFellNN1MtV3dKeFMtTnBkRGx2U3lUYVlMMEF0OHVNOFgzcTlDaFBiN2JOb3F5U25RdlJBS1U1QlE?oc=5</x:v>
      </x:c>
      <x:c r="Z39" s="18" t="n">
        <x:v>46270.24097222222</x:v>
      </x:c>
      <x:c r="AA39" s="18" t="n">
        <x:v>46275.38862103009</x:v>
      </x:c>
      <x:c r="AB39" s="18" t="str">
        <x:v>public_rss</x:v>
      </x:c>
      <x:c r="AC39" s="18" t="str">
        <x:v>READY</x:v>
      </x:c>
    </x:row>
    <x:row r="40">
      <x:c r="A40" s="18" t="str">
        <x:v>NYT-42-d63783e106c8c684</x:v>
      </x:c>
      <x:c r="B40" s="18" t="str">
        <x:v>DoPT Revises CAT Members’ Tenure From 4 to 5 Years or Till 67 | Full List - Indianmasterminds</x:v>
      </x:c>
      <x:c r="C40" s="18" t="str">
        <x:v>2026-09-07</x:v>
      </x:c>
      <x:c r="D40" s="18" t="n">
        <x:v>2026</x:v>
      </x:c>
      <x:c r="E40" s="18" t="str">
        <x:v>2026-09</x:v>
      </x:c>
      <x:c r="F40" s="18" t="str"/>
      <x:c r="G40" s="18" t="str">
        <x:v>"Central Administrative Tribunal" OR "National Consumer Disputes Redressal Commission"</x:v>
      </x:c>
      <x:c r="H40" s="18" t="str"/>
      <x:c r="I40" s="18" t="str">
        <x:v>Indianmasterminds</x:v>
      </x:c>
      <x:c r="J40" s="20" t="str"/>
      <x:c r="K40" s="18" t="str"/>
      <x:c r="L40" s="18" t="str">
        <x:v>DoPT Revises CAT Members’ Tenure From 4 to 5 Years or Till 67 | Full List - Indianmasterminds</x:v>
      </x:c>
      <x:c r="M40" s="18" t="str">
        <x:v>Indianmasterminds</x:v>
      </x:c>
      <x:c r="N40" s="18" t="str">
        <x:v>"Central Administrative Tribunal" OR "National Consumer Disputes Redressal Commission"</x:v>
      </x:c>
      <x:c r="O40" s="18" t="n">
        <x:v>46272.89234953704</x:v>
      </x:c>
      <x:c r="P40" s="18" t="str">
        <x:v>https://indianmasterminds.com</x:v>
      </x:c>
      <x:c r="Q40" s="18" t="str">
        <x:v>DEFINED_TERMINAL_OR_FEED_SCOPE</x:v>
      </x:c>
      <x:c r="R40" s="18" t="str">
        <x:v>news_cat_ncdrc_14d.json — published records loaded</x:v>
      </x:c>
      <x:c r="S40" s="18" t="str"/>
      <x:c r="T40" s="18" t="str"/>
      <x:c r="U40" s="20" t="n">
        <x:v>35</x:v>
      </x:c>
      <x:c r="V40" s="19" t="n">
        <x:f>IFERROR(TODAY()-DATEVALUE(C40),"")</x:f>
        <x:v>3</x:v>
      </x:c>
      <x:c r="W40" s="21" t="n">
        <x:f>ROUND(COUNTA(A40:K40)/11*100,0)</x:f>
        <x:v>100</x:v>
      </x:c>
      <x:c r="X40" s="18" t="str">
        <x:v>Google News RSS</x:v>
      </x:c>
      <x:c r="Y40" s="22" t="str">
        <x:v>https://news.google.com/rss/articles/CBMilwFBVV95cUxQeE9DTXg0RzdzVVV3VkRFV3N4ZFVZaENDOEpSZ1NNMHNjZXFmX2N2aHpkd2RoMFNNR2xCNVNfRmk1TGRaZ1lsRGlsa2xjRkVFSF9RMEw1b04xci1sR2t3blF1Yy1HSHVsSzVzNzYwbXRsV1A5WWxWX3FjcXNrYzY3dVdkNUh1bDY0T3hJQ1dJdmFvMjJpSy1Z?oc=5</x:v>
      </x:c>
      <x:c r="Z40" s="18" t="n">
        <x:v>46272.89234953704</x:v>
      </x:c>
      <x:c r="AA40" s="18" t="n">
        <x:v>46275.38862103009</x:v>
      </x:c>
      <x:c r="AB40" s="18" t="str">
        <x:v>public_rss</x:v>
      </x:c>
      <x:c r="AC40" s="18" t="str">
        <x:v>READY</x:v>
      </x:c>
    </x:row>
    <x:row r="41">
      <x:c r="A41" s="18" t="str">
        <x:v>NYT-42-04c71d5e74dc3203</x:v>
      </x:c>
      <x:c r="B41" s="18" t="str">
        <x:v>CAT Kolkata Bench to Hold Physical Circuit Sitting in Port Blair from September 7 - The Wave Andaman</x:v>
      </x:c>
      <x:c r="C41" s="18" t="str">
        <x:v>2026-09-05</x:v>
      </x:c>
      <x:c r="D41" s="18" t="n">
        <x:v>2026</x:v>
      </x:c>
      <x:c r="E41" s="18" t="str">
        <x:v>2026-09</x:v>
      </x:c>
      <x:c r="F41" s="18" t="str"/>
      <x:c r="G41" s="18" t="str">
        <x:v>"Central Administrative Tribunal" OR "National Consumer Disputes Redressal Commission"</x:v>
      </x:c>
      <x:c r="H41" s="18" t="str"/>
      <x:c r="I41" s="18" t="str">
        <x:v>The Wave Andaman</x:v>
      </x:c>
      <x:c r="J41" s="20" t="str"/>
      <x:c r="K41" s="18" t="str"/>
      <x:c r="L41" s="18" t="str">
        <x:v>CAT Kolkata Bench to Hold Physical Circuit Sitting in Port Blair from September 7 - The Wave Andaman</x:v>
      </x:c>
      <x:c r="M41" s="18" t="str">
        <x:v>The Wave Andaman</x:v>
      </x:c>
      <x:c r="N41" s="18" t="str">
        <x:v>"Central Administrative Tribunal" OR "National Consumer Disputes Redressal Commission"</x:v>
      </x:c>
      <x:c r="O41" s="18" t="n">
        <x:v>46270.1359375</x:v>
      </x:c>
      <x:c r="P41" s="18" t="str">
        <x:v>https://thewaveandaman.com</x:v>
      </x:c>
      <x:c r="Q41" s="18" t="str">
        <x:v>DEFINED_TERMINAL_OR_FEED_SCOPE</x:v>
      </x:c>
      <x:c r="R41" s="18" t="str">
        <x:v>news_cat_ncdrc_14d.json — published records loaded</x:v>
      </x:c>
      <x:c r="S41" s="18" t="str"/>
      <x:c r="T41" s="18" t="str"/>
      <x:c r="U41" s="20" t="n">
        <x:v>35</x:v>
      </x:c>
      <x:c r="V41" s="19" t="n">
        <x:f>IFERROR(TODAY()-DATEVALUE(C41),"")</x:f>
        <x:v>5</x:v>
      </x:c>
      <x:c r="W41" s="21" t="n">
        <x:f>ROUND(COUNTA(A41:K41)/11*100,0)</x:f>
        <x:v>100</x:v>
      </x:c>
      <x:c r="X41" s="18" t="str">
        <x:v>Google News RSS</x:v>
      </x:c>
      <x:c r="Y41" s="22" t="str">
        <x:v>https://news.google.com/rss/articles/CBMifkFVX3lxTE5PaS1QSjBiLVNYd2tqeVVJWXZ2R2hwdFNlRTFhVHRpUWEzU1ZOT3FpQlRReENpWm9FRlRmMmpPTGNtUlVHb3l2cmx0T0h1d00tU09VSGF3d0ZMTVJmWlRZc1JNWFJ4Qy1IX0g2enJVMzYzNmR1MEgxejZLenlhdw?oc=5</x:v>
      </x:c>
      <x:c r="Z41" s="18" t="n">
        <x:v>46270.1359375</x:v>
      </x:c>
      <x:c r="AA41" s="18" t="n">
        <x:v>46275.38862103009</x:v>
      </x:c>
      <x:c r="AB41" s="18" t="str">
        <x:v>public_rss</x:v>
      </x:c>
      <x:c r="AC41" s="18" t="str">
        <x:v>READY</x:v>
      </x:c>
    </x:row>
    <x:row r="42">
      <x:c r="A42" s="18" t="str">
        <x:v>NYT-42-1e1a6e2bb14e49b7</x:v>
      </x:c>
      <x:c r="B42" s="18" t="str">
        <x:v>Pay Arrears Can’t Be Restricted to 3 Years: Karnataka HC Grants Central Tax Officers Benefits From April 2004 - Juris Hour</x:v>
      </x:c>
      <x:c r="C42" s="18" t="str">
        <x:v>2026-08-29</x:v>
      </x:c>
      <x:c r="D42" s="18" t="n">
        <x:v>2026</x:v>
      </x:c>
      <x:c r="E42" s="18" t="str">
        <x:v>2026-08</x:v>
      </x:c>
      <x:c r="F42" s="18" t="str"/>
      <x:c r="G42" s="18" t="str">
        <x:v>"Central Administrative Tribunal" OR "National Consumer Disputes Redressal Commission"</x:v>
      </x:c>
      <x:c r="H42" s="18" t="str"/>
      <x:c r="I42" s="18" t="str">
        <x:v>Juris Hour</x:v>
      </x:c>
      <x:c r="J42" s="20" t="str"/>
      <x:c r="K42" s="18" t="str"/>
      <x:c r="L42" s="18" t="str">
        <x:v>Pay Arrears Can’t Be Restricted to 3 Years: Karnataka HC Grants Central Tax Officers Benefits From April 2004 - Juris Hour</x:v>
      </x:c>
      <x:c r="M42" s="18" t="str">
        <x:v>Juris Hour</x:v>
      </x:c>
      <x:c r="N42" s="18" t="str">
        <x:v>"Central Administrative Tribunal" OR "National Consumer Disputes Redressal Commission"</x:v>
      </x:c>
      <x:c r="O42" s="18" t="n">
        <x:v>46263.291666666664</x:v>
      </x:c>
      <x:c r="P42" s="18" t="str">
        <x:v>https://www.jurishour.in</x:v>
      </x:c>
      <x:c r="Q42" s="18" t="str">
        <x:v>DEFINED_TERMINAL_OR_FEED_SCOPE</x:v>
      </x:c>
      <x:c r="R42" s="18" t="str">
        <x:v>news_cat_ncdrc_14d.json — published records loaded</x:v>
      </x:c>
      <x:c r="S42" s="18" t="str"/>
      <x:c r="T42" s="18" t="str"/>
      <x:c r="U42" s="20" t="n">
        <x:v>35</x:v>
      </x:c>
      <x:c r="V42" s="19" t="n">
        <x:f>IFERROR(TODAY()-DATEVALUE(C42),"")</x:f>
        <x:v>12</x:v>
      </x:c>
      <x:c r="W42" s="21" t="n">
        <x:f>ROUND(COUNTA(A42:K42)/11*100,0)</x:f>
        <x:v>100</x:v>
      </x:c>
      <x:c r="X42" s="18" t="str">
        <x:v>Google News RSS</x:v>
      </x:c>
      <x:c r="Y42" s="22" t="str">
        <x:v>https://news.google.com/rss/articles/CBMiigFBVV95cUxNNlpBbjB4Z0NzbFZCbTdYN0wtT0t1MW5zNTQzaHZtNHBGb1otYjdjVHZSaVRvOFBnTU1MUGJFMGRJQjRjMTFDTnhPRU85aThhVlNGQzlQNW9NVk9TbnQtRVVlRVJLeVlkeWxzVnhIUXFqWHI5b2dwUENmcFM1RnFpUFRrVE1NWFFaZ1E?oc=5</x:v>
      </x:c>
      <x:c r="Z42" s="18" t="n">
        <x:v>46263.291666666664</x:v>
      </x:c>
      <x:c r="AA42" s="18" t="n">
        <x:v>46275.38862103009</x:v>
      </x:c>
      <x:c r="AB42" s="18" t="str">
        <x:v>public_rss</x:v>
      </x:c>
      <x:c r="AC42" s="18" t="str">
        <x:v>READY</x:v>
      </x:c>
    </x:row>
    <x:row r="43">
      <x:c r="A43" s="18" t="str">
        <x:v>NYT-42-98c1d5d3d6e7d317</x:v>
      </x:c>
      <x:c r="B43" s="18" t="str">
        <x:v>Mumbai Mother Secures Rs 61.5 Lakh Payout Plus Interest After LIC Denies Insurance Claims for Son's Diabetes - observervoice.com</x:v>
      </x:c>
      <x:c r="C43" s="18" t="str">
        <x:v>2026-09-03</x:v>
      </x:c>
      <x:c r="D43" s="18" t="n">
        <x:v>2026</x:v>
      </x:c>
      <x:c r="E43" s="18" t="str">
        <x:v>2026-09</x:v>
      </x:c>
      <x:c r="F43" s="18" t="str"/>
      <x:c r="G43" s="18" t="str">
        <x:v>"Central Administrative Tribunal" OR "National Consumer Disputes Redressal Commission"</x:v>
      </x:c>
      <x:c r="H43" s="18" t="str"/>
      <x:c r="I43" s="18" t="str">
        <x:v>observervoice.com</x:v>
      </x:c>
      <x:c r="J43" s="20" t="str"/>
      <x:c r="K43" s="18" t="str"/>
      <x:c r="L43" s="18" t="str">
        <x:v>Mumbai Mother Secures Rs 61.5 Lakh Payout Plus Interest After LIC Denies Insurance Claims for Son's Diabetes - observervoice.com</x:v>
      </x:c>
      <x:c r="M43" s="18" t="str">
        <x:v>observervoice.com</x:v>
      </x:c>
      <x:c r="N43" s="18" t="str">
        <x:v>"Central Administrative Tribunal" OR "National Consumer Disputes Redressal Commission"</x:v>
      </x:c>
      <x:c r="O43" s="18" t="n">
        <x:v>46268.55935185185</x:v>
      </x:c>
      <x:c r="P43" s="18" t="str">
        <x:v>https://observervoice.com</x:v>
      </x:c>
      <x:c r="Q43" s="18" t="str">
        <x:v>DEFINED_TERMINAL_OR_FEED_SCOPE</x:v>
      </x:c>
      <x:c r="R43" s="18" t="str">
        <x:v>news_cat_ncdrc_14d.json — published records loaded</x:v>
      </x:c>
      <x:c r="S43" s="18" t="str"/>
      <x:c r="T43" s="18" t="str"/>
      <x:c r="U43" s="20" t="n">
        <x:v>35</x:v>
      </x:c>
      <x:c r="V43" s="19" t="n">
        <x:f>IFERROR(TODAY()-DATEVALUE(C43),"")</x:f>
        <x:v>7</x:v>
      </x:c>
      <x:c r="W43" s="21" t="n">
        <x:f>ROUND(COUNTA(A43:K43)/11*100,0)</x:f>
        <x:v>100</x:v>
      </x:c>
      <x:c r="X43" s="18" t="str">
        <x:v>Google News RSS</x:v>
      </x:c>
      <x:c r="Y43" s="22" t="str">
        <x:v>https://news.google.com/rss/articles/CBMi2AFBVV95cUxOaDI3OUp3T2RWS3BIeWt1RXdaN0k5eHJGVmRjdEtFMGJLZ0hOcjJ2SDFiNXhzZFB4QmU4RnFUVFJKckt1TUFsa08xdEpkdmZLRUJqXzBnMVc2MFJCRjhUWHJubURlRlRFem1iQlVtMHoza1pNdGFCcEZ4M2lrLWVRcXhZa3FwR0QwalB0Z1VfVzJYR2E4TXh0SllKbElCcFNycEhDM193YU1yS21ETlg1VHExckFFYXdCZWVXMlNKQ3oxcW5xRDFlOUtleHZpRHY4RERwcld2NWc?oc=5</x:v>
      </x:c>
      <x:c r="Z43" s="18" t="n">
        <x:v>46268.55935185185</x:v>
      </x:c>
      <x:c r="AA43" s="18" t="n">
        <x:v>46275.38862103009</x:v>
      </x:c>
      <x:c r="AB43" s="18" t="str">
        <x:v>public_rss</x:v>
      </x:c>
      <x:c r="AC43" s="18" t="str">
        <x:v>READY</x:v>
      </x:c>
    </x:row>
  </x:sheetData>
  <x:mergeCells>
    <x:mergeCell ref="A1:H1"/>
    <x:mergeCell ref="A2:H2"/>
  </x:mergeCells>
  <x:pageMargins left="0.7" right="0.7" top="0.75" bottom="0.75" header="0.3" footer="0.3"/>
  <x:drawing xmlns:r="http://schemas.openxmlformats.org/officeDocument/2006/relationships" r:id="Rebdd487de2624a01"/>
  <x:tableParts count="1">
    <x:tablePart xmlns:r="http://schemas.openxmlformats.org/officeDocument/2006/relationships" r:id="R6a6f06a42d5b477d"/>
  </x:tableParts>
</x:worksheet>
</file>