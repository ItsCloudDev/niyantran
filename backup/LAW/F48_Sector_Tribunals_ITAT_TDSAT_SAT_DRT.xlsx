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e77cad61a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48 Sector Tribunals (ITAT TDSA" sheetId="1" r:id="R5276538e72e5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4c619561449ca" /><Relationship Type="http://schemas.openxmlformats.org/officeDocument/2006/relationships/theme" Target="/xl/theme/theme1.xml" Id="Rd690f440dc18426d" /><Relationship Type="http://schemas.openxmlformats.org/officeDocument/2006/relationships/sharedStrings" Target="/xl/sharedStrings.xml" Id="R3ab07bcadfd846ab" /><Relationship Type="http://schemas.openxmlformats.org/officeDocument/2006/relationships/worksheet" Target="/xl/worksheets/sheet1.xml" Id="R5276538e72e548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52f4165dd54889" /><Relationship Type="http://schemas.openxmlformats.org/officeDocument/2006/relationships/chart" Target="/xl/drawings/charts/chart2.xml" Id="R7b5b233df3d041aa" /><Relationship Type="http://schemas.openxmlformats.org/officeDocument/2006/relationships/chart" Target="/xl/drawings/charts/chart3.xml" Id="R554841e609b64b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Orders by tribunal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'F48 Sector Tribunals (ITAT TDSA'!$AZ$3:$AZ$6</c:f>
              <c:strCache>
                <c:ptCount val="0"/>
              </c:strCache>
            </c:strRef>
          </c:cat>
          <c:val>
            <c:numRef>
              <c:f>'F48 Sector Tribunals (ITAT TDSA'!$BA$3:$BA$6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Cases by sector and disposition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'F48 Sector Tribunals (ITAT TDSA'!$BC$3:$BC$5</c:f>
              <c:strCache>
                <c:ptCount val="0"/>
              </c:strCache>
            </c:strRef>
          </c:cat>
          <c:val>
            <c:numRef>
              <c:f>'F48 Sector Tribunals (ITAT TDSA'!$BD$3:$BD$5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Pendency and disposal trend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'F48 Sector Tribunals (ITAT TDSA'!$BF$3:$BF$14</c:f>
              <c:strCache>
                <c:ptCount val="0"/>
              </c:strCache>
            </c:strRef>
          </c:cat>
          <c:val>
            <c:numRef>
              <c:f>'F48 Sector Tribunals (ITAT TDSA'!$BG$3:$BG$14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52f4165dd54889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5b233df3d041aa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4841e609b64b6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48_clean_201288" displayName="T_law_48_clean_201288" ref="A8:AB38" headerRowCount="1" totalsRowCount="0" totalsRowShown="0">
  <x:tableColumns count="28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date"/>
    <x:tableColumn id="13" name="title"/>
    <x:tableColumn id="14" name="entity"/>
    <x:tableColumn id="15" name="id"/>
    <x:tableColumn id="16" name="coverage_status"/>
    <x:tableColumn id="17" name="coverage_scope"/>
    <x:tableColumn id="18" name="coverage_start"/>
    <x:tableColumn id="19" name="coverage_end"/>
    <x:tableColumn id="20" name="universe_count"/>
    <x:tableColumn id="21" name="record_age_days"/>
    <x:tableColumn id="22" name="record_completeness_pct"/>
    <x:tableColumn id="23" name="source_provider"/>
    <x:tableColumn id="24" name="source_url"/>
    <x:tableColumn id="25" name="source_published_at"/>
    <x:tableColumn id="26" name="source_retrieved_at"/>
    <x:tableColumn id="27" name="provenance"/>
    <x:tableColumn id="28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40998274964db7" /><Relationship Type="http://schemas.openxmlformats.org/officeDocument/2006/relationships/table" Target="/xl/tables/table1.xml" Id="R5d65837499044acf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6" hidden="0" customWidth="1"/>
    <x:col min="13" max="13" width="32" hidden="0" customWidth="1"/>
    <x:col min="14" max="14" width="15" hidden="0" customWidth="1"/>
    <x:col min="15" max="15" width="18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8" hidden="0" customWidth="1"/>
    <x:col min="24" max="24" width="42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5" customHeight="1">
      <x:c r="A1" s="4" t="str">
        <x:v>Sector Tribunals (ITAT / TDSAT / SAT / DRT)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30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2026-08-05</x:v>
      </x:c>
      <x:c r="BA3" s="18" t="n">
        <x:v>4</x:v>
      </x:c>
      <x:c r="BC3" s="18" t="str">
        <x:v>enforcement/recovery proceedings</x:v>
      </x:c>
      <x:c r="BD3" s="18" t="n">
        <x:v>19</x:v>
      </x:c>
      <x:c r="BF3" s="18" t="str">
        <x:v>Unclassified</x:v>
      </x:c>
      <x:c r="BG3" s="18" t="n">
        <x:v>18</x:v>
      </x:c>
    </x:row>
    <x:row r="4">
      <x:c r="A4" s="9" t="str">
        <x:v>Records</x:v>
      </x:c>
      <x:c r="B4" s="10" t="n">
        <x:v>30</x:v>
      </x:c>
      <x:c r="C4" s="9" t="str">
        <x:v>Dated records</x:v>
      </x:c>
      <x:c r="D4" s="10" t="n">
        <x:v>30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2026-08-10</x:v>
      </x:c>
      <x:c r="AZ4" s="18" t="str">
        <x:v>2026-08-06</x:v>
      </x:c>
      <x:c r="BA4" s="18" t="n">
        <x:v>6</x:v>
      </x:c>
      <x:c r="BC4" s="18" t="str">
        <x:v>enforcement/orders</x:v>
      </x:c>
      <x:c r="BD4" s="18" t="n">
        <x:v>9</x:v>
      </x:c>
      <x:c r="BF4" s="18" t="str">
        <x:v>in the matter of certain Investment Advisers</x:v>
      </x:c>
      <x:c r="BG4" s="18" t="n">
        <x:v>2</x:v>
      </x:c>
    </x:row>
    <x:row r="5">
      <x:c r="AZ5" s="18" t="str">
        <x:v>2026-08-07</x:v>
      </x:c>
      <x:c r="BA5" s="18" t="n">
        <x:v>12</x:v>
      </x:c>
      <x:c r="BC5" s="18" t="str">
        <x:v>media and notifications/press releases</x:v>
      </x:c>
      <x:c r="BD5" s="18" t="n">
        <x:v>2</x:v>
      </x:c>
      <x:c r="BF5" s="18" t="str">
        <x:v>Kamlesh Ahuja</x:v>
      </x:c>
      <x:c r="BG5" s="18" t="n">
        <x:v>1</x:v>
      </x:c>
    </x:row>
    <x:row r="6">
      <x:c r="AZ6" s="18" t="str">
        <x:v>2026-08-10</x:v>
      </x:c>
      <x:c r="BA6" s="18" t="n">
        <x:v>8</x:v>
      </x:c>
      <x:c r="BF6" s="18" t="str">
        <x:v>in the matter of Nirman Agri Genetics Limited</x:v>
      </x:c>
      <x:c r="BG6" s="18" t="n">
        <x:v>1</x:v>
      </x:c>
    </x:row>
    <x:row r="7">
      <x:c r="BF7" s="18" t="str">
        <x:v>RATI AGARWAL</x:v>
      </x:c>
      <x:c r="BG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date</x:v>
      </x:c>
      <x:c r="M8" s="15" t="str">
        <x:v>title</x:v>
      </x:c>
      <x:c r="N8" s="15" t="str">
        <x:v>entity</x:v>
      </x:c>
      <x:c r="O8" s="15" t="str">
        <x:v>id</x:v>
      </x:c>
      <x:c r="P8" s="15" t="str">
        <x:v>coverage_status</x:v>
      </x:c>
      <x:c r="Q8" s="15" t="str">
        <x:v>coverage_scope</x:v>
      </x:c>
      <x:c r="R8" s="15" t="str">
        <x:v>coverage_start</x:v>
      </x:c>
      <x:c r="S8" s="15" t="str">
        <x:v>coverage_end</x:v>
      </x:c>
      <x:c r="T8" s="15" t="str">
        <x:v>universe_count</x:v>
      </x:c>
      <x:c r="U8" s="15" t="str">
        <x:v>record_age_days</x:v>
      </x:c>
      <x:c r="V8" s="15" t="str">
        <x:v>record_completeness_pct</x:v>
      </x:c>
      <x:c r="W8" s="15" t="str">
        <x:v>source_provider</x:v>
      </x:c>
      <x:c r="X8" s="15" t="str">
        <x:v>source_url</x:v>
      </x:c>
      <x:c r="Y8" s="15" t="str">
        <x:v>source_published_at</x:v>
      </x:c>
      <x:c r="Z8" s="15" t="str">
        <x:v>source_retrieved_at</x:v>
      </x:c>
      <x:c r="AA8" s="15" t="str">
        <x:v>provenance</x:v>
      </x:c>
      <x:c r="AB8" s="15" t="str">
        <x:v>quality_status</x:v>
      </x:c>
      <x:c r="BF8" s="18" t="str">
        <x:v>in respect to twenty entities</x:v>
      </x:c>
      <x:c r="BG8" s="18" t="n">
        <x:v>1</x:v>
      </x:c>
    </x:row>
    <x:row r="9">
      <x:c r="A9" s="18" t="str">
        <x:v>NYT-48-e13595b98ee2a3aa</x:v>
      </x:c>
      <x:c r="B9" s="18" t="str">
        <x:v>Release Order – Kamlesh Ahuja [Defaulter] (PAN: ADFPA4706R) in the matter of dealings in Illiquid Stock Options at BSE. under Certificate No. 8037 of 2024.</x:v>
      </x:c>
      <x:c r="C9" s="18" t="str">
        <x:v>2026-08-10</x:v>
      </x:c>
      <x:c r="D9" s="18" t="n">
        <x:v>2026</x:v>
      </x:c>
      <x:c r="E9" s="18" t="str">
        <x:v>2026-08</x:v>
      </x:c>
      <x:c r="F9" s="18" t="str"/>
      <x:c r="G9" s="18" t="str">
        <x:v>enforcement/recovery proceedings</x:v>
      </x:c>
      <x:c r="H9" s="18" t="str"/>
      <x:c r="I9" s="18" t="str">
        <x:v>Kamlesh Ahuja</x:v>
      </x:c>
      <x:c r="J9" s="20" t="str"/>
      <x:c r="K9" s="18" t="str"/>
      <x:c r="L9" s="18" t="str">
        <x:v>2026-08-10</x:v>
      </x:c>
      <x:c r="M9" s="18" t="str">
        <x:v>Release Order – Kamlesh Ahuja [Defaulter] (PAN: ADFPA4706R) in the matter of dealings in Illiquid Stock Options at BSE. under Certificate No. 8037 of 2024.</x:v>
      </x:c>
      <x:c r="N9" s="18" t="str">
        <x:v>Kamlesh Ahuja</x:v>
      </x:c>
      <x:c r="O9" s="18" t="str">
        <x:v>sebi_103474</x:v>
      </x:c>
      <x:c r="P9" s="18" t="str">
        <x:v>DEFINED_TERMINAL_OR_FEED_SCOPE</x:v>
      </x:c>
      <x:c r="Q9" s="18" t="str">
        <x:v>national_sebi_orders.json — published records loaded</x:v>
      </x:c>
      <x:c r="R9" s="18" t="str"/>
      <x:c r="S9" s="18" t="str"/>
      <x:c r="T9" s="20" t="n">
        <x:v>30</x:v>
      </x:c>
      <x:c r="U9" s="19" t="n">
        <x:f>IFERROR(TODAY()-DATEVALUE(C9),"")</x:f>
        <x:v>31</x:v>
      </x:c>
      <x:c r="V9" s="21" t="n">
        <x:f>ROUND(COUNTA(A9:K9)/11*100,0)</x:f>
        <x:v>100</x:v>
      </x:c>
      <x:c r="W9" s="18" t="str">
        <x:v>Income Tax Appellate Tribunal</x:v>
      </x:c>
      <x:c r="X9" s="22" t="str">
        <x:v>https://www.sebi.gov.in/enforcement/recovery-proceedings/aug-2026/release-order-kamlesh-ahuja-defaulter-pan-adfpa4706r-in-the-matter-of-dealings-in-illiquid-stock-options-at-bse-under-certificate-no-8037-of-2024-_103474.html</x:v>
      </x:c>
      <x:c r="Y9" s="18" t="str">
        <x:v>2026-08-10</x:v>
      </x:c>
      <x:c r="Z9" s="18" t="n">
        <x:v>46275.114583333336</x:v>
      </x:c>
      <x:c r="AA9" s="18" t="str">
        <x:v>retained_terminal</x:v>
      </x:c>
      <x:c r="AB9" s="18" t="str">
        <x:v>READY</x:v>
      </x:c>
      <x:c r="BF9" s="18" t="str">
        <x:v>No. 01 of 2026 issued</x:v>
      </x:c>
      <x:c r="BG9" s="18" t="n">
        <x:v>1</x:v>
      </x:c>
    </x:row>
    <x:row r="10">
      <x:c r="A10" s="18" t="str">
        <x:v>NYT-48-2447b01c586ef1d9</x:v>
      </x:c>
      <x:c r="B10" s="18" t="str">
        <x:v>Completion of Recovery Certificate No. 8037 of 2024 dated September 19, 2024 issued to Kamlesh Ahuja [Defaulter] (PAN: ADFPA4706R) in the matter of dealings in Illiquid Stock Options at BSE.</x:v>
      </x:c>
      <x:c r="C10" s="18" t="str">
        <x:v>2026-08-10</x:v>
      </x:c>
      <x:c r="D10" s="18" t="n">
        <x:v>2026</x:v>
      </x:c>
      <x:c r="E10" s="18" t="str">
        <x:v>2026-08</x:v>
      </x:c>
      <x:c r="F10" s="18" t="str"/>
      <x:c r="G10" s="18" t="str">
        <x:v>enforcement/recovery proceedings</x:v>
      </x:c>
      <x:c r="H10" s="18" t="str"/>
      <x:c r="I10" s="18" t="str"/>
      <x:c r="J10" s="20" t="str"/>
      <x:c r="K10" s="18" t="str"/>
      <x:c r="L10" s="18" t="str">
        <x:v>2026-08-10</x:v>
      </x:c>
      <x:c r="M10" s="18" t="str">
        <x:v>Completion of Recovery Certificate No. 8037 of 2024 dated September 19, 2024 issued to Kamlesh Ahuja [Defaulter] (PAN: ADFPA4706R) in the matter of dealings in Illiquid Stock Options at BSE.</x:v>
      </x:c>
      <x:c r="N10" s="18" t="str"/>
      <x:c r="O10" s="18" t="str">
        <x:v>sebi_103472</x:v>
      </x:c>
      <x:c r="P10" s="18" t="str">
        <x:v>DEFINED_TERMINAL_OR_FEED_SCOPE</x:v>
      </x:c>
      <x:c r="Q10" s="18" t="str">
        <x:v>national_sebi_orders.json — published records loaded</x:v>
      </x:c>
      <x:c r="R10" s="18" t="str"/>
      <x:c r="S10" s="18" t="str"/>
      <x:c r="T10" s="20" t="n">
        <x:v>30</x:v>
      </x:c>
      <x:c r="U10" s="19" t="n">
        <x:f>IFERROR(TODAY()-DATEVALUE(C10),"")</x:f>
        <x:v>31</x:v>
      </x:c>
      <x:c r="V10" s="21" t="n">
        <x:f>ROUND(COUNTA(A10:K10)/11*100,0)</x:f>
        <x:v>100</x:v>
      </x:c>
      <x:c r="W10" s="18" t="str">
        <x:v>Income Tax Appellate Tribunal</x:v>
      </x:c>
      <x:c r="X10" s="22" t="str">
        <x:v>https://www.sebi.gov.in/enforcement/recovery-proceedings/aug-2026/completion-of-recovery-certificate-no-8037-of-2024-dated-september-19-2024-issued-to-kamlesh-ahuja-defaulter-pan-adfpa4706r-in-the-matter-of-dealings-in-illiquid-stock-options-at-bse-_103472.html</x:v>
      </x:c>
      <x:c r="Y10" s="18" t="str">
        <x:v>2026-08-10</x:v>
      </x:c>
      <x:c r="Z10" s="18" t="n">
        <x:v>46275.114583333336</x:v>
      </x:c>
      <x:c r="AA10" s="18" t="str">
        <x:v>retained_terminal</x:v>
      </x:c>
      <x:c r="AB10" s="18" t="str">
        <x:v>READY</x:v>
      </x:c>
      <x:c r="BF10" s="18" t="str">
        <x:v>Certificate No. RC9216 of 2026 in respect of </x:v>
      </x:c>
      <x:c r="BG10" s="18" t="n">
        <x:v>1</x:v>
      </x:c>
    </x:row>
    <x:row r="11">
      <x:c r="A11" s="18" t="str">
        <x:v>NYT-48-6cac28ce943afb0c</x:v>
      </x:c>
      <x:c r="B11" s="18" t="str">
        <x:v>Remittance Advice against: Santosh Kumar [Defaulter] (PAN: AEKPK6751Q) in the matter of Investigation into the trading activities of certain entities in the scrip of Delta Leasing and Finance Ltd. under Recovery Certificate No. 9152 of 2026.</x:v>
      </x:c>
      <x:c r="C11" s="18" t="str">
        <x:v>2026-08-10</x:v>
      </x:c>
      <x:c r="D11" s="18" t="n">
        <x:v>2026</x:v>
      </x:c>
      <x:c r="E11" s="18" t="str">
        <x:v>2026-08</x:v>
      </x:c>
      <x:c r="F11" s="18" t="str"/>
      <x:c r="G11" s="18" t="str">
        <x:v>enforcement/recovery proceedings</x:v>
      </x:c>
      <x:c r="H11" s="18" t="str"/>
      <x:c r="I11" s="18" t="str"/>
      <x:c r="J11" s="20" t="str"/>
      <x:c r="K11" s="18" t="str"/>
      <x:c r="L11" s="18" t="str">
        <x:v>2026-08-10</x:v>
      </x:c>
      <x:c r="M11" s="18" t="str">
        <x:v>Remittance Advice against: Santosh Kumar [Defaulter] (PAN: AEKPK6751Q) in the matter of Investigation into the trading activities of certain entities in the scrip of Delta Leasing and Finance Ltd. under Recovery Certificate No. 9152 of 2026.</x:v>
      </x:c>
      <x:c r="N11" s="18" t="str"/>
      <x:c r="O11" s="18" t="str">
        <x:v>sebi_103471</x:v>
      </x:c>
      <x:c r="P11" s="18" t="str">
        <x:v>DEFINED_TERMINAL_OR_FEED_SCOPE</x:v>
      </x:c>
      <x:c r="Q11" s="18" t="str">
        <x:v>national_sebi_orders.json — published records loaded</x:v>
      </x:c>
      <x:c r="R11" s="18" t="str"/>
      <x:c r="S11" s="18" t="str"/>
      <x:c r="T11" s="20" t="n">
        <x:v>30</x:v>
      </x:c>
      <x:c r="U11" s="19" t="n">
        <x:f>IFERROR(TODAY()-DATEVALUE(C11),"")</x:f>
        <x:v>31</x:v>
      </x:c>
      <x:c r="V11" s="21" t="n">
        <x:f>ROUND(COUNTA(A11:K11)/11*100,0)</x:f>
        <x:v>100</x:v>
      </x:c>
      <x:c r="W11" s="18" t="str">
        <x:v>Income Tax Appellate Tribunal</x:v>
      </x:c>
      <x:c r="X11" s="22" t="str">
        <x:v>https://www.sebi.gov.in/enforcement/recovery-proceedings/aug-2026/remittance-advice-against-santosh-kumar-defaulter-pan-aekpk6751q-in-the-matter-of-investigation-into-the-trading-activities-of-certain-entities-in-the-scrip-of-delta-leasing-and-finance-ltd-und-_103471.html</x:v>
      </x:c>
      <x:c r="Y11" s="18" t="str">
        <x:v>2026-08-10</x:v>
      </x:c>
      <x:c r="Z11" s="18" t="n">
        <x:v>46275.114583333336</x:v>
      </x:c>
      <x:c r="AA11" s="18" t="str">
        <x:v>retained_terminal</x:v>
      </x:c>
      <x:c r="AB11" s="18" t="str">
        <x:v>READY</x:v>
      </x:c>
      <x:c r="BF11" s="18" t="str">
        <x:v>for RC No. 4397 of 2021-Kesava Mallikarjuna P</x:v>
      </x:c>
      <x:c r="BG11" s="18" t="n">
        <x:v>1</x:v>
      </x:c>
    </x:row>
    <x:row r="12">
      <x:c r="A12" s="18" t="str">
        <x:v>NYT-48-fa18eb49ad93327d</x:v>
      </x:c>
      <x:c r="B12" s="18" t="str">
        <x:v>Completion of Recovery Certificate No. 9074 of 2026 dated March 26, 2026 issued to RATI AGARWAL [Defaulter] PAN: AJMPA4349K in the matter of ISO at BSE-RATI AGARWAL.</x:v>
      </x:c>
      <x:c r="C12" s="18" t="str">
        <x:v>2026-08-10</x:v>
      </x:c>
      <x:c r="D12" s="18" t="n">
        <x:v>2026</x:v>
      </x:c>
      <x:c r="E12" s="18" t="str">
        <x:v>2026-08</x:v>
      </x:c>
      <x:c r="F12" s="18" t="str"/>
      <x:c r="G12" s="18" t="str">
        <x:v>enforcement/recovery proceedings</x:v>
      </x:c>
      <x:c r="H12" s="18" t="str"/>
      <x:c r="I12" s="18" t="str"/>
      <x:c r="J12" s="20" t="str"/>
      <x:c r="K12" s="18" t="str"/>
      <x:c r="L12" s="18" t="str">
        <x:v>2026-08-10</x:v>
      </x:c>
      <x:c r="M12" s="18" t="str">
        <x:v>Completion of Recovery Certificate No. 9074 of 2026 dated March 26, 2026 issued to RATI AGARWAL [Defaulter] PAN: AJMPA4349K in the matter of ISO at BSE-RATI AGARWAL.</x:v>
      </x:c>
      <x:c r="N12" s="18" t="str"/>
      <x:c r="O12" s="18" t="str">
        <x:v>sebi_103469</x:v>
      </x:c>
      <x:c r="P12" s="18" t="str">
        <x:v>DEFINED_TERMINAL_OR_FEED_SCOPE</x:v>
      </x:c>
      <x:c r="Q12" s="18" t="str">
        <x:v>national_sebi_orders.json — published records loaded</x:v>
      </x:c>
      <x:c r="R12" s="18" t="str"/>
      <x:c r="S12" s="18" t="str"/>
      <x:c r="T12" s="20" t="n">
        <x:v>30</x:v>
      </x:c>
      <x:c r="U12" s="19" t="n">
        <x:f>IFERROR(TODAY()-DATEVALUE(C12),"")</x:f>
        <x:v>31</x:v>
      </x:c>
      <x:c r="V12" s="21" t="n">
        <x:f>ROUND(COUNTA(A12:K12)/11*100,0)</x:f>
        <x:v>100</x:v>
      </x:c>
      <x:c r="W12" s="18" t="str">
        <x:v>Income Tax Appellate Tribunal</x:v>
      </x:c>
      <x:c r="X12" s="22" t="str">
        <x:v>https://www.sebi.gov.in/enforcement/recovery-proceedings/aug-2026/completion-of-recovery-certificate-no-9074-of-2026-dated-march-26-2026-issued-to-rati-agarwal-defaulter-pan-ajmpa4349k-in-the-matter-of-iso-at-bse-rati-agarwal-_103469.html</x:v>
      </x:c>
      <x:c r="Y12" s="18" t="str">
        <x:v>2026-08-10</x:v>
      </x:c>
      <x:c r="Z12" s="18" t="n">
        <x:v>46275.114583333336</x:v>
      </x:c>
      <x:c r="AA12" s="18" t="str">
        <x:v>retained_terminal</x:v>
      </x:c>
      <x:c r="AB12" s="18" t="str">
        <x:v>READY</x:v>
      </x:c>
      <x:c r="BF12" s="18" t="str">
        <x:v>for RC No. 4396 of 2021-Dhaduvai Venkatram</x:v>
      </x:c>
      <x:c r="BG12" s="18" t="n">
        <x:v>1</x:v>
      </x:c>
    </x:row>
    <x:row r="13">
      <x:c r="A13" s="18" t="str">
        <x:v>NYT-48-88e9ad3c73e6a337</x:v>
      </x:c>
      <x:c r="B13" s="18" t="str">
        <x:v>Order in the matter of Nirman Agri Genetics Limited</x:v>
      </x:c>
      <x:c r="C13" s="18" t="str">
        <x:v>2026-08-10</x:v>
      </x:c>
      <x:c r="D13" s="18" t="n">
        <x:v>2026</x:v>
      </x:c>
      <x:c r="E13" s="18" t="str">
        <x:v>2026-08</x:v>
      </x:c>
      <x:c r="F13" s="18" t="str"/>
      <x:c r="G13" s="18" t="str">
        <x:v>enforcement/orders</x:v>
      </x:c>
      <x:c r="H13" s="18" t="str"/>
      <x:c r="I13" s="18" t="str">
        <x:v>in the matter of Nirman Agri Genetics Limited</x:v>
      </x:c>
      <x:c r="J13" s="20" t="str"/>
      <x:c r="K13" s="18" t="str"/>
      <x:c r="L13" s="18" t="str">
        <x:v>2026-08-10</x:v>
      </x:c>
      <x:c r="M13" s="18" t="str">
        <x:v>Order in the matter of Nirman Agri Genetics Limited</x:v>
      </x:c>
      <x:c r="N13" s="18" t="str">
        <x:v>in the matter of Nirman Agri Genetics Limited</x:v>
      </x:c>
      <x:c r="O13" s="18" t="str">
        <x:v>sebi_103467</x:v>
      </x:c>
      <x:c r="P13" s="18" t="str">
        <x:v>DEFINED_TERMINAL_OR_FEED_SCOPE</x:v>
      </x:c>
      <x:c r="Q13" s="18" t="str">
        <x:v>national_sebi_orders.json — published records loaded</x:v>
      </x:c>
      <x:c r="R13" s="18" t="str"/>
      <x:c r="S13" s="18" t="str"/>
      <x:c r="T13" s="20" t="n">
        <x:v>30</x:v>
      </x:c>
      <x:c r="U13" s="19" t="n">
        <x:f>IFERROR(TODAY()-DATEVALUE(C13),"")</x:f>
        <x:v>31</x:v>
      </x:c>
      <x:c r="V13" s="21" t="n">
        <x:f>ROUND(COUNTA(A13:K13)/11*100,0)</x:f>
        <x:v>100</x:v>
      </x:c>
      <x:c r="W13" s="18" t="str">
        <x:v>Income Tax Appellate Tribunal</x:v>
      </x:c>
      <x:c r="X13" s="22" t="str">
        <x:v>https://www.sebi.gov.in/enforcement/orders/aug-2026/order-in-the-matter-of-nirman-agri-genetics-limited_103467.html</x:v>
      </x:c>
      <x:c r="Y13" s="18" t="str">
        <x:v>2026-08-10</x:v>
      </x:c>
      <x:c r="Z13" s="18" t="n">
        <x:v>46275.114583333336</x:v>
      </x:c>
      <x:c r="AA13" s="18" t="str">
        <x:v>retained_terminal</x:v>
      </x:c>
      <x:c r="AB13" s="18" t="str">
        <x:v>READY</x:v>
      </x:c>
      <x:c r="BF13" s="18" t="str">
        <x:v>Certificate No. RC8582 of 2025 in respect of </x:v>
      </x:c>
      <x:c r="BG13" s="18" t="n">
        <x:v>1</x:v>
      </x:c>
    </x:row>
    <x:row r="14">
      <x:c r="A14" s="18" t="str">
        <x:v>NYT-48-54c7eff0c4de2da8</x:v>
      </x:c>
      <x:c r="B14" s="18" t="str">
        <x:v>Release Order – RATI AGARWAL [Defaulter] PAN: AJMPA4349K in the matter of ISO at BSE-RATI AGARWAL. under Certificate No. 9074 of 2026.</x:v>
      </x:c>
      <x:c r="C14" s="18" t="str">
        <x:v>2026-08-10</x:v>
      </x:c>
      <x:c r="D14" s="18" t="n">
        <x:v>2026</x:v>
      </x:c>
      <x:c r="E14" s="18" t="str">
        <x:v>2026-08</x:v>
      </x:c>
      <x:c r="F14" s="18" t="str"/>
      <x:c r="G14" s="18" t="str">
        <x:v>enforcement/recovery proceedings</x:v>
      </x:c>
      <x:c r="H14" s="18" t="str"/>
      <x:c r="I14" s="18" t="str">
        <x:v>RATI AGARWAL</x:v>
      </x:c>
      <x:c r="J14" s="20" t="str"/>
      <x:c r="K14" s="18" t="str"/>
      <x:c r="L14" s="18" t="str">
        <x:v>2026-08-10</x:v>
      </x:c>
      <x:c r="M14" s="18" t="str">
        <x:v>Release Order – RATI AGARWAL [Defaulter] PAN: AJMPA4349K in the matter of ISO at BSE-RATI AGARWAL. under Certificate No. 9074 of 2026.</x:v>
      </x:c>
      <x:c r="N14" s="18" t="str">
        <x:v>RATI AGARWAL</x:v>
      </x:c>
      <x:c r="O14" s="18" t="str">
        <x:v>sebi_103465</x:v>
      </x:c>
      <x:c r="P14" s="18" t="str">
        <x:v>DEFINED_TERMINAL_OR_FEED_SCOPE</x:v>
      </x:c>
      <x:c r="Q14" s="18" t="str">
        <x:v>national_sebi_orders.json — published records loaded</x:v>
      </x:c>
      <x:c r="R14" s="18" t="str"/>
      <x:c r="S14" s="18" t="str"/>
      <x:c r="T14" s="20" t="n">
        <x:v>30</x:v>
      </x:c>
      <x:c r="U14" s="19" t="n">
        <x:f>IFERROR(TODAY()-DATEVALUE(C14),"")</x:f>
        <x:v>31</x:v>
      </x:c>
      <x:c r="V14" s="21" t="n">
        <x:f>ROUND(COUNTA(A14:K14)/11*100,0)</x:f>
        <x:v>100</x:v>
      </x:c>
      <x:c r="W14" s="18" t="str">
        <x:v>Income Tax Appellate Tribunal</x:v>
      </x:c>
      <x:c r="X14" s="22" t="str">
        <x:v>https://www.sebi.gov.in/enforcement/recovery-proceedings/aug-2026/release-order-rati-agarwal-defaulter-pan-ajmpa4349k-in-the-matter-of-iso-at-bse-rati-agarwal-under-certificate-no-9074-of-2026-_103465.html</x:v>
      </x:c>
      <x:c r="Y14" s="18" t="str">
        <x:v>2026-08-10</x:v>
      </x:c>
      <x:c r="Z14" s="18" t="n">
        <x:v>46275.114583333336</x:v>
      </x:c>
      <x:c r="AA14" s="18" t="str">
        <x:v>retained_terminal</x:v>
      </x:c>
      <x:c r="AB14" s="18" t="str">
        <x:v>READY</x:v>
      </x:c>
      <x:c r="BF14" s="18" t="str">
        <x:v>Certificate No. RC9147 of 2026 in respect of </x:v>
      </x:c>
      <x:c r="BG14" s="18" t="n">
        <x:v>1</x:v>
      </x:c>
    </x:row>
    <x:row r="15">
      <x:c r="A15" s="18" t="str">
        <x:v>NYT-48-8b5a0f94303463fa</x:v>
      </x:c>
      <x:c r="B15" s="18" t="str">
        <x:v>Notice of Demand under Recovery Certificate number 9277 of 2026 dated August 10, 2026 issued to Mr. Kapil Wadhawan (PAN:AAOPW6145L) [Defaulter] in the matter of Dewan Housing Finance Corporation Limited.</x:v>
      </x:c>
      <x:c r="C15" s="18" t="str">
        <x:v>2026-08-10</x:v>
      </x:c>
      <x:c r="D15" s="18" t="n">
        <x:v>2026</x:v>
      </x:c>
      <x:c r="E15" s="18" t="str">
        <x:v>2026-08</x:v>
      </x:c>
      <x:c r="F15" s="18" t="str"/>
      <x:c r="G15" s="18" t="str">
        <x:v>enforcement/recovery proceedings</x:v>
      </x:c>
      <x:c r="H15" s="18" t="str"/>
      <x:c r="I15" s="18" t="str"/>
      <x:c r="J15" s="20" t="str"/>
      <x:c r="K15" s="18" t="str"/>
      <x:c r="L15" s="18" t="str">
        <x:v>2026-08-10</x:v>
      </x:c>
      <x:c r="M15" s="18" t="str">
        <x:v>Notice of Demand under Recovery Certificate number 9277 of 2026 dated August 10, 2026 issued to Mr. Kapil Wadhawan (PAN:AAOPW6145L) [Defaulter] in the matter of Dewan Housing Finance Corporation Limited.</x:v>
      </x:c>
      <x:c r="N15" s="18" t="str"/>
      <x:c r="O15" s="18" t="str">
        <x:v>sebi_103463</x:v>
      </x:c>
      <x:c r="P15" s="18" t="str">
        <x:v>DEFINED_TERMINAL_OR_FEED_SCOPE</x:v>
      </x:c>
      <x:c r="Q15" s="18" t="str">
        <x:v>national_sebi_orders.json — published records loaded</x:v>
      </x:c>
      <x:c r="R15" s="18" t="str"/>
      <x:c r="S15" s="18" t="str"/>
      <x:c r="T15" s="20" t="n">
        <x:v>30</x:v>
      </x:c>
      <x:c r="U15" s="19" t="n">
        <x:f>IFERROR(TODAY()-DATEVALUE(C15),"")</x:f>
        <x:v>31</x:v>
      </x:c>
      <x:c r="V15" s="21" t="n">
        <x:f>ROUND(COUNTA(A15:K15)/11*100,0)</x:f>
        <x:v>100</x:v>
      </x:c>
      <x:c r="W15" s="18" t="str">
        <x:v>Income Tax Appellate Tribunal</x:v>
      </x:c>
      <x:c r="X15" s="22" t="str">
        <x:v>https://www.sebi.gov.in/enforcement/recovery-proceedings/aug-2026/notice-of-demand-under-recovery-certificate-number-9277-of-2026-dated-august-10-2026-issued-to-mr-kapil-wadhawan-pan-aaopw6145l-defaulter-in-the-matter-of-dewan-housing-finance-corporation-limit-_103463.html</x:v>
      </x:c>
      <x:c r="Y15" s="18" t="str">
        <x:v>2026-08-10</x:v>
      </x:c>
      <x:c r="Z15" s="18" t="n">
        <x:v>46275.114583333336</x:v>
      </x:c>
      <x:c r="AA15" s="18" t="str">
        <x:v>retained_terminal</x:v>
      </x:c>
      <x:c r="AB15" s="18" t="str">
        <x:v>READY</x:v>
      </x:c>
    </x:row>
    <x:row r="16">
      <x:c r="A16" s="18" t="str">
        <x:v>NYT-48-dd6000c2e5e58c73</x:v>
      </x:c>
      <x:c r="B16" s="18" t="str">
        <x:v>Cancellation of Recovery Certificate No. 8625 of 2025 dated February 13, 2025 issued against Sudhakar Anchan (PAN: AHWPA1468K) in the matter of Sharepro Services (I) Pvt. Ltd.</x:v>
      </x:c>
      <x:c r="C16" s="18" t="str">
        <x:v>2026-08-10</x:v>
      </x:c>
      <x:c r="D16" s="18" t="n">
        <x:v>2026</x:v>
      </x:c>
      <x:c r="E16" s="18" t="str">
        <x:v>2026-08</x:v>
      </x:c>
      <x:c r="F16" s="18" t="str"/>
      <x:c r="G16" s="18" t="str">
        <x:v>enforcement/recovery proceedings</x:v>
      </x:c>
      <x:c r="H16" s="18" t="str"/>
      <x:c r="I16" s="18" t="str"/>
      <x:c r="J16" s="20" t="str"/>
      <x:c r="K16" s="18" t="str"/>
      <x:c r="L16" s="18" t="str">
        <x:v>2026-08-10</x:v>
      </x:c>
      <x:c r="M16" s="18" t="str">
        <x:v>Cancellation of Recovery Certificate No. 8625 of 2025 dated February 13, 2025 issued against Sudhakar Anchan (PAN: AHWPA1468K) in the matter of Sharepro Services (I) Pvt. Ltd.</x:v>
      </x:c>
      <x:c r="N16" s="18" t="str"/>
      <x:c r="O16" s="18" t="str">
        <x:v>sebi_103460</x:v>
      </x:c>
      <x:c r="P16" s="18" t="str">
        <x:v>DEFINED_TERMINAL_OR_FEED_SCOPE</x:v>
      </x:c>
      <x:c r="Q16" s="18" t="str">
        <x:v>national_sebi_orders.json — published records loaded</x:v>
      </x:c>
      <x:c r="R16" s="18" t="str"/>
      <x:c r="S16" s="18" t="str"/>
      <x:c r="T16" s="20" t="n">
        <x:v>30</x:v>
      </x:c>
      <x:c r="U16" s="19" t="n">
        <x:f>IFERROR(TODAY()-DATEVALUE(C16),"")</x:f>
        <x:v>31</x:v>
      </x:c>
      <x:c r="V16" s="21" t="n">
        <x:f>ROUND(COUNTA(A16:K16)/11*100,0)</x:f>
        <x:v>100</x:v>
      </x:c>
      <x:c r="W16" s="18" t="str">
        <x:v>Income Tax Appellate Tribunal</x:v>
      </x:c>
      <x:c r="X16" s="22" t="str">
        <x:v>https://www.sebi.gov.in/enforcement/recovery-proceedings/aug-2026/cancellation-of-recovery-certificate-no-8625-of-2025-dated-february-13-2025-issued-against-sudhakar-anchan-pan-ahwpa1468k-in-the-matter-of-sharepro-services-i-pvt-ltd-_103460.html</x:v>
      </x:c>
      <x:c r="Y16" s="18" t="str">
        <x:v>2026-08-10</x:v>
      </x:c>
      <x:c r="Z16" s="18" t="n">
        <x:v>46275.114583333336</x:v>
      </x:c>
      <x:c r="AA16" s="18" t="str">
        <x:v>retained_terminal</x:v>
      </x:c>
      <x:c r="AB16" s="18" t="str">
        <x:v>READY</x:v>
      </x:c>
    </x:row>
    <x:row r="17">
      <x:c r="A17" s="18" t="str">
        <x:v>NYT-48-c6eb19eb32ee00e3</x:v>
      </x:c>
      <x:c r="B17" s="18" t="str">
        <x:v>Adjudication Order in respect to twenty entities in the matter of Ultracab (India) Limited</x:v>
      </x:c>
      <x:c r="C17" s="18" t="str">
        <x:v>2026-08-07</x:v>
      </x:c>
      <x:c r="D17" s="18" t="n">
        <x:v>2026</x:v>
      </x:c>
      <x:c r="E17" s="18" t="str">
        <x:v>2026-08</x:v>
      </x:c>
      <x:c r="F17" s="18" t="str"/>
      <x:c r="G17" s="18" t="str">
        <x:v>enforcement/orders</x:v>
      </x:c>
      <x:c r="H17" s="18" t="str"/>
      <x:c r="I17" s="18" t="str">
        <x:v>in respect to twenty entities</x:v>
      </x:c>
      <x:c r="J17" s="20" t="str"/>
      <x:c r="K17" s="18" t="str"/>
      <x:c r="L17" s="18" t="str">
        <x:v>2026-08-07</x:v>
      </x:c>
      <x:c r="M17" s="18" t="str">
        <x:v>Adjudication Order in respect to twenty entities in the matter of Ultracab (India) Limited</x:v>
      </x:c>
      <x:c r="N17" s="18" t="str">
        <x:v>in respect to twenty entities</x:v>
      </x:c>
      <x:c r="O17" s="18" t="str">
        <x:v>sebi_103452</x:v>
      </x:c>
      <x:c r="P17" s="18" t="str">
        <x:v>DEFINED_TERMINAL_OR_FEED_SCOPE</x:v>
      </x:c>
      <x:c r="Q17" s="18" t="str">
        <x:v>national_sebi_orders.json — published records loaded</x:v>
      </x:c>
      <x:c r="R17" s="18" t="str"/>
      <x:c r="S17" s="18" t="str"/>
      <x:c r="T17" s="20" t="n">
        <x:v>30</x:v>
      </x:c>
      <x:c r="U17" s="19" t="n">
        <x:f>IFERROR(TODAY()-DATEVALUE(C17),"")</x:f>
        <x:v>34</x:v>
      </x:c>
      <x:c r="V17" s="21" t="n">
        <x:f>ROUND(COUNTA(A17:K17)/11*100,0)</x:f>
        <x:v>100</x:v>
      </x:c>
      <x:c r="W17" s="18" t="str">
        <x:v>Income Tax Appellate Tribunal</x:v>
      </x:c>
      <x:c r="X17" s="22" t="str">
        <x:v>https://www.sebi.gov.in/enforcement/orders/aug-2026/adjudication-order-in-respect-to-twenty-entities-in-the-matter-of-ultracab-india-limited_103452.html</x:v>
      </x:c>
      <x:c r="Y17" s="18" t="str">
        <x:v>2026-08-07</x:v>
      </x:c>
      <x:c r="Z17" s="18" t="n">
        <x:v>46275.114583333336</x:v>
      </x:c>
      <x:c r="AA17" s="18" t="str">
        <x:v>retained_terminal</x:v>
      </x:c>
      <x:c r="AB17" s="18" t="str">
        <x:v>READY</x:v>
      </x:c>
    </x:row>
    <x:row r="18">
      <x:c r="A18" s="18" t="str">
        <x:v>NYT-48-a83b152324a9ee72</x:v>
      </x:c>
      <x:c r="B18" s="18" t="str">
        <x:v>Order in the matter of certain Investment Advisers</x:v>
      </x:c>
      <x:c r="C18" s="18" t="str">
        <x:v>2026-08-07</x:v>
      </x:c>
      <x:c r="D18" s="18" t="n">
        <x:v>2026</x:v>
      </x:c>
      <x:c r="E18" s="18" t="str">
        <x:v>2026-08</x:v>
      </x:c>
      <x:c r="F18" s="18" t="str"/>
      <x:c r="G18" s="18" t="str">
        <x:v>enforcement/orders</x:v>
      </x:c>
      <x:c r="H18" s="18" t="str"/>
      <x:c r="I18" s="18" t="str">
        <x:v>in the matter of certain Investment Advisers</x:v>
      </x:c>
      <x:c r="J18" s="20" t="str"/>
      <x:c r="K18" s="18" t="str"/>
      <x:c r="L18" s="18" t="str">
        <x:v>2026-08-07</x:v>
      </x:c>
      <x:c r="M18" s="18" t="str">
        <x:v>Order in the matter of certain Investment Advisers</x:v>
      </x:c>
      <x:c r="N18" s="18" t="str">
        <x:v>in the matter of certain Investment Advisers</x:v>
      </x:c>
      <x:c r="O18" s="18" t="str">
        <x:v>sebi_103450</x:v>
      </x:c>
      <x:c r="P18" s="18" t="str">
        <x:v>DEFINED_TERMINAL_OR_FEED_SCOPE</x:v>
      </x:c>
      <x:c r="Q18" s="18" t="str">
        <x:v>national_sebi_orders.json — published records loaded</x:v>
      </x:c>
      <x:c r="R18" s="18" t="str"/>
      <x:c r="S18" s="18" t="str"/>
      <x:c r="T18" s="20" t="n">
        <x:v>30</x:v>
      </x:c>
      <x:c r="U18" s="19" t="n">
        <x:f>IFERROR(TODAY()-DATEVALUE(C18),"")</x:f>
        <x:v>34</x:v>
      </x:c>
      <x:c r="V18" s="21" t="n">
        <x:f>ROUND(COUNTA(A18:K18)/11*100,0)</x:f>
        <x:v>100</x:v>
      </x:c>
      <x:c r="W18" s="18" t="str">
        <x:v>Income Tax Appellate Tribunal</x:v>
      </x:c>
      <x:c r="X18" s="22" t="str">
        <x:v>https://www.sebi.gov.in/enforcement/orders/aug-2026/order-in-the-matter-of-certain-investment-advisers_103450.html</x:v>
      </x:c>
      <x:c r="Y18" s="18" t="str">
        <x:v>2026-08-07</x:v>
      </x:c>
      <x:c r="Z18" s="18" t="n">
        <x:v>46275.114583333336</x:v>
      </x:c>
      <x:c r="AA18" s="18" t="str">
        <x:v>retained_terminal</x:v>
      </x:c>
      <x:c r="AB18" s="18" t="str">
        <x:v>READY</x:v>
      </x:c>
    </x:row>
    <x:row r="19">
      <x:c r="A19" s="18" t="str">
        <x:v>NYT-48-e018b6f1043fc05e</x:v>
      </x:c>
      <x:c r="B19" s="18" t="str">
        <x:v>Order No. 01 of 2026 issued under RC No. 424 of 2014 drawn against Mr. Bhargav Ranchodlal Panchal (PAN: AFUPP7738M) in the matter of IPO irregularities.</x:v>
      </x:c>
      <x:c r="C19" s="18" t="str">
        <x:v>2026-08-07</x:v>
      </x:c>
      <x:c r="D19" s="18" t="n">
        <x:v>2026</x:v>
      </x:c>
      <x:c r="E19" s="18" t="str">
        <x:v>2026-08</x:v>
      </x:c>
      <x:c r="F19" s="18" t="str"/>
      <x:c r="G19" s="18" t="str">
        <x:v>enforcement/recovery proceedings</x:v>
      </x:c>
      <x:c r="H19" s="18" t="str"/>
      <x:c r="I19" s="18" t="str">
        <x:v>No. 01 of 2026 issued</x:v>
      </x:c>
      <x:c r="J19" s="20" t="str"/>
      <x:c r="K19" s="18" t="str"/>
      <x:c r="L19" s="18" t="str">
        <x:v>2026-08-07</x:v>
      </x:c>
      <x:c r="M19" s="18" t="str">
        <x:v>Order No. 01 of 2026 issued under RC No. 424 of 2014 drawn against Mr. Bhargav Ranchodlal Panchal (PAN: AFUPP7738M) in the matter of IPO irregularities.</x:v>
      </x:c>
      <x:c r="N19" s="18" t="str">
        <x:v>No. 01 of 2026 issued</x:v>
      </x:c>
      <x:c r="O19" s="18" t="str">
        <x:v>sebi_103448</x:v>
      </x:c>
      <x:c r="P19" s="18" t="str">
        <x:v>DEFINED_TERMINAL_OR_FEED_SCOPE</x:v>
      </x:c>
      <x:c r="Q19" s="18" t="str">
        <x:v>national_sebi_orders.json — published records loaded</x:v>
      </x:c>
      <x:c r="R19" s="18" t="str"/>
      <x:c r="S19" s="18" t="str"/>
      <x:c r="T19" s="20" t="n">
        <x:v>30</x:v>
      </x:c>
      <x:c r="U19" s="19" t="n">
        <x:f>IFERROR(TODAY()-DATEVALUE(C19),"")</x:f>
        <x:v>34</x:v>
      </x:c>
      <x:c r="V19" s="21" t="n">
        <x:f>ROUND(COUNTA(A19:K19)/11*100,0)</x:f>
        <x:v>100</x:v>
      </x:c>
      <x:c r="W19" s="18" t="str">
        <x:v>Income Tax Appellate Tribunal</x:v>
      </x:c>
      <x:c r="X19" s="22" t="str">
        <x:v>https://www.sebi.gov.in/enforcement/recovery-proceedings/aug-2026/order-no-01-of-2026-issued-under-rc-no-424-of-2014-drawn-against-mr-bhargav-ranchodlal-panchal-pan-afupp7738m-in-the-matter-of-ipo-irregularities-_103448.html</x:v>
      </x:c>
      <x:c r="Y19" s="18" t="str">
        <x:v>2026-08-07</x:v>
      </x:c>
      <x:c r="Z19" s="18" t="n">
        <x:v>46275.114583333336</x:v>
      </x:c>
      <x:c r="AA19" s="18" t="str">
        <x:v>retained_terminal</x:v>
      </x:c>
      <x:c r="AB19" s="18" t="str">
        <x:v>READY</x:v>
      </x:c>
    </x:row>
    <x:row r="20">
      <x:c r="A20" s="18" t="str">
        <x:v>NYT-48-571121c656a1f1f1</x:v>
      </x:c>
      <x:c r="B20" s="18" t="str">
        <x:v>Order in the matter of certain Investment Advisers</x:v>
      </x:c>
      <x:c r="C20" s="18" t="str">
        <x:v>2026-08-07</x:v>
      </x:c>
      <x:c r="D20" s="18" t="n">
        <x:v>2026</x:v>
      </x:c>
      <x:c r="E20" s="18" t="str">
        <x:v>2026-08</x:v>
      </x:c>
      <x:c r="F20" s="18" t="str"/>
      <x:c r="G20" s="18" t="str">
        <x:v>enforcement/orders</x:v>
      </x:c>
      <x:c r="H20" s="18" t="str"/>
      <x:c r="I20" s="18" t="str">
        <x:v>in the matter of certain Investment Advisers</x:v>
      </x:c>
      <x:c r="J20" s="20" t="str"/>
      <x:c r="K20" s="18" t="str"/>
      <x:c r="L20" s="18" t="str">
        <x:v>2026-08-07</x:v>
      </x:c>
      <x:c r="M20" s="18" t="str">
        <x:v>Order in the matter of certain Investment Advisers</x:v>
      </x:c>
      <x:c r="N20" s="18" t="str">
        <x:v>in the matter of certain Investment Advisers</x:v>
      </x:c>
      <x:c r="O20" s="18" t="str">
        <x:v>sebi_103447</x:v>
      </x:c>
      <x:c r="P20" s="18" t="str">
        <x:v>DEFINED_TERMINAL_OR_FEED_SCOPE</x:v>
      </x:c>
      <x:c r="Q20" s="18" t="str">
        <x:v>national_sebi_orders.json — published records loaded</x:v>
      </x:c>
      <x:c r="R20" s="18" t="str"/>
      <x:c r="S20" s="18" t="str"/>
      <x:c r="T20" s="20" t="n">
        <x:v>30</x:v>
      </x:c>
      <x:c r="U20" s="19" t="n">
        <x:f>IFERROR(TODAY()-DATEVALUE(C20),"")</x:f>
        <x:v>34</x:v>
      </x:c>
      <x:c r="V20" s="21" t="n">
        <x:f>ROUND(COUNTA(A20:K20)/11*100,0)</x:f>
        <x:v>100</x:v>
      </x:c>
      <x:c r="W20" s="18" t="str">
        <x:v>Income Tax Appellate Tribunal</x:v>
      </x:c>
      <x:c r="X20" s="22" t="str">
        <x:v>https://www.sebi.gov.in/enforcement/orders/aug-2026/order-in-the-matter-of-certain-investment-advisers_103447.html</x:v>
      </x:c>
      <x:c r="Y20" s="18" t="str">
        <x:v>2026-08-07</x:v>
      </x:c>
      <x:c r="Z20" s="18" t="n">
        <x:v>46275.114583333336</x:v>
      </x:c>
      <x:c r="AA20" s="18" t="str">
        <x:v>retained_terminal</x:v>
      </x:c>
      <x:c r="AB20" s="18" t="str">
        <x:v>READY</x:v>
      </x:c>
    </x:row>
    <x:row r="21">
      <x:c r="A21" s="18" t="str">
        <x:v>NYT-48-4b4830691195938c</x:v>
      </x:c>
      <x:c r="B21" s="18" t="str">
        <x:v>Release Order - Certificate No. RC9216 of 2026 in respect of Prabhjeet Singh Chawla (PAN: ACAPC4870A) in the matter of Illiquid Stock Options</x:v>
      </x:c>
      <x:c r="C21" s="18" t="str">
        <x:v>2026-08-07</x:v>
      </x:c>
      <x:c r="D21" s="18" t="n">
        <x:v>2026</x:v>
      </x:c>
      <x:c r="E21" s="18" t="str">
        <x:v>2026-08</x:v>
      </x:c>
      <x:c r="F21" s="18" t="str"/>
      <x:c r="G21" s="18" t="str">
        <x:v>enforcement/recovery proceedings</x:v>
      </x:c>
      <x:c r="H21" s="18" t="str"/>
      <x:c r="I21" s="18" t="str">
        <x:v>Certificate No. RC9216 of 2026 in respect of Prabhjeet Singh Chawla (PAN: ACAPC4870A)</x:v>
      </x:c>
      <x:c r="J21" s="20" t="str"/>
      <x:c r="K21" s="18" t="str"/>
      <x:c r="L21" s="18" t="str">
        <x:v>2026-08-07</x:v>
      </x:c>
      <x:c r="M21" s="18" t="str">
        <x:v>Release Order - Certificate No. RC9216 of 2026 in respect of Prabhjeet Singh Chawla (PAN: ACAPC4870A) in the matter of Illiquid Stock Options</x:v>
      </x:c>
      <x:c r="N21" s="18" t="str">
        <x:v>Certificate No. RC9216 of 2026 in respect of Prabhjeet Singh Chawla (PAN: ACAPC4870A)</x:v>
      </x:c>
      <x:c r="O21" s="18" t="str">
        <x:v>sebi_103446</x:v>
      </x:c>
      <x:c r="P21" s="18" t="str">
        <x:v>DEFINED_TERMINAL_OR_FEED_SCOPE</x:v>
      </x:c>
      <x:c r="Q21" s="18" t="str">
        <x:v>national_sebi_orders.json — published records loaded</x:v>
      </x:c>
      <x:c r="R21" s="18" t="str"/>
      <x:c r="S21" s="18" t="str"/>
      <x:c r="T21" s="20" t="n">
        <x:v>30</x:v>
      </x:c>
      <x:c r="U21" s="19" t="n">
        <x:f>IFERROR(TODAY()-DATEVALUE(C21),"")</x:f>
        <x:v>34</x:v>
      </x:c>
      <x:c r="V21" s="21" t="n">
        <x:f>ROUND(COUNTA(A21:K21)/11*100,0)</x:f>
        <x:v>100</x:v>
      </x:c>
      <x:c r="W21" s="18" t="str">
        <x:v>Income Tax Appellate Tribunal</x:v>
      </x:c>
      <x:c r="X21" s="22" t="str">
        <x:v>https://www.sebi.gov.in/enforcement/recovery-proceedings/aug-2026/release-order-certificate-no-rc9216-of-2026-in-respect-of-prabhjeet-singh-chawla-pan-acapc4870a-in-the-matter-of-illiquid-stock-options_103446.html</x:v>
      </x:c>
      <x:c r="Y21" s="18" t="str">
        <x:v>2026-08-07</x:v>
      </x:c>
      <x:c r="Z21" s="18" t="n">
        <x:v>46275.114583333336</x:v>
      </x:c>
      <x:c r="AA21" s="18" t="str">
        <x:v>retained_terminal</x:v>
      </x:c>
      <x:c r="AB21" s="18" t="str">
        <x:v>READY</x:v>
      </x:c>
    </x:row>
    <x:row r="22">
      <x:c r="A22" s="18" t="str">
        <x:v>NYT-48-519c67cb38c0731f</x:v>
      </x:c>
      <x:c r="B22" s="18" t="str">
        <x:v>Completion of Recovery Certificate No. RC9216 of 2026 in respect of Prabhjeet Singh Chawla (PAN: ACAPC4870A) in the matter of Illiquid Stock Options</x:v>
      </x:c>
      <x:c r="C22" s="18" t="str">
        <x:v>2026-08-07</x:v>
      </x:c>
      <x:c r="D22" s="18" t="n">
        <x:v>2026</x:v>
      </x:c>
      <x:c r="E22" s="18" t="str">
        <x:v>2026-08</x:v>
      </x:c>
      <x:c r="F22" s="18" t="str"/>
      <x:c r="G22" s="18" t="str">
        <x:v>enforcement/recovery proceedings</x:v>
      </x:c>
      <x:c r="H22" s="18" t="str"/>
      <x:c r="I22" s="18" t="str"/>
      <x:c r="J22" s="20" t="str"/>
      <x:c r="K22" s="18" t="str"/>
      <x:c r="L22" s="18" t="str">
        <x:v>2026-08-07</x:v>
      </x:c>
      <x:c r="M22" s="18" t="str">
        <x:v>Completion of Recovery Certificate No. RC9216 of 2026 in respect of Prabhjeet Singh Chawla (PAN: ACAPC4870A) in the matter of Illiquid Stock Options</x:v>
      </x:c>
      <x:c r="N22" s="18" t="str"/>
      <x:c r="O22" s="18" t="str">
        <x:v>sebi_103444</x:v>
      </x:c>
      <x:c r="P22" s="18" t="str">
        <x:v>DEFINED_TERMINAL_OR_FEED_SCOPE</x:v>
      </x:c>
      <x:c r="Q22" s="18" t="str">
        <x:v>national_sebi_orders.json — published records loaded</x:v>
      </x:c>
      <x:c r="R22" s="18" t="str"/>
      <x:c r="S22" s="18" t="str"/>
      <x:c r="T22" s="20" t="n">
        <x:v>30</x:v>
      </x:c>
      <x:c r="U22" s="19" t="n">
        <x:f>IFERROR(TODAY()-DATEVALUE(C22),"")</x:f>
        <x:v>34</x:v>
      </x:c>
      <x:c r="V22" s="21" t="n">
        <x:f>ROUND(COUNTA(A22:K22)/11*100,0)</x:f>
        <x:v>100</x:v>
      </x:c>
      <x:c r="W22" s="18" t="str">
        <x:v>Income Tax Appellate Tribunal</x:v>
      </x:c>
      <x:c r="X22" s="22" t="str">
        <x:v>https://www.sebi.gov.in/enforcement/recovery-proceedings/aug-2026/completion-of-recovery-certificate-no-rc9216-of-2026-in-respect-of-prabhjeet-singh-chawla-pan-acapc4870a-in-the-matter-of-illiquid-stock-options_103444.html</x:v>
      </x:c>
      <x:c r="Y22" s="18" t="str">
        <x:v>2026-08-07</x:v>
      </x:c>
      <x:c r="Z22" s="18" t="n">
        <x:v>46275.114583333336</x:v>
      </x:c>
      <x:c r="AA22" s="18" t="str">
        <x:v>retained_terminal</x:v>
      </x:c>
      <x:c r="AB22" s="18" t="str">
        <x:v>READY</x:v>
      </x:c>
    </x:row>
    <x:row r="23">
      <x:c r="A23" s="18" t="str">
        <x:v>NYT-48-a697daeb39c525df</x:v>
      </x:c>
      <x:c r="B23" s="18" t="str">
        <x:v>Appeal No. 6976 of 2026 filed by Chhabeg Singh</x:v>
      </x:c>
      <x:c r="C23" s="18" t="str">
        <x:v>2026-08-07</x:v>
      </x:c>
      <x:c r="D23" s="18" t="n">
        <x:v>2026</x:v>
      </x:c>
      <x:c r="E23" s="18" t="str">
        <x:v>2026-08</x:v>
      </x:c>
      <x:c r="F23" s="18" t="str"/>
      <x:c r="G23" s="18" t="str">
        <x:v>enforcement/orders</x:v>
      </x:c>
      <x:c r="H23" s="18" t="str"/>
      <x:c r="I23" s="18" t="str"/>
      <x:c r="J23" s="20" t="str"/>
      <x:c r="K23" s="18" t="str"/>
      <x:c r="L23" s="18" t="str">
        <x:v>2026-08-07</x:v>
      </x:c>
      <x:c r="M23" s="18" t="str">
        <x:v>Appeal No. 6976 of 2026 filed by Chhabeg Singh</x:v>
      </x:c>
      <x:c r="N23" s="18" t="str"/>
      <x:c r="O23" s="18" t="str">
        <x:v>sebi_103442</x:v>
      </x:c>
      <x:c r="P23" s="18" t="str">
        <x:v>DEFINED_TERMINAL_OR_FEED_SCOPE</x:v>
      </x:c>
      <x:c r="Q23" s="18" t="str">
        <x:v>national_sebi_orders.json — published records loaded</x:v>
      </x:c>
      <x:c r="R23" s="18" t="str"/>
      <x:c r="S23" s="18" t="str"/>
      <x:c r="T23" s="20" t="n">
        <x:v>30</x:v>
      </x:c>
      <x:c r="U23" s="19" t="n">
        <x:f>IFERROR(TODAY()-DATEVALUE(C23),"")</x:f>
        <x:v>34</x:v>
      </x:c>
      <x:c r="V23" s="21" t="n">
        <x:f>ROUND(COUNTA(A23:K23)/11*100,0)</x:f>
        <x:v>100</x:v>
      </x:c>
      <x:c r="W23" s="18" t="str">
        <x:v>Income Tax Appellate Tribunal</x:v>
      </x:c>
      <x:c r="X23" s="22" t="str">
        <x:v>https://www.sebi.gov.in/enforcement/orders/aug-2026/appeal-no-6976-of-2026-filed-by-chhabeg-singh_103442.html</x:v>
      </x:c>
      <x:c r="Y23" s="18" t="str">
        <x:v>2026-08-07</x:v>
      </x:c>
      <x:c r="Z23" s="18" t="n">
        <x:v>46275.114583333336</x:v>
      </x:c>
      <x:c r="AA23" s="18" t="str">
        <x:v>retained_terminal</x:v>
      </x:c>
      <x:c r="AB23" s="18" t="str">
        <x:v>READY</x:v>
      </x:c>
    </x:row>
    <x:row r="24">
      <x:c r="A24" s="18" t="str">
        <x:v>NYT-48-2c440b6840d9c770</x:v>
      </x:c>
      <x:c r="B24" s="18" t="str">
        <x:v>Appeal No. 6974 of 2026 filed by Sudha Devi</x:v>
      </x:c>
      <x:c r="C24" s="18" t="str">
        <x:v>2026-08-07</x:v>
      </x:c>
      <x:c r="D24" s="18" t="n">
        <x:v>2026</x:v>
      </x:c>
      <x:c r="E24" s="18" t="str">
        <x:v>2026-08</x:v>
      </x:c>
      <x:c r="F24" s="18" t="str"/>
      <x:c r="G24" s="18" t="str">
        <x:v>enforcement/orders</x:v>
      </x:c>
      <x:c r="H24" s="18" t="str"/>
      <x:c r="I24" s="18" t="str"/>
      <x:c r="J24" s="20" t="str"/>
      <x:c r="K24" s="18" t="str"/>
      <x:c r="L24" s="18" t="str">
        <x:v>2026-08-07</x:v>
      </x:c>
      <x:c r="M24" s="18" t="str">
        <x:v>Appeal No. 6974 of 2026 filed by Sudha Devi</x:v>
      </x:c>
      <x:c r="N24" s="18" t="str"/>
      <x:c r="O24" s="18" t="str">
        <x:v>sebi_103440</x:v>
      </x:c>
      <x:c r="P24" s="18" t="str">
        <x:v>DEFINED_TERMINAL_OR_FEED_SCOPE</x:v>
      </x:c>
      <x:c r="Q24" s="18" t="str">
        <x:v>national_sebi_orders.json — published records loaded</x:v>
      </x:c>
      <x:c r="R24" s="18" t="str"/>
      <x:c r="S24" s="18" t="str"/>
      <x:c r="T24" s="20" t="n">
        <x:v>30</x:v>
      </x:c>
      <x:c r="U24" s="19" t="n">
        <x:f>IFERROR(TODAY()-DATEVALUE(C24),"")</x:f>
        <x:v>34</x:v>
      </x:c>
      <x:c r="V24" s="21" t="n">
        <x:f>ROUND(COUNTA(A24:K24)/11*100,0)</x:f>
        <x:v>100</x:v>
      </x:c>
      <x:c r="W24" s="18" t="str">
        <x:v>Income Tax Appellate Tribunal</x:v>
      </x:c>
      <x:c r="X24" s="22" t="str">
        <x:v>https://www.sebi.gov.in/enforcement/orders/aug-2026/appeal-no-6974-of-2026-filed-by-sudha-devi_103440.html</x:v>
      </x:c>
      <x:c r="Y24" s="18" t="str">
        <x:v>2026-08-07</x:v>
      </x:c>
      <x:c r="Z24" s="18" t="n">
        <x:v>46275.114583333336</x:v>
      </x:c>
      <x:c r="AA24" s="18" t="str">
        <x:v>retained_terminal</x:v>
      </x:c>
      <x:c r="AB24" s="18" t="str">
        <x:v>READY</x:v>
      </x:c>
    </x:row>
    <x:row r="25">
      <x:c r="A25" s="18" t="str">
        <x:v>NYT-48-59c82647989a48b8</x:v>
      </x:c>
      <x:c r="B25" s="18" t="str">
        <x:v>Appeal No. 6973 of 2026 filed by Bharat Bhushan Sharma</x:v>
      </x:c>
      <x:c r="C25" s="18" t="str">
        <x:v>2026-08-07</x:v>
      </x:c>
      <x:c r="D25" s="18" t="n">
        <x:v>2026</x:v>
      </x:c>
      <x:c r="E25" s="18" t="str">
        <x:v>2026-08</x:v>
      </x:c>
      <x:c r="F25" s="18" t="str"/>
      <x:c r="G25" s="18" t="str">
        <x:v>enforcement/orders</x:v>
      </x:c>
      <x:c r="H25" s="18" t="str"/>
      <x:c r="I25" s="18" t="str"/>
      <x:c r="J25" s="20" t="str"/>
      <x:c r="K25" s="18" t="str"/>
      <x:c r="L25" s="18" t="str">
        <x:v>2026-08-07</x:v>
      </x:c>
      <x:c r="M25" s="18" t="str">
        <x:v>Appeal No. 6973 of 2026 filed by Bharat Bhushan Sharma</x:v>
      </x:c>
      <x:c r="N25" s="18" t="str"/>
      <x:c r="O25" s="18" t="str">
        <x:v>sebi_103439</x:v>
      </x:c>
      <x:c r="P25" s="18" t="str">
        <x:v>DEFINED_TERMINAL_OR_FEED_SCOPE</x:v>
      </x:c>
      <x:c r="Q25" s="18" t="str">
        <x:v>national_sebi_orders.json — published records loaded</x:v>
      </x:c>
      <x:c r="R25" s="18" t="str"/>
      <x:c r="S25" s="18" t="str"/>
      <x:c r="T25" s="20" t="n">
        <x:v>30</x:v>
      </x:c>
      <x:c r="U25" s="19" t="n">
        <x:f>IFERROR(TODAY()-DATEVALUE(C25),"")</x:f>
        <x:v>34</x:v>
      </x:c>
      <x:c r="V25" s="21" t="n">
        <x:f>ROUND(COUNTA(A25:K25)/11*100,0)</x:f>
        <x:v>100</x:v>
      </x:c>
      <x:c r="W25" s="18" t="str">
        <x:v>Income Tax Appellate Tribunal</x:v>
      </x:c>
      <x:c r="X25" s="22" t="str">
        <x:v>https://www.sebi.gov.in/enforcement/orders/aug-2026/appeal-no-6973-of-2026-filed-by-bharat-bhushan-sharma_103439.html</x:v>
      </x:c>
      <x:c r="Y25" s="18" t="str">
        <x:v>2026-08-07</x:v>
      </x:c>
      <x:c r="Z25" s="18" t="n">
        <x:v>46275.114583333336</x:v>
      </x:c>
      <x:c r="AA25" s="18" t="str">
        <x:v>retained_terminal</x:v>
      </x:c>
      <x:c r="AB25" s="18" t="str">
        <x:v>READY</x:v>
      </x:c>
    </x:row>
    <x:row r="26">
      <x:c r="A26" s="18" t="str">
        <x:v>NYT-48-6c68de10670ee4e4</x:v>
      </x:c>
      <x:c r="B26" s="18" t="str">
        <x:v>Appeal No. 6972 of 2026 filed by Sunil Kumari</x:v>
      </x:c>
      <x:c r="C26" s="18" t="str">
        <x:v>2026-08-07</x:v>
      </x:c>
      <x:c r="D26" s="18" t="n">
        <x:v>2026</x:v>
      </x:c>
      <x:c r="E26" s="18" t="str">
        <x:v>2026-08</x:v>
      </x:c>
      <x:c r="F26" s="18" t="str"/>
      <x:c r="G26" s="18" t="str">
        <x:v>enforcement/orders</x:v>
      </x:c>
      <x:c r="H26" s="18" t="str"/>
      <x:c r="I26" s="18" t="str"/>
      <x:c r="J26" s="20" t="str"/>
      <x:c r="K26" s="18" t="str"/>
      <x:c r="L26" s="18" t="str">
        <x:v>2026-08-07</x:v>
      </x:c>
      <x:c r="M26" s="18" t="str">
        <x:v>Appeal No. 6972 of 2026 filed by Sunil Kumari</x:v>
      </x:c>
      <x:c r="N26" s="18" t="str"/>
      <x:c r="O26" s="18" t="str">
        <x:v>sebi_103438</x:v>
      </x:c>
      <x:c r="P26" s="18" t="str">
        <x:v>DEFINED_TERMINAL_OR_FEED_SCOPE</x:v>
      </x:c>
      <x:c r="Q26" s="18" t="str">
        <x:v>national_sebi_orders.json — published records loaded</x:v>
      </x:c>
      <x:c r="R26" s="18" t="str"/>
      <x:c r="S26" s="18" t="str"/>
      <x:c r="T26" s="20" t="n">
        <x:v>30</x:v>
      </x:c>
      <x:c r="U26" s="19" t="n">
        <x:f>IFERROR(TODAY()-DATEVALUE(C26),"")</x:f>
        <x:v>34</x:v>
      </x:c>
      <x:c r="V26" s="21" t="n">
        <x:f>ROUND(COUNTA(A26:K26)/11*100,0)</x:f>
        <x:v>100</x:v>
      </x:c>
      <x:c r="W26" s="18" t="str">
        <x:v>Income Tax Appellate Tribunal</x:v>
      </x:c>
      <x:c r="X26" s="22" t="str">
        <x:v>https://www.sebi.gov.in/enforcement/orders/aug-2026/appeal-no-6972-of-2026-filed-by-sunil-kumari_103438.html</x:v>
      </x:c>
      <x:c r="Y26" s="18" t="str">
        <x:v>2026-08-07</x:v>
      </x:c>
      <x:c r="Z26" s="18" t="n">
        <x:v>46275.114583333336</x:v>
      </x:c>
      <x:c r="AA26" s="18" t="str">
        <x:v>retained_terminal</x:v>
      </x:c>
      <x:c r="AB26" s="18" t="str">
        <x:v>READY</x:v>
      </x:c>
    </x:row>
    <x:row r="27">
      <x:c r="A27" s="18" t="str">
        <x:v>NYT-48-480ca47a8c34d812</x:v>
      </x:c>
      <x:c r="B27" s="18" t="str">
        <x:v>Appeal No. 6971 of 2026 filed by Piyush Agarwal</x:v>
      </x:c>
      <x:c r="C27" s="18" t="str">
        <x:v>2026-08-07</x:v>
      </x:c>
      <x:c r="D27" s="18" t="n">
        <x:v>2026</x:v>
      </x:c>
      <x:c r="E27" s="18" t="str">
        <x:v>2026-08</x:v>
      </x:c>
      <x:c r="F27" s="18" t="str"/>
      <x:c r="G27" s="18" t="str">
        <x:v>enforcement/orders</x:v>
      </x:c>
      <x:c r="H27" s="18" t="str"/>
      <x:c r="I27" s="18" t="str"/>
      <x:c r="J27" s="20" t="str"/>
      <x:c r="K27" s="18" t="str"/>
      <x:c r="L27" s="18" t="str">
        <x:v>2026-08-07</x:v>
      </x:c>
      <x:c r="M27" s="18" t="str">
        <x:v>Appeal No. 6971 of 2026 filed by Piyush Agarwal</x:v>
      </x:c>
      <x:c r="N27" s="18" t="str"/>
      <x:c r="O27" s="18" t="str">
        <x:v>sebi_103436</x:v>
      </x:c>
      <x:c r="P27" s="18" t="str">
        <x:v>DEFINED_TERMINAL_OR_FEED_SCOPE</x:v>
      </x:c>
      <x:c r="Q27" s="18" t="str">
        <x:v>national_sebi_orders.json — published records loaded</x:v>
      </x:c>
      <x:c r="R27" s="18" t="str"/>
      <x:c r="S27" s="18" t="str"/>
      <x:c r="T27" s="20" t="n">
        <x:v>30</x:v>
      </x:c>
      <x:c r="U27" s="19" t="n">
        <x:f>IFERROR(TODAY()-DATEVALUE(C27),"")</x:f>
        <x:v>34</x:v>
      </x:c>
      <x:c r="V27" s="21" t="n">
        <x:f>ROUND(COUNTA(A27:K27)/11*100,0)</x:f>
        <x:v>100</x:v>
      </x:c>
      <x:c r="W27" s="18" t="str">
        <x:v>Income Tax Appellate Tribunal</x:v>
      </x:c>
      <x:c r="X27" s="22" t="str">
        <x:v>https://www.sebi.gov.in/enforcement/orders/aug-2026/appeal-no-6971-of-2026-filed-by-piyush-agarwal_103436.html</x:v>
      </x:c>
      <x:c r="Y27" s="18" t="str">
        <x:v>2026-08-07</x:v>
      </x:c>
      <x:c r="Z27" s="18" t="n">
        <x:v>46275.114583333336</x:v>
      </x:c>
      <x:c r="AA27" s="18" t="str">
        <x:v>retained_terminal</x:v>
      </x:c>
      <x:c r="AB27" s="18" t="str">
        <x:v>READY</x:v>
      </x:c>
    </x:row>
    <x:row r="28">
      <x:c r="A28" s="18" t="str">
        <x:v>NYT-48-8dcde10a0ae08fd3</x:v>
      </x:c>
      <x:c r="B28" s="18" t="str">
        <x:v>SEBI streamlines inspection of market intermediaries</x:v>
      </x:c>
      <x:c r="C28" s="18" t="str">
        <x:v>2026-08-07</x:v>
      </x:c>
      <x:c r="D28" s="18" t="n">
        <x:v>2026</x:v>
      </x:c>
      <x:c r="E28" s="18" t="str">
        <x:v>2026-08</x:v>
      </x:c>
      <x:c r="F28" s="18" t="str"/>
      <x:c r="G28" s="18" t="str">
        <x:v>media and notifications/press releases</x:v>
      </x:c>
      <x:c r="H28" s="18" t="str"/>
      <x:c r="I28" s="18" t="str"/>
      <x:c r="J28" s="20" t="str"/>
      <x:c r="K28" s="18" t="str"/>
      <x:c r="L28" s="18" t="str">
        <x:v>2026-08-07</x:v>
      </x:c>
      <x:c r="M28" s="18" t="str">
        <x:v>SEBI streamlines inspection of market intermediaries</x:v>
      </x:c>
      <x:c r="N28" s="18" t="str"/>
      <x:c r="O28" s="18" t="str">
        <x:v>sebi_103434</x:v>
      </x:c>
      <x:c r="P28" s="18" t="str">
        <x:v>DEFINED_TERMINAL_OR_FEED_SCOPE</x:v>
      </x:c>
      <x:c r="Q28" s="18" t="str">
        <x:v>national_sebi_orders.json — published records loaded</x:v>
      </x:c>
      <x:c r="R28" s="18" t="str"/>
      <x:c r="S28" s="18" t="str"/>
      <x:c r="T28" s="20" t="n">
        <x:v>30</x:v>
      </x:c>
      <x:c r="U28" s="19" t="n">
        <x:f>IFERROR(TODAY()-DATEVALUE(C28),"")</x:f>
        <x:v>34</x:v>
      </x:c>
      <x:c r="V28" s="21" t="n">
        <x:f>ROUND(COUNTA(A28:K28)/11*100,0)</x:f>
        <x:v>100</x:v>
      </x:c>
      <x:c r="W28" s="18" t="str">
        <x:v>Income Tax Appellate Tribunal</x:v>
      </x:c>
      <x:c r="X28" s="22" t="str">
        <x:v>https://www.sebi.gov.in/media-and-notifications/press-releases/aug-2026/sebi-streamlines-inspection-of-market-intermediaries_103434.html</x:v>
      </x:c>
      <x:c r="Y28" s="18" t="str">
        <x:v>2026-08-07</x:v>
      </x:c>
      <x:c r="Z28" s="18" t="n">
        <x:v>46275.114583333336</x:v>
      </x:c>
      <x:c r="AA28" s="18" t="str">
        <x:v>retained_terminal</x:v>
      </x:c>
      <x:c r="AB28" s="18" t="str">
        <x:v>READY</x:v>
      </x:c>
    </x:row>
    <x:row r="29">
      <x:c r="A29" s="18" t="str">
        <x:v>NYT-48-a732c17525f7f429</x:v>
      </x:c>
      <x:c r="B29" s="18" t="str">
        <x:v>Release order for RC No. 4397 of 2021-Kesava Mallikarjuna Prasad Chivukula in the matter of CAT Technologies Ltd.</x:v>
      </x:c>
      <x:c r="C29" s="18" t="str">
        <x:v>2026-08-06</x:v>
      </x:c>
      <x:c r="D29" s="18" t="n">
        <x:v>2026</x:v>
      </x:c>
      <x:c r="E29" s="18" t="str">
        <x:v>2026-08</x:v>
      </x:c>
      <x:c r="F29" s="18" t="str"/>
      <x:c r="G29" s="18" t="str">
        <x:v>enforcement/recovery proceedings</x:v>
      </x:c>
      <x:c r="H29" s="18" t="str"/>
      <x:c r="I29" s="18" t="str">
        <x:v>for RC No. 4397 of 2021-Kesava Mallikarjuna Prasad Chivukula</x:v>
      </x:c>
      <x:c r="J29" s="20" t="str"/>
      <x:c r="K29" s="18" t="str"/>
      <x:c r="L29" s="18" t="str">
        <x:v>2026-08-06</x:v>
      </x:c>
      <x:c r="M29" s="18" t="str">
        <x:v>Release order for RC No. 4397 of 2021-Kesava Mallikarjuna Prasad Chivukula in the matter of CAT Technologies Ltd.</x:v>
      </x:c>
      <x:c r="N29" s="18" t="str">
        <x:v>for RC No. 4397 of 2021-Kesava Mallikarjuna Prasad Chivukula</x:v>
      </x:c>
      <x:c r="O29" s="18" t="str">
        <x:v>sebi_103423</x:v>
      </x:c>
      <x:c r="P29" s="18" t="str">
        <x:v>DEFINED_TERMINAL_OR_FEED_SCOPE</x:v>
      </x:c>
      <x:c r="Q29" s="18" t="str">
        <x:v>national_sebi_orders.json — published records loaded</x:v>
      </x:c>
      <x:c r="R29" s="18" t="str"/>
      <x:c r="S29" s="18" t="str"/>
      <x:c r="T29" s="20" t="n">
        <x:v>30</x:v>
      </x:c>
      <x:c r="U29" s="19" t="n">
        <x:f>IFERROR(TODAY()-DATEVALUE(C29),"")</x:f>
        <x:v>35</x:v>
      </x:c>
      <x:c r="V29" s="21" t="n">
        <x:f>ROUND(COUNTA(A29:K29)/11*100,0)</x:f>
        <x:v>100</x:v>
      </x:c>
      <x:c r="W29" s="18" t="str">
        <x:v>Income Tax Appellate Tribunal</x:v>
      </x:c>
      <x:c r="X29" s="22" t="str">
        <x:v>https://www.sebi.gov.in/enforcement/recovery-proceedings/aug-2026/release-order-for-rc-no-4397-of-2021-kesava-mallikarjuna-prasad-chivukula-in-the-matter-of-cat-technologies-ltd-_103423.html</x:v>
      </x:c>
      <x:c r="Y29" s="18" t="str">
        <x:v>2026-08-06</x:v>
      </x:c>
      <x:c r="Z29" s="18" t="n">
        <x:v>46275.114583333336</x:v>
      </x:c>
      <x:c r="AA29" s="18" t="str">
        <x:v>retained_terminal</x:v>
      </x:c>
      <x:c r="AB29" s="18" t="str">
        <x:v>READY</x:v>
      </x:c>
    </x:row>
    <x:row r="30">
      <x:c r="A30" s="18" t="str">
        <x:v>NYT-48-c507053b6912fc0d</x:v>
      </x:c>
      <x:c r="B30" s="18" t="str">
        <x:v>Completion of Recovery Certificate No. 4397 of 2021-Kesava Mallikarjuna Prasad Chivukula in the matter of CAT Technologies Ltd.</x:v>
      </x:c>
      <x:c r="C30" s="18" t="str">
        <x:v>2026-08-06</x:v>
      </x:c>
      <x:c r="D30" s="18" t="n">
        <x:v>2026</x:v>
      </x:c>
      <x:c r="E30" s="18" t="str">
        <x:v>2026-08</x:v>
      </x:c>
      <x:c r="F30" s="18" t="str"/>
      <x:c r="G30" s="18" t="str">
        <x:v>enforcement/recovery proceedings</x:v>
      </x:c>
      <x:c r="H30" s="18" t="str"/>
      <x:c r="I30" s="18" t="str"/>
      <x:c r="J30" s="20" t="str"/>
      <x:c r="K30" s="18" t="str"/>
      <x:c r="L30" s="18" t="str">
        <x:v>2026-08-06</x:v>
      </x:c>
      <x:c r="M30" s="18" t="str">
        <x:v>Completion of Recovery Certificate No. 4397 of 2021-Kesava Mallikarjuna Prasad Chivukula in the matter of CAT Technologies Ltd.</x:v>
      </x:c>
      <x:c r="N30" s="18" t="str"/>
      <x:c r="O30" s="18" t="str">
        <x:v>sebi_103421</x:v>
      </x:c>
      <x:c r="P30" s="18" t="str">
        <x:v>DEFINED_TERMINAL_OR_FEED_SCOPE</x:v>
      </x:c>
      <x:c r="Q30" s="18" t="str">
        <x:v>national_sebi_orders.json — published records loaded</x:v>
      </x:c>
      <x:c r="R30" s="18" t="str"/>
      <x:c r="S30" s="18" t="str"/>
      <x:c r="T30" s="20" t="n">
        <x:v>30</x:v>
      </x:c>
      <x:c r="U30" s="19" t="n">
        <x:f>IFERROR(TODAY()-DATEVALUE(C30),"")</x:f>
        <x:v>35</x:v>
      </x:c>
      <x:c r="V30" s="21" t="n">
        <x:f>ROUND(COUNTA(A30:K30)/11*100,0)</x:f>
        <x:v>100</x:v>
      </x:c>
      <x:c r="W30" s="18" t="str">
        <x:v>Income Tax Appellate Tribunal</x:v>
      </x:c>
      <x:c r="X30" s="22" t="str">
        <x:v>https://www.sebi.gov.in/enforcement/recovery-proceedings/aug-2026/completion-of-recovery-certificate-no-4397-of-2021-kesava-mallikarjuna-prasad-chivukula-in-the-matter-of-cat-technologies-ltd-_103421.html</x:v>
      </x:c>
      <x:c r="Y30" s="18" t="str">
        <x:v>2026-08-06</x:v>
      </x:c>
      <x:c r="Z30" s="18" t="n">
        <x:v>46275.114583333336</x:v>
      </x:c>
      <x:c r="AA30" s="18" t="str">
        <x:v>retained_terminal</x:v>
      </x:c>
      <x:c r="AB30" s="18" t="str">
        <x:v>READY</x:v>
      </x:c>
    </x:row>
    <x:row r="31">
      <x:c r="A31" s="18" t="str">
        <x:v>NYT-48-19723ff77a816cd4</x:v>
      </x:c>
      <x:c r="B31" s="18" t="str">
        <x:v>Release order for RC No. 4396 of 2021-Dhaduvai Venkatram in the matter of CAT Technologies Ltd.</x:v>
      </x:c>
      <x:c r="C31" s="18" t="str">
        <x:v>2026-08-06</x:v>
      </x:c>
      <x:c r="D31" s="18" t="n">
        <x:v>2026</x:v>
      </x:c>
      <x:c r="E31" s="18" t="str">
        <x:v>2026-08</x:v>
      </x:c>
      <x:c r="F31" s="18" t="str"/>
      <x:c r="G31" s="18" t="str">
        <x:v>enforcement/recovery proceedings</x:v>
      </x:c>
      <x:c r="H31" s="18" t="str"/>
      <x:c r="I31" s="18" t="str">
        <x:v>for RC No. 4396 of 2021-Dhaduvai Venkatram</x:v>
      </x:c>
      <x:c r="J31" s="20" t="str"/>
      <x:c r="K31" s="18" t="str"/>
      <x:c r="L31" s="18" t="str">
        <x:v>2026-08-06</x:v>
      </x:c>
      <x:c r="M31" s="18" t="str">
        <x:v>Release order for RC No. 4396 of 2021-Dhaduvai Venkatram in the matter of CAT Technologies Ltd.</x:v>
      </x:c>
      <x:c r="N31" s="18" t="str">
        <x:v>for RC No. 4396 of 2021-Dhaduvai Venkatram</x:v>
      </x:c>
      <x:c r="O31" s="18" t="str">
        <x:v>sebi_103420</x:v>
      </x:c>
      <x:c r="P31" s="18" t="str">
        <x:v>DEFINED_TERMINAL_OR_FEED_SCOPE</x:v>
      </x:c>
      <x:c r="Q31" s="18" t="str">
        <x:v>national_sebi_orders.json — published records loaded</x:v>
      </x:c>
      <x:c r="R31" s="18" t="str"/>
      <x:c r="S31" s="18" t="str"/>
      <x:c r="T31" s="20" t="n">
        <x:v>30</x:v>
      </x:c>
      <x:c r="U31" s="19" t="n">
        <x:f>IFERROR(TODAY()-DATEVALUE(C31),"")</x:f>
        <x:v>35</x:v>
      </x:c>
      <x:c r="V31" s="21" t="n">
        <x:f>ROUND(COUNTA(A31:K31)/11*100,0)</x:f>
        <x:v>100</x:v>
      </x:c>
      <x:c r="W31" s="18" t="str">
        <x:v>Income Tax Appellate Tribunal</x:v>
      </x:c>
      <x:c r="X31" s="22" t="str">
        <x:v>https://www.sebi.gov.in/enforcement/recovery-proceedings/aug-2026/release-order-for-rc-no-4396-of-2021-dhaduvai-venkatram-in-the-matter-of-cat-technologies-ltd-_103420.html</x:v>
      </x:c>
      <x:c r="Y31" s="18" t="str">
        <x:v>2026-08-06</x:v>
      </x:c>
      <x:c r="Z31" s="18" t="n">
        <x:v>46275.114583333336</x:v>
      </x:c>
      <x:c r="AA31" s="18" t="str">
        <x:v>retained_terminal</x:v>
      </x:c>
      <x:c r="AB31" s="18" t="str">
        <x:v>READY</x:v>
      </x:c>
    </x:row>
    <x:row r="32">
      <x:c r="A32" s="18" t="str">
        <x:v>NYT-48-c90657a0a144aa2a</x:v>
      </x:c>
      <x:c r="B32" s="18" t="str">
        <x:v>Completion of Recovery Certificate No. 4396 of 2021-Dhaduvai Venkatram in the matter of CAT Technologies Ltd.</x:v>
      </x:c>
      <x:c r="C32" s="18" t="str">
        <x:v>2026-08-06</x:v>
      </x:c>
      <x:c r="D32" s="18" t="n">
        <x:v>2026</x:v>
      </x:c>
      <x:c r="E32" s="18" t="str">
        <x:v>2026-08</x:v>
      </x:c>
      <x:c r="F32" s="18" t="str"/>
      <x:c r="G32" s="18" t="str">
        <x:v>enforcement/recovery proceedings</x:v>
      </x:c>
      <x:c r="H32" s="18" t="str"/>
      <x:c r="I32" s="18" t="str"/>
      <x:c r="J32" s="20" t="str"/>
      <x:c r="K32" s="18" t="str"/>
      <x:c r="L32" s="18" t="str">
        <x:v>2026-08-06</x:v>
      </x:c>
      <x:c r="M32" s="18" t="str">
        <x:v>Completion of Recovery Certificate No. 4396 of 2021-Dhaduvai Venkatram in the matter of CAT Technologies Ltd.</x:v>
      </x:c>
      <x:c r="N32" s="18" t="str"/>
      <x:c r="O32" s="18" t="str">
        <x:v>sebi_103418</x:v>
      </x:c>
      <x:c r="P32" s="18" t="str">
        <x:v>DEFINED_TERMINAL_OR_FEED_SCOPE</x:v>
      </x:c>
      <x:c r="Q32" s="18" t="str">
        <x:v>national_sebi_orders.json — published records loaded</x:v>
      </x:c>
      <x:c r="R32" s="18" t="str"/>
      <x:c r="S32" s="18" t="str"/>
      <x:c r="T32" s="20" t="n">
        <x:v>30</x:v>
      </x:c>
      <x:c r="U32" s="19" t="n">
        <x:f>IFERROR(TODAY()-DATEVALUE(C32),"")</x:f>
        <x:v>35</x:v>
      </x:c>
      <x:c r="V32" s="21" t="n">
        <x:f>ROUND(COUNTA(A32:K32)/11*100,0)</x:f>
        <x:v>100</x:v>
      </x:c>
      <x:c r="W32" s="18" t="str">
        <x:v>Income Tax Appellate Tribunal</x:v>
      </x:c>
      <x:c r="X32" s="22" t="str">
        <x:v>https://www.sebi.gov.in/enforcement/recovery-proceedings/aug-2026/completion-of-recovery-certificate-no-4396-of-2021-dhaduvai-venkatram-in-the-matter-of-cat-technologies-ltd-_103418.html</x:v>
      </x:c>
      <x:c r="Y32" s="18" t="str">
        <x:v>2026-08-06</x:v>
      </x:c>
      <x:c r="Z32" s="18" t="n">
        <x:v>46275.114583333336</x:v>
      </x:c>
      <x:c r="AA32" s="18" t="str">
        <x:v>retained_terminal</x:v>
      </x:c>
      <x:c r="AB32" s="18" t="str">
        <x:v>READY</x:v>
      </x:c>
    </x:row>
    <x:row r="33">
      <x:c r="A33" s="18" t="str">
        <x:v>NYT-48-d53bcc012d661576</x:v>
      </x:c>
      <x:c r="B33" s="18" t="str">
        <x:v>SEBI Releases its Annual Report for FY 2025-26</x:v>
      </x:c>
      <x:c r="C33" s="18" t="str">
        <x:v>2026-08-06</x:v>
      </x:c>
      <x:c r="D33" s="18" t="n">
        <x:v>2026</x:v>
      </x:c>
      <x:c r="E33" s="18" t="str">
        <x:v>2026-08</x:v>
      </x:c>
      <x:c r="F33" s="18" t="str"/>
      <x:c r="G33" s="18" t="str">
        <x:v>media and notifications/press releases</x:v>
      </x:c>
      <x:c r="H33" s="18" t="str"/>
      <x:c r="I33" s="18" t="str"/>
      <x:c r="J33" s="20" t="str"/>
      <x:c r="K33" s="18" t="str"/>
      <x:c r="L33" s="18" t="str">
        <x:v>2026-08-06</x:v>
      </x:c>
      <x:c r="M33" s="18" t="str">
        <x:v>SEBI Releases its Annual Report for FY 2025-26</x:v>
      </x:c>
      <x:c r="N33" s="18" t="str"/>
      <x:c r="O33" s="18" t="str">
        <x:v>sebi_103417</x:v>
      </x:c>
      <x:c r="P33" s="18" t="str">
        <x:v>DEFINED_TERMINAL_OR_FEED_SCOPE</x:v>
      </x:c>
      <x:c r="Q33" s="18" t="str">
        <x:v>national_sebi_orders.json — published records loaded</x:v>
      </x:c>
      <x:c r="R33" s="18" t="str"/>
      <x:c r="S33" s="18" t="str"/>
      <x:c r="T33" s="20" t="n">
        <x:v>30</x:v>
      </x:c>
      <x:c r="U33" s="19" t="n">
        <x:f>IFERROR(TODAY()-DATEVALUE(C33),"")</x:f>
        <x:v>35</x:v>
      </x:c>
      <x:c r="V33" s="21" t="n">
        <x:f>ROUND(COUNTA(A33:K33)/11*100,0)</x:f>
        <x:v>100</x:v>
      </x:c>
      <x:c r="W33" s="18" t="str">
        <x:v>Income Tax Appellate Tribunal</x:v>
      </x:c>
      <x:c r="X33" s="22" t="str">
        <x:v>https://www.sebi.gov.in/media-and-notifications/press-releases/aug-2026/sebi-releases-its-annual-report-for-fy-2025-26_103417.html</x:v>
      </x:c>
      <x:c r="Y33" s="18" t="str">
        <x:v>2026-08-06</x:v>
      </x:c>
      <x:c r="Z33" s="18" t="n">
        <x:v>46275.114583333336</x:v>
      </x:c>
      <x:c r="AA33" s="18" t="str">
        <x:v>retained_terminal</x:v>
      </x:c>
      <x:c r="AB33" s="18" t="str">
        <x:v>READY</x:v>
      </x:c>
    </x:row>
    <x:row r="34">
      <x:c r="A34" s="18" t="str">
        <x:v>NYT-48-0595097d6e151876</x:v>
      </x:c>
      <x:c r="B34" s="18" t="str">
        <x:v>Release Order - Certificate No. RC8582 of 2025 in respect of Consolidated Mercantiles Private Limited (PAN: AACCC2960N) in the matter of Illiquid Stock Options</x:v>
      </x:c>
      <x:c r="C34" s="18" t="str">
        <x:v>2026-08-06</x:v>
      </x:c>
      <x:c r="D34" s="18" t="n">
        <x:v>2026</x:v>
      </x:c>
      <x:c r="E34" s="18" t="str">
        <x:v>2026-08</x:v>
      </x:c>
      <x:c r="F34" s="18" t="str"/>
      <x:c r="G34" s="18" t="str">
        <x:v>enforcement/recovery proceedings</x:v>
      </x:c>
      <x:c r="H34" s="18" t="str"/>
      <x:c r="I34" s="18" t="str">
        <x:v>Certificate No. RC8582 of 2025 in respect of Consolidated Mercantiles Private Limited (PAN: AACCC2960N)</x:v>
      </x:c>
      <x:c r="J34" s="20" t="str"/>
      <x:c r="K34" s="18" t="str"/>
      <x:c r="L34" s="18" t="str">
        <x:v>2026-08-06</x:v>
      </x:c>
      <x:c r="M34" s="18" t="str">
        <x:v>Release Order - Certificate No. RC8582 of 2025 in respect of Consolidated Mercantiles Private Limited (PAN: AACCC2960N) in the matter of Illiquid Stock Options</x:v>
      </x:c>
      <x:c r="N34" s="18" t="str">
        <x:v>Certificate No. RC8582 of 2025 in respect of Consolidated Mercantiles Private Limited (PAN: AACCC2960N)</x:v>
      </x:c>
      <x:c r="O34" s="18" t="str">
        <x:v>sebi_103414</x:v>
      </x:c>
      <x:c r="P34" s="18" t="str">
        <x:v>DEFINED_TERMINAL_OR_FEED_SCOPE</x:v>
      </x:c>
      <x:c r="Q34" s="18" t="str">
        <x:v>national_sebi_orders.json — published records loaded</x:v>
      </x:c>
      <x:c r="R34" s="18" t="str"/>
      <x:c r="S34" s="18" t="str"/>
      <x:c r="T34" s="20" t="n">
        <x:v>30</x:v>
      </x:c>
      <x:c r="U34" s="19" t="n">
        <x:f>IFERROR(TODAY()-DATEVALUE(C34),"")</x:f>
        <x:v>35</x:v>
      </x:c>
      <x:c r="V34" s="21" t="n">
        <x:f>ROUND(COUNTA(A34:K34)/11*100,0)</x:f>
        <x:v>100</x:v>
      </x:c>
      <x:c r="W34" s="18" t="str">
        <x:v>Income Tax Appellate Tribunal</x:v>
      </x:c>
      <x:c r="X34" s="22" t="str">
        <x:v>https://www.sebi.gov.in/enforcement/recovery-proceedings/aug-2026/release-order-certificate-no-rc8582-of-2025-in-respect-of-consolidated-mercantiles-private-limited-pan-aaccc2960n-in-the-matter-of-illiquid-stock-options_103414.html</x:v>
      </x:c>
      <x:c r="Y34" s="18" t="str">
        <x:v>2026-08-06</x:v>
      </x:c>
      <x:c r="Z34" s="18" t="n">
        <x:v>46275.114583333336</x:v>
      </x:c>
      <x:c r="AA34" s="18" t="str">
        <x:v>retained_terminal</x:v>
      </x:c>
      <x:c r="AB34" s="18" t="str">
        <x:v>READY</x:v>
      </x:c>
    </x:row>
    <x:row r="35">
      <x:c r="A35" s="18" t="str">
        <x:v>NYT-48-f082f97af76e9f64</x:v>
      </x:c>
      <x:c r="B35" s="18" t="str">
        <x:v>Notice of Attachment of Demat Accounts and Mutual Fund Folios dated August 05, 2026 under RC 9219 of 2026 against Jitendra Surendra Gupta (PAN – AEJPG1171R) in the matter of Oriental Trimex Limited</x:v>
      </x:c>
      <x:c r="C35" s="18" t="str">
        <x:v>2026-08-05</x:v>
      </x:c>
      <x:c r="D35" s="18" t="n">
        <x:v>2026</x:v>
      </x:c>
      <x:c r="E35" s="18" t="str">
        <x:v>2026-08</x:v>
      </x:c>
      <x:c r="F35" s="18" t="str"/>
      <x:c r="G35" s="18" t="str">
        <x:v>enforcement/recovery proceedings</x:v>
      </x:c>
      <x:c r="H35" s="18" t="str"/>
      <x:c r="I35" s="18" t="str"/>
      <x:c r="J35" s="20" t="str"/>
      <x:c r="K35" s="18" t="str"/>
      <x:c r="L35" s="18" t="str">
        <x:v>2026-08-05</x:v>
      </x:c>
      <x:c r="M35" s="18" t="str">
        <x:v>Notice of Attachment of Demat Accounts and Mutual Fund Folios dated August 05, 2026 under RC 9219 of 2026 against Jitendra Surendra Gupta (PAN – AEJPG1171R) in the matter of Oriental Trimex Limited</x:v>
      </x:c>
      <x:c r="N35" s="18" t="str"/>
      <x:c r="O35" s="18" t="str">
        <x:v>sebi_103456</x:v>
      </x:c>
      <x:c r="P35" s="18" t="str">
        <x:v>DEFINED_TERMINAL_OR_FEED_SCOPE</x:v>
      </x:c>
      <x:c r="Q35" s="18" t="str">
        <x:v>national_sebi_orders.json — published records loaded</x:v>
      </x:c>
      <x:c r="R35" s="18" t="str"/>
      <x:c r="S35" s="18" t="str"/>
      <x:c r="T35" s="20" t="n">
        <x:v>30</x:v>
      </x:c>
      <x:c r="U35" s="19" t="n">
        <x:f>IFERROR(TODAY()-DATEVALUE(C35),"")</x:f>
        <x:v>36</x:v>
      </x:c>
      <x:c r="V35" s="21" t="n">
        <x:f>ROUND(COUNTA(A35:K35)/11*100,0)</x:f>
        <x:v>100</x:v>
      </x:c>
      <x:c r="W35" s="18" t="str">
        <x:v>Income Tax Appellate Tribunal</x:v>
      </x:c>
      <x:c r="X35" s="22" t="str">
        <x:v>https://www.sebi.gov.in/enforcement/recovery-proceedings/aug-2026/notice-of-attachment-of-demat-accounts-and-mutual-fund-folios-dated-august-05-2026-under-rc-9219-of-2026-against-jitendra-surendra-gupta-pan-aejpg1171r-in-the-matter-of-oriental-trimex-limited_103456.html</x:v>
      </x:c>
      <x:c r="Y35" s="18" t="str">
        <x:v>2026-08-05</x:v>
      </x:c>
      <x:c r="Z35" s="18" t="n">
        <x:v>46275.114583333336</x:v>
      </x:c>
      <x:c r="AA35" s="18" t="str">
        <x:v>retained_terminal</x:v>
      </x:c>
      <x:c r="AB35" s="18" t="str">
        <x:v>READY</x:v>
      </x:c>
    </x:row>
    <x:row r="36">
      <x:c r="A36" s="18" t="str">
        <x:v>NYT-48-2138508cdd6b0b08</x:v>
      </x:c>
      <x:c r="B36" s="18" t="str">
        <x:v>Notice of Attachment of Bank Accounts dated August 05, 2026 under RC 9219 of 2026 against Jitendra Surendra Gupta (PAN – AEJPG1171R) in the matter of Oriental Trimex Limited</x:v>
      </x:c>
      <x:c r="C36" s="18" t="str">
        <x:v>2026-08-05</x:v>
      </x:c>
      <x:c r="D36" s="18" t="n">
        <x:v>2026</x:v>
      </x:c>
      <x:c r="E36" s="18" t="str">
        <x:v>2026-08</x:v>
      </x:c>
      <x:c r="F36" s="18" t="str"/>
      <x:c r="G36" s="18" t="str">
        <x:v>enforcement/recovery proceedings</x:v>
      </x:c>
      <x:c r="H36" s="18" t="str"/>
      <x:c r="I36" s="18" t="str"/>
      <x:c r="J36" s="20" t="str"/>
      <x:c r="K36" s="18" t="str"/>
      <x:c r="L36" s="18" t="str">
        <x:v>2026-08-05</x:v>
      </x:c>
      <x:c r="M36" s="18" t="str">
        <x:v>Notice of Attachment of Bank Accounts dated August 05, 2026 under RC 9219 of 2026 against Jitendra Surendra Gupta (PAN – AEJPG1171R) in the matter of Oriental Trimex Limited</x:v>
      </x:c>
      <x:c r="N36" s="18" t="str"/>
      <x:c r="O36" s="18" t="str">
        <x:v>sebi_103454</x:v>
      </x:c>
      <x:c r="P36" s="18" t="str">
        <x:v>DEFINED_TERMINAL_OR_FEED_SCOPE</x:v>
      </x:c>
      <x:c r="Q36" s="18" t="str">
        <x:v>national_sebi_orders.json — published records loaded</x:v>
      </x:c>
      <x:c r="R36" s="18" t="str"/>
      <x:c r="S36" s="18" t="str"/>
      <x:c r="T36" s="20" t="n">
        <x:v>30</x:v>
      </x:c>
      <x:c r="U36" s="19" t="n">
        <x:f>IFERROR(TODAY()-DATEVALUE(C36),"")</x:f>
        <x:v>36</x:v>
      </x:c>
      <x:c r="V36" s="21" t="n">
        <x:f>ROUND(COUNTA(A36:K36)/11*100,0)</x:f>
        <x:v>100</x:v>
      </x:c>
      <x:c r="W36" s="18" t="str">
        <x:v>Income Tax Appellate Tribunal</x:v>
      </x:c>
      <x:c r="X36" s="22" t="str">
        <x:v>https://www.sebi.gov.in/enforcement/recovery-proceedings/aug-2026/notice-of-attachment-of-bank-accounts-dated-august-05-2026-under-rc-9219-of-2026-against-jitendra-surendra-gupta-pan-aejpg1171r-in-the-matter-of-oriental-trimex-limited_103454.html</x:v>
      </x:c>
      <x:c r="Y36" s="18" t="str">
        <x:v>2026-08-05</x:v>
      </x:c>
      <x:c r="Z36" s="18" t="n">
        <x:v>46275.114583333336</x:v>
      </x:c>
      <x:c r="AA36" s="18" t="str">
        <x:v>retained_terminal</x:v>
      </x:c>
      <x:c r="AB36" s="18" t="str">
        <x:v>READY</x:v>
      </x:c>
    </x:row>
    <x:row r="37">
      <x:c r="A37" s="18" t="str">
        <x:v>NYT-48-9e841ebb8d2d93f7</x:v>
      </x:c>
      <x:c r="B37" s="18" t="str">
        <x:v>Release Order - Certificate No. RC9147 of 2026 in respect of Amar Nath Das (PAN: AMNPD2486Q) &amp; Rajesh Kumar Agarwal (PAN: AFFPA4486E) in the matter of Illiquid Stock Options</x:v>
      </x:c>
      <x:c r="C37" s="18" t="str">
        <x:v>2026-08-05</x:v>
      </x:c>
      <x:c r="D37" s="18" t="n">
        <x:v>2026</x:v>
      </x:c>
      <x:c r="E37" s="18" t="str">
        <x:v>2026-08</x:v>
      </x:c>
      <x:c r="F37" s="18" t="str"/>
      <x:c r="G37" s="18" t="str">
        <x:v>enforcement/recovery proceedings</x:v>
      </x:c>
      <x:c r="H37" s="18" t="str"/>
      <x:c r="I37" s="18" t="str">
        <x:v>Certificate No. RC9147 of 2026 in respect of Amar Nath Das (PAN: AMNPD2486Q) &amp; Rajesh Kumar Agarwal (PAN: AFFPA4486E)</x:v>
      </x:c>
      <x:c r="J37" s="20" t="str"/>
      <x:c r="K37" s="18" t="str"/>
      <x:c r="L37" s="18" t="str">
        <x:v>2026-08-05</x:v>
      </x:c>
      <x:c r="M37" s="18" t="str">
        <x:v>Release Order - Certificate No. RC9147 of 2026 in respect of Amar Nath Das (PAN: AMNPD2486Q) &amp; Rajesh Kumar Agarwal (PAN: AFFPA4486E) in the matter of Illiquid Stock Options</x:v>
      </x:c>
      <x:c r="N37" s="18" t="str">
        <x:v>Certificate No. RC9147 of 2026 in respect of Amar Nath Das (PAN: AMNPD2486Q) &amp; Rajesh Kumar Agarwal (PAN: AFFPA4486E)</x:v>
      </x:c>
      <x:c r="O37" s="18" t="str">
        <x:v>sebi_103395</x:v>
      </x:c>
      <x:c r="P37" s="18" t="str">
        <x:v>DEFINED_TERMINAL_OR_FEED_SCOPE</x:v>
      </x:c>
      <x:c r="Q37" s="18" t="str">
        <x:v>national_sebi_orders.json — published records loaded</x:v>
      </x:c>
      <x:c r="R37" s="18" t="str"/>
      <x:c r="S37" s="18" t="str"/>
      <x:c r="T37" s="20" t="n">
        <x:v>30</x:v>
      </x:c>
      <x:c r="U37" s="19" t="n">
        <x:f>IFERROR(TODAY()-DATEVALUE(C37),"")</x:f>
        <x:v>36</x:v>
      </x:c>
      <x:c r="V37" s="21" t="n">
        <x:f>ROUND(COUNTA(A37:K37)/11*100,0)</x:f>
        <x:v>100</x:v>
      </x:c>
      <x:c r="W37" s="18" t="str">
        <x:v>Income Tax Appellate Tribunal</x:v>
      </x:c>
      <x:c r="X37" s="22" t="str">
        <x:v>https://www.sebi.gov.in/enforcement/recovery-proceedings/aug-2026/release-order-certificate-no-rc9147-of-2026-in-respect-of-amar-nath-das-pan-amnpd2486q-and-rajesh-kumar-agarwal-pan-affpa4486e-in-the-matter-of-illiquid-stock-options_103395.html</x:v>
      </x:c>
      <x:c r="Y37" s="18" t="str">
        <x:v>2026-08-05</x:v>
      </x:c>
      <x:c r="Z37" s="18" t="n">
        <x:v>46275.114583333336</x:v>
      </x:c>
      <x:c r="AA37" s="18" t="str">
        <x:v>retained_terminal</x:v>
      </x:c>
      <x:c r="AB37" s="18" t="str">
        <x:v>READY</x:v>
      </x:c>
    </x:row>
    <x:row r="38">
      <x:c r="A38" s="18" t="str">
        <x:v>NYT-48-0651667e2a2d7600</x:v>
      </x:c>
      <x:c r="B38" s="18" t="str">
        <x:v>Completion of Recovery Certificate No. RC9147 of 2026 in respect of Amar Nath Das (PAN: AMNPD2486Q) &amp; Rajesh Kumar Agarwal (PAN: AFFPA4486E) in the matter of Illiquid Stock Options</x:v>
      </x:c>
      <x:c r="C38" s="18" t="str">
        <x:v>2026-08-05</x:v>
      </x:c>
      <x:c r="D38" s="18" t="n">
        <x:v>2026</x:v>
      </x:c>
      <x:c r="E38" s="18" t="str">
        <x:v>2026-08</x:v>
      </x:c>
      <x:c r="F38" s="18" t="str"/>
      <x:c r="G38" s="18" t="str">
        <x:v>enforcement/recovery proceedings</x:v>
      </x:c>
      <x:c r="H38" s="18" t="str"/>
      <x:c r="I38" s="18" t="str"/>
      <x:c r="J38" s="20" t="str"/>
      <x:c r="K38" s="18" t="str"/>
      <x:c r="L38" s="18" t="str">
        <x:v>2026-08-05</x:v>
      </x:c>
      <x:c r="M38" s="18" t="str">
        <x:v>Completion of Recovery Certificate No. RC9147 of 2026 in respect of Amar Nath Das (PAN: AMNPD2486Q) &amp; Rajesh Kumar Agarwal (PAN: AFFPA4486E) in the matter of Illiquid Stock Options</x:v>
      </x:c>
      <x:c r="N38" s="18" t="str"/>
      <x:c r="O38" s="18" t="str">
        <x:v>sebi_103393</x:v>
      </x:c>
      <x:c r="P38" s="18" t="str">
        <x:v>DEFINED_TERMINAL_OR_FEED_SCOPE</x:v>
      </x:c>
      <x:c r="Q38" s="18" t="str">
        <x:v>national_sebi_orders.json — published records loaded</x:v>
      </x:c>
      <x:c r="R38" s="18" t="str"/>
      <x:c r="S38" s="18" t="str"/>
      <x:c r="T38" s="20" t="n">
        <x:v>30</x:v>
      </x:c>
      <x:c r="U38" s="19" t="n">
        <x:f>IFERROR(TODAY()-DATEVALUE(C38),"")</x:f>
        <x:v>36</x:v>
      </x:c>
      <x:c r="V38" s="21" t="n">
        <x:f>ROUND(COUNTA(A38:K38)/11*100,0)</x:f>
        <x:v>100</x:v>
      </x:c>
      <x:c r="W38" s="18" t="str">
        <x:v>Income Tax Appellate Tribunal</x:v>
      </x:c>
      <x:c r="X38" s="22" t="str">
        <x:v>https://www.sebi.gov.in/enforcement/recovery-proceedings/aug-2026/completion-of-recovery-certificate-no-rc9147-of-2026-in-respect-of-amar-nath-das-pan-amnpd2486q-and-rajesh-kumar-agarwal-pan-affpa4486e-in-the-matter-of-illiquid-stock-options_103393.html</x:v>
      </x:c>
      <x:c r="Y38" s="18" t="str">
        <x:v>2026-08-05</x:v>
      </x:c>
      <x:c r="Z38" s="18" t="n">
        <x:v>46275.114583333336</x:v>
      </x:c>
      <x:c r="AA38" s="18" t="str">
        <x:v>retained_terminal</x:v>
      </x:c>
      <x:c r="AB38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940998274964db7"/>
  <x:tableParts count="1">
    <x:tablePart xmlns:r="http://schemas.openxmlformats.org/officeDocument/2006/relationships" r:id="R5d65837499044acf"/>
  </x:tableParts>
</x:worksheet>
</file>