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5a7c2d0daa4c70" /></Relationships>
</file>

<file path=xl/workbook.xml><?xml version="1.0" encoding="utf-8"?>
<x:workbook xmlns:x="http://schemas.openxmlformats.org/spreadsheetml/2006/main">
  <x:sheets>
    <x:sheet xmlns:r="http://schemas.openxmlformats.org/officeDocument/2006/relationships" name="F40 District Court Case Tracker" sheetId="1" r:id="Rc37281302ad244b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19f9378934454b" /><Relationship Type="http://schemas.openxmlformats.org/officeDocument/2006/relationships/theme" Target="/xl/theme/theme1.xml" Id="Re9ca948bc27d4f95" /><Relationship Type="http://schemas.openxmlformats.org/officeDocument/2006/relationships/sharedStrings" Target="/xl/sharedStrings.xml" Id="R3d1398e339ed442b" /><Relationship Type="http://schemas.openxmlformats.org/officeDocument/2006/relationships/worksheet" Target="/xl/worksheets/sheet1.xml" Id="Rc37281302ad244b4" /></Relationships>
</file>

<file path=xl/drawings/_rels/drawing1.xml.rels>&#65279;<?xml version="1.0" encoding="utf-8"?><Relationships xmlns="http://schemas.openxmlformats.org/package/2006/relationships"><Relationship Type="http://schemas.openxmlformats.org/officeDocument/2006/relationships/chart" Target="/xl/drawings/charts/chart1.xml" Id="R36c07f8940c04ffe" /><Relationship Type="http://schemas.openxmlformats.org/officeDocument/2006/relationships/chart" Target="/xl/drawings/charts/chart2.xml" Id="Rbfd8d33c8b4043aa" /><Relationship Type="http://schemas.openxmlformats.org/officeDocument/2006/relationships/chart" Target="/xl/drawings/charts/chart3.xml" Id="Redf6d8b4fdd04fc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Case filings and disposals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'F40 District Court Case Tracker'!$AZ$3:$AZ$15</c:f>
              <c:strCache>
                <c:ptCount val="0"/>
              </c:strCache>
            </c:strRef>
          </c:cat>
          <c:val>
            <c:numRef>
              <c:f>'F40 District Court Case Tracker'!$BA$3:$BA$15</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Pendency by district and case type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'F40 District Court Case Tracker'!$BC$3</c:f>
              <c:strCache>
                <c:ptCount val="0"/>
              </c:strCache>
            </c:strRef>
          </c:cat>
          <c:val>
            <c:numRef>
              <c:f>'F40 District Court Case Tracker'!$BD$3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Case-age distribution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'F40 District Court Case Tracker'!$BF$3:$BF$14</c:f>
              <c:strCache>
                <c:ptCount val="0"/>
              </c:strCache>
            </c:strRef>
          </c:cat>
          <c:val>
            <c:numRef>
              <c:f>'F40 District Court Case Tracker'!$BG$3:$BG$14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c07f8940c04ffe"/>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d8d33c8b4043aa"/>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f6d8b4fdd04fc1"/>
        </a:graphicData>
      </a:graphic>
    </xdr:graphicFrame>
    <xdr:clientData/>
  </xdr:twoCellAnchor>
</xdr:wsDr>
</file>

<file path=xl/tables/table1.xml><?xml version="1.0" encoding="utf-8"?>
<x:table xmlns:x="http://schemas.openxmlformats.org/spreadsheetml/2006/main" id="1" name="T_law_40_clean_103654" displayName="T_law_40_clean_103654" ref="A8:AC71" headerRowCount="1" totalsRowCount="0" totalsRowShown="0">
  <x:tableColumns count="29">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title"/>
    <x:tableColumn id="13" name="publisher"/>
    <x:tableColumn id="14" name="query"/>
    <x:tableColumn id="15" name="published_at"/>
    <x:tableColumn id="16" name="publisher_url"/>
    <x:tableColumn id="17" name="coverage_status"/>
    <x:tableColumn id="18" name="coverage_scope"/>
    <x:tableColumn id="19" name="coverage_start"/>
    <x:tableColumn id="20" name="coverage_end"/>
    <x:tableColumn id="21" name="universe_count"/>
    <x:tableColumn id="22" name="record_age_days"/>
    <x:tableColumn id="23" name="record_completeness_pct"/>
    <x:tableColumn id="24" name="source_provider"/>
    <x:tableColumn id="25" name="source_url"/>
    <x:tableColumn id="26" name="source_published_at"/>
    <x:tableColumn id="27" name="source_retrieved_at"/>
    <x:tableColumn id="28" name="provenance"/>
    <x:tableColumn id="29"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792b39fe12d4766" /><Relationship Type="http://schemas.openxmlformats.org/officeDocument/2006/relationships/table" Target="/xl/tables/table1.xml" Id="Rb4cdb268f5ee4c32"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32" hidden="0" customWidth="1"/>
    <x:col min="13" max="13" width="15" hidden="0" customWidth="1"/>
    <x:col min="14" max="14" width="15" hidden="0" customWidth="1"/>
    <x:col min="15" max="15" width="15" hidden="0" customWidth="1"/>
    <x:col min="16" max="16" width="42"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8" hidden="0" customWidth="1"/>
    <x:col min="25" max="25" width="42" hidden="0" customWidth="1"/>
    <x:col min="26" max="26" width="15" hidden="0" customWidth="1"/>
    <x:col min="27" max="27" width="15" hidden="0" customWidth="1"/>
    <x:col min="28" max="28" width="15" hidden="0" customWidth="1"/>
    <x:col min="29" max="29" width="15" hidden="0" customWidth="1"/>
  </x:cols>
  <x:sheetData>
    <x:row r="1" ht="25" customHeight="1">
      <x:c r="A1" s="4" t="str">
        <x:v>District Court Case Tracker</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63 enrichment records •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2026-08-29</x:v>
      </x:c>
      <x:c r="BA3" s="18" t="n">
        <x:v>5</x:v>
      </x:c>
      <x:c r="BC3" s="18" t="str">
        <x:v>India district court order judgment</x:v>
      </x:c>
      <x:c r="BD3" s="18" t="n">
        <x:v>63</x:v>
      </x:c>
      <x:c r="BF3" s="18" t="str">
        <x:v>Lawtext</x:v>
      </x:c>
      <x:c r="BG3" s="18" t="n">
        <x:v>17</x:v>
      </x:c>
    </x:row>
    <x:row r="4">
      <x:c r="A4" s="9" t="str">
        <x:v>Records</x:v>
      </x:c>
      <x:c r="B4" s="10" t="n">
        <x:v>63</x:v>
      </x:c>
      <x:c r="C4" s="9" t="str">
        <x:v>Dated records</x:v>
      </x:c>
      <x:c r="D4" s="10" t="n">
        <x:v>63</x:v>
      </x:c>
      <x:c r="E4" s="9" t="str">
        <x:v>Sources</x:v>
      </x:c>
      <x:c r="F4" s="10" t="n">
        <x:v>1</x:v>
      </x:c>
      <x:c r="G4" s="9" t="str">
        <x:v>Freshest record</x:v>
      </x:c>
      <x:c r="H4" s="9" t="str">
        <x:v>2026-09-10</x:v>
      </x:c>
      <x:c r="AZ4" s="18" t="str">
        <x:v>2026-08-30</x:v>
      </x:c>
      <x:c r="BA4" s="18" t="n">
        <x:v>1</x:v>
      </x:c>
      <x:c r="BF4" s="18" t="str">
        <x:v>The Indian Express</x:v>
      </x:c>
      <x:c r="BG4" s="18" t="n">
        <x:v>6</x:v>
      </x:c>
    </x:row>
    <x:row r="5">
      <x:c r="AZ5" s="18" t="str">
        <x:v>2026-08-31</x:v>
      </x:c>
      <x:c r="BA5" s="18" t="n">
        <x:v>2</x:v>
      </x:c>
      <x:c r="BF5" s="18" t="str">
        <x:v>Live Law</x:v>
      </x:c>
      <x:c r="BG5" s="18" t="n">
        <x:v>3</x:v>
      </x:c>
    </x:row>
    <x:row r="6">
      <x:c r="AZ6" s="18" t="str">
        <x:v>2026-09-01</x:v>
      </x:c>
      <x:c r="BA6" s="18" t="n">
        <x:v>10</x:v>
      </x:c>
      <x:c r="BF6" s="18" t="str">
        <x:v>SCC Online</x:v>
      </x:c>
      <x:c r="BG6" s="18" t="n">
        <x:v>3</x:v>
      </x:c>
    </x:row>
    <x:row r="7">
      <x:c r="AZ7" s="18" t="str">
        <x:v>2026-09-02</x:v>
      </x:c>
      <x:c r="BA7" s="18" t="n">
        <x:v>5</x:v>
      </x:c>
      <x:c r="BF7" s="18" t="str">
        <x:v>Verdictum</x:v>
      </x:c>
      <x:c r="BG7" s="18" t="n">
        <x:v>2</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title</x:v>
      </x:c>
      <x:c r="M8" s="15" t="str">
        <x:v>publisher</x:v>
      </x:c>
      <x:c r="N8" s="15" t="str">
        <x:v>query</x:v>
      </x:c>
      <x:c r="O8" s="15" t="str">
        <x:v>published_at</x:v>
      </x:c>
      <x:c r="P8" s="15" t="str">
        <x:v>publisher_url</x:v>
      </x:c>
      <x:c r="Q8" s="15" t="str">
        <x:v>coverage_status</x:v>
      </x:c>
      <x:c r="R8" s="15" t="str">
        <x:v>coverage_scope</x:v>
      </x:c>
      <x:c r="S8" s="15" t="str">
        <x:v>coverage_start</x:v>
      </x:c>
      <x:c r="T8" s="15" t="str">
        <x:v>coverage_end</x:v>
      </x:c>
      <x:c r="U8" s="15" t="str">
        <x:v>universe_count</x:v>
      </x:c>
      <x:c r="V8" s="15" t="str">
        <x:v>record_age_days</x:v>
      </x:c>
      <x:c r="W8" s="15" t="str">
        <x:v>record_completeness_pct</x:v>
      </x:c>
      <x:c r="X8" s="15" t="str">
        <x:v>source_provider</x:v>
      </x:c>
      <x:c r="Y8" s="15" t="str">
        <x:v>source_url</x:v>
      </x:c>
      <x:c r="Z8" s="15" t="str">
        <x:v>source_published_at</x:v>
      </x:c>
      <x:c r="AA8" s="15" t="str">
        <x:v>source_retrieved_at</x:v>
      </x:c>
      <x:c r="AB8" s="15" t="str">
        <x:v>provenance</x:v>
      </x:c>
      <x:c r="AC8" s="15" t="str">
        <x:v>quality_status</x:v>
      </x:c>
      <x:c r="AZ8" s="18" t="str">
        <x:v>2026-09-03</x:v>
      </x:c>
      <x:c r="BA8" s="18" t="n">
        <x:v>2</x:v>
      </x:c>
      <x:c r="BF8" s="18" t="str">
        <x:v>indialegallive.com</x:v>
      </x:c>
      <x:c r="BG8" s="18" t="n">
        <x:v>2</x:v>
      </x:c>
    </x:row>
    <x:row r="9">
      <x:c r="A9" s="18" t="str">
        <x:v>NYT-40-24fd56ac51a4833a</x:v>
      </x:c>
      <x:c r="B9" s="18" t="str">
        <x:v>Bridging the “yawning gap”: The retirement age of District Judges - Supreme Court Observer</x:v>
      </x:c>
      <x:c r="C9" s="18" t="str">
        <x:v>2026-09-08</x:v>
      </x:c>
      <x:c r="D9" s="18" t="n">
        <x:v>2026</x:v>
      </x:c>
      <x:c r="E9" s="18" t="str">
        <x:v>2026-09</x:v>
      </x:c>
      <x:c r="F9" s="18" t="str"/>
      <x:c r="G9" s="18" t="str">
        <x:v>India district court order judgment</x:v>
      </x:c>
      <x:c r="H9" s="18" t="str"/>
      <x:c r="I9" s="18" t="str">
        <x:v>Supreme Court Observer</x:v>
      </x:c>
      <x:c r="J9" s="20" t="str"/>
      <x:c r="K9" s="18" t="str"/>
      <x:c r="L9" s="18" t="str">
        <x:v>Bridging the “yawning gap”: The retirement age of District Judges - Supreme Court Observer</x:v>
      </x:c>
      <x:c r="M9" s="18" t="str">
        <x:v>Supreme Court Observer</x:v>
      </x:c>
      <x:c r="N9" s="18" t="str">
        <x:v>India district court order judgment</x:v>
      </x:c>
      <x:c r="O9" s="18" t="n">
        <x:v>46273.59392361111</x:v>
      </x:c>
      <x:c r="P9" s="18" t="str">
        <x:v>https://www.scobserver.in</x:v>
      </x:c>
      <x:c r="Q9" s="18" t="str">
        <x:v>DEFINED_TERMINAL_OR_FEED_SCOPE</x:v>
      </x:c>
      <x:c r="R9" s="18" t="str">
        <x:v>news_district_court_14d.json — published records loaded</x:v>
      </x:c>
      <x:c r="S9" s="18" t="str"/>
      <x:c r="T9" s="18" t="str"/>
      <x:c r="U9" s="20" t="n">
        <x:v>63</x:v>
      </x:c>
      <x:c r="V9" s="19" t="n">
        <x:f>IFERROR(TODAY()-DATEVALUE(C9),"")</x:f>
        <x:v>2</x:v>
      </x:c>
      <x:c r="W9" s="21" t="n">
        <x:f>ROUND(COUNTA(A9:K9)/11*100,0)</x:f>
        <x:v>100</x:v>
      </x:c>
      <x:c r="X9" s="18" t="str">
        <x:v>Google News RSS</x:v>
      </x:c>
      <x:c r="Y9" s="22" t="str">
        <x:v>https://news.google.com/rss/articles/CBMiowFBVV95cUxQU0JIbnhWUDBKWkM4dzRrdUd3WWlBTXBycTV3RThuaXdZV3puVmxPVlN6eUlBaHpmT1R1eXZ0Y0NRTFkwcVZLczViV3dCd0phTHJqeVdTcWdfME92NkpLWk9CUW9rVUEyMU5XUEFocEJMaGZtOEphSkt0UE94UUxPb0V5TTlnbUFtSGZwY2VjZndQRjZ4bHc2d0ZTSUxybXFuVFl3?oc=5</x:v>
      </x:c>
      <x:c r="Z9" s="18" t="n">
        <x:v>46273.59392361111</x:v>
      </x:c>
      <x:c r="AA9" s="18" t="n">
        <x:v>46275.38862103009</x:v>
      </x:c>
      <x:c r="AB9" s="18" t="str">
        <x:v>public_rss</x:v>
      </x:c>
      <x:c r="AC9" s="18" t="str">
        <x:v>READY</x:v>
      </x:c>
      <x:c r="AZ9" s="18" t="str">
        <x:v>2026-09-04</x:v>
      </x:c>
      <x:c r="BA9" s="18" t="n">
        <x:v>3</x:v>
      </x:c>
      <x:c r="BF9" s="18" t="str">
        <x:v>ThePrint</x:v>
      </x:c>
      <x:c r="BG9" s="18" t="n">
        <x:v>2</x:v>
      </x:c>
    </x:row>
    <x:row r="10">
      <x:c r="A10" s="18" t="str">
        <x:v>NYT-40-773f911bfe0729df</x:v>
      </x:c>
      <x:c r="B10" s="18" t="str">
        <x:v>Most HCs Agree To Raise District Judges' Retirement Age, Many States Undecided: Supreme Court Told - Live Law</x:v>
      </x:c>
      <x:c r="C10" s="18" t="str">
        <x:v>2026-09-01</x:v>
      </x:c>
      <x:c r="D10" s="18" t="n">
        <x:v>2026</x:v>
      </x:c>
      <x:c r="E10" s="18" t="str">
        <x:v>2026-09</x:v>
      </x:c>
      <x:c r="F10" s="18" t="str"/>
      <x:c r="G10" s="18" t="str">
        <x:v>India district court order judgment</x:v>
      </x:c>
      <x:c r="H10" s="18" t="str"/>
      <x:c r="I10" s="18" t="str">
        <x:v>Live Law</x:v>
      </x:c>
      <x:c r="J10" s="20" t="str"/>
      <x:c r="K10" s="18" t="str"/>
      <x:c r="L10" s="18" t="str">
        <x:v>Most HCs Agree To Raise District Judges' Retirement Age, Many States Undecided: Supreme Court Told - Live Law</x:v>
      </x:c>
      <x:c r="M10" s="18" t="str">
        <x:v>Live Law</x:v>
      </x:c>
      <x:c r="N10" s="18" t="str">
        <x:v>India district court order judgment</x:v>
      </x:c>
      <x:c r="O10" s="18" t="n">
        <x:v>46266.291666666664</x:v>
      </x:c>
      <x:c r="P10" s="18" t="str">
        <x:v>https://www.livelaw.in</x:v>
      </x:c>
      <x:c r="Q10" s="18" t="str">
        <x:v>DEFINED_TERMINAL_OR_FEED_SCOPE</x:v>
      </x:c>
      <x:c r="R10" s="18" t="str">
        <x:v>news_district_court_14d.json — published records loaded</x:v>
      </x:c>
      <x:c r="S10" s="18" t="str"/>
      <x:c r="T10" s="18" t="str"/>
      <x:c r="U10" s="20" t="n">
        <x:v>63</x:v>
      </x:c>
      <x:c r="V10" s="19" t="n">
        <x:f>IFERROR(TODAY()-DATEVALUE(C10),"")</x:f>
        <x:v>9</x:v>
      </x:c>
      <x:c r="W10" s="21" t="n">
        <x:f>ROUND(COUNTA(A10:K10)/11*100,0)</x:f>
        <x:v>100</x:v>
      </x:c>
      <x:c r="X10" s="18" t="str">
        <x:v>Google News RSS</x:v>
      </x:c>
      <x:c r="Y10" s="22" t="str">
        <x:v>https://news.google.com/rss/articles/CBMigwJBVV95cUxNbzA0MTdlWm9YbjhELWk3VldUUTN0VVJMSDNrNnBfSzlySFA3VDM2Y1ZhSXFfaWpVQ0hzM1VfNDI5bHlvRF9zcTFocXFfSjJfYVlSTVpoQ28xZUZtcHpFbkc2RUZxSFAzY3hhbm1qaTRBR0dELUlKcjMxbFE0ajdBTHZLcjdLNjh0UTRaRzl4NzZJQm13eGJGNnBuNTB5YWw2Szd2RkZ0MTNmYkpPX3lYdDh4VlhBekJtVG1qWmotMEt6dFAtbHE5RzZuMUNoUFRJVG54NHdqZmppcG16TlF6S212Z19DSzE3UkhmWWtxbzQ0dTZQMk1WaVZKMXRGdjlnUlln0gGIAkFVX3lxTE5fZ0VUcm5QVXl5VWFpNlNGUTJmdWlQOGFKMExESTF2TWxIZDhEdlRmUEtiamdHbFZMY3NSb0ZmMnBJRDBoNmdBcWp5V2hUc3BpWXExOGNjMllPeTZ4a0JKdHRBbVJ2cVc0M2IwaXRRMHJVcUFqN2MxSVlHaVUxaHhzUFNKdkVaaUR4LWdPRzUxeS1mLXRsRl9scHVQNzV6NFJtc2JqTXlYdWk2VlN6RFhqdjdCaW1XZXEtNGtfb1k2OWhnVjd4NVFuT2ZNdDVsV2lZQzNXV0h1cU84Y1dPTEp0aG5Gc0RualNuWnVCQ1lwWGdhcWo5MUQzX25IOFRPQ24wYXpBdGV2Qw?oc=5</x:v>
      </x:c>
      <x:c r="Z10" s="18" t="n">
        <x:v>46266.291666666664</x:v>
      </x:c>
      <x:c r="AA10" s="18" t="n">
        <x:v>46275.38862103009</x:v>
      </x:c>
      <x:c r="AB10" s="18" t="str">
        <x:v>public_rss</x:v>
      </x:c>
      <x:c r="AC10" s="18" t="str">
        <x:v>READY</x:v>
      </x:c>
      <x:c r="AZ10" s="18" t="str">
        <x:v>2026-09-05</x:v>
      </x:c>
      <x:c r="BA10" s="18" t="n">
        <x:v>6</x:v>
      </x:c>
      <x:c r="BF10" s="18" t="str">
        <x:v>ETV Bharat</x:v>
      </x:c>
      <x:c r="BG10" s="18" t="n">
        <x:v>2</x:v>
      </x:c>
    </x:row>
    <x:row r="11">
      <x:c r="A11" s="18" t="str">
        <x:v>NYT-40-47898e83585c69e8</x:v>
      </x:c>
      <x:c r="B11" s="18" t="str">
        <x:v>Judicial Officers are not employees: Explaining the Supreme Court’s case for raising the District Judge retirement age to 62 - SCC Online</x:v>
      </x:c>
      <x:c r="C11" s="18" t="str">
        <x:v>2026-09-07</x:v>
      </x:c>
      <x:c r="D11" s="18" t="n">
        <x:v>2026</x:v>
      </x:c>
      <x:c r="E11" s="18" t="str">
        <x:v>2026-09</x:v>
      </x:c>
      <x:c r="F11" s="18" t="str"/>
      <x:c r="G11" s="18" t="str">
        <x:v>India district court order judgment</x:v>
      </x:c>
      <x:c r="H11" s="18" t="str"/>
      <x:c r="I11" s="18" t="str">
        <x:v>SCC Online</x:v>
      </x:c>
      <x:c r="J11" s="20" t="str"/>
      <x:c r="K11" s="18" t="str"/>
      <x:c r="L11" s="18" t="str">
        <x:v>Judicial Officers are not employees: Explaining the Supreme Court’s case for raising the District Judge retirement age to 62 - SCC Online</x:v>
      </x:c>
      <x:c r="M11" s="18" t="str">
        <x:v>SCC Online</x:v>
      </x:c>
      <x:c r="N11" s="18" t="str">
        <x:v>India district court order judgment</x:v>
      </x:c>
      <x:c r="O11" s="18" t="n">
        <x:v>46272.187685185185</x:v>
      </x:c>
      <x:c r="P11" s="18" t="str">
        <x:v>https://www.scconline.com</x:v>
      </x:c>
      <x:c r="Q11" s="18" t="str">
        <x:v>DEFINED_TERMINAL_OR_FEED_SCOPE</x:v>
      </x:c>
      <x:c r="R11" s="18" t="str">
        <x:v>news_district_court_14d.json — published records loaded</x:v>
      </x:c>
      <x:c r="S11" s="18" t="str"/>
      <x:c r="T11" s="18" t="str"/>
      <x:c r="U11" s="20" t="n">
        <x:v>63</x:v>
      </x:c>
      <x:c r="V11" s="19" t="n">
        <x:f>IFERROR(TODAY()-DATEVALUE(C11),"")</x:f>
        <x:v>3</x:v>
      </x:c>
      <x:c r="W11" s="21" t="n">
        <x:f>ROUND(COUNTA(A11:K11)/11*100,0)</x:f>
        <x:v>100</x:v>
      </x:c>
      <x:c r="X11" s="18" t="str">
        <x:v>Google News RSS</x:v>
      </x:c>
      <x:c r="Y11" s="22" t="str">
        <x:v>https://news.google.com/rss/articles/CBMioAFBVV95cUxNZDBybXY0Y3ZGTm1VNmc0ZFhDOGZOTmwzNktXM0ZLNW92VHVtS3FHa24zSDFRVC16ZlhLbEVpdlQxUHhic0k2cEhuYkU3MngzN20tak5NaEpBekJ2SUxZZnYtMTRQTnJjYTgySDdLUjdQdmpRNmRYRVNUc01hRUQwd0g4am5IVV9fczI2MThwRnc1Q0llaHpLZWUtNG1yRXhX?oc=5</x:v>
      </x:c>
      <x:c r="Z11" s="18" t="n">
        <x:v>46272.187685185185</x:v>
      </x:c>
      <x:c r="AA11" s="18" t="n">
        <x:v>46275.38862103009</x:v>
      </x:c>
      <x:c r="AB11" s="18" t="str">
        <x:v>public_rss</x:v>
      </x:c>
      <x:c r="AC11" s="18" t="str">
        <x:v>READY</x:v>
      </x:c>
      <x:c r="AZ11" s="18" t="str">
        <x:v>2026-09-06</x:v>
      </x:c>
      <x:c r="BA11" s="18" t="n">
        <x:v>3</x:v>
      </x:c>
      <x:c r="BF11" s="18" t="str">
        <x:v>Rediff</x:v>
      </x:c>
      <x:c r="BG11" s="18" t="n">
        <x:v>2</x:v>
      </x:c>
    </x:row>
    <x:row r="12">
      <x:c r="A12" s="18" t="str">
        <x:v>NYT-40-23ea8a267930ee6d</x:v>
      </x:c>
      <x:c r="B12" s="18" t="str">
        <x:v>Student Issued Notice Over Jantar Mantar Protests Despite Supreme Court Order; CJI Calls For District... - LawBeat</x:v>
      </x:c>
      <x:c r="C12" s="18" t="str">
        <x:v>2026-09-09</x:v>
      </x:c>
      <x:c r="D12" s="18" t="n">
        <x:v>2026</x:v>
      </x:c>
      <x:c r="E12" s="18" t="str">
        <x:v>2026-09</x:v>
      </x:c>
      <x:c r="F12" s="18" t="str"/>
      <x:c r="G12" s="18" t="str">
        <x:v>India district court order judgment</x:v>
      </x:c>
      <x:c r="H12" s="18" t="str"/>
      <x:c r="I12" s="18" t="str">
        <x:v>LawBeat</x:v>
      </x:c>
      <x:c r="J12" s="20" t="str"/>
      <x:c r="K12" s="18" t="str"/>
      <x:c r="L12" s="18" t="str">
        <x:v>Student Issued Notice Over Jantar Mantar Protests Despite Supreme Court Order; CJI Calls For District... - LawBeat</x:v>
      </x:c>
      <x:c r="M12" s="18" t="str">
        <x:v>LawBeat</x:v>
      </x:c>
      <x:c r="N12" s="18" t="str">
        <x:v>India district court order judgment</x:v>
      </x:c>
      <x:c r="O12" s="18" t="n">
        <x:v>46274.307708333334</x:v>
      </x:c>
      <x:c r="P12" s="18" t="str">
        <x:v>https://lawbeat.in</x:v>
      </x:c>
      <x:c r="Q12" s="18" t="str">
        <x:v>DEFINED_TERMINAL_OR_FEED_SCOPE</x:v>
      </x:c>
      <x:c r="R12" s="18" t="str">
        <x:v>news_district_court_14d.json — published records loaded</x:v>
      </x:c>
      <x:c r="S12" s="18" t="str"/>
      <x:c r="T12" s="18" t="str"/>
      <x:c r="U12" s="20" t="n">
        <x:v>63</x:v>
      </x:c>
      <x:c r="V12" s="19" t="n">
        <x:f>IFERROR(TODAY()-DATEVALUE(C12),"")</x:f>
        <x:v>1</x:v>
      </x:c>
      <x:c r="W12" s="21" t="n">
        <x:f>ROUND(COUNTA(A12:K12)/11*100,0)</x:f>
        <x:v>100</x:v>
      </x:c>
      <x:c r="X12" s="18" t="str">
        <x:v>Google News RSS</x:v>
      </x:c>
      <x:c r="Y12" s="22" t="str">
        <x:v>https://news.google.com/rss/articles/CBMi9gFBVV95cUxNWFRTa1pzc0JmczBTY3hVenRVMWJDd3VvaVpYYk1TTmRWbC1WWm5uVDRwbV9XeUxteUFZOTM2RENLUmJ0WlVzWExvZHUyd3Vqa2tCeGJlcW9tdjg5MlR1MzJjWUJxYjJxdjdTNEJDWGs1OWoxTjYwbDlJdFRCR0hqdkJqc3FBZkxJRjZLZHJtd01UdzdENFlGd3RkYVdxa3lsYkd2d1NOS0FzQ2s5dXFEek5fSzJtUUQwY2lWVThNNmllNW9KeGhhRG9FRnk1UmZVaDc2cDVsZXRyem56ckxTZ05SM1VELWtuTDA2WlpHaEVQT1RiMEHSAfsBQVVfeXFMT0xQTnJNLUVKelVfOFprVjN5ZTJVSWsyZGhZa01vczRfeWR5eWlib0RwVW9lajFlQ3k3UVExdkx3elJseUlaWlZqSmFpbzdLYllTLUV2SVBkM3FPRHZLaVZyNURiSE1WN195SXNpZ0V2OTJaYUhnLU5iYWxybWNWdlVhRmVwa1ZhVkQ5QnBwcGtKeDI0d0RNNlRZc1g5aFpBVEVQWXJNd2d2dnhhQVZ1MVFfOHZZT0Zkb0k0NklzRExud0Y2U3RMemE5Z2ZsXzZPUXRKV1FWWXMyQldhcVBpT1haa0ZPT2hTckJRbzdWcHR0bXk3LVg1VGw1OXc?oc=5</x:v>
      </x:c>
      <x:c r="Z12" s="18" t="n">
        <x:v>46274.307708333334</x:v>
      </x:c>
      <x:c r="AA12" s="18" t="n">
        <x:v>46275.38862103009</x:v>
      </x:c>
      <x:c r="AB12" s="18" t="str">
        <x:v>public_rss</x:v>
      </x:c>
      <x:c r="AC12" s="18" t="str">
        <x:v>READY</x:v>
      </x:c>
      <x:c r="AZ12" s="18" t="str">
        <x:v>2026-09-07</x:v>
      </x:c>
      <x:c r="BA12" s="18" t="n">
        <x:v>5</x:v>
      </x:c>
      <x:c r="BF12" s="18" t="str">
        <x:v>The Times of India</x:v>
      </x:c>
      <x:c r="BG12" s="18" t="n">
        <x:v>2</x:v>
      </x:c>
    </x:row>
    <x:row r="13">
      <x:c r="A13" s="18" t="str">
        <x:v>NYT-40-6d04c49a1b3ecc82</x:v>
      </x:c>
      <x:c r="B13" s="18" t="str">
        <x:v>SC asks seven states to hike retirement age of judicial officers - The New Indian Express</x:v>
      </x:c>
      <x:c r="C13" s="18" t="str">
        <x:v>2026-09-05</x:v>
      </x:c>
      <x:c r="D13" s="18" t="n">
        <x:v>2026</x:v>
      </x:c>
      <x:c r="E13" s="18" t="str">
        <x:v>2026-09</x:v>
      </x:c>
      <x:c r="F13" s="18" t="str"/>
      <x:c r="G13" s="18" t="str">
        <x:v>India district court order judgment</x:v>
      </x:c>
      <x:c r="H13" s="18" t="str"/>
      <x:c r="I13" s="18" t="str">
        <x:v>The New Indian Express</x:v>
      </x:c>
      <x:c r="J13" s="20" t="str"/>
      <x:c r="K13" s="18" t="str"/>
      <x:c r="L13" s="18" t="str">
        <x:v>SC asks seven states to hike retirement age of judicial officers - The New Indian Express</x:v>
      </x:c>
      <x:c r="M13" s="18" t="str">
        <x:v>The New Indian Express</x:v>
      </x:c>
      <x:c r="N13" s="18" t="str">
        <x:v>India district court order judgment</x:v>
      </x:c>
      <x:c r="O13" s="18" t="n">
        <x:v>46270.10172453704</x:v>
      </x:c>
      <x:c r="P13" s="18" t="str">
        <x:v>https://www.newindianexpress.com</x:v>
      </x:c>
      <x:c r="Q13" s="18" t="str">
        <x:v>DEFINED_TERMINAL_OR_FEED_SCOPE</x:v>
      </x:c>
      <x:c r="R13" s="18" t="str">
        <x:v>news_district_court_14d.json — published records loaded</x:v>
      </x:c>
      <x:c r="S13" s="18" t="str"/>
      <x:c r="T13" s="18" t="str"/>
      <x:c r="U13" s="20" t="n">
        <x:v>63</x:v>
      </x:c>
      <x:c r="V13" s="19" t="n">
        <x:f>IFERROR(TODAY()-DATEVALUE(C13),"")</x:f>
        <x:v>5</x:v>
      </x:c>
      <x:c r="W13" s="21" t="n">
        <x:f>ROUND(COUNTA(A13:K13)/11*100,0)</x:f>
        <x:v>100</x:v>
      </x:c>
      <x:c r="X13" s="18" t="str">
        <x:v>Google News RSS</x:v>
      </x:c>
      <x:c r="Y13" s="22" t="str">
        <x:v>https://news.google.com/rss/articles/CBMitgFBVV95cUxOOE5KcXNOSEtoYURlZWZMTk1wOTZUYkxUNjVtLUtIVENQZm54Z0dCN3pnbXB0Q0d4NDMxY3JwXzJRSnBWV3pRbk9UclNTalpaZXBVUHRhRzBleE0yVDdfLVF4elVhY1I4Zmp1UFFZWTk0bVB4QjJJUElMeVBDUzRvVnVINkFaOXFwMnBiWnhGYVNkeWdyMlVMNmdGbW5UMWNocHdVZWROTDJPQ29KcTNuSS1udUhJd9IBwwFBVV95cUxQWkFTUy1Ia0lZNFktbTZ2UElsckhKSmh3WHBvRUhGdkw4aURsMUNqa3RnaHFfclpHWml0ajVaWEgteTVtYlY1ZUpDTnRTV1BOdWhCajdpMXZwUG1IZjR2eG9yM1RzY295SGZXdmx5MjI0YWJ0bDBYSW5DWWNhR0l6eDYtenFKTWFwYS1rYURRTWNmbjV4Yk55Tk9BRXBZb0NPRl9CLTVfNFBjOVlkcGpwZXpsNXE1VTljVzB6Ul9tampockE?oc=5</x:v>
      </x:c>
      <x:c r="Z13" s="18" t="n">
        <x:v>46270.10172453704</x:v>
      </x:c>
      <x:c r="AA13" s="18" t="n">
        <x:v>46275.38862103009</x:v>
      </x:c>
      <x:c r="AB13" s="18" t="str">
        <x:v>public_rss</x:v>
      </x:c>
      <x:c r="AC13" s="18" t="str">
        <x:v>READY</x:v>
      </x:c>
      <x:c r="AZ13" s="18" t="str">
        <x:v>2026-09-08</x:v>
      </x:c>
      <x:c r="BA13" s="18" t="n">
        <x:v>10</x:v>
      </x:c>
      <x:c r="BF13" s="18" t="str">
        <x:v>Supreme Court Observer</x:v>
      </x:c>
      <x:c r="BG13" s="18" t="n">
        <x:v>1</x:v>
      </x:c>
    </x:row>
    <x:row r="14">
      <x:c r="A14" s="18" t="str">
        <x:v>NYT-40-3372c4f1aa155be3</x:v>
      </x:c>
      <x:c r="B14" s="18" t="str">
        <x:v>US Judge Denies DOJ Bid to Drop Bribery Charges Against Gautam Adanis Co-Defendants, Again Finds Indian Orders Contradict Govt Claims - The Wire India</x:v>
      </x:c>
      <x:c r="C14" s="18" t="str">
        <x:v>2026-09-05</x:v>
      </x:c>
      <x:c r="D14" s="18" t="n">
        <x:v>2026</x:v>
      </x:c>
      <x:c r="E14" s="18" t="str">
        <x:v>2026-09</x:v>
      </x:c>
      <x:c r="F14" s="18" t="str"/>
      <x:c r="G14" s="18" t="str">
        <x:v>India district court order judgment</x:v>
      </x:c>
      <x:c r="H14" s="18" t="str"/>
      <x:c r="I14" s="18" t="str">
        <x:v>The Wire India</x:v>
      </x:c>
      <x:c r="J14" s="20" t="str"/>
      <x:c r="K14" s="18" t="str"/>
      <x:c r="L14" s="18" t="str">
        <x:v>US Judge Denies DOJ Bid to Drop Bribery Charges Against Gautam Adanis Co-Defendants, Again Finds Indian Orders Contradict Govt Claims - The Wire India</x:v>
      </x:c>
      <x:c r="M14" s="18" t="str">
        <x:v>The Wire India</x:v>
      </x:c>
      <x:c r="N14" s="18" t="str">
        <x:v>India district court order judgment</x:v>
      </x:c>
      <x:c r="O14" s="18" t="n">
        <x:v>46270.54164351852</x:v>
      </x:c>
      <x:c r="P14" s="18" t="str">
        <x:v>https://thewire.in</x:v>
      </x:c>
      <x:c r="Q14" s="18" t="str">
        <x:v>DEFINED_TERMINAL_OR_FEED_SCOPE</x:v>
      </x:c>
      <x:c r="R14" s="18" t="str">
        <x:v>news_district_court_14d.json — published records loaded</x:v>
      </x:c>
      <x:c r="S14" s="18" t="str"/>
      <x:c r="T14" s="18" t="str"/>
      <x:c r="U14" s="20" t="n">
        <x:v>63</x:v>
      </x:c>
      <x:c r="V14" s="19" t="n">
        <x:f>IFERROR(TODAY()-DATEVALUE(C14),"")</x:f>
        <x:v>5</x:v>
      </x:c>
      <x:c r="W14" s="21" t="n">
        <x:f>ROUND(COUNTA(A14:K14)/11*100,0)</x:f>
        <x:v>100</x:v>
      </x:c>
      <x:c r="X14" s="18" t="str">
        <x:v>Google News RSS</x:v>
      </x:c>
      <x:c r="Y14" s="22" t="str">
        <x:v>https://news.google.com/rss/articles/CBMijwFBVV95cUxNeExqcWRCd2xmSEJYSFU1aXE5QmoxZTE2QXY4Zi1Hb1ZZY0VtTXlldzEtVnhwYzZBU3E4MHVGemZtY1RyVnZKLWxYU043Y0VQUzhPX2J2aTRNZHQ4YUpqdGZxV3JoRGlnbzl5TTZ6YWdiLUt4ZnpNNnlFM3FPMVZYUUNBVVVEWFJTWEtnSnZhQdIBogFBVV95cUxOY1F3UWd1MzNkRGhhb1JCYjQ0OURrX0lXRDczS1FYdU5jM2dzQUtVaGNuTkRRZC1NSUhIVG9jb20zbzhlMHFrbDlyYlBST0F1UDFvZTRHVzBGQnJsc1NaNm5aYjBsZEo2U1B2ME15SGJHeXZOallTTVNmOEVKSlRoNERhclo5MEVEMEpyM3FVT2p1Q2RnMDB3SDJXTGRPOUl4T2c?oc=5</x:v>
      </x:c>
      <x:c r="Z14" s="18" t="n">
        <x:v>46270.54164351852</x:v>
      </x:c>
      <x:c r="AA14" s="18" t="n">
        <x:v>46275.38862103009</x:v>
      </x:c>
      <x:c r="AB14" s="18" t="str">
        <x:v>public_rss</x:v>
      </x:c>
      <x:c r="AC14" s="18" t="str">
        <x:v>READY</x:v>
      </x:c>
      <x:c r="AZ14" s="18" t="str">
        <x:v>2026-09-09</x:v>
      </x:c>
      <x:c r="BA14" s="18" t="n">
        <x:v>10</x:v>
      </x:c>
      <x:c r="BF14" s="18" t="str">
        <x:v>LawBeat</x:v>
      </x:c>
      <x:c r="BG14" s="18" t="n">
        <x:v>1</x:v>
      </x:c>
    </x:row>
    <x:row r="15">
      <x:c r="A15" s="18" t="str">
        <x:v>NYT-40-fcb27f26da4b1422</x:v>
      </x:c>
      <x:c r="B15" s="18" t="str">
        <x:v>The Constitution cannot be altered: Justice Abhay Oka - Governance Now</x:v>
      </x:c>
      <x:c r="C15" s="18" t="str">
        <x:v>2026-09-01</x:v>
      </x:c>
      <x:c r="D15" s="18" t="n">
        <x:v>2026</x:v>
      </x:c>
      <x:c r="E15" s="18" t="str">
        <x:v>2026-09</x:v>
      </x:c>
      <x:c r="F15" s="18" t="str"/>
      <x:c r="G15" s="18" t="str">
        <x:v>India district court order judgment</x:v>
      </x:c>
      <x:c r="H15" s="18" t="str"/>
      <x:c r="I15" s="18" t="str">
        <x:v>Governance Now</x:v>
      </x:c>
      <x:c r="J15" s="20" t="str"/>
      <x:c r="K15" s="18" t="str"/>
      <x:c r="L15" s="18" t="str">
        <x:v>The Constitution cannot be altered: Justice Abhay Oka - Governance Now</x:v>
      </x:c>
      <x:c r="M15" s="18" t="str">
        <x:v>Governance Now</x:v>
      </x:c>
      <x:c r="N15" s="18" t="str">
        <x:v>India district court order judgment</x:v>
      </x:c>
      <x:c r="O15" s="18" t="n">
        <x:v>46266.8671875</x:v>
      </x:c>
      <x:c r="P15" s="18" t="str">
        <x:v>https://www.governancenow.com</x:v>
      </x:c>
      <x:c r="Q15" s="18" t="str">
        <x:v>DEFINED_TERMINAL_OR_FEED_SCOPE</x:v>
      </x:c>
      <x:c r="R15" s="18" t="str">
        <x:v>news_district_court_14d.json — published records loaded</x:v>
      </x:c>
      <x:c r="S15" s="18" t="str"/>
      <x:c r="T15" s="18" t="str"/>
      <x:c r="U15" s="20" t="n">
        <x:v>63</x:v>
      </x:c>
      <x:c r="V15" s="19" t="n">
        <x:f>IFERROR(TODAY()-DATEVALUE(C15),"")</x:f>
        <x:v>9</x:v>
      </x:c>
      <x:c r="W15" s="21" t="n">
        <x:f>ROUND(COUNTA(A15:K15)/11*100,0)</x:f>
        <x:v>100</x:v>
      </x:c>
      <x:c r="X15" s="18" t="str">
        <x:v>Google News RSS</x:v>
      </x:c>
      <x:c r="Y15" s="22" t="str">
        <x:v>https://news.google.com/rss/articles/CBMiowFBVV95cUxNNzBRMDBXdVl5TWoyNVY2MjJSRFN0T0JHWTRoZkZCU2p6MktLUmhZd2JyeGQ5RG1WeFpYNlhwel8zVVFyQ281MnlDT1dBREZHVThzSE9lSWJwcmpnLVNQNXRaQ0RiZVM4Q0VfbzZiaVFVRTRvaTY5V0syMEY5QVR5dEhNNU52RVN0bVBRcnBxNV9rZ05HU3FaV0RuNkRTV0Jub01F?oc=5</x:v>
      </x:c>
      <x:c r="Z15" s="18" t="n">
        <x:v>46266.8671875</x:v>
      </x:c>
      <x:c r="AA15" s="18" t="n">
        <x:v>46275.38862103009</x:v>
      </x:c>
      <x:c r="AB15" s="18" t="str">
        <x:v>public_rss</x:v>
      </x:c>
      <x:c r="AC15" s="18" t="str">
        <x:v>READY</x:v>
      </x:c>
      <x:c r="AZ15" s="18" t="str">
        <x:v>2026-09-10</x:v>
      </x:c>
      <x:c r="BA15" s="18" t="n">
        <x:v>1</x:v>
      </x:c>
    </x:row>
    <x:row r="16">
      <x:c r="A16" s="18" t="str">
        <x:v>NYT-40-82fd7ee71814cd06</x:v>
      </x:c>
      <x:c r="B16" s="18" t="str">
        <x:v>Decree Holder Cannot Travel Beyond Decree To Attach Judgment Debtor’s Wife's Personal Property Based On... - Verdictum</x:v>
      </x:c>
      <x:c r="C16" s="18" t="str">
        <x:v>2026-08-29</x:v>
      </x:c>
      <x:c r="D16" s="18" t="n">
        <x:v>2026</x:v>
      </x:c>
      <x:c r="E16" s="18" t="str">
        <x:v>2026-08</x:v>
      </x:c>
      <x:c r="F16" s="18" t="str"/>
      <x:c r="G16" s="18" t="str">
        <x:v>India district court order judgment</x:v>
      </x:c>
      <x:c r="H16" s="18" t="str"/>
      <x:c r="I16" s="18" t="str">
        <x:v>Verdictum</x:v>
      </x:c>
      <x:c r="J16" s="20" t="str"/>
      <x:c r="K16" s="18" t="str"/>
      <x:c r="L16" s="18" t="str">
        <x:v>Decree Holder Cannot Travel Beyond Decree To Attach Judgment Debtor’s Wife's Personal Property Based On... - Verdictum</x:v>
      </x:c>
      <x:c r="M16" s="18" t="str">
        <x:v>Verdictum</x:v>
      </x:c>
      <x:c r="N16" s="18" t="str">
        <x:v>India district court order judgment</x:v>
      </x:c>
      <x:c r="O16" s="18" t="n">
        <x:v>46263.291666666664</x:v>
      </x:c>
      <x:c r="P16" s="18" t="str">
        <x:v>https://www.verdictum.in</x:v>
      </x:c>
      <x:c r="Q16" s="18" t="str">
        <x:v>DEFINED_TERMINAL_OR_FEED_SCOPE</x:v>
      </x:c>
      <x:c r="R16" s="18" t="str">
        <x:v>news_district_court_14d.json — published records loaded</x:v>
      </x:c>
      <x:c r="S16" s="18" t="str"/>
      <x:c r="T16" s="18" t="str"/>
      <x:c r="U16" s="20" t="n">
        <x:v>63</x:v>
      </x:c>
      <x:c r="V16" s="19" t="n">
        <x:f>IFERROR(TODAY()-DATEVALUE(C16),"")</x:f>
        <x:v>12</x:v>
      </x:c>
      <x:c r="W16" s="21" t="n">
        <x:f>ROUND(COUNTA(A16:K16)/11*100,0)</x:f>
        <x:v>100</x:v>
      </x:c>
      <x:c r="X16" s="18" t="str">
        <x:v>Google News RSS</x:v>
      </x:c>
      <x:c r="Y16" s="22" t="str">
        <x:v>https://news.google.com/rss/articles/CBMi2gFBVV95cUxOSHJtN0hYMDR5LW1xSS1jZW5nd1ZPT1N2WWQ4dzdxUVNWRWF0SER4LU5QcVduNVNvVWxLdFd5cmk1UUVUMlNTX0FhOUp6cU82WTFvdkpLS1c4b1pSeHFEZ29ZckdwbUZPT2RyZmpfWGRaYjA1dF9EeW41bFVSY0M0MC0xbnVwYUh3QXdhTEZUR1dXbTFpTVRhN1loY0lGdUZMeWtzbnFNS2ZxYVlYMkpFVE9HbWd5WTJRU2UydDNTY01zbnlNd05YQmFnanFxOHE4Qk9qdU1PUEhJUdIB3wFBVV95cUxPcld4RWFYVDlyY05DMkRGQmlPTlVxYm5xM3dzNXc2c042S3RxOVB1SGRiM212OTFISVZCdktac0dEcW95N29DcnZTNE1wdTU0TlhLNDFJN1pTanFxenU2SGJvY29MY1FPYk9VWWpSVGl3TnN5dVBrbG1KVy0zeDlBbV9hbjNrQ2R5U3ZQTXRLYnJwa24xaGVMSkNxOVd1SktDY3ZYSXpzNkVIa2dOdXBpXzNsN2E5ZXNqWHhmaml5dVgtZHU2NFhsLS1kNTkwaTRvc0FVX1hYWnAtMk1aMjM4?oc=5</x:v>
      </x:c>
      <x:c r="Z16" s="18" t="n">
        <x:v>46263.291666666664</x:v>
      </x:c>
      <x:c r="AA16" s="18" t="n">
        <x:v>46275.38862103009</x:v>
      </x:c>
      <x:c r="AB16" s="18" t="str">
        <x:v>public_rss</x:v>
      </x:c>
      <x:c r="AC16" s="18" t="str">
        <x:v>READY</x:v>
      </x:c>
    </x:row>
    <x:row r="17">
      <x:c r="A17" s="18" t="str">
        <x:v>NYT-40-6b938ae95c73a394</x:v>
      </x:c>
      <x:c r="B17" s="18" t="str">
        <x:v>Allahabad High Court Quashing NSA Against Akriti and Indicting Civil Servants Captures Sardar Patel and Ambedkar’s Vision - The Leaflet</x:v>
      </x:c>
      <x:c r="C17" s="18" t="str">
        <x:v>2026-09-08</x:v>
      </x:c>
      <x:c r="D17" s="18" t="n">
        <x:v>2026</x:v>
      </x:c>
      <x:c r="E17" s="18" t="str">
        <x:v>2026-09</x:v>
      </x:c>
      <x:c r="F17" s="18" t="str"/>
      <x:c r="G17" s="18" t="str">
        <x:v>India district court order judgment</x:v>
      </x:c>
      <x:c r="H17" s="18" t="str"/>
      <x:c r="I17" s="18" t="str">
        <x:v>The Leaflet</x:v>
      </x:c>
      <x:c r="J17" s="20" t="str"/>
      <x:c r="K17" s="18" t="str"/>
      <x:c r="L17" s="18" t="str">
        <x:v>Allahabad High Court Quashing NSA Against Akriti and Indicting Civil Servants Captures Sardar Patel and Ambedkar’s Vision - The Leaflet</x:v>
      </x:c>
      <x:c r="M17" s="18" t="str">
        <x:v>The Leaflet</x:v>
      </x:c>
      <x:c r="N17" s="18" t="str">
        <x:v>India district court order judgment</x:v>
      </x:c>
      <x:c r="O17" s="18" t="n">
        <x:v>46273.62430555555</x:v>
      </x:c>
      <x:c r="P17" s="18" t="str">
        <x:v>https://theleaflet.in</x:v>
      </x:c>
      <x:c r="Q17" s="18" t="str">
        <x:v>DEFINED_TERMINAL_OR_FEED_SCOPE</x:v>
      </x:c>
      <x:c r="R17" s="18" t="str">
        <x:v>news_district_court_14d.json — published records loaded</x:v>
      </x:c>
      <x:c r="S17" s="18" t="str"/>
      <x:c r="T17" s="18" t="str"/>
      <x:c r="U17" s="20" t="n">
        <x:v>63</x:v>
      </x:c>
      <x:c r="V17" s="19" t="n">
        <x:f>IFERROR(TODAY()-DATEVALUE(C17),"")</x:f>
        <x:v>2</x:v>
      </x:c>
      <x:c r="W17" s="21" t="n">
        <x:f>ROUND(COUNTA(A17:K17)/11*100,0)</x:f>
        <x:v>100</x:v>
      </x:c>
      <x:c r="X17" s="18" t="str">
        <x:v>Google News RSS</x:v>
      </x:c>
      <x:c r="Y17" s="22" t="str">
        <x:v>https://news.google.com/rss/articles/CBMi9wFBVV95cUxOVXl1Vnl5OEtncWJFcGRfNW5yb3B0U0l4bFM4TjcwUGxnWmZ5blNDWUhfZGZPYzUtR0tYa20zUGFOenNOMlM0WE9jRnlvZGxJWlU4SDJVOXVvUXhOMzMySEcxVUN5bldIUlNOX0VCMnh1a1dweDh1aUY4c1N3MWJoNzZ2RmpNWmlOem9BR0JUNEhJbDd4Z24yeGl6U3lEQWNrWFpweWx1Q3ZfeXFfUmJrOW13TGQyeTJ6azdsQkp4b2J1WVduY2JQcEZKbVh1RTVIbzlIX0FqY2hmSnJ6RWplOEVsd25hWXVCR2FFMjhudERPSU5LNUVZ0gH3AUFVX3lxTE5VeXVWeXk4S2dxYkVwZF81bnJvcHRTSXhsUzhONzBQbGdaZnluU0NZSF9kZk9jNS1HS1hrbTNQYU56c04yUzRYT2NGeW9kbElaVThIMlU5dW9ReE4zMzJIRzFVQ3luV0hSU05fRUIyeHVrV3B4OHVpRjhzU3cxYmg3NnZGak1aaU56b0FHQlQ0SElsN3hnbjJ4aXpTeURBY2tYWnB5bHVDdl95cV9SYms5bXdMZDJ5MnprN2xCSnhvYnVZV25jYlBwRkptWHVFNUhvOUhfQWpjaGZKcnpFamU4RWx3bmFZdUJHYUUyOG50RE9JTks1RVk?oc=5</x:v>
      </x:c>
      <x:c r="Z17" s="18" t="n">
        <x:v>46273.62430555555</x:v>
      </x:c>
      <x:c r="AA17" s="18" t="n">
        <x:v>46275.38862103009</x:v>
      </x:c>
      <x:c r="AB17" s="18" t="str">
        <x:v>public_rss</x:v>
      </x:c>
      <x:c r="AC17" s="18" t="str">
        <x:v>READY</x:v>
      </x:c>
    </x:row>
    <x:row r="18">
      <x:c r="A18" s="18" t="str">
        <x:v>NYT-40-cc108bf9b566150d</x:v>
      </x:c>
      <x:c r="B18" s="18" t="str">
        <x:v>Rewriting The Rules - indialegallive.com</x:v>
      </x:c>
      <x:c r="C18" s="18" t="str">
        <x:v>2026-08-29</x:v>
      </x:c>
      <x:c r="D18" s="18" t="n">
        <x:v>2026</x:v>
      </x:c>
      <x:c r="E18" s="18" t="str">
        <x:v>2026-08</x:v>
      </x:c>
      <x:c r="F18" s="18" t="str"/>
      <x:c r="G18" s="18" t="str">
        <x:v>India district court order judgment</x:v>
      </x:c>
      <x:c r="H18" s="18" t="str"/>
      <x:c r="I18" s="18" t="str">
        <x:v>indialegallive.com</x:v>
      </x:c>
      <x:c r="J18" s="20" t="str"/>
      <x:c r="K18" s="18" t="str"/>
      <x:c r="L18" s="18" t="str">
        <x:v>Rewriting The Rules - indialegallive.com</x:v>
      </x:c>
      <x:c r="M18" s="18" t="str">
        <x:v>indialegallive.com</x:v>
      </x:c>
      <x:c r="N18" s="18" t="str">
        <x:v>India district court order judgment</x:v>
      </x:c>
      <x:c r="O18" s="18" t="n">
        <x:v>46263.38674768519</x:v>
      </x:c>
      <x:c r="P18" s="18" t="str">
        <x:v>https://indialegallive.com</x:v>
      </x:c>
      <x:c r="Q18" s="18" t="str">
        <x:v>DEFINED_TERMINAL_OR_FEED_SCOPE</x:v>
      </x:c>
      <x:c r="R18" s="18" t="str">
        <x:v>news_district_court_14d.json — published records loaded</x:v>
      </x:c>
      <x:c r="S18" s="18" t="str"/>
      <x:c r="T18" s="18" t="str"/>
      <x:c r="U18" s="20" t="n">
        <x:v>63</x:v>
      </x:c>
      <x:c r="V18" s="19" t="n">
        <x:f>IFERROR(TODAY()-DATEVALUE(C18),"")</x:f>
        <x:v>12</x:v>
      </x:c>
      <x:c r="W18" s="21" t="n">
        <x:f>ROUND(COUNTA(A18:K18)/11*100,0)</x:f>
        <x:v>100</x:v>
      </x:c>
      <x:c r="X18" s="18" t="str">
        <x:v>Google News RSS</x:v>
      </x:c>
      <x:c r="Y18" s="22" t="str">
        <x:v>https://news.google.com/rss/articles/CBMiwAFBVV95cUxNYTNzd3RTeWpUQzViNTRGQ3F5UjZSUUhfM3ZoTmgta0VPS2RzWUloa1hwMWhZTkIwZjVmY21WbV9XSElzNDl4XzRBUnlOTjNuY01vVGg0bVpkb3pfNEUzaW1pV1NRNkZsbzlHMGwyR2ZCVXRlS0M4dTAtb1VVQ1I0TUhScGZiVkpQV1lYMk1lazFXVzNwUnh3Wnc5MGRQc2g5aFpVRVZHWVJyajBvTXQ5MnhFT05DQjdlZzVDQXNFTFM?oc=5</x:v>
      </x:c>
      <x:c r="Z18" s="18" t="n">
        <x:v>46263.38674768519</x:v>
      </x:c>
      <x:c r="AA18" s="18" t="n">
        <x:v>46275.38862103009</x:v>
      </x:c>
      <x:c r="AB18" s="18" t="str">
        <x:v>public_rss</x:v>
      </x:c>
      <x:c r="AC18" s="18" t="str">
        <x:v>READY</x:v>
      </x:c>
    </x:row>
    <x:row r="19">
      <x:c r="A19" s="18" t="str">
        <x:v>NYT-40-26d46e1a5677a36a</x:v>
      </x:c>
      <x:c r="B19" s="18" t="str">
        <x:v>‘Guilty of violating oath’—excerpts from HC’s searing criticism of Noida DM on DU grad’s NSA detention - ThePrint</x:v>
      </x:c>
      <x:c r="C19" s="18" t="str">
        <x:v>2026-09-08</x:v>
      </x:c>
      <x:c r="D19" s="18" t="n">
        <x:v>2026</x:v>
      </x:c>
      <x:c r="E19" s="18" t="str">
        <x:v>2026-09</x:v>
      </x:c>
      <x:c r="F19" s="18" t="str"/>
      <x:c r="G19" s="18" t="str">
        <x:v>India district court order judgment</x:v>
      </x:c>
      <x:c r="H19" s="18" t="str"/>
      <x:c r="I19" s="18" t="str">
        <x:v>ThePrint</x:v>
      </x:c>
      <x:c r="J19" s="20" t="str"/>
      <x:c r="K19" s="18" t="str"/>
      <x:c r="L19" s="18" t="str">
        <x:v>‘Guilty of violating oath’—excerpts from HC’s searing criticism of Noida DM on DU grad’s NSA detention - ThePrint</x:v>
      </x:c>
      <x:c r="M19" s="18" t="str">
        <x:v>ThePrint</x:v>
      </x:c>
      <x:c r="N19" s="18" t="str">
        <x:v>India district court order judgment</x:v>
      </x:c>
      <x:c r="O19" s="18" t="n">
        <x:v>46273.37678240741</x:v>
      </x:c>
      <x:c r="P19" s="18" t="str">
        <x:v>https://theprint.in</x:v>
      </x:c>
      <x:c r="Q19" s="18" t="str">
        <x:v>DEFINED_TERMINAL_OR_FEED_SCOPE</x:v>
      </x:c>
      <x:c r="R19" s="18" t="str">
        <x:v>news_district_court_14d.json — published records loaded</x:v>
      </x:c>
      <x:c r="S19" s="18" t="str"/>
      <x:c r="T19" s="18" t="str"/>
      <x:c r="U19" s="20" t="n">
        <x:v>63</x:v>
      </x:c>
      <x:c r="V19" s="19" t="n">
        <x:f>IFERROR(TODAY()-DATEVALUE(C19),"")</x:f>
        <x:v>2</x:v>
      </x:c>
      <x:c r="W19" s="21" t="n">
        <x:f>ROUND(COUNTA(A19:K19)/11*100,0)</x:f>
        <x:v>100</x:v>
      </x:c>
      <x:c r="X19" s="18" t="str">
        <x:v>Google News RSS</x:v>
      </x:c>
      <x:c r="Y19" s="22" t="str">
        <x:v>https://news.google.com/rss/articles/CBMi0wFBVV95cUxPdHp1TW9CRlRPbEZNcURKMEVjTV91TUtwdUVQRzQ5LUZySUh5UjRIOGhCWldOdE4zMS1Md0dBTWRoNmNESjNDdjUwa3lCMXg1TnhUVFRBLTlrUmJ6czUxQ0Q4ejBVckNhRWZhN0NNNnRGSUk3SDlqa29tSVYyT0dzUTczbXJDbXAwX3hBTmNiV09UQ0JpVXpVd25QeXpvdHl2SG10Z0NRUjJ1UjV6czFycjdsTnpIdEQtTGFkclZZc3hvQ0Rua2p6Z1NQY2xPSkRFSkVR0gHYAUFVX3lxTE1LdkdSV3kzV1Z1MDBxbWlGdE1yLTJZQWY2TXFBRTBDRFBQX1FSYTBCUk1iUU51UkJnc3o4Mk5LT3R4UU0yblR6NkV1czI0X2hWQjRKRllRSVVrcW5BWF9Qbko0QWhuQ0tjektBNUVlaFBFQy1xZ3lsdlBYbVdET2UtYldUVUdnVGRTMkNMbVp3RGkxY19lYTFCNEFFaTVfTDgtLUNOM1dqbkpZR2NyemEzNE5sT3lIY01hbEFXeGF6WG01T0I4U1FFaHpuV1ZaaEQ0MFhnUlNsRQ?oc=5</x:v>
      </x:c>
      <x:c r="Z19" s="18" t="n">
        <x:v>46273.37678240741</x:v>
      </x:c>
      <x:c r="AA19" s="18" t="n">
        <x:v>46275.38862103009</x:v>
      </x:c>
      <x:c r="AB19" s="18" t="str">
        <x:v>public_rss</x:v>
      </x:c>
      <x:c r="AC19" s="18" t="str">
        <x:v>READY</x:v>
      </x:c>
    </x:row>
    <x:row r="20">
      <x:c r="A20" s="18" t="str">
        <x:v>NYT-40-43abf6f3d4fcada8</x:v>
      </x:c>
      <x:c r="B20" s="18" t="str">
        <x:v>ASI allows Hindus unrestricted access to Bhojshala temple after Madhya Pradesh High Court verdict - News On AIR</x:v>
      </x:c>
      <x:c r="C20" s="18" t="str">
        <x:v>2026-09-09</x:v>
      </x:c>
      <x:c r="D20" s="18" t="n">
        <x:v>2026</x:v>
      </x:c>
      <x:c r="E20" s="18" t="str">
        <x:v>2026-09</x:v>
      </x:c>
      <x:c r="F20" s="18" t="str"/>
      <x:c r="G20" s="18" t="str">
        <x:v>India district court order judgment</x:v>
      </x:c>
      <x:c r="H20" s="18" t="str"/>
      <x:c r="I20" s="18" t="str">
        <x:v>News On AIR</x:v>
      </x:c>
      <x:c r="J20" s="20" t="str"/>
      <x:c r="K20" s="18" t="str"/>
      <x:c r="L20" s="18" t="str">
        <x:v>ASI allows Hindus unrestricted access to Bhojshala temple after Madhya Pradesh High Court verdict - News On AIR</x:v>
      </x:c>
      <x:c r="M20" s="18" t="str">
        <x:v>News On AIR</x:v>
      </x:c>
      <x:c r="N20" s="18" t="str">
        <x:v>India district court order judgment</x:v>
      </x:c>
      <x:c r="O20" s="18" t="n">
        <x:v>46274.915821759256</x:v>
      </x:c>
      <x:c r="P20" s="18" t="str">
        <x:v>https://newsonair.gov.in</x:v>
      </x:c>
      <x:c r="Q20" s="18" t="str">
        <x:v>DEFINED_TERMINAL_OR_FEED_SCOPE</x:v>
      </x:c>
      <x:c r="R20" s="18" t="str">
        <x:v>news_district_court_14d.json — published records loaded</x:v>
      </x:c>
      <x:c r="S20" s="18" t="str"/>
      <x:c r="T20" s="18" t="str"/>
      <x:c r="U20" s="20" t="n">
        <x:v>63</x:v>
      </x:c>
      <x:c r="V20" s="19" t="n">
        <x:f>IFERROR(TODAY()-DATEVALUE(C20),"")</x:f>
        <x:v>1</x:v>
      </x:c>
      <x:c r="W20" s="21" t="n">
        <x:f>ROUND(COUNTA(A20:K20)/11*100,0)</x:f>
        <x:v>100</x:v>
      </x:c>
      <x:c r="X20" s="18" t="str">
        <x:v>Google News RSS</x:v>
      </x:c>
      <x:c r="Y20" s="22" t="str">
        <x:v>https://news.google.com/rss/articles/CBMiuwFBVV95cUxNNWVwd3VwV1NxVTlIRWFFdXB4UEdKZ3IzZkFMRDc3S0s0eG5MS3NYMS0zajBBRkZQTFIwWmFBOGM4eXRUeDdCSGs3R25XWkNZSk0yTVB3RTdHMFdBZktLSjF2WjB4YWJ5czU1MHZWYWpYQUxZUzZVeWw1VGZERUlhaS1LajZHczJJUWNfZmUtc1JsWFBNRHFwWlJoaTR5eGRfSGpXZVIyMnNoRkt4THBWdE9uZ3h4TXpkazZR?oc=5</x:v>
      </x:c>
      <x:c r="Z20" s="18" t="n">
        <x:v>46274.915821759256</x:v>
      </x:c>
      <x:c r="AA20" s="18" t="n">
        <x:v>46275.38862103009</x:v>
      </x:c>
      <x:c r="AB20" s="18" t="str">
        <x:v>public_rss</x:v>
      </x:c>
      <x:c r="AC20" s="18" t="str">
        <x:v>READY</x:v>
      </x:c>
    </x:row>
    <x:row r="21">
      <x:c r="A21" s="18" t="str">
        <x:v>NYT-40-87c4082b7e241a1e</x:v>
      </x:c>
      <x:c r="B21" s="18" t="str">
        <x:v>TN Assembly Passes Resolution Urging Centre To Recognise Tamil As HC's Principal Language - ETV Bharat</x:v>
      </x:c>
      <x:c r="C21" s="18" t="str">
        <x:v>2026-09-03</x:v>
      </x:c>
      <x:c r="D21" s="18" t="n">
        <x:v>2026</x:v>
      </x:c>
      <x:c r="E21" s="18" t="str">
        <x:v>2026-09</x:v>
      </x:c>
      <x:c r="F21" s="18" t="str"/>
      <x:c r="G21" s="18" t="str">
        <x:v>India district court order judgment</x:v>
      </x:c>
      <x:c r="H21" s="18" t="str"/>
      <x:c r="I21" s="18" t="str">
        <x:v>ETV Bharat</x:v>
      </x:c>
      <x:c r="J21" s="20" t="str"/>
      <x:c r="K21" s="18" t="str"/>
      <x:c r="L21" s="18" t="str">
        <x:v>TN Assembly Passes Resolution Urging Centre To Recognise Tamil As HC's Principal Language - ETV Bharat</x:v>
      </x:c>
      <x:c r="M21" s="18" t="str">
        <x:v>ETV Bharat</x:v>
      </x:c>
      <x:c r="N21" s="18" t="str">
        <x:v>India district court order judgment</x:v>
      </x:c>
      <x:c r="O21" s="18" t="n">
        <x:v>46268.17344907407</x:v>
      </x:c>
      <x:c r="P21" s="18" t="str">
        <x:v>https://www.etvbharat.com</x:v>
      </x:c>
      <x:c r="Q21" s="18" t="str">
        <x:v>DEFINED_TERMINAL_OR_FEED_SCOPE</x:v>
      </x:c>
      <x:c r="R21" s="18" t="str">
        <x:v>news_district_court_14d.json — published records loaded</x:v>
      </x:c>
      <x:c r="S21" s="18" t="str"/>
      <x:c r="T21" s="18" t="str"/>
      <x:c r="U21" s="20" t="n">
        <x:v>63</x:v>
      </x:c>
      <x:c r="V21" s="19" t="n">
        <x:f>IFERROR(TODAY()-DATEVALUE(C21),"")</x:f>
        <x:v>7</x:v>
      </x:c>
      <x:c r="W21" s="21" t="n">
        <x:f>ROUND(COUNTA(A21:K21)/11*100,0)</x:f>
        <x:v>100</x:v>
      </x:c>
      <x:c r="X21" s="18" t="str">
        <x:v>Google News RSS</x:v>
      </x:c>
      <x:c r="Y21" s="22" t="str">
        <x:v>https://news.google.com/rss/articles/CBMi4AFBVV95cUxPNndUdEctWFotc2taSjBRU2w0b1M3N1RfRk5nMjBFQW56MlpGRHdEbXhjOUJXSElfd2tBVWJxVkVqVEllYnpnUnY1bkJtekVYbUtTRE5vdlN3YlUtaWVIZ05LcEhuNDAtU0FqWkYwR3Q3NHF2b2VHU25RdmYzRV9PQ3hfeUlzMUpId1IxNzY3aXdSR280U1hjRW5QSmlXOUhVSlFVbENYeko1WXBDN0FBeDgzOVlXdzJ0ZzRENDVNaWRDX20xR3BRN3IwbFpYLTA2UUc5eWJybXNsUzNrR1J1TdIB5gFBVV95cUxNQVZrLWRNbUE2VjVVNGVvcTN1MG5ieFhGTUhrZk1EVlZDY2tzQ1ZmRGlKUnowc3JmMVlYTFZXZS10MVZiRjdsTnBSZEtmMUc0aXhwOXlpUjl2TTVQUU1zZlFjVjRWajNERVRiMVRlRzlBbXZmOWl3WndTZ1dlOGZDUGoyc3I5S2wycFBIY0MxN3VHR0hGb3FiMDNULVp5eUZud0VFX0N6cDUtUlFadVFZTlJBQnBLUzVyTGFIRG12WGhZRjZNcHFDUjNFXzVHVWZrbkZ3ckZ0UUdrZDNHRFkwYS1lQlIxUQ?oc=5</x:v>
      </x:c>
      <x:c r="Z21" s="18" t="n">
        <x:v>46268.17344907407</x:v>
      </x:c>
      <x:c r="AA21" s="18" t="n">
        <x:v>46275.38862103009</x:v>
      </x:c>
      <x:c r="AB21" s="18" t="str">
        <x:v>public_rss</x:v>
      </x:c>
      <x:c r="AC21" s="18" t="str">
        <x:v>READY</x:v>
      </x:c>
    </x:row>
    <x:row r="22">
      <x:c r="A22" s="18" t="str">
        <x:v>NYT-40-903b476d9f0853ef</x:v>
      </x:c>
      <x:c r="B22" s="18" t="str">
        <x:v>Indian-origin man loses US citizenship 15 years after rape conviction - Rediff</x:v>
      </x:c>
      <x:c r="C22" s="18" t="str">
        <x:v>2026-09-01</x:v>
      </x:c>
      <x:c r="D22" s="18" t="n">
        <x:v>2026</x:v>
      </x:c>
      <x:c r="E22" s="18" t="str">
        <x:v>2026-09</x:v>
      </x:c>
      <x:c r="F22" s="18" t="str"/>
      <x:c r="G22" s="18" t="str">
        <x:v>India district court order judgment</x:v>
      </x:c>
      <x:c r="H22" s="18" t="str"/>
      <x:c r="I22" s="18" t="str">
        <x:v>Rediff</x:v>
      </x:c>
      <x:c r="J22" s="20" t="str"/>
      <x:c r="K22" s="18" t="str"/>
      <x:c r="L22" s="18" t="str">
        <x:v>Indian-origin man loses US citizenship 15 years after rape conviction - Rediff</x:v>
      </x:c>
      <x:c r="M22" s="18" t="str">
        <x:v>Rediff</x:v>
      </x:c>
      <x:c r="N22" s="18" t="str">
        <x:v>India district court order judgment</x:v>
      </x:c>
      <x:c r="O22" s="18" t="n">
        <x:v>46266.291666666664</x:v>
      </x:c>
      <x:c r="P22" s="18" t="str">
        <x:v>https://www.rediff.com</x:v>
      </x:c>
      <x:c r="Q22" s="18" t="str">
        <x:v>DEFINED_TERMINAL_OR_FEED_SCOPE</x:v>
      </x:c>
      <x:c r="R22" s="18" t="str">
        <x:v>news_district_court_14d.json — published records loaded</x:v>
      </x:c>
      <x:c r="S22" s="18" t="str"/>
      <x:c r="T22" s="18" t="str"/>
      <x:c r="U22" s="20" t="n">
        <x:v>63</x:v>
      </x:c>
      <x:c r="V22" s="19" t="n">
        <x:f>IFERROR(TODAY()-DATEVALUE(C22),"")</x:f>
        <x:v>9</x:v>
      </x:c>
      <x:c r="W22" s="21" t="n">
        <x:f>ROUND(COUNTA(A22:K22)/11*100,0)</x:f>
        <x:v>100</x:v>
      </x:c>
      <x:c r="X22" s="18" t="str">
        <x:v>Google News RSS</x:v>
      </x:c>
      <x:c r="Y22" s="22" t="str">
        <x:v>https://news.google.com/rss/articles/CBMivAFBVV95cUxQRWE3SGxEMzNIVWVVeThybm90Vk13S1JJcHV4QURkbllzVUdSN3plLXAycXA1YXZIM3M2V2tGZVdkOXU3T25jZmQ3ZGtBMlVoM2VPUXJhNHJsNHlWZHdSQXNKR2k3N0pzN2lLY3hFcWlvNGhyVjdncE1laVFiN2VSY2h0OUhaRUZKSm1yQjhNbzltb0RBdk5EM0JBV2VDdW16ZFU3cHhWa1dONEtFVnVLblF6eHJSUENleHNDbtIBvwFBVV95cUxQSDJPcHo0YW11aXVYVEdQV0J2NzVmb21DSTBaNjczQnZnczJ3a19iQ1JwaGpBMnhLeC1HMXY0cjRiRUVoajY4OTFkemM5VWpWV1VlWXpnT0FfU01lLWlhMk44blVoS1dvdXo1UG5heF95ZU9FR01ZR0EwS0JTeU0welQ4V3l0LW1tcl8tQXBLZW8wdTk5NmNrcDN6SExvdUtMbThncl82T1NERU1DcXl5TVF0WFoxZ01kRGQxTEQzbw?oc=5</x:v>
      </x:c>
      <x:c r="Z22" s="18" t="n">
        <x:v>46266.291666666664</x:v>
      </x:c>
      <x:c r="AA22" s="18" t="n">
        <x:v>46275.38862103009</x:v>
      </x:c>
      <x:c r="AB22" s="18" t="str">
        <x:v>public_rss</x:v>
      </x:c>
      <x:c r="AC22" s="18" t="str">
        <x:v>READY</x:v>
      </x:c>
    </x:row>
    <x:row r="23">
      <x:c r="A23" s="18" t="str">
        <x:v>NYT-40-711661ffd866de1c</x:v>
      </x:c>
      <x:c r="B23" s="18" t="str">
        <x:v>Know Thy Judge | Supreme Court of India: Dynamic Career and Important Judgments of Justice Prashant Kumar Mishra - SCC Online</x:v>
      </x:c>
      <x:c r="C23" s="18" t="str">
        <x:v>2026-08-29</x:v>
      </x:c>
      <x:c r="D23" s="18" t="n">
        <x:v>2026</x:v>
      </x:c>
      <x:c r="E23" s="18" t="str">
        <x:v>2026-08</x:v>
      </x:c>
      <x:c r="F23" s="18" t="str"/>
      <x:c r="G23" s="18" t="str">
        <x:v>India district court order judgment</x:v>
      </x:c>
      <x:c r="H23" s="18" t="str"/>
      <x:c r="I23" s="18" t="str">
        <x:v>SCC Online</x:v>
      </x:c>
      <x:c r="J23" s="20" t="str"/>
      <x:c r="K23" s="18" t="str"/>
      <x:c r="L23" s="18" t="str">
        <x:v>Know Thy Judge | Supreme Court of India: Dynamic Career and Important Judgments of Justice Prashant Kumar Mishra - SCC Online</x:v>
      </x:c>
      <x:c r="M23" s="18" t="str">
        <x:v>SCC Online</x:v>
      </x:c>
      <x:c r="N23" s="18" t="str">
        <x:v>India district court order judgment</x:v>
      </x:c>
      <x:c r="O23" s="18" t="n">
        <x:v>46263.291666666664</x:v>
      </x:c>
      <x:c r="P23" s="18" t="str">
        <x:v>https://www.scconline.com</x:v>
      </x:c>
      <x:c r="Q23" s="18" t="str">
        <x:v>DEFINED_TERMINAL_OR_FEED_SCOPE</x:v>
      </x:c>
      <x:c r="R23" s="18" t="str">
        <x:v>news_district_court_14d.json — published records loaded</x:v>
      </x:c>
      <x:c r="S23" s="18" t="str"/>
      <x:c r="T23" s="18" t="str"/>
      <x:c r="U23" s="20" t="n">
        <x:v>63</x:v>
      </x:c>
      <x:c r="V23" s="19" t="n">
        <x:f>IFERROR(TODAY()-DATEVALUE(C23),"")</x:f>
        <x:v>12</x:v>
      </x:c>
      <x:c r="W23" s="21" t="n">
        <x:f>ROUND(COUNTA(A23:K23)/11*100,0)</x:f>
        <x:v>100</x:v>
      </x:c>
      <x:c r="X23" s="18" t="str">
        <x:v>Google News RSS</x:v>
      </x:c>
      <x:c r="Y23" s="22" t="str">
        <x:v>https://news.google.com/rss/articles/CBMimwFBVV95cUxPbm0yYTQ4NW9ZQzVLaGVrZHp3QU1xQ0h1OTVaM3RZZDlvQUtsRWRRVkk4WkFsSUI4cmhDWGNDc0VKekFOcldjci11Wm95d0t4M1N4eUZxdjVId085cFZtLUZzYTkyeWVWdVdfakpzbXo3RTdYT3M4TGVneERiWnJLb3JtSG8xYktiWE1pQVdIUlpDeTBFVUNhTEZ4Zw?oc=5</x:v>
      </x:c>
      <x:c r="Z23" s="18" t="n">
        <x:v>46263.291666666664</x:v>
      </x:c>
      <x:c r="AA23" s="18" t="n">
        <x:v>46275.38862103009</x:v>
      </x:c>
      <x:c r="AB23" s="18" t="str">
        <x:v>public_rss</x:v>
      </x:c>
      <x:c r="AC23" s="18" t="str">
        <x:v>READY</x:v>
      </x:c>
    </x:row>
    <x:row r="24">
      <x:c r="A24" s="18" t="str">
        <x:v>NYT-40-fd77f252462bd7c1</x:v>
      </x:c>
      <x:c r="B24" s="18" t="str">
        <x:v>Will Challenge Allahabad High Court Order Against Noida DM Over Student's NSA Detention : Solicitor Tells ... - Live Law</x:v>
      </x:c>
      <x:c r="C24" s="18" t="str">
        <x:v>2026-09-09</x:v>
      </x:c>
      <x:c r="D24" s="18" t="n">
        <x:v>2026</x:v>
      </x:c>
      <x:c r="E24" s="18" t="str">
        <x:v>2026-09</x:v>
      </x:c>
      <x:c r="F24" s="18" t="str"/>
      <x:c r="G24" s="18" t="str">
        <x:v>India district court order judgment</x:v>
      </x:c>
      <x:c r="H24" s="18" t="str"/>
      <x:c r="I24" s="18" t="str">
        <x:v>Live Law</x:v>
      </x:c>
      <x:c r="J24" s="20" t="str"/>
      <x:c r="K24" s="18" t="str"/>
      <x:c r="L24" s="18" t="str">
        <x:v>Will Challenge Allahabad High Court Order Against Noida DM Over Student's NSA Detention : Solicitor Tells ... - Live Law</x:v>
      </x:c>
      <x:c r="M24" s="18" t="str">
        <x:v>Live Law</x:v>
      </x:c>
      <x:c r="N24" s="18" t="str">
        <x:v>India district court order judgment</x:v>
      </x:c>
      <x:c r="O24" s="18" t="n">
        <x:v>46274.331296296295</x:v>
      </x:c>
      <x:c r="P24" s="18" t="str">
        <x:v>https://www.livelaw.in</x:v>
      </x:c>
      <x:c r="Q24" s="18" t="str">
        <x:v>DEFINED_TERMINAL_OR_FEED_SCOPE</x:v>
      </x:c>
      <x:c r="R24" s="18" t="str">
        <x:v>news_district_court_14d.json — published records loaded</x:v>
      </x:c>
      <x:c r="S24" s="18" t="str"/>
      <x:c r="T24" s="18" t="str"/>
      <x:c r="U24" s="20" t="n">
        <x:v>63</x:v>
      </x:c>
      <x:c r="V24" s="19" t="n">
        <x:f>IFERROR(TODAY()-DATEVALUE(C24),"")</x:f>
        <x:v>1</x:v>
      </x:c>
      <x:c r="W24" s="21" t="n">
        <x:f>ROUND(COUNTA(A24:K24)/11*100,0)</x:f>
        <x:v>100</x:v>
      </x:c>
      <x:c r="X24" s="18" t="str">
        <x:v>Google News RSS</x:v>
      </x:c>
      <x:c r="Y24" s="22" t="str">
        <x:v>https://news.google.com/rss/articles/CBMi7wFBVV95cUxNUGFraGNQNFRjRHlEZk1ZbzI3dUw4VmtrLU9QMDB5NzBXZXduU3dfZUt5SjhNbXNtMExUckVNN2psVlFMVUhtbkRVN1BIRkNFZE51LU9KZjJHcnZVenRpNXBQNGo4dFZ2eTR3NFlCdXdzYk1WNlkxTi1KcTQzYms4UkVlSzVYZWhHWDJaTkZ0enhtd0dpMHN1VXd3RW9Rd0pZSUtiM3BPSU5YWjhpbVZQdV93bGRkbUc5UzVLemtOR2o2N3R6WDdQSmh5cU9KbGhJaDJPdjRBZXU1TklTTENvNFVZalBPaFliTlRHbW1pRdIB9AFBVV95cUxNcTZwaVg2Z2NDb2JzLWczU2RsZW5PYmFTUmYxOXpWYW9hbHd1VzY4bWo2XzFGbVJueS1kdjFfQmp5VTIzdWdtQlNwcTZTQ1FRTUJLTTNUNlBHS3dodnhlX1hlMERuSzRzV0plRmpVdjZzeHFlLVM5VGs3Wlg5eEtJWUprRUZ4eE05WWN1bTdlM2duQjcyYXRkZXNuRUJQMk9FVURwemVfTlVhOHY3ano0N2lJOE9rRlVfMi03dUdyRlJrNUt4RWx3NXdUaE02ZV9EeGZzWlhwa0lNR0ZjRW9xS0RRN1FVTmoyOTg4bkZVYWJTbDlz?oc=5</x:v>
      </x:c>
      <x:c r="Z24" s="18" t="n">
        <x:v>46274.331296296295</x:v>
      </x:c>
      <x:c r="AA24" s="18" t="n">
        <x:v>46275.38862103009</x:v>
      </x:c>
      <x:c r="AB24" s="18" t="str">
        <x:v>public_rss</x:v>
      </x:c>
      <x:c r="AC24" s="18" t="str">
        <x:v>READY</x:v>
      </x:c>
    </x:row>
    <x:row r="25">
      <x:c r="A25" s="18" t="str">
        <x:v>NYT-40-6534cfc542529fdd</x:v>
      </x:c>
      <x:c r="B25" s="18" t="str">
        <x:v>Externment Cannot Be Ordered Routinely Or On Mere Registration Of Multiple Cases: Supreme Court - Verdictum</x:v>
      </x:c>
      <x:c r="C25" s="18" t="str">
        <x:v>2026-09-01</x:v>
      </x:c>
      <x:c r="D25" s="18" t="n">
        <x:v>2026</x:v>
      </x:c>
      <x:c r="E25" s="18" t="str">
        <x:v>2026-09</x:v>
      </x:c>
      <x:c r="F25" s="18" t="str"/>
      <x:c r="G25" s="18" t="str">
        <x:v>India district court order judgment</x:v>
      </x:c>
      <x:c r="H25" s="18" t="str"/>
      <x:c r="I25" s="18" t="str">
        <x:v>Verdictum</x:v>
      </x:c>
      <x:c r="J25" s="20" t="str"/>
      <x:c r="K25" s="18" t="str"/>
      <x:c r="L25" s="18" t="str">
        <x:v>Externment Cannot Be Ordered Routinely Or On Mere Registration Of Multiple Cases: Supreme Court - Verdictum</x:v>
      </x:c>
      <x:c r="M25" s="18" t="str">
        <x:v>Verdictum</x:v>
      </x:c>
      <x:c r="N25" s="18" t="str">
        <x:v>India district court order judgment</x:v>
      </x:c>
      <x:c r="O25" s="18" t="n">
        <x:v>46266.291666666664</x:v>
      </x:c>
      <x:c r="P25" s="18" t="str">
        <x:v>https://www.verdictum.in</x:v>
      </x:c>
      <x:c r="Q25" s="18" t="str">
        <x:v>DEFINED_TERMINAL_OR_FEED_SCOPE</x:v>
      </x:c>
      <x:c r="R25" s="18" t="str">
        <x:v>news_district_court_14d.json — published records loaded</x:v>
      </x:c>
      <x:c r="S25" s="18" t="str"/>
      <x:c r="T25" s="18" t="str"/>
      <x:c r="U25" s="20" t="n">
        <x:v>63</x:v>
      </x:c>
      <x:c r="V25" s="19" t="n">
        <x:f>IFERROR(TODAY()-DATEVALUE(C25),"")</x:f>
        <x:v>9</x:v>
      </x:c>
      <x:c r="W25" s="21" t="n">
        <x:f>ROUND(COUNTA(A25:K25)/11*100,0)</x:f>
        <x:v>100</x:v>
      </x:c>
      <x:c r="X25" s="18" t="str">
        <x:v>Google News RSS</x:v>
      </x:c>
      <x:c r="Y25" s="22" t="str">
        <x:v>https://news.google.com/rss/articles/CBMi2AFBVV95cUxQMmw1aENDS0M2NFlGTVY2eXU0N2FHRnpvbmoxS0pOcVZGVjhHdFA2QjNVc1BiajVZV1FINmxtaURhU1JhbTBjRmY4RlhESmttNzBMNEM3MXQ3X1JnTThmcjUwQk9Na2pSVDB3eXM2SDdjNl82RW9DX1RvZFI0Q0lwSEIzRFJ3UWRoeXZvM3lZQVgza2J3RUhGSFk3ck1IX3ZXNmJyQmVGa3NjcTZOZm1IdzdvbjdEODgwajJxOWVXUkZwbEkzYnVKZGsxLXBSQUQxZE14X3d6b1XSAd4BQVVfeXFMTmFsOVNvMFM5bWp4MTBPUVVxc2FrdWstLWFmd3k1V01iWWhTeHVsU1hyU1hvNUVFYU5RY19Qa3hMVUUtcWg2bzJlSldCUnIxVHl4c2xyTS1sUXhoOFQ4WTJTd2RvdUNEbURaNlhzX055NnNic3BILWtwYTBkSVMwRHlFa3NURXpSN0VWbmpDd0lJbGhaa1N0M2ZPMzc5X1VWek16NTRLSmNHTy1vUDlNdkJVN0JQTTBSTDdUOGlyZTF2X21YWVBSWTlrUEt2YklfNXFpaWlXbmRRSDVuX3hn?oc=5</x:v>
      </x:c>
      <x:c r="Z25" s="18" t="n">
        <x:v>46266.291666666664</x:v>
      </x:c>
      <x:c r="AA25" s="18" t="n">
        <x:v>46275.38862103009</x:v>
      </x:c>
      <x:c r="AB25" s="18" t="str">
        <x:v>public_rss</x:v>
      </x:c>
      <x:c r="AC25" s="18" t="str">
        <x:v>READY</x:v>
      </x:c>
    </x:row>
    <x:row r="26">
      <x:c r="A26" s="18" t="str">
        <x:v>NYT-40-0d639d964311c395</x:v>
      </x:c>
      <x:c r="B26" s="18" t="str">
        <x:v>UP Government to challenge Allahabad High Court ruling quashing NSA detention of Noida protester before Supreme Court - indialegallive.com</x:v>
      </x:c>
      <x:c r="C26" s="18" t="str">
        <x:v>2026-09-09</x:v>
      </x:c>
      <x:c r="D26" s="18" t="n">
        <x:v>2026</x:v>
      </x:c>
      <x:c r="E26" s="18" t="str">
        <x:v>2026-09</x:v>
      </x:c>
      <x:c r="F26" s="18" t="str"/>
      <x:c r="G26" s="18" t="str">
        <x:v>India district court order judgment</x:v>
      </x:c>
      <x:c r="H26" s="18" t="str"/>
      <x:c r="I26" s="18" t="str">
        <x:v>indialegallive.com</x:v>
      </x:c>
      <x:c r="J26" s="20" t="str"/>
      <x:c r="K26" s="18" t="str"/>
      <x:c r="L26" s="18" t="str">
        <x:v>UP Government to challenge Allahabad High Court ruling quashing NSA detention of Noida protester before Supreme Court - indialegallive.com</x:v>
      </x:c>
      <x:c r="M26" s="18" t="str">
        <x:v>indialegallive.com</x:v>
      </x:c>
      <x:c r="N26" s="18" t="str">
        <x:v>India district court order judgment</x:v>
      </x:c>
      <x:c r="O26" s="18" t="n">
        <x:v>46274.368055555555</x:v>
      </x:c>
      <x:c r="P26" s="18" t="str">
        <x:v>https://indialegallive.com</x:v>
      </x:c>
      <x:c r="Q26" s="18" t="str">
        <x:v>DEFINED_TERMINAL_OR_FEED_SCOPE</x:v>
      </x:c>
      <x:c r="R26" s="18" t="str">
        <x:v>news_district_court_14d.json — published records loaded</x:v>
      </x:c>
      <x:c r="S26" s="18" t="str"/>
      <x:c r="T26" s="18" t="str"/>
      <x:c r="U26" s="20" t="n">
        <x:v>63</x:v>
      </x:c>
      <x:c r="V26" s="19" t="n">
        <x:f>IFERROR(TODAY()-DATEVALUE(C26),"")</x:f>
        <x:v>1</x:v>
      </x:c>
      <x:c r="W26" s="21" t="n">
        <x:f>ROUND(COUNTA(A26:K26)/11*100,0)</x:f>
        <x:v>100</x:v>
      </x:c>
      <x:c r="X26" s="18" t="str">
        <x:v>Google News RSS</x:v>
      </x:c>
      <x:c r="Y26" s="22" t="str">
        <x:v>https://news.google.com/rss/articles/CBMijgJBVV95cUxOdDFHNzFBWllhUHJsUnBaVGVkeFFLZU8tVHN2cW9HS1lLd1F5VmUtOHcweUhiT1FVc2FqVmdmRXUwRXU4REJtMTVJWDdzMjFXWEZyQkNwelZnNjFKWXZMcUhsclJ2NV81OFVQN0xLN0dQMWMwckZhTGUxYktPcWU3RVRsOERubVhPZ3FXcXA5NG1jYWRNTnVQX1I2MTRydzJEUEFLbmRHT256eW9mYkhqRVVnLTEySzI3YkVZcG5pY2NoZXIxT2VhM3h1Y1hEdzQ3V1JPOGdsVzJfV0NiZ1ZHVnJUSWtGaHh2SXdQbG5HNGdGcXNOd184NnQzSHVMQzhfd1NNVTlXdzNSYjlLOFE?oc=5</x:v>
      </x:c>
      <x:c r="Z26" s="18" t="n">
        <x:v>46274.368055555555</x:v>
      </x:c>
      <x:c r="AA26" s="18" t="n">
        <x:v>46275.38862103009</x:v>
      </x:c>
      <x:c r="AB26" s="18" t="str">
        <x:v>public_rss</x:v>
      </x:c>
      <x:c r="AC26" s="18" t="str">
        <x:v>READY</x:v>
      </x:c>
    </x:row>
    <x:row r="27">
      <x:c r="A27" s="18" t="str">
        <x:v>NYT-40-0edf22bc707c51d8</x:v>
      </x:c>
      <x:c r="B27" s="18" t="str">
        <x:v>Supreme Court: Article 226 Writ Petition cannot be treated as Article 227 to deny right of appeal - SCC Online</x:v>
      </x:c>
      <x:c r="C27" s="18" t="str">
        <x:v>2026-09-07</x:v>
      </x:c>
      <x:c r="D27" s="18" t="n">
        <x:v>2026</x:v>
      </x:c>
      <x:c r="E27" s="18" t="str">
        <x:v>2026-09</x:v>
      </x:c>
      <x:c r="F27" s="18" t="str"/>
      <x:c r="G27" s="18" t="str">
        <x:v>India district court order judgment</x:v>
      </x:c>
      <x:c r="H27" s="18" t="str"/>
      <x:c r="I27" s="18" t="str">
        <x:v>SCC Online</x:v>
      </x:c>
      <x:c r="J27" s="20" t="str"/>
      <x:c r="K27" s="18" t="str"/>
      <x:c r="L27" s="18" t="str">
        <x:v>Supreme Court: Article 226 Writ Petition cannot be treated as Article 227 to deny right of appeal - SCC Online</x:v>
      </x:c>
      <x:c r="M27" s="18" t="str">
        <x:v>SCC Online</x:v>
      </x:c>
      <x:c r="N27" s="18" t="str">
        <x:v>India district court order judgment</x:v>
      </x:c>
      <x:c r="O27" s="18" t="n">
        <x:v>46272.43782407408</x:v>
      </x:c>
      <x:c r="P27" s="18" t="str">
        <x:v>https://www.scconline.com</x:v>
      </x:c>
      <x:c r="Q27" s="18" t="str">
        <x:v>DEFINED_TERMINAL_OR_FEED_SCOPE</x:v>
      </x:c>
      <x:c r="R27" s="18" t="str">
        <x:v>news_district_court_14d.json — published records loaded</x:v>
      </x:c>
      <x:c r="S27" s="18" t="str"/>
      <x:c r="T27" s="18" t="str"/>
      <x:c r="U27" s="20" t="n">
        <x:v>63</x:v>
      </x:c>
      <x:c r="V27" s="19" t="n">
        <x:f>IFERROR(TODAY()-DATEVALUE(C27),"")</x:f>
        <x:v>3</x:v>
      </x:c>
      <x:c r="W27" s="21" t="n">
        <x:f>ROUND(COUNTA(A27:K27)/11*100,0)</x:f>
        <x:v>100</x:v>
      </x:c>
      <x:c r="X27" s="18" t="str">
        <x:v>Google News RSS</x:v>
      </x:c>
      <x:c r="Y27" s="22" t="str">
        <x:v>https://news.google.com/rss/articles/CBMitAFBVV95cUxQekJDMXhsa215ZlYySW92Ynk4QnRjZUlxOVNDU04zZGhyamJaYjB0N1FKQzRsTVZ0QXUwM1VNVVlPMmxvUWNQS3dFeVdzSUp6OHlQekRwbXl4a01rQXluc1pseFRvWnNpOFF1ZVBJVGxvZndyeXh1ZmRpRUh6MThqbFFmdnQxZ1FhTGlKMF9wSGlIaElSelBSZ3N3MTZJQ3F0UW1uN0wtaU96eTM3Y0JVaXNjVlQ?oc=5</x:v>
      </x:c>
      <x:c r="Z27" s="18" t="n">
        <x:v>46272.43782407408</x:v>
      </x:c>
      <x:c r="AA27" s="18" t="n">
        <x:v>46275.38862103009</x:v>
      </x:c>
      <x:c r="AB27" s="18" t="str">
        <x:v>public_rss</x:v>
      </x:c>
      <x:c r="AC27" s="18" t="str">
        <x:v>READY</x:v>
      </x:c>
    </x:row>
    <x:row r="28">
      <x:c r="A28" s="18" t="str">
        <x:v>NYT-40-b5797ab0cb413860</x:v>
      </x:c>
      <x:c r="B28" s="18" t="str">
        <x:v>'Despotic' Officers Will Turn UP Into 'Orwellian Dystopia' : Allahabad High Court Slams Noida DM For NSA... - Live Law</x:v>
      </x:c>
      <x:c r="C28" s="18" t="str">
        <x:v>2026-09-07</x:v>
      </x:c>
      <x:c r="D28" s="18" t="n">
        <x:v>2026</x:v>
      </x:c>
      <x:c r="E28" s="18" t="str">
        <x:v>2026-09</x:v>
      </x:c>
      <x:c r="F28" s="18" t="str"/>
      <x:c r="G28" s="18" t="str">
        <x:v>India district court order judgment</x:v>
      </x:c>
      <x:c r="H28" s="18" t="str"/>
      <x:c r="I28" s="18" t="str">
        <x:v>Live Law</x:v>
      </x:c>
      <x:c r="J28" s="20" t="str"/>
      <x:c r="K28" s="18" t="str"/>
      <x:c r="L28" s="18" t="str">
        <x:v>'Despotic' Officers Will Turn UP Into 'Orwellian Dystopia' : Allahabad High Court Slams Noida DM For NSA... - Live Law</x:v>
      </x:c>
      <x:c r="M28" s="18" t="str">
        <x:v>Live Law</x:v>
      </x:c>
      <x:c r="N28" s="18" t="str">
        <x:v>India district court order judgment</x:v>
      </x:c>
      <x:c r="O28" s="18" t="n">
        <x:v>46272.51665509259</x:v>
      </x:c>
      <x:c r="P28" s="18" t="str">
        <x:v>https://www.livelaw.in</x:v>
      </x:c>
      <x:c r="Q28" s="18" t="str">
        <x:v>DEFINED_TERMINAL_OR_FEED_SCOPE</x:v>
      </x:c>
      <x:c r="R28" s="18" t="str">
        <x:v>news_district_court_14d.json — published records loaded</x:v>
      </x:c>
      <x:c r="S28" s="18" t="str"/>
      <x:c r="T28" s="18" t="str"/>
      <x:c r="U28" s="20" t="n">
        <x:v>63</x:v>
      </x:c>
      <x:c r="V28" s="19" t="n">
        <x:f>IFERROR(TODAY()-DATEVALUE(C28),"")</x:f>
        <x:v>3</x:v>
      </x:c>
      <x:c r="W28" s="21" t="n">
        <x:f>ROUND(COUNTA(A28:K28)/11*100,0)</x:f>
        <x:v>100</x:v>
      </x:c>
      <x:c r="X28" s="18" t="str">
        <x:v>Google News RSS</x:v>
      </x:c>
      <x:c r="Y28" s="22" t="str">
        <x:v>https://news.google.com/rss/articles/CBMizAFBVV95cUxOVVBsc1lMS3BPYkFjN1YxLUQ1SEdDbzRhV0lzVzkwc3BXRGtNNEdBdDlQbktyUUJvQUJFVFlWaGFpQXhRX3lfOXlNU1U5SUdFMkVVV3lfM0JJTnhSc1JUU1dDRFhLNGFNbzdIaTV1TlBsMjFaNlJ3MFlPMFpRbTF5R2NGM3J4VGtDMU9uUnlqU1cwRVc0SE9OU0R4Z2psd2luWVBra1BCYXZCSnhRQzNSbGdHZ0xmUEM3cHlUT1hLWThkYW4zS1NQV1g1eGjSAdIBQVVfeXFMUG5lblJnUS1FZHp6SHVCOEZ1czQ1NE9Fbm1wZUZISkdreFc5N1BocnRobFpuZ3JyVkNJZzdfZ1JVSFI5bE9teWZkZ2Y2bHFoeUtvM2pVcG5QdFN5dWNiWFQ4alNsbUYxSkJhVGtib0EzWTA1Wlp2cXRLNUFuclBXUzhXeHZ4bmMySDZTM19mUEl0YTlVLWE2STF0aS00V2ZjeDRBU1Q0ZktXTHVmUXdDQlBKcnMtMzJBOVdPRmZOUkQ4TEhLYmlTbW9Zd3JEVEdIOWZn?oc=5</x:v>
      </x:c>
      <x:c r="Z28" s="18" t="n">
        <x:v>46272.51665509259</x:v>
      </x:c>
      <x:c r="AA28" s="18" t="n">
        <x:v>46275.38862103009</x:v>
      </x:c>
      <x:c r="AB28" s="18" t="str">
        <x:v>public_rss</x:v>
      </x:c>
      <x:c r="AC28" s="18" t="str">
        <x:v>READY</x:v>
      </x:c>
    </x:row>
    <x:row r="29">
      <x:c r="A29" s="18" t="str">
        <x:v>NYT-40-1661e1c131d89b93</x:v>
      </x:c>
      <x:c r="B29" s="18" t="str">
        <x:v>Avoid ‘Orwellian dystopia’: Allahabad High Court blasts UP over DU graduate detention - The Indian Express</x:v>
      </x:c>
      <x:c r="C29" s="18" t="str">
        <x:v>2026-09-07</x:v>
      </x:c>
      <x:c r="D29" s="18" t="n">
        <x:v>2026</x:v>
      </x:c>
      <x:c r="E29" s="18" t="str">
        <x:v>2026-09</x:v>
      </x:c>
      <x:c r="F29" s="18" t="str"/>
      <x:c r="G29" s="18" t="str">
        <x:v>India district court order judgment</x:v>
      </x:c>
      <x:c r="H29" s="18" t="str"/>
      <x:c r="I29" s="18" t="str">
        <x:v>The Indian Express</x:v>
      </x:c>
      <x:c r="J29" s="20" t="str"/>
      <x:c r="K29" s="18" t="str"/>
      <x:c r="L29" s="18" t="str">
        <x:v>Avoid ‘Orwellian dystopia’: Allahabad High Court blasts UP over DU graduate detention - The Indian Express</x:v>
      </x:c>
      <x:c r="M29" s="18" t="str">
        <x:v>The Indian Express</x:v>
      </x:c>
      <x:c r="N29" s="18" t="str">
        <x:v>India district court order judgment</x:v>
      </x:c>
      <x:c r="O29" s="18" t="n">
        <x:v>46272.52559027778</x:v>
      </x:c>
      <x:c r="P29" s="18" t="str">
        <x:v>https://indianexpress.com</x:v>
      </x:c>
      <x:c r="Q29" s="18" t="str">
        <x:v>DEFINED_TERMINAL_OR_FEED_SCOPE</x:v>
      </x:c>
      <x:c r="R29" s="18" t="str">
        <x:v>news_district_court_14d.json — published records loaded</x:v>
      </x:c>
      <x:c r="S29" s="18" t="str"/>
      <x:c r="T29" s="18" t="str"/>
      <x:c r="U29" s="20" t="n">
        <x:v>63</x:v>
      </x:c>
      <x:c r="V29" s="19" t="n">
        <x:f>IFERROR(TODAY()-DATEVALUE(C29),"")</x:f>
        <x:v>3</x:v>
      </x:c>
      <x:c r="W29" s="21" t="n">
        <x:f>ROUND(COUNTA(A29:K29)/11*100,0)</x:f>
        <x:v>100</x:v>
      </x:c>
      <x:c r="X29" s="18" t="str">
        <x:v>Google News RSS</x:v>
      </x:c>
      <x:c r="Y29" s="22" t="str">
        <x:v>https://news.google.com/rss/articles/CBMiugFBVV95cUxNcGxUSENKajdYc2x2MHd1TTJzSUNzU05BeUJfNmVKM2VROHZmcHk4TDhVVG1tZGJuWVREUHBjanVoeFVnV0o3c1Z2dkFDamcwcXpzelZGbzZKVFRBdTNIS1doY2s5cUlkT2Zwckw4RUVmUWxTY2N6aW1NeVJGbld4NXRCdnlKczhiUHpuWGxvTDhVVWpudXV2OF9fa1o4WmY0YUU0anJkamxqeDVFMmhUWUQ4N2RwT3pfZlHSAcABQVVfeXFMTXNLbnZHdWJKNUhpWFFhMTRsTUY4VFpNQWxYQlZhOG1TQzhJUGNraVktdXNpOEctOFE0ckpTMkRIV1VWT2owXzhEOFhyeGZHS1VHR1VvZUhZb2hMSjRiSXhiY2pGaVktbG83TzZreWdGaTUxVjFPV3VLMDFxSy0tZ3lhY0FOcS11bjR2VDVrcDRXZWhzMDEtS2hPdkc0U015b25BeW1HRDhhSU83eUJsTXBwTUlEeG1WMGFWSFd1aUQt?oc=5</x:v>
      </x:c>
      <x:c r="Z29" s="18" t="n">
        <x:v>46272.52559027778</x:v>
      </x:c>
      <x:c r="AA29" s="18" t="n">
        <x:v>46275.38862103009</x:v>
      </x:c>
      <x:c r="AB29" s="18" t="str">
        <x:v>public_rss</x:v>
      </x:c>
      <x:c r="AC29" s="18" t="str">
        <x:v>READY</x:v>
      </x:c>
    </x:row>
    <x:row r="30">
      <x:c r="A30" s="18" t="str">
        <x:v>NYT-40-999ea5d5d3303f8c</x:v>
      </x:c>
      <x:c r="B30" s="18" t="str">
        <x:v>‘Gyanesh Kumar’s daughter’: Congress underlines as Allahabad HC slams Noida DM - Telegraph India</x:v>
      </x:c>
      <x:c r="C30" s="18" t="str">
        <x:v>2026-09-08</x:v>
      </x:c>
      <x:c r="D30" s="18" t="n">
        <x:v>2026</x:v>
      </x:c>
      <x:c r="E30" s="18" t="str">
        <x:v>2026-09</x:v>
      </x:c>
      <x:c r="F30" s="18" t="str"/>
      <x:c r="G30" s="18" t="str">
        <x:v>India district court order judgment</x:v>
      </x:c>
      <x:c r="H30" s="18" t="str"/>
      <x:c r="I30" s="18" t="str">
        <x:v>Telegraph India</x:v>
      </x:c>
      <x:c r="J30" s="20" t="str"/>
      <x:c r="K30" s="18" t="str"/>
      <x:c r="L30" s="18" t="str">
        <x:v>‘Gyanesh Kumar’s daughter’: Congress underlines as Allahabad HC slams Noida DM - Telegraph India</x:v>
      </x:c>
      <x:c r="M30" s="18" t="str">
        <x:v>Telegraph India</x:v>
      </x:c>
      <x:c r="N30" s="18" t="str">
        <x:v>India district court order judgment</x:v>
      </x:c>
      <x:c r="O30" s="18" t="n">
        <x:v>46273.37480324074</x:v>
      </x:c>
      <x:c r="P30" s="18" t="str">
        <x:v>https://www.telegraphindia.com</x:v>
      </x:c>
      <x:c r="Q30" s="18" t="str">
        <x:v>DEFINED_TERMINAL_OR_FEED_SCOPE</x:v>
      </x:c>
      <x:c r="R30" s="18" t="str">
        <x:v>news_district_court_14d.json — published records loaded</x:v>
      </x:c>
      <x:c r="S30" s="18" t="str"/>
      <x:c r="T30" s="18" t="str"/>
      <x:c r="U30" s="20" t="n">
        <x:v>63</x:v>
      </x:c>
      <x:c r="V30" s="19" t="n">
        <x:f>IFERROR(TODAY()-DATEVALUE(C30),"")</x:f>
        <x:v>2</x:v>
      </x:c>
      <x:c r="W30" s="21" t="n">
        <x:f>ROUND(COUNTA(A30:K30)/11*100,0)</x:f>
        <x:v>100</x:v>
      </x:c>
      <x:c r="X30" s="18" t="str">
        <x:v>Google News RSS</x:v>
      </x:c>
      <x:c r="Y30" s="22" t="str">
        <x:v>https://news.google.com/rss/articles/CBMi4gFBVV95cUxObTUxWFg4UzBVUi1VaVVRNjhrVXdRenhaczYtYndYMzRqQ0c2dXIwN0ltQ05tMG9wZmp2dEM0N3ZJazVDNnZHMnA5Smk5NlpUSk5xLW1JZ3lDSDBoWjdVeFlrNnVNbzdxUDFFSGJ0N29GUi1maDhpSkZTNzJuWHpxVGE0VjNGVkp5TVJ5TjZGVmk0RGlYckNmeFBSOFVoR2xQMzdISnJncTZaZW52QXFzZkp2eC1Jc1NpbFUwOTNadk5NbXUwY3llUlRJQWNiTHhuU2h0T3JUdWVHd1J0ODlLek5n0gHnAUFVX3lxTE9YZm9kdjJHUW9pZm1OQ3FoOE94MU5pOVVxeXBxTldQZHpjc1g4ZzJjak5ma1BNbHByd0tDZjRsRG1ZSzJIRExhZnVtc01DcmhOTTlMT1dLRWMyaXVHNTB5MlNKT2JDVjNidmxIb0tvUHN3TUtwUlVRNzIyTlA3VVJ0YmdjdnUzUkpFejhGX1RqWk5pYk9LVTZmWVdCSW0wS2wxUnhlczBLbHA2QjdadEQ5cGVkWUM2eWQwR2xlRGg4d045bG9MLTFvNUhFQ0V1Szk3RTZEanJVUkhCLU1ONHhvanRuR25hcw?oc=5</x:v>
      </x:c>
      <x:c r="Z30" s="18" t="n">
        <x:v>46273.37480324074</x:v>
      </x:c>
      <x:c r="AA30" s="18" t="n">
        <x:v>46275.38862103009</x:v>
      </x:c>
      <x:c r="AB30" s="18" t="str">
        <x:v>public_rss</x:v>
      </x:c>
      <x:c r="AC30" s="18" t="str">
        <x:v>READY</x:v>
      </x:c>
    </x:row>
    <x:row r="31">
      <x:c r="A31" s="18" t="str">
        <x:v>NYT-40-e3e86c90e8f916b8</x:v>
      </x:c>
      <x:c r="B31" s="18" t="str">
        <x:v>Court relief to DU student charged with NSA to be challenged: Solicitor General - The Indian Express</x:v>
      </x:c>
      <x:c r="C31" s="18" t="str">
        <x:v>2026-09-09</x:v>
      </x:c>
      <x:c r="D31" s="18" t="n">
        <x:v>2026</x:v>
      </x:c>
      <x:c r="E31" s="18" t="str">
        <x:v>2026-09</x:v>
      </x:c>
      <x:c r="F31" s="18" t="str"/>
      <x:c r="G31" s="18" t="str">
        <x:v>India district court order judgment</x:v>
      </x:c>
      <x:c r="H31" s="18" t="str"/>
      <x:c r="I31" s="18" t="str">
        <x:v>The Indian Express</x:v>
      </x:c>
      <x:c r="J31" s="20" t="str"/>
      <x:c r="K31" s="18" t="str"/>
      <x:c r="L31" s="18" t="str">
        <x:v>Court relief to DU student charged with NSA to be challenged: Solicitor General - The Indian Express</x:v>
      </x:c>
      <x:c r="M31" s="18" t="str">
        <x:v>The Indian Express</x:v>
      </x:c>
      <x:c r="N31" s="18" t="str">
        <x:v>India district court order judgment</x:v>
      </x:c>
      <x:c r="O31" s="18" t="n">
        <x:v>46274.546111111114</x:v>
      </x:c>
      <x:c r="P31" s="18" t="str">
        <x:v>https://indianexpress.com</x:v>
      </x:c>
      <x:c r="Q31" s="18" t="str">
        <x:v>DEFINED_TERMINAL_OR_FEED_SCOPE</x:v>
      </x:c>
      <x:c r="R31" s="18" t="str">
        <x:v>news_district_court_14d.json — published records loaded</x:v>
      </x:c>
      <x:c r="S31" s="18" t="str"/>
      <x:c r="T31" s="18" t="str"/>
      <x:c r="U31" s="20" t="n">
        <x:v>63</x:v>
      </x:c>
      <x:c r="V31" s="19" t="n">
        <x:f>IFERROR(TODAY()-DATEVALUE(C31),"")</x:f>
        <x:v>1</x:v>
      </x:c>
      <x:c r="W31" s="21" t="n">
        <x:f>ROUND(COUNTA(A31:K31)/11*100,0)</x:f>
        <x:v>100</x:v>
      </x:c>
      <x:c r="X31" s="18" t="str">
        <x:v>Google News RSS</x:v>
      </x:c>
      <x:c r="Y31" s="22" t="str">
        <x:v>https://news.google.com/rss/articles/CBMisAFBVV95cUxOR0dSc0x6T0V5TGlzREVmT1ZXTHhmMGctVHhlMUdQV3ZQMzNZWUdtWFFLSU5zNUZndm9TRkNseXNSem9pYTVURVpOd19uTWtJUUVEVG5uUWhHX05Fd2FjSFpDd2htalllMGZwZnpUWlZqaWU5NlNUbkVOV2JVdldDbXFDYzJUZ3ZhdU4xYnQxUEZGSHprZDhlVEZOWGw5MTdoNzY4QXRnODdyamJYTGhOY9IBtwFBVV95cUxNVGtaZ2hGZmlBVkI1X2FiOFJMQ0NsVFVOTmZhS0JpbFhiTHFwWGJnR2xGcXhqeGNISWhSbEtLMU1ST1hrOFdTRDVvTVl3aFZtN2Rfb0hHdkE1UG52Y0l3dDlUWERXdWNRN1ZiaTZTQXdvc24weUs4U01jUFNPTEZZT0xtZGt0SmF3bmRUSG1PaUctaVpkblByR2RqQUFHYkJmRDVTZGpqM2RubHhIUDNaVXVRdlhqNTQ?oc=5</x:v>
      </x:c>
      <x:c r="Z31" s="18" t="n">
        <x:v>46274.546111111114</x:v>
      </x:c>
      <x:c r="AA31" s="18" t="n">
        <x:v>46275.38862103009</x:v>
      </x:c>
      <x:c r="AB31" s="18" t="str">
        <x:v>public_rss</x:v>
      </x:c>
      <x:c r="AC31" s="18" t="str">
        <x:v>READY</x:v>
      </x:c>
    </x:row>
    <x:row r="32">
      <x:c r="A32" s="18" t="str">
        <x:v>NYT-40-97530cae134ffc1e</x:v>
      </x:c>
      <x:c r="B32" s="18" t="str">
        <x:v>Supreme Court partly allowed the appeal in a dispute under the Cone Workers and Cinema Theatre Workers (Regulation of Employment) Act, 1981, modifying the High Court's relief on provident fund contributions. The Court held that cinema theatre owners w - Lawtext</x:v>
      </x:c>
      <x:c r="C32" s="18" t="str">
        <x:v>2026-09-05</x:v>
      </x:c>
      <x:c r="D32" s="18" t="n">
        <x:v>2026</x:v>
      </x:c>
      <x:c r="E32" s="18" t="str">
        <x:v>2026-09</x:v>
      </x:c>
      <x:c r="F32" s="18" t="str"/>
      <x:c r="G32" s="18" t="str">
        <x:v>India district court order judgment</x:v>
      </x:c>
      <x:c r="H32" s="18" t="str"/>
      <x:c r="I32" s="18" t="str">
        <x:v>Lawtext</x:v>
      </x:c>
      <x:c r="J32" s="20" t="str"/>
      <x:c r="K32" s="18" t="str"/>
      <x:c r="L32" s="18" t="str">
        <x:v>Supreme Court partly allowed the appeal in a dispute under the Cone Workers and Cinema Theatre Workers (Regulation of Employment) Act, 1981, modifying the High Court's relief on provident fund contributions. The Court held that cinema theatre owners w - Lawtext</x:v>
      </x:c>
      <x:c r="M32" s="18" t="str">
        <x:v>Lawtext</x:v>
      </x:c>
      <x:c r="N32" s="18" t="str">
        <x:v>India district court order judgment</x:v>
      </x:c>
      <x:c r="O32" s="18" t="n">
        <x:v>46270.728217592594</x:v>
      </x:c>
      <x:c r="P32" s="18" t="str">
        <x:v>https://lawtext.in</x:v>
      </x:c>
      <x:c r="Q32" s="18" t="str">
        <x:v>DEFINED_TERMINAL_OR_FEED_SCOPE</x:v>
      </x:c>
      <x:c r="R32" s="18" t="str">
        <x:v>news_district_court_14d.json — published records loaded</x:v>
      </x:c>
      <x:c r="S32" s="18" t="str"/>
      <x:c r="T32" s="18" t="str"/>
      <x:c r="U32" s="20" t="n">
        <x:v>63</x:v>
      </x:c>
      <x:c r="V32" s="19" t="n">
        <x:f>IFERROR(TODAY()-DATEVALUE(C32),"")</x:f>
        <x:v>5</x:v>
      </x:c>
      <x:c r="W32" s="21" t="n">
        <x:f>ROUND(COUNTA(A32:K32)/11*100,0)</x:f>
        <x:v>100</x:v>
      </x:c>
      <x:c r="X32" s="18" t="str">
        <x:v>Google News RSS</x:v>
      </x:c>
      <x:c r="Y32" s="22" t="str">
        <x:v>https://news.google.com/rss/articles/CBMiVEFVX3lxTE9pZl9uVzdoUWl1VUlCbkNWcUYyTENsVWhvdnpmMjVOZWFyWjNZaXJZenFSZWJodzV3aXh6ZUE0S2dyNVRsaFJOOV94N1pvbjZkRFAzaw?oc=5</x:v>
      </x:c>
      <x:c r="Z32" s="18" t="n">
        <x:v>46270.728217592594</x:v>
      </x:c>
      <x:c r="AA32" s="18" t="n">
        <x:v>46275.38862103009</x:v>
      </x:c>
      <x:c r="AB32" s="18" t="str">
        <x:v>public_rss</x:v>
      </x:c>
      <x:c r="AC32" s="18" t="str">
        <x:v>READY</x:v>
      </x:c>
    </x:row>
    <x:row r="33">
      <x:c r="A33" s="18" t="str">
        <x:v>NYT-40-f9dde6259c91a3d2</x:v>
      </x:c>
      <x:c r="B33" s="18" t="str">
        <x:v>Supreme Court Reinstates Arbitral Award and Dismisses High Court's Interference in Arbitration Appeal. High Court Exceeded Jurisdiction Under Section 37 of Arbitration and Conciliation Act, 1996 by Re-appreciating Evidence and Entering into Merits of Clai - Lawtext</x:v>
      </x:c>
      <x:c r="C33" s="18" t="str">
        <x:v>2026-09-01</x:v>
      </x:c>
      <x:c r="D33" s="18" t="n">
        <x:v>2026</x:v>
      </x:c>
      <x:c r="E33" s="18" t="str">
        <x:v>2026-09</x:v>
      </x:c>
      <x:c r="F33" s="18" t="str"/>
      <x:c r="G33" s="18" t="str">
        <x:v>India district court order judgment</x:v>
      </x:c>
      <x:c r="H33" s="18" t="str"/>
      <x:c r="I33" s="18" t="str">
        <x:v>Lawtext</x:v>
      </x:c>
      <x:c r="J33" s="20" t="str"/>
      <x:c r="K33" s="18" t="str"/>
      <x:c r="L33" s="18" t="str">
        <x:v>Supreme Court Reinstates Arbitral Award and Dismisses High Court's Interference in Arbitration Appeal. High Court Exceeded Jurisdiction Under Section 37 of Arbitration and Conciliation Act, 1996 by Re-appreciating Evidence and Entering into Merits of Clai - Lawtext</x:v>
      </x:c>
      <x:c r="M33" s="18" t="str">
        <x:v>Lawtext</x:v>
      </x:c>
      <x:c r="N33" s="18" t="str">
        <x:v>India district court order judgment</x:v>
      </x:c>
      <x:c r="O33" s="18" t="n">
        <x:v>46266.94375</x:v>
      </x:c>
      <x:c r="P33" s="18" t="str">
        <x:v>https://lawtext.in</x:v>
      </x:c>
      <x:c r="Q33" s="18" t="str">
        <x:v>DEFINED_TERMINAL_OR_FEED_SCOPE</x:v>
      </x:c>
      <x:c r="R33" s="18" t="str">
        <x:v>news_district_court_14d.json — published records loaded</x:v>
      </x:c>
      <x:c r="S33" s="18" t="str"/>
      <x:c r="T33" s="18" t="str"/>
      <x:c r="U33" s="20" t="n">
        <x:v>63</x:v>
      </x:c>
      <x:c r="V33" s="19" t="n">
        <x:f>IFERROR(TODAY()-DATEVALUE(C33),"")</x:f>
        <x:v>9</x:v>
      </x:c>
      <x:c r="W33" s="21" t="n">
        <x:f>ROUND(COUNTA(A33:K33)/11*100,0)</x:f>
        <x:v>100</x:v>
      </x:c>
      <x:c r="X33" s="18" t="str">
        <x:v>Google News RSS</x:v>
      </x:c>
      <x:c r="Y33" s="22" t="str">
        <x:v>https://news.google.com/rss/articles/CBMiZEFVX3lxTE5FVnNEUWJfWm8zcnpjMlJTN284U09FRC11Ny1iQVdKUlJDOVEzWjRDZEFiUUJPeUpEMEZvRHZzQVZDXzA1akZfdkpfMHpaQUR4bUh5V2JkM1JGbHg1V2l6QnNOZTU?oc=5</x:v>
      </x:c>
      <x:c r="Z33" s="18" t="n">
        <x:v>46266.94375</x:v>
      </x:c>
      <x:c r="AA33" s="18" t="n">
        <x:v>46275.38862103009</x:v>
      </x:c>
      <x:c r="AB33" s="18" t="str">
        <x:v>public_rss</x:v>
      </x:c>
      <x:c r="AC33" s="18" t="str">
        <x:v>READY</x:v>
      </x:c>
    </x:row>
    <x:row r="34">
      <x:c r="A34" s="18" t="str">
        <x:v>NYT-40-fef1fb7c1f6b9780</x:v>
      </x:c>
      <x:c r="B34" s="18" t="str">
        <x:v>Madras HC Orders Repatriation Of Idol-Smuggling Kingpin Subhash Chandra Kapoor To Germany - ETV Bharat</x:v>
      </x:c>
      <x:c r="C34" s="18" t="str">
        <x:v>2026-09-09</x:v>
      </x:c>
      <x:c r="D34" s="18" t="n">
        <x:v>2026</x:v>
      </x:c>
      <x:c r="E34" s="18" t="str">
        <x:v>2026-09</x:v>
      </x:c>
      <x:c r="F34" s="18" t="str"/>
      <x:c r="G34" s="18" t="str">
        <x:v>India district court order judgment</x:v>
      </x:c>
      <x:c r="H34" s="18" t="str"/>
      <x:c r="I34" s="18" t="str">
        <x:v>ETV Bharat</x:v>
      </x:c>
      <x:c r="J34" s="20" t="str"/>
      <x:c r="K34" s="18" t="str"/>
      <x:c r="L34" s="18" t="str">
        <x:v>Madras HC Orders Repatriation Of Idol-Smuggling Kingpin Subhash Chandra Kapoor To Germany - ETV Bharat</x:v>
      </x:c>
      <x:c r="M34" s="18" t="str">
        <x:v>ETV Bharat</x:v>
      </x:c>
      <x:c r="N34" s="18" t="str">
        <x:v>India district court order judgment</x:v>
      </x:c>
      <x:c r="O34" s="18" t="n">
        <x:v>46274.61181712963</x:v>
      </x:c>
      <x:c r="P34" s="18" t="str">
        <x:v>https://www.etvbharat.com</x:v>
      </x:c>
      <x:c r="Q34" s="18" t="str">
        <x:v>DEFINED_TERMINAL_OR_FEED_SCOPE</x:v>
      </x:c>
      <x:c r="R34" s="18" t="str">
        <x:v>news_district_court_14d.json — published records loaded</x:v>
      </x:c>
      <x:c r="S34" s="18" t="str"/>
      <x:c r="T34" s="18" t="str"/>
      <x:c r="U34" s="20" t="n">
        <x:v>63</x:v>
      </x:c>
      <x:c r="V34" s="19" t="n">
        <x:f>IFERROR(TODAY()-DATEVALUE(C34),"")</x:f>
        <x:v>1</x:v>
      </x:c>
      <x:c r="W34" s="21" t="n">
        <x:f>ROUND(COUNTA(A34:K34)/11*100,0)</x:f>
        <x:v>100</x:v>
      </x:c>
      <x:c r="X34" s="18" t="str">
        <x:v>Google News RSS</x:v>
      </x:c>
      <x:c r="Y34" s="22" t="str">
        <x:v>https://news.google.com/rss/articles/CBMi1wFBVV95cUxQZ2ZEaVpzTFBvZXBGWEpiejNmeG9HUnRLYTFKZ2lLTnJuM2R2NkFfTXh0VXBkSXVoMTI4cWV2Z19memRGT0wzU3V5S2w4UmR1Q3lLTzF2VjdlaTc2VEU1Ri1pYW02YUpoU3d3bnBhaG55ZGszQ3JiclUzQWVBTkJPQ201UXd4VXZWbkRwbFVwWTJTdklEWktzVmZMa2tDZ1BTeGJhbDFZbkdROS1mYThoTzRYckYtOUoyUXdVZF9uYmNhajVmYjl0WW9fWVIzbkgwLUR4Uk5nRdIB3AFBVV95cUxNNG1BTFJqYkdycDZxZ0tOY185ZU44RHltSmpFY1lCM0NwLXJoUExWZmhwajJHUVhwdE1sdUFTUEhYTFdreUxrODAxMi1FQXNFY2ZGWjZIc2IxRWc3Y0FTTGRMTFduUUFVUkdWZlhlS1JEb0hVeWZteGRFZlpUN1o5akY2bTJPZ1cwR3ZKSER0dHh4WnBXM1M2bnZEOTRBRFBEWnhhS1BXdjhtWWxmMWFYckFtQ3Fib3JmRy01Y1B1Z3VQRmVYeEdEd0UwM1JiZ2JzLXlvNE1fcU02ampG?oc=5</x:v>
      </x:c>
      <x:c r="Z34" s="18" t="n">
        <x:v>46274.61181712963</x:v>
      </x:c>
      <x:c r="AA34" s="18" t="n">
        <x:v>46275.38862103009</x:v>
      </x:c>
      <x:c r="AB34" s="18" t="str">
        <x:v>public_rss</x:v>
      </x:c>
      <x:c r="AC34" s="18" t="str">
        <x:v>READY</x:v>
      </x:c>
    </x:row>
    <x:row r="35">
      <x:c r="A35" s="18" t="str">
        <x:v>NYT-40-ee1dd959e1900049</x:v>
      </x:c>
      <x:c r="B35" s="18" t="str">
        <x:v>Who is Gurmeet Singh? Indian-origin man stripped of US citizenship over rape - The Indian Express</x:v>
      </x:c>
      <x:c r="C35" s="18" t="str">
        <x:v>2026-09-01</x:v>
      </x:c>
      <x:c r="D35" s="18" t="n">
        <x:v>2026</x:v>
      </x:c>
      <x:c r="E35" s="18" t="str">
        <x:v>2026-09</x:v>
      </x:c>
      <x:c r="F35" s="18" t="str"/>
      <x:c r="G35" s="18" t="str">
        <x:v>India district court order judgment</x:v>
      </x:c>
      <x:c r="H35" s="18" t="str"/>
      <x:c r="I35" s="18" t="str">
        <x:v>The Indian Express</x:v>
      </x:c>
      <x:c r="J35" s="20" t="str"/>
      <x:c r="K35" s="18" t="str"/>
      <x:c r="L35" s="18" t="str">
        <x:v>Who is Gurmeet Singh? Indian-origin man stripped of US citizenship over rape - The Indian Express</x:v>
      </x:c>
      <x:c r="M35" s="18" t="str">
        <x:v>The Indian Express</x:v>
      </x:c>
      <x:c r="N35" s="18" t="str">
        <x:v>India district court order judgment</x:v>
      </x:c>
      <x:c r="O35" s="18" t="n">
        <x:v>46266.26886574074</x:v>
      </x:c>
      <x:c r="P35" s="18" t="str">
        <x:v>https://indianexpress.com</x:v>
      </x:c>
      <x:c r="Q35" s="18" t="str">
        <x:v>DEFINED_TERMINAL_OR_FEED_SCOPE</x:v>
      </x:c>
      <x:c r="R35" s="18" t="str">
        <x:v>news_district_court_14d.json — published records loaded</x:v>
      </x:c>
      <x:c r="S35" s="18" t="str"/>
      <x:c r="T35" s="18" t="str"/>
      <x:c r="U35" s="20" t="n">
        <x:v>63</x:v>
      </x:c>
      <x:c r="V35" s="19" t="n">
        <x:f>IFERROR(TODAY()-DATEVALUE(C35),"")</x:f>
        <x:v>9</x:v>
      </x:c>
      <x:c r="W35" s="21" t="n">
        <x:f>ROUND(COUNTA(A35:K35)/11*100,0)</x:f>
        <x:v>100</x:v>
      </x:c>
      <x:c r="X35" s="18" t="str">
        <x:v>Google News RSS</x:v>
      </x:c>
      <x:c r="Y35" s="22" t="str">
        <x:v>https://news.google.com/rss/articles/CBMisAFBVV95cUxNWHVYNHhiZjZKVUJlZVVneGdLV0xSbEtFaXNXNjJqa2pxZHJTb3FLU2o1UXlxajVHcC0zV1ZPeDR5QWwycWJQTi0tNDJaWEN6RzllUXV1MlN0M2cwWTVoZUFldHZHYWxIOGxVR2lsZlJRdHFvX25UdEdLUGI5YV9hS3Z3Xy0ya2NpTHZYMDhWajY2XzlCSXByNFBQRGNDUGR6dm5TV2lLUU5rMXJKVTNyY9IBtwFBVV95cUxPSHBNRXd2TGhvbVkzMnZjc3Z1MUptRUNHSG1GbnRRaU4tbXdRdkI2SDIzMDQ5M2U0aEc4TzZNanJQcmtYS1hOdm1NMWxNaU1MSVptaXBnWEJWSUZLbEJhOTg4QUxfTWFaUG5iRHJscFJpdWxXelJoUHY0YmdNejZkWUpTbEh1SExpVlFaVnFZdG5mT1pYajNvbzFfb2xVZ0xGSWllSXFIZURFTkxkbE9YUWlkdzZjUDQ?oc=5</x:v>
      </x:c>
      <x:c r="Z35" s="18" t="n">
        <x:v>46266.26886574074</x:v>
      </x:c>
      <x:c r="AA35" s="18" t="n">
        <x:v>46275.38862103009</x:v>
      </x:c>
      <x:c r="AB35" s="18" t="str">
        <x:v>public_rss</x:v>
      </x:c>
      <x:c r="AC35" s="18" t="str">
        <x:v>READY</x:v>
      </x:c>
    </x:row>
    <x:row r="36">
      <x:c r="A36" s="18" t="str">
        <x:v>NYT-40-a71a3e048b1c0953</x:v>
      </x:c>
      <x:c r="B36" s="18" t="str">
        <x:v>UP govt to challenge HC order awarding ₹5 lakh compensation to law student | India News - Hindustan Times</x:v>
      </x:c>
      <x:c r="C36" s="18" t="str">
        <x:v>2026-09-10</x:v>
      </x:c>
      <x:c r="D36" s="18" t="n">
        <x:v>2026</x:v>
      </x:c>
      <x:c r="E36" s="18" t="str">
        <x:v>2026-09</x:v>
      </x:c>
      <x:c r="F36" s="18" t="str"/>
      <x:c r="G36" s="18" t="str">
        <x:v>India district court order judgment</x:v>
      </x:c>
      <x:c r="H36" s="18" t="str"/>
      <x:c r="I36" s="18" t="str">
        <x:v>Hindustan Times</x:v>
      </x:c>
      <x:c r="J36" s="20" t="str"/>
      <x:c r="K36" s="18" t="str"/>
      <x:c r="L36" s="18" t="str">
        <x:v>UP govt to challenge HC order awarding ₹5 lakh compensation to law student | India News - Hindustan Times</x:v>
      </x:c>
      <x:c r="M36" s="18" t="str">
        <x:v>Hindustan Times</x:v>
      </x:c>
      <x:c r="N36" s="18" t="str">
        <x:v>India district court order judgment</x:v>
      </x:c>
      <x:c r="O36" s="18" t="n">
        <x:v>46275.09050925926</x:v>
      </x:c>
      <x:c r="P36" s="18" t="str">
        <x:v>https://www.hindustantimes.com</x:v>
      </x:c>
      <x:c r="Q36" s="18" t="str">
        <x:v>DEFINED_TERMINAL_OR_FEED_SCOPE</x:v>
      </x:c>
      <x:c r="R36" s="18" t="str">
        <x:v>news_district_court_14d.json — published records loaded</x:v>
      </x:c>
      <x:c r="S36" s="18" t="str"/>
      <x:c r="T36" s="18" t="str"/>
      <x:c r="U36" s="20" t="n">
        <x:v>63</x:v>
      </x:c>
      <x:c r="V36" s="19" t="n">
        <x:f>IFERROR(TODAY()-DATEVALUE(C36),"")</x:f>
        <x:v>0</x:v>
      </x:c>
      <x:c r="W36" s="21" t="n">
        <x:f>ROUND(COUNTA(A36:K36)/11*100,0)</x:f>
        <x:v>100</x:v>
      </x:c>
      <x:c r="X36" s="18" t="str">
        <x:v>Google News RSS</x:v>
      </x:c>
      <x:c r="Y36" s="22" t="str">
        <x:v>https://news.google.com/rss/articles/CBMi0gFBVV95cUxQQjk0QjF4czNuMTFVckFsc3dzVjdJQUxCSktBTHhGb1ZtTUliajJrZHZzc0hPTGdldkhlWTB1c2J4TWpNX0F0TGNpaHNOazFxVkNGdE5EWjVHeWlPMjhILW9xTEtkU0IycnlCZGI1N2w1MHJWWjI1WWltcEhqQkdDbU96Zl9WazBaTnpGa1BSeExacVlGcWhzaFdZR0NTZVdieW1iZ3k0b3hzZWVZamtTMmZLT2RZUWFmY0hTdndwcVBVMndNV2RjWjVSWU5DMFFCVHfSAdcBQVVfeXFMTU4yNDdfNTd2X3JBd2JfUnFOZnh1QVlocFZrWVBWTnIwZGhpYUMyZzVMcjBlX2QteTd0eXF3SGk5RTg5RUtEMGR4NnhNUmxWeVNzMlFieWRlenczMkR6cFlJbGZ2b3lON2FsOEpjcS1iQnQxN3ktYXF3UkdJUE8tZ2xMSzNzN2ZwWEptVzVKVDdEWldhT2R6T3NsLTBQRndYZ1RfX1lzcElmZ0RjaXViay1GczV4Wmhhc21qVmNiSWR5QmNJNDl2U1JQd3VBZzdNSk94ZXY2eEU?oc=5</x:v>
      </x:c>
      <x:c r="Z36" s="18" t="n">
        <x:v>46275.09050925926</x:v>
      </x:c>
      <x:c r="AA36" s="18" t="n">
        <x:v>46275.38862103009</x:v>
      </x:c>
      <x:c r="AB36" s="18" t="str">
        <x:v>public_rss</x:v>
      </x:c>
      <x:c r="AC36" s="18" t="str">
        <x:v>READY</x:v>
      </x:c>
    </x:row>
    <x:row r="37">
      <x:c r="A37" s="18" t="str">
        <x:v>NYT-40-6c906ae9fe9248ff</x:v>
      </x:c>
      <x:c r="B37" s="18" t="str">
        <x:v>High Court of Karnataka Dismisses Writ Petition Under Article 227 of Constitution of India as Alternative Remedy Available Under Commercial Courts Act, 2015. Order Rejecting Plaint in Commercial Suit Amounts to Decree Under Section 2(2) of Code of Civil - Lawtext</x:v>
      </x:c>
      <x:c r="C37" s="18" t="str">
        <x:v>2026-09-02</x:v>
      </x:c>
      <x:c r="D37" s="18" t="n">
        <x:v>2026</x:v>
      </x:c>
      <x:c r="E37" s="18" t="str">
        <x:v>2026-09</x:v>
      </x:c>
      <x:c r="F37" s="18" t="str"/>
      <x:c r="G37" s="18" t="str">
        <x:v>India district court order judgment</x:v>
      </x:c>
      <x:c r="H37" s="18" t="str"/>
      <x:c r="I37" s="18" t="str">
        <x:v>Lawtext</x:v>
      </x:c>
      <x:c r="J37" s="20" t="str"/>
      <x:c r="K37" s="18" t="str"/>
      <x:c r="L37" s="18" t="str">
        <x:v>High Court of Karnataka Dismisses Writ Petition Under Article 227 of Constitution of India as Alternative Remedy Available Under Commercial Courts Act, 2015. Order Rejecting Plaint in Commercial Suit Amounts to Decree Under Section 2(2) of Code of Civil - Lawtext</x:v>
      </x:c>
      <x:c r="M37" s="18" t="str">
        <x:v>Lawtext</x:v>
      </x:c>
      <x:c r="N37" s="18" t="str">
        <x:v>India district court order judgment</x:v>
      </x:c>
      <x:c r="O37" s="18" t="n">
        <x:v>46267.61719907408</x:v>
      </x:c>
      <x:c r="P37" s="18" t="str">
        <x:v>https://lawtext.in</x:v>
      </x:c>
      <x:c r="Q37" s="18" t="str">
        <x:v>DEFINED_TERMINAL_OR_FEED_SCOPE</x:v>
      </x:c>
      <x:c r="R37" s="18" t="str">
        <x:v>news_district_court_14d.json — published records loaded</x:v>
      </x:c>
      <x:c r="S37" s="18" t="str"/>
      <x:c r="T37" s="18" t="str"/>
      <x:c r="U37" s="20" t="n">
        <x:v>63</x:v>
      </x:c>
      <x:c r="V37" s="19" t="n">
        <x:f>IFERROR(TODAY()-DATEVALUE(C37),"")</x:f>
        <x:v>8</x:v>
      </x:c>
      <x:c r="W37" s="21" t="n">
        <x:f>ROUND(COUNTA(A37:K37)/11*100,0)</x:f>
        <x:v>100</x:v>
      </x:c>
      <x:c r="X37" s="18" t="str">
        <x:v>Google News RSS</x:v>
      </x:c>
      <x:c r="Y37" s="22" t="str">
        <x:v>https://news.google.com/rss/articles/CBMiZkFVX3lxTE55YjcyTDdxRjFQdm9NVmFOOTB1N01XUEJiaEEyMV9pcXE0dl9MWmpURWlRRWQyeVlxSnluMVdZUV81V1Q1d0d1V0Q1cjdOYXJSNHRwbG9MdG1JRU8xSEFjOVhFVXBxQQ?oc=5</x:v>
      </x:c>
      <x:c r="Z37" s="18" t="n">
        <x:v>46267.61719907408</x:v>
      </x:c>
      <x:c r="AA37" s="18" t="n">
        <x:v>46275.38862103009</x:v>
      </x:c>
      <x:c r="AB37" s="18" t="str">
        <x:v>public_rss</x:v>
      </x:c>
      <x:c r="AC37" s="18" t="str">
        <x:v>READY</x:v>
      </x:c>
    </x:row>
    <x:row r="38">
      <x:c r="A38" s="18" t="str">
        <x:v>NYT-40-7f0b7864700bd1c7</x:v>
      </x:c>
      <x:c r="B38" s="18" t="str">
        <x:v>Child can claim reservation through mother: Madras High Court rejects ‘patriarchy’ stand - The Indian Express</x:v>
      </x:c>
      <x:c r="C38" s="18" t="str">
        <x:v>2026-08-31</x:v>
      </x:c>
      <x:c r="D38" s="18" t="n">
        <x:v>2026</x:v>
      </x:c>
      <x:c r="E38" s="18" t="str">
        <x:v>2026-08</x:v>
      </x:c>
      <x:c r="F38" s="18" t="str"/>
      <x:c r="G38" s="18" t="str">
        <x:v>India district court order judgment</x:v>
      </x:c>
      <x:c r="H38" s="18" t="str"/>
      <x:c r="I38" s="18" t="str">
        <x:v>The Indian Express</x:v>
      </x:c>
      <x:c r="J38" s="20" t="str"/>
      <x:c r="K38" s="18" t="str"/>
      <x:c r="L38" s="18" t="str">
        <x:v>Child can claim reservation through mother: Madras High Court rejects ‘patriarchy’ stand - The Indian Express</x:v>
      </x:c>
      <x:c r="M38" s="18" t="str">
        <x:v>The Indian Express</x:v>
      </x:c>
      <x:c r="N38" s="18" t="str">
        <x:v>India district court order judgment</x:v>
      </x:c>
      <x:c r="O38" s="18" t="n">
        <x:v>46265.291666666664</x:v>
      </x:c>
      <x:c r="P38" s="18" t="str">
        <x:v>https://indianexpress.com</x:v>
      </x:c>
      <x:c r="Q38" s="18" t="str">
        <x:v>DEFINED_TERMINAL_OR_FEED_SCOPE</x:v>
      </x:c>
      <x:c r="R38" s="18" t="str">
        <x:v>news_district_court_14d.json — published records loaded</x:v>
      </x:c>
      <x:c r="S38" s="18" t="str"/>
      <x:c r="T38" s="18" t="str"/>
      <x:c r="U38" s="20" t="n">
        <x:v>63</x:v>
      </x:c>
      <x:c r="V38" s="19" t="n">
        <x:f>IFERROR(TODAY()-DATEVALUE(C38),"")</x:f>
        <x:v>10</x:v>
      </x:c>
      <x:c r="W38" s="21" t="n">
        <x:f>ROUND(COUNTA(A38:K38)/11*100,0)</x:f>
        <x:v>100</x:v>
      </x:c>
      <x:c r="X38" s="18" t="str">
        <x:v>Google News RSS</x:v>
      </x:c>
      <x:c r="Y38" s="22" t="str">
        <x:v>https://news.google.com/rss/articles/CBMitAFBVV95cUxPdlBod1A4Tm12aExRVTcxS0hVbTVvc0dOZjk4MVBwcURTMVpXQzRxbmptS3BaU3hJUi1ydW0yVjhLRWRTZWdrZnZxRlFmQ29KcmM0MkpER2VTZV84bE9hTzVNakM3VkVUMGNWZDJQYkhTczhoYjRqUU9TMWYwYUs0OVl4UFR2bF8zNjBLSUUzeEtIQkdreEV2NmJHTm5VcC0wamhaQy1reDJBQnhyNXpieS0tUXrSAbsBQVVfeXFMTUIzOEEyZGg3Zk5HQ2I0UzFkSkJLSWxmTzhTZGJwWnFXRzRCaUp2d3ZsZEd3b0ZXeHJuNkdIbWI4RGJabjJzR2E3SXRjRkw3blJCZXdmM2htN1dSTDhvQ0V3WlJQZGo5Z3VTdk04RTNqZWtOb0pZd0dLczZiOHk5LVg1Nnk1ek56UDI4Y25YOUZqZ3NkS2tCOG80ZDNqb3Vwd0xtaUlFRkFDaHYzd181cEJvUEF2T1NHNmJObw?oc=5</x:v>
      </x:c>
      <x:c r="Z38" s="18" t="n">
        <x:v>46265.291666666664</x:v>
      </x:c>
      <x:c r="AA38" s="18" t="n">
        <x:v>46275.38862103009</x:v>
      </x:c>
      <x:c r="AB38" s="18" t="str">
        <x:v>public_rss</x:v>
      </x:c>
      <x:c r="AC38" s="18" t="str">
        <x:v>READY</x:v>
      </x:c>
    </x:row>
    <x:row r="39">
      <x:c r="A39" s="18" t="str">
        <x:v>NYT-40-adc470f7a0f1188f</x:v>
      </x:c>
      <x:c r="B39" s="18" t="str">
        <x:v>Allahabad HC Curtails District Administration’s Arbitrary Power to Withhold Government Advertisements [Read Order] - LawStreet Journal</x:v>
      </x:c>
      <x:c r="C39" s="18" t="str">
        <x:v>2026-08-31</x:v>
      </x:c>
      <x:c r="D39" s="18" t="n">
        <x:v>2026</x:v>
      </x:c>
      <x:c r="E39" s="18" t="str">
        <x:v>2026-08</x:v>
      </x:c>
      <x:c r="F39" s="18" t="str"/>
      <x:c r="G39" s="18" t="str">
        <x:v>India district court order judgment</x:v>
      </x:c>
      <x:c r="H39" s="18" t="str"/>
      <x:c r="I39" s="18" t="str">
        <x:v>LawStreet Journal</x:v>
      </x:c>
      <x:c r="J39" s="20" t="str"/>
      <x:c r="K39" s="18" t="str"/>
      <x:c r="L39" s="18" t="str">
        <x:v>Allahabad HC Curtails District Administration’s Arbitrary Power to Withhold Government Advertisements [Read Order] - LawStreet Journal</x:v>
      </x:c>
      <x:c r="M39" s="18" t="str">
        <x:v>LawStreet Journal</x:v>
      </x:c>
      <x:c r="N39" s="18" t="str">
        <x:v>India district court order judgment</x:v>
      </x:c>
      <x:c r="O39" s="18" t="n">
        <x:v>46265.362349537034</x:v>
      </x:c>
      <x:c r="P39" s="18" t="str">
        <x:v>https://lawstreet.co</x:v>
      </x:c>
      <x:c r="Q39" s="18" t="str">
        <x:v>DEFINED_TERMINAL_OR_FEED_SCOPE</x:v>
      </x:c>
      <x:c r="R39" s="18" t="str">
        <x:v>news_district_court_14d.json — published records loaded</x:v>
      </x:c>
      <x:c r="S39" s="18" t="str"/>
      <x:c r="T39" s="18" t="str"/>
      <x:c r="U39" s="20" t="n">
        <x:v>63</x:v>
      </x:c>
      <x:c r="V39" s="19" t="n">
        <x:f>IFERROR(TODAY()-DATEVALUE(C39),"")</x:f>
        <x:v>10</x:v>
      </x:c>
      <x:c r="W39" s="21" t="n">
        <x:f>ROUND(COUNTA(A39:K39)/11*100,0)</x:f>
        <x:v>100</x:v>
      </x:c>
      <x:c r="X39" s="18" t="str">
        <x:v>Google News RSS</x:v>
      </x:c>
      <x:c r="Y39" s="22" t="str">
        <x:v>https://news.google.com/rss/articles/CBMiywFBVV95cUxOaTBlb1ZhN0VkNWlLeVRDOGlkWURqT21CNVFMUTNMYUZpc1NnLUFkMUhsREI0U01oWTJDelhZNmJCeHVwaERmNXlxYkhXUnd5ZDc3elNWellBOVdXSERlWXJ5VGEyb1daYVpyVXpQa1VvWm5YZlVadGIzS1BUeEU0VWU4YVhQTWZuMDFIbjBCalhxMGVGbHY3dDdWN3JBaEJJYTVwc2h3U2Z5MnRlS1lpTzIxTHRweXUtNGQ0Yk5OZWJ2eEZhMG1oMmktOA?oc=5</x:v>
      </x:c>
      <x:c r="Z39" s="18" t="n">
        <x:v>46265.362349537034</x:v>
      </x:c>
      <x:c r="AA39" s="18" t="n">
        <x:v>46275.38862103009</x:v>
      </x:c>
      <x:c r="AB39" s="18" t="str">
        <x:v>public_rss</x:v>
      </x:c>
      <x:c r="AC39" s="18" t="str">
        <x:v>READY</x:v>
      </x:c>
    </x:row>
    <x:row r="40">
      <x:c r="A40" s="18" t="str">
        <x:v>NYT-40-272fcbeb8042f828</x:v>
      </x:c>
      <x:c r="B40" s="18" t="str">
        <x:v>Bank staff not ‘public servant’ under IPC: Bombay HC - The Times of India</x:v>
      </x:c>
      <x:c r="C40" s="18" t="str">
        <x:v>2026-09-07</x:v>
      </x:c>
      <x:c r="D40" s="18" t="n">
        <x:v>2026</x:v>
      </x:c>
      <x:c r="E40" s="18" t="str">
        <x:v>2026-09</x:v>
      </x:c>
      <x:c r="F40" s="18" t="str"/>
      <x:c r="G40" s="18" t="str">
        <x:v>India district court order judgment</x:v>
      </x:c>
      <x:c r="H40" s="18" t="str"/>
      <x:c r="I40" s="18" t="str">
        <x:v>The Times of India</x:v>
      </x:c>
      <x:c r="J40" s="20" t="str"/>
      <x:c r="K40" s="18" t="str"/>
      <x:c r="L40" s="18" t="str">
        <x:v>Bank staff not ‘public servant’ under IPC: Bombay HC - The Times of India</x:v>
      </x:c>
      <x:c r="M40" s="18" t="str">
        <x:v>The Times of India</x:v>
      </x:c>
      <x:c r="N40" s="18" t="str">
        <x:v>India district court order judgment</x:v>
      </x:c>
      <x:c r="O40" s="18" t="n">
        <x:v>46272.8</x:v>
      </x:c>
      <x:c r="P40" s="18" t="str">
        <x:v>https://timesofindia.indiatimes.com</x:v>
      </x:c>
      <x:c r="Q40" s="18" t="str">
        <x:v>DEFINED_TERMINAL_OR_FEED_SCOPE</x:v>
      </x:c>
      <x:c r="R40" s="18" t="str">
        <x:v>news_district_court_14d.json — published records loaded</x:v>
      </x:c>
      <x:c r="S40" s="18" t="str"/>
      <x:c r="T40" s="18" t="str"/>
      <x:c r="U40" s="20" t="n">
        <x:v>63</x:v>
      </x:c>
      <x:c r="V40" s="19" t="n">
        <x:f>IFERROR(TODAY()-DATEVALUE(C40),"")</x:f>
        <x:v>3</x:v>
      </x:c>
      <x:c r="W40" s="21" t="n">
        <x:f>ROUND(COUNTA(A40:K40)/11*100,0)</x:f>
        <x:v>100</x:v>
      </x:c>
      <x:c r="X40" s="18" t="str">
        <x:v>Google News RSS</x:v>
      </x:c>
      <x:c r="Y40" s="22" t="str">
        <x:v>https://news.google.com/rss/articles/CBMixwFBVV95cUxNb3VLVzNzZHA5NENqTGt6b2hXbTNEc09MZ1hma2dYbkFZYnQ3YkNBT0phaU01RzNnUFpuckVZU3RUckVobHMxOGxteDRkbnhVTV9ocS1pMVlhblh2VXB4d1hNTksybkNkOXhDT2x4SGdCekZLMElCNTN1Q3BkMDR2ck1GS0VBTHVBS2MtLTQzb01iRVhHam8xTEtCTG9aSXZGQ2t0OUN4Sk9nSXdSc3pOSFhwdEtiYkRJMnN6RnhGMm44cUhOYklz0gHMAUFVX3lxTE10QUpJTzRrdUlHS1otUzJfOEpzRkJYcWg2LVdYemxQcVR6VGpjMkY5akJnR1VGWHlka1hHNFNLenIyS09yTXp0dGNyRmJLVFdXRjV5Tjd6WUF5OEEzekZONW16QUxYOTE4WEJDWTJ0aHJXWkg4bHFGdTRPVGtUdmpJQ0VQQmVrVm1ZTG0tUzVFMGlSR2xmVU43REVTUkZtN3pXMEhCRUdOTF92a21pZ0hmLXZDU1FxS0R5VjVNeDE2cmlZTXlHaVljZFVLNg?oc=5</x:v>
      </x:c>
      <x:c r="Z40" s="18" t="n">
        <x:v>46272.8</x:v>
      </x:c>
      <x:c r="AA40" s="18" t="n">
        <x:v>46275.38862103009</x:v>
      </x:c>
      <x:c r="AB40" s="18" t="str">
        <x:v>public_rss</x:v>
      </x:c>
      <x:c r="AC40" s="18" t="str">
        <x:v>READY</x:v>
      </x:c>
    </x:row>
    <x:row r="41">
      <x:c r="A41" s="18" t="str">
        <x:v>NYT-40-af2bfae8e1e2eb57</x:v>
      </x:c>
      <x:c r="B41" s="18" t="str">
        <x:v>‘Stigma has to go’: Court flags rules that denied HIV+ woman promotion in CRPF - The Indian Express</x:v>
      </x:c>
      <x:c r="C41" s="18" t="str">
        <x:v>2026-09-01</x:v>
      </x:c>
      <x:c r="D41" s="18" t="n">
        <x:v>2026</x:v>
      </x:c>
      <x:c r="E41" s="18" t="str">
        <x:v>2026-09</x:v>
      </x:c>
      <x:c r="F41" s="18" t="str"/>
      <x:c r="G41" s="18" t="str">
        <x:v>India district court order judgment</x:v>
      </x:c>
      <x:c r="H41" s="18" t="str"/>
      <x:c r="I41" s="18" t="str">
        <x:v>The Indian Express</x:v>
      </x:c>
      <x:c r="J41" s="20" t="str"/>
      <x:c r="K41" s="18" t="str"/>
      <x:c r="L41" s="18" t="str">
        <x:v>‘Stigma has to go’: Court flags rules that denied HIV+ woman promotion in CRPF - The Indian Express</x:v>
      </x:c>
      <x:c r="M41" s="18" t="str">
        <x:v>The Indian Express</x:v>
      </x:c>
      <x:c r="N41" s="18" t="str">
        <x:v>India district court order judgment</x:v>
      </x:c>
      <x:c r="O41" s="18" t="n">
        <x:v>46266.291666666664</x:v>
      </x:c>
      <x:c r="P41" s="18" t="str">
        <x:v>https://indianexpress.com</x:v>
      </x:c>
      <x:c r="Q41" s="18" t="str">
        <x:v>DEFINED_TERMINAL_OR_FEED_SCOPE</x:v>
      </x:c>
      <x:c r="R41" s="18" t="str">
        <x:v>news_district_court_14d.json — published records loaded</x:v>
      </x:c>
      <x:c r="S41" s="18" t="str"/>
      <x:c r="T41" s="18" t="str"/>
      <x:c r="U41" s="20" t="n">
        <x:v>63</x:v>
      </x:c>
      <x:c r="V41" s="19" t="n">
        <x:f>IFERROR(TODAY()-DATEVALUE(C41),"")</x:f>
        <x:v>9</x:v>
      </x:c>
      <x:c r="W41" s="21" t="n">
        <x:f>ROUND(COUNTA(A41:K41)/11*100,0)</x:f>
        <x:v>100</x:v>
      </x:c>
      <x:c r="X41" s="18" t="str">
        <x:v>Google News RSS</x:v>
      </x:c>
      <x:c r="Y41" s="22" t="str">
        <x:v>https://news.google.com/rss/articles/CBMiwwFBVV95cUxPY3FlcVRkNWt6Ml9naWdxZXE1di1YVVFULWR1UXZZSDhOT1pNclpTUXB3ZmRvdnBmeFRsZG85aTFpQmtCMFVSZjlwVkhEYktxcnBvRXhuN1ZaUVQ0WlN5MkJISDdZdlZQckpfT1U2d2VaVS1WaURGVXlLNWNVRElwdTFpM2JIYmdLOGVCcEFzRkMtR3hzVjJPOGdTb05VUWVrVGY2ZHhkc1dFWFJPUTMyN0NvUG1rdTB1ZVNRTktxYW1UT1HSAcoBQVVfeXFMTk9UT2Y1LTQxY2JsSWFIemVaSnJsSXBYcHZjXzF6cFZIcl80SGJmRm91UFAxNzJhc0N3RVp0cmR1bzNWOXZSRmVEcW5hV3ZDbkJ6QXRJdlgzdHA2bURucE9FcDVRQ19xME93Z3cwVHpZaUlnMFBOZERERkhDTHFaMkJaTlBRakVYeUNwMHNQLU1BZmRjLVVQNHNsb0QyVWdqWktuU3ZoWXBHU1JheHMxNElENjBFTkNKZ3BTelBQUTJnbFhnWnRvZi1Hdw?oc=5</x:v>
      </x:c>
      <x:c r="Z41" s="18" t="n">
        <x:v>46266.291666666664</x:v>
      </x:c>
      <x:c r="AA41" s="18" t="n">
        <x:v>46275.38862103009</x:v>
      </x:c>
      <x:c r="AB41" s="18" t="str">
        <x:v>public_rss</x:v>
      </x:c>
      <x:c r="AC41" s="18" t="str">
        <x:v>READY</x:v>
      </x:c>
    </x:row>
    <x:row r="42">
      <x:c r="A42" s="18" t="str">
        <x:v>NYT-40-4c988656d0c06dc2</x:v>
      </x:c>
      <x:c r="B42" s="18" t="str">
        <x:v>Judge who sentenced 22 to death in 4 months hands out another capital punishment despite threats - ThePrint</x:v>
      </x:c>
      <x:c r="C42" s="18" t="str">
        <x:v>2026-09-08</x:v>
      </x:c>
      <x:c r="D42" s="18" t="n">
        <x:v>2026</x:v>
      </x:c>
      <x:c r="E42" s="18" t="str">
        <x:v>2026-09</x:v>
      </x:c>
      <x:c r="F42" s="18" t="str"/>
      <x:c r="G42" s="18" t="str">
        <x:v>India district court order judgment</x:v>
      </x:c>
      <x:c r="H42" s="18" t="str"/>
      <x:c r="I42" s="18" t="str">
        <x:v>ThePrint</x:v>
      </x:c>
      <x:c r="J42" s="20" t="str"/>
      <x:c r="K42" s="18" t="str"/>
      <x:c r="L42" s="18" t="str">
        <x:v>Judge who sentenced 22 to death in 4 months hands out another capital punishment despite threats - ThePrint</x:v>
      </x:c>
      <x:c r="M42" s="18" t="str">
        <x:v>ThePrint</x:v>
      </x:c>
      <x:c r="N42" s="18" t="str">
        <x:v>India district court order judgment</x:v>
      </x:c>
      <x:c r="O42" s="18" t="n">
        <x:v>46273.392384259256</x:v>
      </x:c>
      <x:c r="P42" s="18" t="str">
        <x:v>https://theprint.in</x:v>
      </x:c>
      <x:c r="Q42" s="18" t="str">
        <x:v>DEFINED_TERMINAL_OR_FEED_SCOPE</x:v>
      </x:c>
      <x:c r="R42" s="18" t="str">
        <x:v>news_district_court_14d.json — published records loaded</x:v>
      </x:c>
      <x:c r="S42" s="18" t="str"/>
      <x:c r="T42" s="18" t="str"/>
      <x:c r="U42" s="20" t="n">
        <x:v>63</x:v>
      </x:c>
      <x:c r="V42" s="19" t="n">
        <x:f>IFERROR(TODAY()-DATEVALUE(C42),"")</x:f>
        <x:v>2</x:v>
      </x:c>
      <x:c r="W42" s="21" t="n">
        <x:f>ROUND(COUNTA(A42:K42)/11*100,0)</x:f>
        <x:v>100</x:v>
      </x:c>
      <x:c r="X42" s="18" t="str">
        <x:v>Google News RSS</x:v>
      </x:c>
      <x:c r="Y42" s="22" t="str">
        <x:v>https://news.google.com/rss/articles/CBMi0AFBVV95cUxPejJWOUFfMlVmYmxXdkltbDFpd09TX2J4UVdTRFNiYlk1WHdGcjViYmNkYzBPM1ZFYkYzcTJyMXlsa2doWEVITkNVOWw5Zjh6ZDBEOFh3WUktcnBaZVFEMUk5bHY0NDB0d0JpdnYtTExQNWNNY0MxMzRWUVlKVm0wcXhsODlDdE9jWFo3eTV0WHVwVGdJZWV0WEF0WFFSN25uRFZOWmdsNEVGdG0wOGJ6cHBqbFFueHdwMFZsMmtvYjJRNnh3eWZaMEpQZzh3SExr0gHWAUFVX3lxTE4xek5WelVqYm1UQnQxZE9xNzR3NWlnZXY5dUlwRENrMU9GQTZESTV4aEY5cjZubnB0TjdyQlJweUNrTV9BVlFRMnNDald0N2pLRnh3MjNFZmxVS2tzMnF1WnNNWFlGMnpnMDZmN2lobEIyazZELV84enBTdzRqRlFVNjlISXFnNUVMSkNuVlVpRzlyc0ZERE9Ed3FCYmxDVjBYSUhqX2hoZzh4MlI4N2xYblpEOG41N1pLelJCb3dmVmpNUmJieVhQOFpKRlZvNjFaU0ZNbFE?oc=5</x:v>
      </x:c>
      <x:c r="Z42" s="18" t="n">
        <x:v>46273.392384259256</x:v>
      </x:c>
      <x:c r="AA42" s="18" t="n">
        <x:v>46275.38862103009</x:v>
      </x:c>
      <x:c r="AB42" s="18" t="str">
        <x:v>public_rss</x:v>
      </x:c>
      <x:c r="AC42" s="18" t="str">
        <x:v>READY</x:v>
      </x:c>
    </x:row>
    <x:row r="43">
      <x:c r="A43" s="18" t="str">
        <x:v>NYT-40-9fa2cbda4ed000bd</x:v>
      </x:c>
      <x:c r="B43" s="18" t="str">
        <x:v>Gujarat couple in 50s, who lost doctor son to suicide, win IVF legal battle - The Indian Express</x:v>
      </x:c>
      <x:c r="C43" s="18" t="str">
        <x:v>2026-09-05</x:v>
      </x:c>
      <x:c r="D43" s="18" t="n">
        <x:v>2026</x:v>
      </x:c>
      <x:c r="E43" s="18" t="str">
        <x:v>2026-09</x:v>
      </x:c>
      <x:c r="F43" s="18" t="str"/>
      <x:c r="G43" s="18" t="str">
        <x:v>India district court order judgment</x:v>
      </x:c>
      <x:c r="H43" s="18" t="str"/>
      <x:c r="I43" s="18" t="str">
        <x:v>The Indian Express</x:v>
      </x:c>
      <x:c r="J43" s="20" t="str"/>
      <x:c r="K43" s="18" t="str"/>
      <x:c r="L43" s="18" t="str">
        <x:v>Gujarat couple in 50s, who lost doctor son to suicide, win IVF legal battle - The Indian Express</x:v>
      </x:c>
      <x:c r="M43" s="18" t="str">
        <x:v>The Indian Express</x:v>
      </x:c>
      <x:c r="N43" s="18" t="str">
        <x:v>India district court order judgment</x:v>
      </x:c>
      <x:c r="O43" s="18" t="n">
        <x:v>46270.96875</x:v>
      </x:c>
      <x:c r="P43" s="18" t="str">
        <x:v>https://indianexpress.com</x:v>
      </x:c>
      <x:c r="Q43" s="18" t="str">
        <x:v>DEFINED_TERMINAL_OR_FEED_SCOPE</x:v>
      </x:c>
      <x:c r="R43" s="18" t="str">
        <x:v>news_district_court_14d.json — published records loaded</x:v>
      </x:c>
      <x:c r="S43" s="18" t="str"/>
      <x:c r="T43" s="18" t="str"/>
      <x:c r="U43" s="20" t="n">
        <x:v>63</x:v>
      </x:c>
      <x:c r="V43" s="19" t="n">
        <x:f>IFERROR(TODAY()-DATEVALUE(C43),"")</x:f>
        <x:v>5</x:v>
      </x:c>
      <x:c r="W43" s="21" t="n">
        <x:f>ROUND(COUNTA(A43:K43)/11*100,0)</x:f>
        <x:v>100</x:v>
      </x:c>
      <x:c r="X43" s="18" t="str">
        <x:v>Google News RSS</x:v>
      </x:c>
      <x:c r="Y43" s="22" t="str">
        <x:v>https://news.google.com/rss/articles/CBMi4gFBVV95cUxPTUdPV0RmZ21FdDIyeTZGSlB2UG0wem4yaUwwWHVkb1FDYXdQQnEtLVdYWmJOd0poYlF3WFBkaU5ZZlhjRWtoYWkwVk4tQ3JyT2RsRzU1RktLc21fWmF0OFFVOVZNMHBrV2ttYi1NeVNOSXVCMWZiLUpQcHZjMmpYSEdMdXFvWV9jSFZUeHN2LW42b2lidTRwUGNLQWY5a20xa3NtZFdpU2tQeFBVSjU0ak01ckVoR1FEOURleE9VbGFlS2NiZEwyYWlQRTRtT3ZBU0tSN3RZS3JVWnA0Ym9LNXRR0gHoAUFVX3lxTFBUNW9iVHNuUklBZWRfVVhMZVIwMkFIeEdIclRONHZzV29DeVQ4cXdkWHZNLXBTV2RsZEpmbWJPZ09JSEJ4a0hjOE5tc2tOelhJa3RFZkJidUgzQXFBamlBSFVlVENkQjZBUkhQLWE0a0I5Q3h2Z0dlTkktM2o0aWszeExaRjNwQThKYXNwMnZkdDdMS0JQTmVUUzMxdkN1cnJsWDhrN3JVZlFmRzhpczJ1Sm4zZHFUcFcySTI0OGtYM0VmQVFHNWVwRTR0b0hoYlUzZTFIb0liWHdXLTYxUndxeU9HMEtaWDQ?oc=5</x:v>
      </x:c>
      <x:c r="Z43" s="18" t="n">
        <x:v>46270.96875</x:v>
      </x:c>
      <x:c r="AA43" s="18" t="n">
        <x:v>46275.38862103009</x:v>
      </x:c>
      <x:c r="AB43" s="18" t="str">
        <x:v>public_rss</x:v>
      </x:c>
      <x:c r="AC43" s="18" t="str">
        <x:v>READY</x:v>
      </x:c>
    </x:row>
    <x:row r="44">
      <x:c r="A44" s="18" t="str">
        <x:v>NYT-40-607ba9ef7c23eef0</x:v>
      </x:c>
      <x:c r="B44" s="18" t="str">
        <x:v>Bombay High Court Upholds Injunction in Favor of Tenant in Land Dispute with Agricultural Corporation. The court restored the trial court's interim injunction protecting the petitioner's possession based on prima facie tenancy rights and balance of convenience - Lawtext</x:v>
      </x:c>
      <x:c r="C44" s="18" t="str">
        <x:v>2026-09-03</x:v>
      </x:c>
      <x:c r="D44" s="18" t="n">
        <x:v>2026</x:v>
      </x:c>
      <x:c r="E44" s="18" t="str">
        <x:v>2026-09</x:v>
      </x:c>
      <x:c r="F44" s="18" t="str"/>
      <x:c r="G44" s="18" t="str">
        <x:v>India district court order judgment</x:v>
      </x:c>
      <x:c r="H44" s="18" t="str"/>
      <x:c r="I44" s="18" t="str">
        <x:v>Lawtext</x:v>
      </x:c>
      <x:c r="J44" s="20" t="str"/>
      <x:c r="K44" s="18" t="str"/>
      <x:c r="L44" s="18" t="str">
        <x:v>Bombay High Court Upholds Injunction in Favor of Tenant in Land Dispute with Agricultural Corporation. The court restored the trial court's interim injunction protecting the petitioner's possession based on prima facie tenancy rights and balance of convenience - Lawtext</x:v>
      </x:c>
      <x:c r="M44" s="18" t="str">
        <x:v>Lawtext</x:v>
      </x:c>
      <x:c r="N44" s="18" t="str">
        <x:v>India district court order judgment</x:v>
      </x:c>
      <x:c r="O44" s="18" t="n">
        <x:v>46268.37217592593</x:v>
      </x:c>
      <x:c r="P44" s="18" t="str">
        <x:v>https://lawtext.in</x:v>
      </x:c>
      <x:c r="Q44" s="18" t="str">
        <x:v>DEFINED_TERMINAL_OR_FEED_SCOPE</x:v>
      </x:c>
      <x:c r="R44" s="18" t="str">
        <x:v>news_district_court_14d.json — published records loaded</x:v>
      </x:c>
      <x:c r="S44" s="18" t="str"/>
      <x:c r="T44" s="18" t="str"/>
      <x:c r="U44" s="20" t="n">
        <x:v>63</x:v>
      </x:c>
      <x:c r="V44" s="19" t="n">
        <x:f>IFERROR(TODAY()-DATEVALUE(C44),"")</x:f>
        <x:v>7</x:v>
      </x:c>
      <x:c r="W44" s="21" t="n">
        <x:f>ROUND(COUNTA(A44:K44)/11*100,0)</x:f>
        <x:v>100</x:v>
      </x:c>
      <x:c r="X44" s="18" t="str">
        <x:v>Google News RSS</x:v>
      </x:c>
      <x:c r="Y44" s="22" t="str">
        <x:v>https://news.google.com/rss/articles/CBMiZkFVX3lxTFBDTWt5bDFXYUVUQ1Y3QnVKZ1VZVHhJZHE3cm9uYVBheGE3TkFmMWg4YjZ0ZUlVZWc3dHI2QThNaTNwaEdwT0VhVDVVTTNDLUhlblNlN1NjUXRYeG1FeTgwaElIM3RDQQ?oc=5</x:v>
      </x:c>
      <x:c r="Z44" s="18" t="n">
        <x:v>46268.37217592593</x:v>
      </x:c>
      <x:c r="AA44" s="18" t="n">
        <x:v>46275.38862103009</x:v>
      </x:c>
      <x:c r="AB44" s="18" t="str">
        <x:v>public_rss</x:v>
      </x:c>
      <x:c r="AC44" s="18" t="str">
        <x:v>READY</x:v>
      </x:c>
    </x:row>
    <x:row r="45">
      <x:c r="A45" s="18" t="str">
        <x:v>NYT-40-e6278b8e2613296e</x:v>
      </x:c>
      <x:c r="B45" s="18" t="str">
        <x:v>Saharanpur mosque demolition: 'Why action at 5am?' Owaisi, Akhilesh question UP govt - The Times of India</x:v>
      </x:c>
      <x:c r="C45" s="18" t="str">
        <x:v>2026-09-05</x:v>
      </x:c>
      <x:c r="D45" s="18" t="n">
        <x:v>2026</x:v>
      </x:c>
      <x:c r="E45" s="18" t="str">
        <x:v>2026-09</x:v>
      </x:c>
      <x:c r="F45" s="18" t="str"/>
      <x:c r="G45" s="18" t="str">
        <x:v>India district court order judgment</x:v>
      </x:c>
      <x:c r="H45" s="18" t="str"/>
      <x:c r="I45" s="18" t="str">
        <x:v>The Times of India</x:v>
      </x:c>
      <x:c r="J45" s="20" t="str"/>
      <x:c r="K45" s="18" t="str"/>
      <x:c r="L45" s="18" t="str">
        <x:v>Saharanpur mosque demolition: 'Why action at 5am?' Owaisi, Akhilesh question UP govt - The Times of India</x:v>
      </x:c>
      <x:c r="M45" s="18" t="str">
        <x:v>The Times of India</x:v>
      </x:c>
      <x:c r="N45" s="18" t="str">
        <x:v>India district court order judgment</x:v>
      </x:c>
      <x:c r="O45" s="18" t="n">
        <x:v>46270.41805555556</x:v>
      </x:c>
      <x:c r="P45" s="18" t="str">
        <x:v>https://timesofindia.indiatimes.com</x:v>
      </x:c>
      <x:c r="Q45" s="18" t="str">
        <x:v>DEFINED_TERMINAL_OR_FEED_SCOPE</x:v>
      </x:c>
      <x:c r="R45" s="18" t="str">
        <x:v>news_district_court_14d.json — published records loaded</x:v>
      </x:c>
      <x:c r="S45" s="18" t="str"/>
      <x:c r="T45" s="18" t="str"/>
      <x:c r="U45" s="20" t="n">
        <x:v>63</x:v>
      </x:c>
      <x:c r="V45" s="19" t="n">
        <x:f>IFERROR(TODAY()-DATEVALUE(C45),"")</x:f>
        <x:v>5</x:v>
      </x:c>
      <x:c r="W45" s="21" t="n">
        <x:f>ROUND(COUNTA(A45:K45)/11*100,0)</x:f>
        <x:v>100</x:v>
      </x:c>
      <x:c r="X45" s="18" t="str">
        <x:v>Google News RSS</x:v>
      </x:c>
      <x:c r="Y45" s="22" t="str">
        <x:v>https://news.google.com/rss/articles/CBMi4AFBVV95cUxOa2xyeFIxd01RcEN6MHJXOEdGWWNvdzVydXNvSHhrNFYxY3BOMWVDeTVKeFhtMVUzRDI1YW5DRlNSNnNKRzlxUEFhRTlvN3NjRDd2a3ZkQVU2UjYweFA0aUlBYzNvdkxOOHZYaklfT1V6OFhHVWV5bEVUTlJjY09Zcms0QXgyM2VMUTZTb09Nd0hRYXdaSl9ENE5ZQWtraWR6SkhRY2xEeV96TUNrdmtmeE5kZlhjVkZnYm0zT1MtWHM0ZVlOZDlRalJ6b3IzWEZiRF9kSkJ3RFBSaU9tWWo1YtIB5gFBVV95cUxOYnNaR1B1WTlmaDVfWXNWbkNRejVQZ0hmdlhPdVJ1b3AzbGtyMnFvQjhzXzRqaUNJbGZGaFUwZ1RjUHoySDhDbkZJYnVDWUZtWkFobjl0WXp4LW1KRmNRdlkxdERIQ2h0cjVvWXhxbmpyUjRYVElhQm9rd2JuUWFER0NJY3RoZ2lTNkg2MHJQb194TE45ajRCc0FJYWUwa2VIWld4UlpISnNiNGNmUjRHUEU0MEFFVGRLTWt4WW40RWROVC0wWkpmVGRfS1hFaFFKUFBzLU1jTGRCNGYxVzZDT2V4c1hyQQ?oc=5</x:v>
      </x:c>
      <x:c r="Z45" s="18" t="n">
        <x:v>46270.41805555556</x:v>
      </x:c>
      <x:c r="AA45" s="18" t="n">
        <x:v>46275.38862103009</x:v>
      </x:c>
      <x:c r="AB45" s="18" t="str">
        <x:v>public_rss</x:v>
      </x:c>
      <x:c r="AC45" s="18" t="str">
        <x:v>READY</x:v>
      </x:c>
    </x:row>
    <x:row r="46">
      <x:c r="A46" s="18" t="str">
        <x:v>NYT-40-16e27f57b21070c3</x:v>
      </x:c>
      <x:c r="B46" s="18" t="str">
        <x:v>UP sessions court judge says 'would prefer death to...' - Rediff</x:v>
      </x:c>
      <x:c r="C46" s="18" t="str">
        <x:v>2026-09-08</x:v>
      </x:c>
      <x:c r="D46" s="18" t="n">
        <x:v>2026</x:v>
      </x:c>
      <x:c r="E46" s="18" t="str">
        <x:v>2026-09</x:v>
      </x:c>
      <x:c r="F46" s="18" t="str"/>
      <x:c r="G46" s="18" t="str">
        <x:v>India district court order judgment</x:v>
      </x:c>
      <x:c r="H46" s="18" t="str"/>
      <x:c r="I46" s="18" t="str">
        <x:v>Rediff</x:v>
      </x:c>
      <x:c r="J46" s="20" t="str"/>
      <x:c r="K46" s="18" t="str"/>
      <x:c r="L46" s="18" t="str">
        <x:v>UP sessions court judge says 'would prefer death to...' - Rediff</x:v>
      </x:c>
      <x:c r="M46" s="18" t="str">
        <x:v>Rediff</x:v>
      </x:c>
      <x:c r="N46" s="18" t="str">
        <x:v>India district court order judgment</x:v>
      </x:c>
      <x:c r="O46" s="18" t="n">
        <x:v>46273.36556712963</x:v>
      </x:c>
      <x:c r="P46" s="18" t="str">
        <x:v>https://www.rediff.com</x:v>
      </x:c>
      <x:c r="Q46" s="18" t="str">
        <x:v>DEFINED_TERMINAL_OR_FEED_SCOPE</x:v>
      </x:c>
      <x:c r="R46" s="18" t="str">
        <x:v>news_district_court_14d.json — published records loaded</x:v>
      </x:c>
      <x:c r="S46" s="18" t="str"/>
      <x:c r="T46" s="18" t="str"/>
      <x:c r="U46" s="20" t="n">
        <x:v>63</x:v>
      </x:c>
      <x:c r="V46" s="19" t="n">
        <x:f>IFERROR(TODAY()-DATEVALUE(C46),"")</x:f>
        <x:v>2</x:v>
      </x:c>
      <x:c r="W46" s="21" t="n">
        <x:f>ROUND(COUNTA(A46:K46)/11*100,0)</x:f>
        <x:v>100</x:v>
      </x:c>
      <x:c r="X46" s="18" t="str">
        <x:v>Google News RSS</x:v>
      </x:c>
      <x:c r="Y46" s="22" t="str">
        <x:v>https://news.google.com/rss/articles/CBMinwFBVV95cUxQZkhTMGwzSktBSTBpZDNvR2NJZ1VWQ1ZSTklxdkRJZkNKQTFWYkNpMnlldzVqUTdGRUVWMVA2dTBveXNXbVNYXzIwbUJxYWJCS2Y1VHJpVFlteXpvTU1tQTZpa0xMN2R4NG45ZUFyQmVLbTRiNV9SVl9VdVdhN1JfOWdwNDZxY1B3NWNoVks5S3U3NlA0YnUwdDZyLWRJTUXSAaIBQVVfeXFMTjlEaU5ZV3RhdEl1VnhTUGl2M240enFxbllkd2E3Y1VmVG5NYmQ1ZjFBeGQwcFZFQ3hJNlpfUk1NQzkybWIyV1VoWnhfVTFrZDhQM2szYWNqaXo1dENZQ25fcUcyeXA4SW9PMzFFOUR3Y2pmRWNUeENMbzZudVVDYVdPZGNTNUxHU0lVdXRsS2s2NW9Tbi1IUE5heUhaZXc1aTV3?oc=5</x:v>
      </x:c>
      <x:c r="Z46" s="18" t="n">
        <x:v>46273.36556712963</x:v>
      </x:c>
      <x:c r="AA46" s="18" t="n">
        <x:v>46275.38862103009</x:v>
      </x:c>
      <x:c r="AB46" s="18" t="str">
        <x:v>public_rss</x:v>
      </x:c>
      <x:c r="AC46" s="18" t="str">
        <x:v>READY</x:v>
      </x:c>
    </x:row>
    <x:row r="47">
      <x:c r="A47" s="18" t="str">
        <x:v>NYT-40-49d8fea66759ce15</x:v>
      </x:c>
      <x:c r="B47" s="18" t="str">
        <x:v>Allahabad High Court Orders Compensation for Detained Student - India News Network</x:v>
      </x:c>
      <x:c r="C47" s="18" t="str">
        <x:v>2026-09-08</x:v>
      </x:c>
      <x:c r="D47" s="18" t="n">
        <x:v>2026</x:v>
      </x:c>
      <x:c r="E47" s="18" t="str">
        <x:v>2026-09</x:v>
      </x:c>
      <x:c r="F47" s="18" t="str"/>
      <x:c r="G47" s="18" t="str">
        <x:v>India district court order judgment</x:v>
      </x:c>
      <x:c r="H47" s="18" t="str"/>
      <x:c r="I47" s="18" t="str">
        <x:v>India News Network</x:v>
      </x:c>
      <x:c r="J47" s="20" t="str"/>
      <x:c r="K47" s="18" t="str"/>
      <x:c r="L47" s="18" t="str">
        <x:v>Allahabad High Court Orders Compensation for Detained Student - India News Network</x:v>
      </x:c>
      <x:c r="M47" s="18" t="str">
        <x:v>India News Network</x:v>
      </x:c>
      <x:c r="N47" s="18" t="str">
        <x:v>India district court order judgment</x:v>
      </x:c>
      <x:c r="O47" s="18" t="n">
        <x:v>46273.20662037037</x:v>
      </x:c>
      <x:c r="P47" s="18" t="str">
        <x:v>https://www.indianewsnetwork.com</x:v>
      </x:c>
      <x:c r="Q47" s="18" t="str">
        <x:v>DEFINED_TERMINAL_OR_FEED_SCOPE</x:v>
      </x:c>
      <x:c r="R47" s="18" t="str">
        <x:v>news_district_court_14d.json — published records loaded</x:v>
      </x:c>
      <x:c r="S47" s="18" t="str"/>
      <x:c r="T47" s="18" t="str"/>
      <x:c r="U47" s="20" t="n">
        <x:v>63</x:v>
      </x:c>
      <x:c r="V47" s="19" t="n">
        <x:f>IFERROR(TODAY()-DATEVALUE(C47),"")</x:f>
        <x:v>2</x:v>
      </x:c>
      <x:c r="W47" s="21" t="n">
        <x:f>ROUND(COUNTA(A47:K47)/11*100,0)</x:f>
        <x:v>100</x:v>
      </x:c>
      <x:c r="X47" s="18" t="str">
        <x:v>Google News RSS</x:v>
      </x:c>
      <x:c r="Y47" s="22" t="str">
        <x:v>https://news.google.com/rss/articles/CBMipAFBVV95cUxPVkc0d3dNbmRWOWlWTGMwNTdneWZlb0o3YTdGd1k2WDMxX2FZb0pIRmd3X2FSUXptcTZzOXFNY0lxS0hzRGJxX3VjaGRNTjd3ZDY1QU02ajRrUzNKMzBHMGJPUUdLYm5XQ1lmZHZhWlIzcndCaHlaLVRodDVvS0VEVGNOWFVVZG9SWThpc3MyUXZwdjd0b2JvNzU1N2tUWlFVZUZ5dg?oc=5</x:v>
      </x:c>
      <x:c r="Z47" s="18" t="n">
        <x:v>46273.20662037037</x:v>
      </x:c>
      <x:c r="AA47" s="18" t="n">
        <x:v>46275.38862103009</x:v>
      </x:c>
      <x:c r="AB47" s="18" t="str">
        <x:v>public_rss</x:v>
      </x:c>
      <x:c r="AC47" s="18" t="str">
        <x:v>READY</x:v>
      </x:c>
    </x:row>
    <x:row r="48">
      <x:c r="A48" s="18" t="str">
        <x:v>NYT-40-42121a6625e81b9a</x:v>
      </x:c>
      <x:c r="B48" s="18" t="str">
        <x:v>Supreme Court Upholds Constitutional Validity of Section 144 of Code of Criminal Procedure, 1898 in Challenge by Accused. Anticipatory Restrictions in Emergency to Prevent Disorders Are Reasonable and Saved by Article 19(2) and (3) of Constitution of Ind - Lawtext</x:v>
      </x:c>
      <x:c r="C48" s="18" t="str">
        <x:v>2026-09-04</x:v>
      </x:c>
      <x:c r="D48" s="18" t="n">
        <x:v>2026</x:v>
      </x:c>
      <x:c r="E48" s="18" t="str">
        <x:v>2026-09</x:v>
      </x:c>
      <x:c r="F48" s="18" t="str"/>
      <x:c r="G48" s="18" t="str">
        <x:v>India district court order judgment</x:v>
      </x:c>
      <x:c r="H48" s="18" t="str"/>
      <x:c r="I48" s="18" t="str">
        <x:v>Lawtext</x:v>
      </x:c>
      <x:c r="J48" s="20" t="str"/>
      <x:c r="K48" s="18" t="str"/>
      <x:c r="L48" s="18" t="str">
        <x:v>Supreme Court Upholds Constitutional Validity of Section 144 of Code of Criminal Procedure, 1898 in Challenge by Accused. Anticipatory Restrictions in Emergency to Prevent Disorders Are Reasonable and Saved by Article 19(2) and (3) of Constitution of Ind - Lawtext</x:v>
      </x:c>
      <x:c r="M48" s="18" t="str">
        <x:v>Lawtext</x:v>
      </x:c>
      <x:c r="N48" s="18" t="str">
        <x:v>India district court order judgment</x:v>
      </x:c>
      <x:c r="O48" s="18" t="n">
        <x:v>46269.004108796296</x:v>
      </x:c>
      <x:c r="P48" s="18" t="str">
        <x:v>https://lawtext.in</x:v>
      </x:c>
      <x:c r="Q48" s="18" t="str">
        <x:v>DEFINED_TERMINAL_OR_FEED_SCOPE</x:v>
      </x:c>
      <x:c r="R48" s="18" t="str">
        <x:v>news_district_court_14d.json — published records loaded</x:v>
      </x:c>
      <x:c r="S48" s="18" t="str"/>
      <x:c r="T48" s="18" t="str"/>
      <x:c r="U48" s="20" t="n">
        <x:v>63</x:v>
      </x:c>
      <x:c r="V48" s="19" t="n">
        <x:f>IFERROR(TODAY()-DATEVALUE(C48),"")</x:f>
        <x:v>6</x:v>
      </x:c>
      <x:c r="W48" s="21" t="n">
        <x:f>ROUND(COUNTA(A48:K48)/11*100,0)</x:f>
        <x:v>100</x:v>
      </x:c>
      <x:c r="X48" s="18" t="str">
        <x:v>Google News RSS</x:v>
      </x:c>
      <x:c r="Y48" s="22" t="str">
        <x:v>https://news.google.com/rss/articles/CBMiZkFVX3lxTE9NYTZ6OGJ1STNFb1czalBEZkkwTTlRMVJLZ2FpaWRSeVdVSzVVVF9mdFE1bDAyblBFYVZfX01DQlVtZUptSUxzUUFpS2wxaGNwelNGbUNhYXI0YUdoc1NUUWh2ZFBwZw?oc=5</x:v>
      </x:c>
      <x:c r="Z48" s="18" t="n">
        <x:v>46269.004108796296</x:v>
      </x:c>
      <x:c r="AA48" s="18" t="n">
        <x:v>46275.38862103009</x:v>
      </x:c>
      <x:c r="AB48" s="18" t="str">
        <x:v>public_rss</x:v>
      </x:c>
      <x:c r="AC48" s="18" t="str">
        <x:v>READY</x:v>
      </x:c>
    </x:row>
    <x:row r="49">
      <x:c r="A49" s="18" t="str">
        <x:v>NYT-40-de49171dbd6e1b3a</x:v>
      </x:c>
      <x:c r="B49" s="18" t="str">
        <x:v>Bombay High Court Heard Writ Petition on Applicability of Juvenile Justice (Care and Protection of Children) Act, 2015 and Adoption Regulations, 2022 to Adoption of US Citizen Child by Indian Relatives. Court Examined CARA's Refusal to Register Indian Pro - Lawtext</x:v>
      </x:c>
      <x:c r="C49" s="18" t="str">
        <x:v>2026-09-04</x:v>
      </x:c>
      <x:c r="D49" s="18" t="n">
        <x:v>2026</x:v>
      </x:c>
      <x:c r="E49" s="18" t="str">
        <x:v>2026-09</x:v>
      </x:c>
      <x:c r="F49" s="18" t="str"/>
      <x:c r="G49" s="18" t="str">
        <x:v>India district court order judgment</x:v>
      </x:c>
      <x:c r="H49" s="18" t="str"/>
      <x:c r="I49" s="18" t="str">
        <x:v>Lawtext</x:v>
      </x:c>
      <x:c r="J49" s="20" t="str"/>
      <x:c r="K49" s="18" t="str"/>
      <x:c r="L49" s="18" t="str">
        <x:v>Bombay High Court Heard Writ Petition on Applicability of Juvenile Justice (Care and Protection of Children) Act, 2015 and Adoption Regulations, 2022 to Adoption of US Citizen Child by Indian Relatives. Court Examined CARA's Refusal to Register Indian Pro - Lawtext</x:v>
      </x:c>
      <x:c r="M49" s="18" t="str">
        <x:v>Lawtext</x:v>
      </x:c>
      <x:c r="N49" s="18" t="str">
        <x:v>India district court order judgment</x:v>
      </x:c>
      <x:c r="O49" s="18" t="n">
        <x:v>46269.48903935185</x:v>
      </x:c>
      <x:c r="P49" s="18" t="str">
        <x:v>https://lawtext.in</x:v>
      </x:c>
      <x:c r="Q49" s="18" t="str">
        <x:v>DEFINED_TERMINAL_OR_FEED_SCOPE</x:v>
      </x:c>
      <x:c r="R49" s="18" t="str">
        <x:v>news_district_court_14d.json — published records loaded</x:v>
      </x:c>
      <x:c r="S49" s="18" t="str"/>
      <x:c r="T49" s="18" t="str"/>
      <x:c r="U49" s="20" t="n">
        <x:v>63</x:v>
      </x:c>
      <x:c r="V49" s="19" t="n">
        <x:f>IFERROR(TODAY()-DATEVALUE(C49),"")</x:f>
        <x:v>6</x:v>
      </x:c>
      <x:c r="W49" s="21" t="n">
        <x:f>ROUND(COUNTA(A49:K49)/11*100,0)</x:f>
        <x:v>100</x:v>
      </x:c>
      <x:c r="X49" s="18" t="str">
        <x:v>Google News RSS</x:v>
      </x:c>
      <x:c r="Y49" s="22" t="str">
        <x:v>https://news.google.com/rss/articles/CBMiZkFVX3lxTE5DdjV2TVBYRU5QX2F6NnVIZTI5N2NjWmdJN3lDZzZQOE51alFKOHJQUUp1Z2xybGJyR21fX3hfd2RpWERrbW1GQXRocGFyZDNqTklsaXM4N1VNTXg4ck42LUk0RHZsZw?oc=5</x:v>
      </x:c>
      <x:c r="Z49" s="18" t="n">
        <x:v>46269.48903935185</x:v>
      </x:c>
      <x:c r="AA49" s="18" t="n">
        <x:v>46275.38862103009</x:v>
      </x:c>
      <x:c r="AB49" s="18" t="str">
        <x:v>public_rss</x:v>
      </x:c>
      <x:c r="AC49" s="18" t="str">
        <x:v>READY</x:v>
      </x:c>
    </x:row>
    <x:row r="50">
      <x:c r="A50" s="18" t="str">
        <x:v>NYT-40-bd3c2ae43895547f</x:v>
      </x:c>
      <x:c r="B50" s="18" t="str">
        <x:v>High Court of Karnataka Allows Impleadment of Subsequent Purchaser in Partition Suit Appeal — Order I Rule 10 CPC. Subsequent purchaser held to be necessary and proper party to appeal under Order I Rule 10 of Code of Civil Procedure, 1908. - Lawtext</x:v>
      </x:c>
      <x:c r="C50" s="18" t="str">
        <x:v>2026-08-30</x:v>
      </x:c>
      <x:c r="D50" s="18" t="n">
        <x:v>2026</x:v>
      </x:c>
      <x:c r="E50" s="18" t="str">
        <x:v>2026-08</x:v>
      </x:c>
      <x:c r="F50" s="18" t="str"/>
      <x:c r="G50" s="18" t="str">
        <x:v>India district court order judgment</x:v>
      </x:c>
      <x:c r="H50" s="18" t="str"/>
      <x:c r="I50" s="18" t="str">
        <x:v>Lawtext</x:v>
      </x:c>
      <x:c r="J50" s="20" t="str"/>
      <x:c r="K50" s="18" t="str"/>
      <x:c r="L50" s="18" t="str">
        <x:v>High Court of Karnataka Allows Impleadment of Subsequent Purchaser in Partition Suit Appeal — Order I Rule 10 CPC. Subsequent purchaser held to be necessary and proper party to appeal under Order I Rule 10 of Code of Civil Procedure, 1908. - Lawtext</x:v>
      </x:c>
      <x:c r="M50" s="18" t="str">
        <x:v>Lawtext</x:v>
      </x:c>
      <x:c r="N50" s="18" t="str">
        <x:v>India district court order judgment</x:v>
      </x:c>
      <x:c r="O50" s="18" t="n">
        <x:v>46264.291666666664</x:v>
      </x:c>
      <x:c r="P50" s="18" t="str">
        <x:v>https://lawtext.in</x:v>
      </x:c>
      <x:c r="Q50" s="18" t="str">
        <x:v>DEFINED_TERMINAL_OR_FEED_SCOPE</x:v>
      </x:c>
      <x:c r="R50" s="18" t="str">
        <x:v>news_district_court_14d.json — published records loaded</x:v>
      </x:c>
      <x:c r="S50" s="18" t="str"/>
      <x:c r="T50" s="18" t="str"/>
      <x:c r="U50" s="20" t="n">
        <x:v>63</x:v>
      </x:c>
      <x:c r="V50" s="19" t="n">
        <x:f>IFERROR(TODAY()-DATEVALUE(C50),"")</x:f>
        <x:v>11</x:v>
      </x:c>
      <x:c r="W50" s="21" t="n">
        <x:f>ROUND(COUNTA(A50:K50)/11*100,0)</x:f>
        <x:v>100</x:v>
      </x:c>
      <x:c r="X50" s="18" t="str">
        <x:v>Google News RSS</x:v>
      </x:c>
      <x:c r="Y50" s="22" t="str">
        <x:v>https://news.google.com/rss/articles/CBMiVEFVX3lxTE1MY3dVYmtjcVhNMTBlQU9zZ0VlRHZLcmh6VUpGUWpxamt4bk5CYTR1N2RBZWhpSVZydWItRllqQjJNSm45RWNKT1hHZDQ3TDhCWnBJNA?oc=5</x:v>
      </x:c>
      <x:c r="Z50" s="18" t="n">
        <x:v>46264.291666666664</x:v>
      </x:c>
      <x:c r="AA50" s="18" t="n">
        <x:v>46275.38862103009</x:v>
      </x:c>
      <x:c r="AB50" s="18" t="str">
        <x:v>public_rss</x:v>
      </x:c>
      <x:c r="AC50" s="18" t="str">
        <x:v>READY</x:v>
      </x:c>
    </x:row>
    <x:row r="51">
      <x:c r="A51" s="18" t="str">
        <x:v>NYT-40-61c06798bcfbb08b</x:v>
      </x:c>
      <x:c r="B51" s="18" t="str">
        <x:v>Supreme Court Dismisses Appeal of Appellant in Prevention of Corruption Act Case — Chairman of Municipal Managing Committee Is Public Servant Under Section 2, Prevention of Corruption Act, 1947. Rule 68 of Bombay District Municipal Act, 1901, Empow - Lawtext</x:v>
      </x:c>
      <x:c r="C51" s="18" t="str">
        <x:v>2026-09-02</x:v>
      </x:c>
      <x:c r="D51" s="18" t="n">
        <x:v>2026</x:v>
      </x:c>
      <x:c r="E51" s="18" t="str">
        <x:v>2026-09</x:v>
      </x:c>
      <x:c r="F51" s="18" t="str"/>
      <x:c r="G51" s="18" t="str">
        <x:v>India district court order judgment</x:v>
      </x:c>
      <x:c r="H51" s="18" t="str"/>
      <x:c r="I51" s="18" t="str">
        <x:v>Lawtext</x:v>
      </x:c>
      <x:c r="J51" s="20" t="str"/>
      <x:c r="K51" s="18" t="str"/>
      <x:c r="L51" s="18" t="str">
        <x:v>Supreme Court Dismisses Appeal of Appellant in Prevention of Corruption Act Case — Chairman of Municipal Managing Committee Is Public Servant Under Section 2, Prevention of Corruption Act, 1947. Rule 68 of Bombay District Municipal Act, 1901, Empow - Lawtext</x:v>
      </x:c>
      <x:c r="M51" s="18" t="str">
        <x:v>Lawtext</x:v>
      </x:c>
      <x:c r="N51" s="18" t="str">
        <x:v>India district court order judgment</x:v>
      </x:c>
      <x:c r="O51" s="18" t="n">
        <x:v>46267.316296296296</x:v>
      </x:c>
      <x:c r="P51" s="18" t="str">
        <x:v>https://lawtext.in</x:v>
      </x:c>
      <x:c r="Q51" s="18" t="str">
        <x:v>DEFINED_TERMINAL_OR_FEED_SCOPE</x:v>
      </x:c>
      <x:c r="R51" s="18" t="str">
        <x:v>news_district_court_14d.json — published records loaded</x:v>
      </x:c>
      <x:c r="S51" s="18" t="str"/>
      <x:c r="T51" s="18" t="str"/>
      <x:c r="U51" s="20" t="n">
        <x:v>63</x:v>
      </x:c>
      <x:c r="V51" s="19" t="n">
        <x:f>IFERROR(TODAY()-DATEVALUE(C51),"")</x:f>
        <x:v>8</x:v>
      </x:c>
      <x:c r="W51" s="21" t="n">
        <x:f>ROUND(COUNTA(A51:K51)/11*100,0)</x:f>
        <x:v>100</x:v>
      </x:c>
      <x:c r="X51" s="18" t="str">
        <x:v>Google News RSS</x:v>
      </x:c>
      <x:c r="Y51" s="22" t="str">
        <x:v>https://news.google.com/rss/articles/CBMiZkFVX3lxTE5ZUS02Z0lNNmtFdHRHX2pWYVV4a3p6RTUtU0drY29kemxhc016LUZBNEo2RkFLMkYyQjZ0OTZNa21yb19sb1RuNG5wZS16S0pSWnNBdkgyWDMzZHlacVlLSUhKZGxEUQ?oc=5</x:v>
      </x:c>
      <x:c r="Z51" s="18" t="n">
        <x:v>46267.316296296296</x:v>
      </x:c>
      <x:c r="AA51" s="18" t="n">
        <x:v>46275.38862103009</x:v>
      </x:c>
      <x:c r="AB51" s="18" t="str">
        <x:v>public_rss</x:v>
      </x:c>
      <x:c r="AC51" s="18" t="str">
        <x:v>READY</x:v>
      </x:c>
    </x:row>
    <x:row r="52">
      <x:c r="A52" s="18" t="str">
        <x:v>NYT-40-b70bd59d22f7b894</x:v>
      </x:c>
      <x:c r="B52" s="18" t="str">
        <x:v>Gujarat High Court Dismisses Petition Challenging Reversal of Injunction in Specific Performance Suit — Unregistered Agreement to Sell Inadmissible Under Section 49 of Registration Act, 1908. The appellate court's order setting aside the temporary injunctio - Lawtext</x:v>
      </x:c>
      <x:c r="C52" s="18" t="str">
        <x:v>2026-09-02</x:v>
      </x:c>
      <x:c r="D52" s="18" t="n">
        <x:v>2026</x:v>
      </x:c>
      <x:c r="E52" s="18" t="str">
        <x:v>2026-09</x:v>
      </x:c>
      <x:c r="F52" s="18" t="str"/>
      <x:c r="G52" s="18" t="str">
        <x:v>India district court order judgment</x:v>
      </x:c>
      <x:c r="H52" s="18" t="str"/>
      <x:c r="I52" s="18" t="str">
        <x:v>Lawtext</x:v>
      </x:c>
      <x:c r="J52" s="20" t="str"/>
      <x:c r="K52" s="18" t="str"/>
      <x:c r="L52" s="18" t="str">
        <x:v>Gujarat High Court Dismisses Petition Challenging Reversal of Injunction in Specific Performance Suit — Unregistered Agreement to Sell Inadmissible Under Section 49 of Registration Act, 1908. The appellate court's order setting aside the temporary injunctio - Lawtext</x:v>
      </x:c>
      <x:c r="M52" s="18" t="str">
        <x:v>Lawtext</x:v>
      </x:c>
      <x:c r="N52" s="18" t="str">
        <x:v>India district court order judgment</x:v>
      </x:c>
      <x:c r="O52" s="18" t="n">
        <x:v>46267.73063657407</x:v>
      </x:c>
      <x:c r="P52" s="18" t="str">
        <x:v>https://lawtext.in</x:v>
      </x:c>
      <x:c r="Q52" s="18" t="str">
        <x:v>DEFINED_TERMINAL_OR_FEED_SCOPE</x:v>
      </x:c>
      <x:c r="R52" s="18" t="str">
        <x:v>news_district_court_14d.json — published records loaded</x:v>
      </x:c>
      <x:c r="S52" s="18" t="str"/>
      <x:c r="T52" s="18" t="str"/>
      <x:c r="U52" s="20" t="n">
        <x:v>63</x:v>
      </x:c>
      <x:c r="V52" s="19" t="n">
        <x:f>IFERROR(TODAY()-DATEVALUE(C52),"")</x:f>
        <x:v>8</x:v>
      </x:c>
      <x:c r="W52" s="21" t="n">
        <x:f>ROUND(COUNTA(A52:K52)/11*100,0)</x:f>
        <x:v>100</x:v>
      </x:c>
      <x:c r="X52" s="18" t="str">
        <x:v>Google News RSS</x:v>
      </x:c>
      <x:c r="Y52" s="22" t="str">
        <x:v>https://news.google.com/rss/articles/CBMiZkFVX3lxTFBScENRMGR2YTBnTVgtcTRzMS1kYXZIb2NxVS1hWEpGWkhkSjZIb2NHSS1mSkttX0lfbmxfdGZQQWJiNjBTRFpGMlk4X2wyODQ3WTdRMVFIZ1EyZ0N0YjJCRm9mM0pHdw?oc=5</x:v>
      </x:c>
      <x:c r="Z52" s="18" t="n">
        <x:v>46267.73063657407</x:v>
      </x:c>
      <x:c r="AA52" s="18" t="n">
        <x:v>46275.38862103009</x:v>
      </x:c>
      <x:c r="AB52" s="18" t="str">
        <x:v>public_rss</x:v>
      </x:c>
      <x:c r="AC52" s="18" t="str">
        <x:v>READY</x:v>
      </x:c>
    </x:row>
    <x:row r="53">
      <x:c r="A53" s="18" t="str">
        <x:v>NYT-40-dc1eb55bc198c876</x:v>
      </x:c>
      <x:c r="B53" s="18" t="str">
        <x:v>Madras High Court Dismisses Revision Against Order Allowing Withdrawal of Partition Suit with Liberty to File Fresh Suit. Trial Court's Discretion Under Order XXIII Rule 1 CPC Upheld as No Perversity or Jurisdictional Error Found. - Lawtext</x:v>
      </x:c>
      <x:c r="C53" s="18" t="str">
        <x:v>2026-09-06</x:v>
      </x:c>
      <x:c r="D53" s="18" t="n">
        <x:v>2026</x:v>
      </x:c>
      <x:c r="E53" s="18" t="str">
        <x:v>2026-09</x:v>
      </x:c>
      <x:c r="F53" s="18" t="str"/>
      <x:c r="G53" s="18" t="str">
        <x:v>India district court order judgment</x:v>
      </x:c>
      <x:c r="H53" s="18" t="str"/>
      <x:c r="I53" s="18" t="str">
        <x:v>Lawtext</x:v>
      </x:c>
      <x:c r="J53" s="20" t="str"/>
      <x:c r="K53" s="18" t="str"/>
      <x:c r="L53" s="18" t="str">
        <x:v>Madras High Court Dismisses Revision Against Order Allowing Withdrawal of Partition Suit with Liberty to File Fresh Suit. Trial Court's Discretion Under Order XXIII Rule 1 CPC Upheld as No Perversity or Jurisdictional Error Found. - Lawtext</x:v>
      </x:c>
      <x:c r="M53" s="18" t="str">
        <x:v>Lawtext</x:v>
      </x:c>
      <x:c r="N53" s="18" t="str">
        <x:v>India district court order judgment</x:v>
      </x:c>
      <x:c r="O53" s="18" t="n">
        <x:v>46271.07539351852</x:v>
      </x:c>
      <x:c r="P53" s="18" t="str">
        <x:v>https://lawtext.in</x:v>
      </x:c>
      <x:c r="Q53" s="18" t="str">
        <x:v>DEFINED_TERMINAL_OR_FEED_SCOPE</x:v>
      </x:c>
      <x:c r="R53" s="18" t="str">
        <x:v>news_district_court_14d.json — published records loaded</x:v>
      </x:c>
      <x:c r="S53" s="18" t="str"/>
      <x:c r="T53" s="18" t="str"/>
      <x:c r="U53" s="20" t="n">
        <x:v>63</x:v>
      </x:c>
      <x:c r="V53" s="19" t="n">
        <x:f>IFERROR(TODAY()-DATEVALUE(C53),"")</x:f>
        <x:v>4</x:v>
      </x:c>
      <x:c r="W53" s="21" t="n">
        <x:f>ROUND(COUNTA(A53:K53)/11*100,0)</x:f>
        <x:v>100</x:v>
      </x:c>
      <x:c r="X53" s="18" t="str">
        <x:v>Google News RSS</x:v>
      </x:c>
      <x:c r="Y53" s="22" t="str">
        <x:v>https://news.google.com/rss/articles/CBMiZkFVX3lxTE43Y1B5ZHk5dENzX1pHV2d4czNjS3ZpUmRxNHBTXzZZS096TXFzZzY5Y214aE5yMXNjeHRNMGc3Z1ItVjRSUXBJczF2aHhrbWpNUHJpZ04xbXdPUm5OUTdQcGVqdzdGQQ?oc=5</x:v>
      </x:c>
      <x:c r="Z53" s="18" t="n">
        <x:v>46271.07539351852</x:v>
      </x:c>
      <x:c r="AA53" s="18" t="n">
        <x:v>46275.38862103009</x:v>
      </x:c>
      <x:c r="AB53" s="18" t="str">
        <x:v>public_rss</x:v>
      </x:c>
      <x:c r="AC53" s="18" t="str">
        <x:v>READY</x:v>
      </x:c>
    </x:row>
    <x:row r="54">
      <x:c r="A54" s="18" t="str">
        <x:v>NYT-40-9d381863b152aae5</x:v>
      </x:c>
      <x:c r="B54" s="18" t="str">
        <x:v>Bombay High Court Allows Writ Petition Against Rejection of Nomination in Municipal Election - Petitioner's Nomination Form Not Accompanied by Political Party Certificate in Form No. 2. Court Holds That Correction of Decision Furthering Election Process Is - Lawtext</x:v>
      </x:c>
      <x:c r="C54" s="18" t="str">
        <x:v>2026-09-06</x:v>
      </x:c>
      <x:c r="D54" s="18" t="n">
        <x:v>2026</x:v>
      </x:c>
      <x:c r="E54" s="18" t="str">
        <x:v>2026-09</x:v>
      </x:c>
      <x:c r="F54" s="18" t="str"/>
      <x:c r="G54" s="18" t="str">
        <x:v>India district court order judgment</x:v>
      </x:c>
      <x:c r="H54" s="18" t="str"/>
      <x:c r="I54" s="18" t="str">
        <x:v>Lawtext</x:v>
      </x:c>
      <x:c r="J54" s="20" t="str"/>
      <x:c r="K54" s="18" t="str"/>
      <x:c r="L54" s="18" t="str">
        <x:v>Bombay High Court Allows Writ Petition Against Rejection of Nomination in Municipal Election - Petitioner's Nomination Form Not Accompanied by Political Party Certificate in Form No. 2. Court Holds That Correction of Decision Furthering Election Process Is - Lawtext</x:v>
      </x:c>
      <x:c r="M54" s="18" t="str">
        <x:v>Lawtext</x:v>
      </x:c>
      <x:c r="N54" s="18" t="str">
        <x:v>India district court order judgment</x:v>
      </x:c>
      <x:c r="O54" s="18" t="n">
        <x:v>46271.6046875</x:v>
      </x:c>
      <x:c r="P54" s="18" t="str">
        <x:v>https://lawtext.in</x:v>
      </x:c>
      <x:c r="Q54" s="18" t="str">
        <x:v>DEFINED_TERMINAL_OR_FEED_SCOPE</x:v>
      </x:c>
      <x:c r="R54" s="18" t="str">
        <x:v>news_district_court_14d.json — published records loaded</x:v>
      </x:c>
      <x:c r="S54" s="18" t="str"/>
      <x:c r="T54" s="18" t="str"/>
      <x:c r="U54" s="20" t="n">
        <x:v>63</x:v>
      </x:c>
      <x:c r="V54" s="19" t="n">
        <x:f>IFERROR(TODAY()-DATEVALUE(C54),"")</x:f>
        <x:v>4</x:v>
      </x:c>
      <x:c r="W54" s="21" t="n">
        <x:f>ROUND(COUNTA(A54:K54)/11*100,0)</x:f>
        <x:v>100</x:v>
      </x:c>
      <x:c r="X54" s="18" t="str">
        <x:v>Google News RSS</x:v>
      </x:c>
      <x:c r="Y54" s="22" t="str">
        <x:v>https://news.google.com/rss/articles/CBMiaEFVX3lxTE1BUEpLbHBkN1NWRDdaZDhOY0tnZllEVWZEdDdyMDVBZHhGcHl0WnFRcTR6YmFMdjBsQTdrWDBXdnFvaVliQ2xPOUZYNE9CMzNYRzVrUzRwRE9oOVNMYXNXald3Z2VMYjZl?oc=5</x:v>
      </x:c>
      <x:c r="Z54" s="18" t="n">
        <x:v>46271.6046875</x:v>
      </x:c>
      <x:c r="AA54" s="18" t="n">
        <x:v>46275.38862103009</x:v>
      </x:c>
      <x:c r="AB54" s="18" t="str">
        <x:v>public_rss</x:v>
      </x:c>
      <x:c r="AC54" s="18" t="str">
        <x:v>READY</x:v>
      </x:c>
    </x:row>
    <x:row r="55">
      <x:c r="A55" s="18" t="str">
        <x:v>NYT-40-9c8c82aff6998f7e</x:v>
      </x:c>
      <x:c r="B55" s="18" t="str">
        <x:v>Supreme Court Allows Appellant in Evidence Act Case Concerning Admissibility of Deposition of Deceased Witness. Interpretation of 'Adverse Party' in Proviso to Section 33 Indian Evidence Act Drives Reversal of High Court Decision. - Lawtext</x:v>
      </x:c>
      <x:c r="C55" s="18" t="str">
        <x:v>2026-09-08</x:v>
      </x:c>
      <x:c r="D55" s="18" t="n">
        <x:v>2026</x:v>
      </x:c>
      <x:c r="E55" s="18" t="str">
        <x:v>2026-09</x:v>
      </x:c>
      <x:c r="F55" s="18" t="str"/>
      <x:c r="G55" s="18" t="str">
        <x:v>India district court order judgment</x:v>
      </x:c>
      <x:c r="H55" s="18" t="str"/>
      <x:c r="I55" s="18" t="str">
        <x:v>Lawtext</x:v>
      </x:c>
      <x:c r="J55" s="20" t="str"/>
      <x:c r="K55" s="18" t="str"/>
      <x:c r="L55" s="18" t="str">
        <x:v>Supreme Court Allows Appellant in Evidence Act Case Concerning Admissibility of Deposition of Deceased Witness. Interpretation of 'Adverse Party' in Proviso to Section 33 Indian Evidence Act Drives Reversal of High Court Decision. - Lawtext</x:v>
      </x:c>
      <x:c r="M55" s="18" t="str">
        <x:v>Lawtext</x:v>
      </x:c>
      <x:c r="N55" s="18" t="str">
        <x:v>India district court order judgment</x:v>
      </x:c>
      <x:c r="O55" s="18" t="n">
        <x:v>46273.00221064815</x:v>
      </x:c>
      <x:c r="P55" s="18" t="str">
        <x:v>https://lawtext.in</x:v>
      </x:c>
      <x:c r="Q55" s="18" t="str">
        <x:v>DEFINED_TERMINAL_OR_FEED_SCOPE</x:v>
      </x:c>
      <x:c r="R55" s="18" t="str">
        <x:v>news_district_court_14d.json — published records loaded</x:v>
      </x:c>
      <x:c r="S55" s="18" t="str"/>
      <x:c r="T55" s="18" t="str"/>
      <x:c r="U55" s="20" t="n">
        <x:v>63</x:v>
      </x:c>
      <x:c r="V55" s="19" t="n">
        <x:f>IFERROR(TODAY()-DATEVALUE(C55),"")</x:f>
        <x:v>2</x:v>
      </x:c>
      <x:c r="W55" s="21" t="n">
        <x:f>ROUND(COUNTA(A55:K55)/11*100,0)</x:f>
        <x:v>100</x:v>
      </x:c>
      <x:c r="X55" s="18" t="str">
        <x:v>Google News RSS</x:v>
      </x:c>
      <x:c r="Y55" s="22" t="str">
        <x:v>https://news.google.com/rss/articles/CBMiVEFVX3lxTFB5Smh5TFRGYzliWEp0WGZmcUQzZWRISWxkbUNObEFpRU9XeXYxR24zcEl2MTZoVk55QnVTR1Z1N3lhdUp4UWhZY2hDck5nVmoxV1BWRA?oc=5</x:v>
      </x:c>
      <x:c r="Z55" s="18" t="n">
        <x:v>46273.00221064815</x:v>
      </x:c>
      <x:c r="AA55" s="18" t="n">
        <x:v>46275.38862103009</x:v>
      </x:c>
      <x:c r="AB55" s="18" t="str">
        <x:v>public_rss</x:v>
      </x:c>
      <x:c r="AC55" s="18" t="str">
        <x:v>READY</x:v>
      </x:c>
    </x:row>
    <x:row r="56">
      <x:c r="A56" s="18" t="str">
        <x:v>NYT-40-555f33681bbb3048</x:v>
      </x:c>
      <x:c r="B56" s="18" t="str">
        <x:v>Karnataka High Court Upholds District Task Force Committee's Power to Cancel Mining Licences for Violations of Karnataka Minor Mineral Concession Rules, 1994. The court held that the Committee has quasi-judicial authority to revoke quarrying licences for - Lawtext</x:v>
      </x:c>
      <x:c r="C56" s="18" t="str">
        <x:v>2026-09-05</x:v>
      </x:c>
      <x:c r="D56" s="18" t="n">
        <x:v>2026</x:v>
      </x:c>
      <x:c r="E56" s="18" t="str">
        <x:v>2026-09</x:v>
      </x:c>
      <x:c r="F56" s="18" t="str"/>
      <x:c r="G56" s="18" t="str">
        <x:v>India district court order judgment</x:v>
      </x:c>
      <x:c r="H56" s="18" t="str"/>
      <x:c r="I56" s="18" t="str">
        <x:v>Lawtext</x:v>
      </x:c>
      <x:c r="J56" s="20" t="str"/>
      <x:c r="K56" s="18" t="str"/>
      <x:c r="L56" s="18" t="str">
        <x:v>Karnataka High Court Upholds District Task Force Committee's Power to Cancel Mining Licences for Violations of Karnataka Minor Mineral Concession Rules, 1994. The court held that the Committee has quasi-judicial authority to revoke quarrying licences for - Lawtext</x:v>
      </x:c>
      <x:c r="M56" s="18" t="str">
        <x:v>Lawtext</x:v>
      </x:c>
      <x:c r="N56" s="18" t="str">
        <x:v>India district court order judgment</x:v>
      </x:c>
      <x:c r="O56" s="18" t="n">
        <x:v>46270.291400462964</x:v>
      </x:c>
      <x:c r="P56" s="18" t="str">
        <x:v>https://lawtext.in</x:v>
      </x:c>
      <x:c r="Q56" s="18" t="str">
        <x:v>DEFINED_TERMINAL_OR_FEED_SCOPE</x:v>
      </x:c>
      <x:c r="R56" s="18" t="str">
        <x:v>news_district_court_14d.json — published records loaded</x:v>
      </x:c>
      <x:c r="S56" s="18" t="str"/>
      <x:c r="T56" s="18" t="str"/>
      <x:c r="U56" s="20" t="n">
        <x:v>63</x:v>
      </x:c>
      <x:c r="V56" s="19" t="n">
        <x:f>IFERROR(TODAY()-DATEVALUE(C56),"")</x:f>
        <x:v>5</x:v>
      </x:c>
      <x:c r="W56" s="21" t="n">
        <x:f>ROUND(COUNTA(A56:K56)/11*100,0)</x:f>
        <x:v>100</x:v>
      </x:c>
      <x:c r="X56" s="18" t="str">
        <x:v>Google News RSS</x:v>
      </x:c>
      <x:c r="Y56" s="22" t="str">
        <x:v>https://news.google.com/rss/articles/CBMiZkFVX3lxTE5lZUszdXlRSm9BWmdOTTFnTDdvNW1sclpsYkJvdXMwZGw5OVZlVGRrODZDMUFLYjlpYWJOZ0J4blNyN0R5WlBpOGRRTi1BQTBQQmZPMm15N2NsaGFDRFhWeE54RlpiZw?oc=5</x:v>
      </x:c>
      <x:c r="Z56" s="18" t="n">
        <x:v>46270.291400462964</x:v>
      </x:c>
      <x:c r="AA56" s="18" t="n">
        <x:v>46275.38862103009</x:v>
      </x:c>
      <x:c r="AB56" s="18" t="str">
        <x:v>public_rss</x:v>
      </x:c>
      <x:c r="AC56" s="18" t="str">
        <x:v>READY</x:v>
      </x:c>
    </x:row>
    <x:row r="57">
      <x:c r="A57" s="18" t="str">
        <x:v>NYT-40-23de018b4538f965</x:v>
      </x:c>
      <x:c r="B57" s="18" t="str">
        <x:v>High Court of Judicature at Bombay Considers Interim Injunction in Pledge Enforcement and Share Transfer Dispute — Application Seeks to Restrain Voting and Transfer Rights Over Pledged Shares. Pledgee Rights Under Section 176 of Indian Contract Act, - Lawtext</x:v>
      </x:c>
      <x:c r="C57" s="18" t="str">
        <x:v>2026-09-02</x:v>
      </x:c>
      <x:c r="D57" s="18" t="n">
        <x:v>2026</x:v>
      </x:c>
      <x:c r="E57" s="18" t="str">
        <x:v>2026-09</x:v>
      </x:c>
      <x:c r="F57" s="18" t="str"/>
      <x:c r="G57" s="18" t="str">
        <x:v>India district court order judgment</x:v>
      </x:c>
      <x:c r="H57" s="18" t="str"/>
      <x:c r="I57" s="18" t="str">
        <x:v>Lawtext</x:v>
      </x:c>
      <x:c r="J57" s="20" t="str"/>
      <x:c r="K57" s="18" t="str"/>
      <x:c r="L57" s="18" t="str">
        <x:v>High Court of Judicature at Bombay Considers Interim Injunction in Pledge Enforcement and Share Transfer Dispute — Application Seeks to Restrain Voting and Transfer Rights Over Pledged Shares. Pledgee Rights Under Section 176 of Indian Contract Act, - Lawtext</x:v>
      </x:c>
      <x:c r="M57" s="18" t="str">
        <x:v>Lawtext</x:v>
      </x:c>
      <x:c r="N57" s="18" t="str">
        <x:v>India district court order judgment</x:v>
      </x:c>
      <x:c r="O57" s="18" t="n">
        <x:v>46267.784583333334</x:v>
      </x:c>
      <x:c r="P57" s="18" t="str">
        <x:v>https://lawtext.in</x:v>
      </x:c>
      <x:c r="Q57" s="18" t="str">
        <x:v>DEFINED_TERMINAL_OR_FEED_SCOPE</x:v>
      </x:c>
      <x:c r="R57" s="18" t="str">
        <x:v>news_district_court_14d.json — published records loaded</x:v>
      </x:c>
      <x:c r="S57" s="18" t="str"/>
      <x:c r="T57" s="18" t="str"/>
      <x:c r="U57" s="20" t="n">
        <x:v>63</x:v>
      </x:c>
      <x:c r="V57" s="19" t="n">
        <x:f>IFERROR(TODAY()-DATEVALUE(C57),"")</x:f>
        <x:v>8</x:v>
      </x:c>
      <x:c r="W57" s="21" t="n">
        <x:f>ROUND(COUNTA(A57:K57)/11*100,0)</x:f>
        <x:v>100</x:v>
      </x:c>
      <x:c r="X57" s="18" t="str">
        <x:v>Google News RSS</x:v>
      </x:c>
      <x:c r="Y57" s="22" t="str">
        <x:v>https://news.google.com/rss/articles/CBMiZkFVX3lxTE5uQUFYdmhIWGZodGRZcHBSdUNmeERiVmNXc0praVdWYTBvVks2eWVKcmhNd0h3YXF3NkRVUjdySDBHOEpCMzRiZVhoelc1MUR0Tmt4bE1SUTBpdzlFbm1FMGRKNEl6dw?oc=5</x:v>
      </x:c>
      <x:c r="Z57" s="18" t="n">
        <x:v>46267.784583333334</x:v>
      </x:c>
      <x:c r="AA57" s="18" t="n">
        <x:v>46275.38862103009</x:v>
      </x:c>
      <x:c r="AB57" s="18" t="str">
        <x:v>public_rss</x:v>
      </x:c>
      <x:c r="AC57" s="18" t="str">
        <x:v>READY</x:v>
      </x:c>
    </x:row>
    <x:row r="58">
      <x:c r="A58" s="18" t="str">
        <x:v>NYT-40-06cd59255df1d87e</x:v>
      </x:c>
      <x:c r="B58" s="18" t="str">
        <x:v>Supreme Court Allows Appeals of Revenue Authorities in Stamp Duty Undervaluation Cases — Revisional Powers Under Section 47A of Indian Stamp Act, 1899 Upheld. The Court held that the limitation period for suo motu revision by the Chief Controlling Re - Lawtext</x:v>
      </x:c>
      <x:c r="C58" s="18" t="str">
        <x:v>2026-08-29</x:v>
      </x:c>
      <x:c r="D58" s="18" t="n">
        <x:v>2026</x:v>
      </x:c>
      <x:c r="E58" s="18" t="str">
        <x:v>2026-08</x:v>
      </x:c>
      <x:c r="F58" s="18" t="str"/>
      <x:c r="G58" s="18" t="str">
        <x:v>India district court order judgment</x:v>
      </x:c>
      <x:c r="H58" s="18" t="str"/>
      <x:c r="I58" s="18" t="str">
        <x:v>Lawtext</x:v>
      </x:c>
      <x:c r="J58" s="20" t="str"/>
      <x:c r="K58" s="18" t="str"/>
      <x:c r="L58" s="18" t="str">
        <x:v>Supreme Court Allows Appeals of Revenue Authorities in Stamp Duty Undervaluation Cases — Revisional Powers Under Section 47A of Indian Stamp Act, 1899 Upheld. The Court held that the limitation period for suo motu revision by the Chief Controlling Re - Lawtext</x:v>
      </x:c>
      <x:c r="M58" s="18" t="str">
        <x:v>Lawtext</x:v>
      </x:c>
      <x:c r="N58" s="18" t="str">
        <x:v>India district court order judgment</x:v>
      </x:c>
      <x:c r="O58" s="18" t="n">
        <x:v>46263.291666666664</x:v>
      </x:c>
      <x:c r="P58" s="18" t="str">
        <x:v>https://lawtext.in</x:v>
      </x:c>
      <x:c r="Q58" s="18" t="str">
        <x:v>DEFINED_TERMINAL_OR_FEED_SCOPE</x:v>
      </x:c>
      <x:c r="R58" s="18" t="str">
        <x:v>news_district_court_14d.json — published records loaded</x:v>
      </x:c>
      <x:c r="S58" s="18" t="str"/>
      <x:c r="T58" s="18" t="str"/>
      <x:c r="U58" s="20" t="n">
        <x:v>63</x:v>
      </x:c>
      <x:c r="V58" s="19" t="n">
        <x:f>IFERROR(TODAY()-DATEVALUE(C58),"")</x:f>
        <x:v>12</x:v>
      </x:c>
      <x:c r="W58" s="21" t="n">
        <x:f>ROUND(COUNTA(A58:K58)/11*100,0)</x:f>
        <x:v>100</x:v>
      </x:c>
      <x:c r="X58" s="18" t="str">
        <x:v>Google News RSS</x:v>
      </x:c>
      <x:c r="Y58" s="22" t="str">
        <x:v>https://news.google.com/rss/articles/CBMiU0FVX3lxTE0wbHJ2a2pLOG9OQk9UcS1ONEtyTGNuR1VOYWhzLTQ0UFR1VmVnNHNxS2lhTXR4NkVSWXJLT0k0LTVoUmxXRG9NSzdjc0RXNTlEZmNr?oc=5</x:v>
      </x:c>
      <x:c r="Z58" s="18" t="n">
        <x:v>46263.291666666664</x:v>
      </x:c>
      <x:c r="AA58" s="18" t="n">
        <x:v>46275.38862103009</x:v>
      </x:c>
      <x:c r="AB58" s="18" t="str">
        <x:v>public_rss</x:v>
      </x:c>
      <x:c r="AC58" s="18" t="str">
        <x:v>READY</x:v>
      </x:c>
    </x:row>
    <x:row r="59">
      <x:c r="A59" s="18" t="str">
        <x:v>NYT-40-d3286f3d77aea2b9</x:v>
      </x:c>
      <x:c r="B59" s="18" t="str">
        <x:v>Madras High Court Allows Revision Against Dismissal of Suit for Default, Restores Suit on Condition of Costs. Order 9 Rule 9 CPC does not bar a fresh suit when the earlier suit was dismissed for default under Order 9 Rule 3 CPC, as the bar applies only to dis - Lawtext</x:v>
      </x:c>
      <x:c r="C59" s="18" t="str">
        <x:v>2026-09-04</x:v>
      </x:c>
      <x:c r="D59" s="18" t="n">
        <x:v>2026</x:v>
      </x:c>
      <x:c r="E59" s="18" t="str">
        <x:v>2026-09</x:v>
      </x:c>
      <x:c r="F59" s="18" t="str"/>
      <x:c r="G59" s="18" t="str">
        <x:v>India district court order judgment</x:v>
      </x:c>
      <x:c r="H59" s="18" t="str"/>
      <x:c r="I59" s="18" t="str">
        <x:v>Lawtext</x:v>
      </x:c>
      <x:c r="J59" s="20" t="str"/>
      <x:c r="K59" s="18" t="str"/>
      <x:c r="L59" s="18" t="str">
        <x:v>Madras High Court Allows Revision Against Dismissal of Suit for Default, Restores Suit on Condition of Costs. Order 9 Rule 9 CPC does not bar a fresh suit when the earlier suit was dismissed for default under Order 9 Rule 3 CPC, as the bar applies only to dis - Lawtext</x:v>
      </x:c>
      <x:c r="M59" s="18" t="str">
        <x:v>Lawtext</x:v>
      </x:c>
      <x:c r="N59" s="18" t="str">
        <x:v>India district court order judgment</x:v>
      </x:c>
      <x:c r="O59" s="18" t="n">
        <x:v>46269.161631944444</x:v>
      </x:c>
      <x:c r="P59" s="18" t="str">
        <x:v>https://lawtext.in</x:v>
      </x:c>
      <x:c r="Q59" s="18" t="str">
        <x:v>DEFINED_TERMINAL_OR_FEED_SCOPE</x:v>
      </x:c>
      <x:c r="R59" s="18" t="str">
        <x:v>news_district_court_14d.json — published records loaded</x:v>
      </x:c>
      <x:c r="S59" s="18" t="str"/>
      <x:c r="T59" s="18" t="str"/>
      <x:c r="U59" s="20" t="n">
        <x:v>63</x:v>
      </x:c>
      <x:c r="V59" s="19" t="n">
        <x:f>IFERROR(TODAY()-DATEVALUE(C59),"")</x:f>
        <x:v>6</x:v>
      </x:c>
      <x:c r="W59" s="21" t="n">
        <x:f>ROUND(COUNTA(A59:K59)/11*100,0)</x:f>
        <x:v>100</x:v>
      </x:c>
      <x:c r="X59" s="18" t="str">
        <x:v>Google News RSS</x:v>
      </x:c>
      <x:c r="Y59" s="22" t="str">
        <x:v>https://news.google.com/rss/articles/CBMiZkFVX3lxTE5vU2hlcDIxTEt0UjFrcVRKSEJrOEp3VHhsLXA4ZGN1UWNJYk1UejV3X040OEpWOTNpLXljUEk3aG9TWHRIZEtLbG1xUnI2aWl3bDlNc0o3SmxPOElyM21tc2pfajBvQQ?oc=5</x:v>
      </x:c>
      <x:c r="Z59" s="18" t="n">
        <x:v>46269.161631944444</x:v>
      </x:c>
      <x:c r="AA59" s="18" t="n">
        <x:v>46275.38862103009</x:v>
      </x:c>
      <x:c r="AB59" s="18" t="str">
        <x:v>public_rss</x:v>
      </x:c>
      <x:c r="AC59" s="18" t="str">
        <x:v>READY</x:v>
      </x:c>
    </x:row>
    <x:row r="60">
      <x:c r="A60" s="18" t="str">
        <x:v>NYT-40-27ed85a2ccaf2bb9</x:v>
      </x:c>
      <x:c r="B60" s="18" t="str">
        <x:v>Section 47-A Of Stamp Act Does Not Require Proof Of Fraudulent Intent: Supreme Court Doubts V.N. Devadoss Precedent, Refers Issue To Larger Bench - Law Trend</x:v>
      </x:c>
      <x:c r="C60" s="18" t="str">
        <x:v>2026-09-08</x:v>
      </x:c>
      <x:c r="D60" s="18" t="n">
        <x:v>2026</x:v>
      </x:c>
      <x:c r="E60" s="18" t="str">
        <x:v>2026-09</x:v>
      </x:c>
      <x:c r="F60" s="18" t="str"/>
      <x:c r="G60" s="18" t="str">
        <x:v>India district court order judgment</x:v>
      </x:c>
      <x:c r="H60" s="18" t="str"/>
      <x:c r="I60" s="18" t="str">
        <x:v>Law Trend</x:v>
      </x:c>
      <x:c r="J60" s="20" t="str"/>
      <x:c r="K60" s="18" t="str"/>
      <x:c r="L60" s="18" t="str">
        <x:v>Section 47-A Of Stamp Act Does Not Require Proof Of Fraudulent Intent: Supreme Court Doubts V.N. Devadoss Precedent, Refers Issue To Larger Bench - Law Trend</x:v>
      </x:c>
      <x:c r="M60" s="18" t="str">
        <x:v>Law Trend</x:v>
      </x:c>
      <x:c r="N60" s="18" t="str">
        <x:v>India district court order judgment</x:v>
      </x:c>
      <x:c r="O60" s="18" t="n">
        <x:v>46273.218194444446</x:v>
      </x:c>
      <x:c r="P60" s="18" t="str">
        <x:v>https://lawtrend.in</x:v>
      </x:c>
      <x:c r="Q60" s="18" t="str">
        <x:v>DEFINED_TERMINAL_OR_FEED_SCOPE</x:v>
      </x:c>
      <x:c r="R60" s="18" t="str">
        <x:v>news_district_court_14d.json — published records loaded</x:v>
      </x:c>
      <x:c r="S60" s="18" t="str"/>
      <x:c r="T60" s="18" t="str"/>
      <x:c r="U60" s="20" t="n">
        <x:v>63</x:v>
      </x:c>
      <x:c r="V60" s="19" t="n">
        <x:f>IFERROR(TODAY()-DATEVALUE(C60),"")</x:f>
        <x:v>2</x:v>
      </x:c>
      <x:c r="W60" s="21" t="n">
        <x:f>ROUND(COUNTA(A60:K60)/11*100,0)</x:f>
        <x:v>100</x:v>
      </x:c>
      <x:c r="X60" s="18" t="str">
        <x:v>Google News RSS</x:v>
      </x:c>
      <x:c r="Y60" s="22" t="str">
        <x:v>https://news.google.com/rss/articles/CBMi9gFBVV95cUxNek5RMzNxekZMSGtDWmxEcnBhSjhDSF9ELXNQVjJFU202WWhyY0xLOHlBdFNmRDFucVdHN1FZcFhkOUx1SGRrOGdGbTlEbGdUTm9NcWhaS0ZUYkdHOVVZbTgzaXljZ0l4ZVdNTlJiaW1GZWZRbjZKS1hmMTBCM0VmeUxQZVJzdXZPUG1fcFlrdmJTRkNVX2ZjX0ZnX2N0WVBYeVh1dUxEZTBJWDRHUEhLNFJmeEIzWUY3RjkzZGdyNmxJNHBDNTc1VW14WVFucVJLbTFDWFI1T1hCTlJyQ3NQUHpJRWMtRkVwajFWZjY1MUxuS2RseEE?oc=5</x:v>
      </x:c>
      <x:c r="Z60" s="18" t="n">
        <x:v>46273.218194444446</x:v>
      </x:c>
      <x:c r="AA60" s="18" t="n">
        <x:v>46275.38862103009</x:v>
      </x:c>
      <x:c r="AB60" s="18" t="str">
        <x:v>public_rss</x:v>
      </x:c>
      <x:c r="AC60" s="18" t="str">
        <x:v>READY</x:v>
      </x:c>
    </x:row>
    <x:row r="61">
      <x:c r="A61" s="18" t="str">
        <x:v>NYT-40-3397a118a5a6eacc</x:v>
      </x:c>
      <x:c r="B61" s="18" t="str">
        <x:v>High Court of Karnataka Quashes Deputy Commissioner's Order in Land Conversion Case — Violation of Natural Justice. Deputy Commissioner's order under Section 95 of Karnataka Land Revenue Act, 1964 set aside for lack of notice and opportunity of hear - Lawtext</x:v>
      </x:c>
      <x:c r="C61" s="18" t="str">
        <x:v>2026-09-02</x:v>
      </x:c>
      <x:c r="D61" s="18" t="n">
        <x:v>2026</x:v>
      </x:c>
      <x:c r="E61" s="18" t="str">
        <x:v>2026-09</x:v>
      </x:c>
      <x:c r="F61" s="18" t="str"/>
      <x:c r="G61" s="18" t="str">
        <x:v>India district court order judgment</x:v>
      </x:c>
      <x:c r="H61" s="18" t="str"/>
      <x:c r="I61" s="18" t="str">
        <x:v>Lawtext</x:v>
      </x:c>
      <x:c r="J61" s="20" t="str"/>
      <x:c r="K61" s="18" t="str"/>
      <x:c r="L61" s="18" t="str">
        <x:v>High Court of Karnataka Quashes Deputy Commissioner's Order in Land Conversion Case — Violation of Natural Justice. Deputy Commissioner's order under Section 95 of Karnataka Land Revenue Act, 1964 set aside for lack of notice and opportunity of hear - Lawtext</x:v>
      </x:c>
      <x:c r="M61" s="18" t="str">
        <x:v>Lawtext</x:v>
      </x:c>
      <x:c r="N61" s="18" t="str">
        <x:v>India district court order judgment</x:v>
      </x:c>
      <x:c r="O61" s="18" t="n">
        <x:v>46267.75951388889</x:v>
      </x:c>
      <x:c r="P61" s="18" t="str">
        <x:v>https://lawtext.in</x:v>
      </x:c>
      <x:c r="Q61" s="18" t="str">
        <x:v>DEFINED_TERMINAL_OR_FEED_SCOPE</x:v>
      </x:c>
      <x:c r="R61" s="18" t="str">
        <x:v>news_district_court_14d.json — published records loaded</x:v>
      </x:c>
      <x:c r="S61" s="18" t="str"/>
      <x:c r="T61" s="18" t="str"/>
      <x:c r="U61" s="20" t="n">
        <x:v>63</x:v>
      </x:c>
      <x:c r="V61" s="19" t="n">
        <x:f>IFERROR(TODAY()-DATEVALUE(C61),"")</x:f>
        <x:v>8</x:v>
      </x:c>
      <x:c r="W61" s="21" t="n">
        <x:f>ROUND(COUNTA(A61:K61)/11*100,0)</x:f>
        <x:v>100</x:v>
      </x:c>
      <x:c r="X61" s="18" t="str">
        <x:v>Google News RSS</x:v>
      </x:c>
      <x:c r="Y61" s="22" t="str">
        <x:v>https://news.google.com/rss/articles/CBMiZkFVX3lxTFBpQ2l3WjZmTV80TDExZERkN3ZXMzZCbjZBd1RhLXRyS2FPcmp4MDgxQXlUYXpUMXNIWG8xeFd0WENLTDhZXzhMeGp4Q0VEeEtqMm9XMTVEeU9CNDRpa0ZfcFd6NzAwdw?oc=5</x:v>
      </x:c>
      <x:c r="Z61" s="18" t="n">
        <x:v>46267.75951388889</x:v>
      </x:c>
      <x:c r="AA61" s="18" t="n">
        <x:v>46275.38862103009</x:v>
      </x:c>
      <x:c r="AB61" s="18" t="str">
        <x:v>public_rss</x:v>
      </x:c>
      <x:c r="AC61" s="18" t="str">
        <x:v>READY</x:v>
      </x:c>
    </x:row>
    <x:row r="62">
      <x:c r="A62" s="18" t="str">
        <x:v>NYT-40-9c42a50f40b5461a</x:v>
      </x:c>
      <x:c r="B62" s="18" t="str">
        <x:v>Who Is Gurmeet Singh? Why US Revoked Indian-Origin Man’s Citizenship - Outlook India</x:v>
      </x:c>
      <x:c r="C62" s="18" t="str">
        <x:v>2026-09-01</x:v>
      </x:c>
      <x:c r="D62" s="18" t="n">
        <x:v>2026</x:v>
      </x:c>
      <x:c r="E62" s="18" t="str">
        <x:v>2026-09</x:v>
      </x:c>
      <x:c r="F62" s="18" t="str"/>
      <x:c r="G62" s="18" t="str">
        <x:v>India district court order judgment</x:v>
      </x:c>
      <x:c r="H62" s="18" t="str"/>
      <x:c r="I62" s="18" t="str">
        <x:v>Outlook India</x:v>
      </x:c>
      <x:c r="J62" s="20" t="str"/>
      <x:c r="K62" s="18" t="str"/>
      <x:c r="L62" s="18" t="str">
        <x:v>Who Is Gurmeet Singh? Why US Revoked Indian-Origin Man’s Citizenship - Outlook India</x:v>
      </x:c>
      <x:c r="M62" s="18" t="str">
        <x:v>Outlook India</x:v>
      </x:c>
      <x:c r="N62" s="18" t="str">
        <x:v>India district court order judgment</x:v>
      </x:c>
      <x:c r="O62" s="18" t="n">
        <x:v>46266.281875</x:v>
      </x:c>
      <x:c r="P62" s="18" t="str">
        <x:v>https://www.outlookindia.com</x:v>
      </x:c>
      <x:c r="Q62" s="18" t="str">
        <x:v>DEFINED_TERMINAL_OR_FEED_SCOPE</x:v>
      </x:c>
      <x:c r="R62" s="18" t="str">
        <x:v>news_district_court_14d.json — published records loaded</x:v>
      </x:c>
      <x:c r="S62" s="18" t="str"/>
      <x:c r="T62" s="18" t="str"/>
      <x:c r="U62" s="20" t="n">
        <x:v>63</x:v>
      </x:c>
      <x:c r="V62" s="19" t="n">
        <x:f>IFERROR(TODAY()-DATEVALUE(C62),"")</x:f>
        <x:v>9</x:v>
      </x:c>
      <x:c r="W62" s="21" t="n">
        <x:f>ROUND(COUNTA(A62:K62)/11*100,0)</x:f>
        <x:v>100</x:v>
      </x:c>
      <x:c r="X62" s="18" t="str">
        <x:v>Google News RSS</x:v>
      </x:c>
      <x:c r="Y62" s="22" t="str">
        <x:v>https://news.google.com/rss/articles/CBMiywFBVV95cUxPUGdTNGFHSFhzdUFoU1ZRUUttYWE4bXNLOXpqclpQSkd5ZzdfUk9ERk4wd2Z4WXNDem1XMmtybG1Ra3lqRDdramlCRVZkQ25rYlZweFdjQzJKSFdmcWZfUUl4YzFSQ1RKNTFaMlhNajBJMzZCZlp0dlZwVDZ5NkdlVWdmQTd0S21RUXJjekh1b1NNdnhEUk1ONGtPTk9ic2k4OU1VeDh3MXdQN1BmZ2dzdU41V015RlV3d2c5Tl90aFhhaE8xSGpQcmFBa9IB2AFBVV95cUxOZ1hqUkttTnh0N0k2MXdydGdEd19vakpDUW45QXY5S2FiSFFLNXB6SlAteU1lOEhOWHZZT2VKMVl4OUxCcGxwV0Z4SlIyRUZ4d1ZUVG5UaXdfVS1VU2hWQ04zTzNvN25aeEtlZlJRMWx2ZUR4ckZIcHNSTWxRQ3dzM2RMYlJ4NlpQX0cxMU4xSHZpeU1rdmlWOVhRcXBsaEY5a2MwT1hhUG9xYlQxZ0dyZTVjM29jYUJpUmliWmF3OHdmNTNMZ3Z1Z3FSMEVTekJ6cm4zdnMxRTM?oc=5</x:v>
      </x:c>
      <x:c r="Z62" s="18" t="n">
        <x:v>46266.281875</x:v>
      </x:c>
      <x:c r="AA62" s="18" t="n">
        <x:v>46275.38862103009</x:v>
      </x:c>
      <x:c r="AB62" s="18" t="str">
        <x:v>public_rss</x:v>
      </x:c>
      <x:c r="AC62" s="18" t="str">
        <x:v>READY</x:v>
      </x:c>
    </x:row>
    <x:row r="63">
      <x:c r="A63" s="18" t="str">
        <x:v>NYT-40-606a4fdc96386852</x:v>
      </x:c>
      <x:c r="B63" s="18" t="str">
        <x:v>India SC: Mandates District Judges Retirement Age 62 in 7 States - Wansom AI</x:v>
      </x:c>
      <x:c r="C63" s="18" t="str">
        <x:v>2026-09-09</x:v>
      </x:c>
      <x:c r="D63" s="18" t="n">
        <x:v>2026</x:v>
      </x:c>
      <x:c r="E63" s="18" t="str">
        <x:v>2026-09</x:v>
      </x:c>
      <x:c r="F63" s="18" t="str"/>
      <x:c r="G63" s="18" t="str">
        <x:v>India district court order judgment</x:v>
      </x:c>
      <x:c r="H63" s="18" t="str"/>
      <x:c r="I63" s="18" t="str">
        <x:v>Wansom AI</x:v>
      </x:c>
      <x:c r="J63" s="20" t="str"/>
      <x:c r="K63" s="18" t="str"/>
      <x:c r="L63" s="18" t="str">
        <x:v>India SC: Mandates District Judges Retirement Age 62 in 7 States - Wansom AI</x:v>
      </x:c>
      <x:c r="M63" s="18" t="str">
        <x:v>Wansom AI</x:v>
      </x:c>
      <x:c r="N63" s="18" t="str">
        <x:v>India district court order judgment</x:v>
      </x:c>
      <x:c r="O63" s="18" t="n">
        <x:v>46274.16679398148</x:v>
      </x:c>
      <x:c r="P63" s="18" t="str">
        <x:v>https://www.wansom.ai</x:v>
      </x:c>
      <x:c r="Q63" s="18" t="str">
        <x:v>DEFINED_TERMINAL_OR_FEED_SCOPE</x:v>
      </x:c>
      <x:c r="R63" s="18" t="str">
        <x:v>news_district_court_14d.json — published records loaded</x:v>
      </x:c>
      <x:c r="S63" s="18" t="str"/>
      <x:c r="T63" s="18" t="str"/>
      <x:c r="U63" s="20" t="n">
        <x:v>63</x:v>
      </x:c>
      <x:c r="V63" s="19" t="n">
        <x:f>IFERROR(TODAY()-DATEVALUE(C63),"")</x:f>
        <x:v>1</x:v>
      </x:c>
      <x:c r="W63" s="21" t="n">
        <x:f>ROUND(COUNTA(A63:K63)/11*100,0)</x:f>
        <x:v>100</x:v>
      </x:c>
      <x:c r="X63" s="18" t="str">
        <x:v>Google News RSS</x:v>
      </x:c>
      <x:c r="Y63" s="22" t="str">
        <x:v>https://news.google.com/rss/articles/CBMiwAFBVV95cUxPSHZvbE91NzY1cnhOSE13V00wUWNqUkdlU21HYVdDSkZ1THoyb2pzYllub3RIVXlTeW1UbG5VZm5LQlV2eHpYRXlKTVI4OE1TUmNqSFgzQkMyZjRNXzZOODZ2bkZEekdyWXJpNnI1ZUZLN2lsbDcxY2UzTDVJWV9SZmlLS1RtNUdwNThEQXlVNmxYXzk5SVpEZmpDMmNEeEZJYWxVUGhLUkdXSlY0NUNxN0d6TllqNGdlcDExTktpMlY?oc=5</x:v>
      </x:c>
      <x:c r="Z63" s="18" t="n">
        <x:v>46274.16679398148</x:v>
      </x:c>
      <x:c r="AA63" s="18" t="n">
        <x:v>46275.38862103009</x:v>
      </x:c>
      <x:c r="AB63" s="18" t="str">
        <x:v>public_rss</x:v>
      </x:c>
      <x:c r="AC63" s="18" t="str">
        <x:v>READY</x:v>
      </x:c>
    </x:row>
    <x:row r="64">
      <x:c r="A64" s="18" t="str">
        <x:v>NYT-40-d6648eec42491f45</x:v>
      </x:c>
      <x:c r="B64" s="18" t="str">
        <x:v>US revokes citizenship of Indian-origin man who abducted, raped woman at knifepoint - theweek.in</x:v>
      </x:c>
      <x:c r="C64" s="18" t="str">
        <x:v>2026-09-01</x:v>
      </x:c>
      <x:c r="D64" s="18" t="n">
        <x:v>2026</x:v>
      </x:c>
      <x:c r="E64" s="18" t="str">
        <x:v>2026-09</x:v>
      </x:c>
      <x:c r="F64" s="18" t="str"/>
      <x:c r="G64" s="18" t="str">
        <x:v>India district court order judgment</x:v>
      </x:c>
      <x:c r="H64" s="18" t="str"/>
      <x:c r="I64" s="18" t="str">
        <x:v>theweek.in</x:v>
      </x:c>
      <x:c r="J64" s="20" t="str"/>
      <x:c r="K64" s="18" t="str"/>
      <x:c r="L64" s="18" t="str">
        <x:v>US revokes citizenship of Indian-origin man who abducted, raped woman at knifepoint - theweek.in</x:v>
      </x:c>
      <x:c r="M64" s="18" t="str">
        <x:v>theweek.in</x:v>
      </x:c>
      <x:c r="N64" s="18" t="str">
        <x:v>India district court order judgment</x:v>
      </x:c>
      <x:c r="O64" s="18" t="n">
        <x:v>46266.14265046296</x:v>
      </x:c>
      <x:c r="P64" s="18" t="str">
        <x:v>https://www.theweek.in</x:v>
      </x:c>
      <x:c r="Q64" s="18" t="str">
        <x:v>DEFINED_TERMINAL_OR_FEED_SCOPE</x:v>
      </x:c>
      <x:c r="R64" s="18" t="str">
        <x:v>news_district_court_14d.json — published records loaded</x:v>
      </x:c>
      <x:c r="S64" s="18" t="str"/>
      <x:c r="T64" s="18" t="str"/>
      <x:c r="U64" s="20" t="n">
        <x:v>63</x:v>
      </x:c>
      <x:c r="V64" s="19" t="n">
        <x:f>IFERROR(TODAY()-DATEVALUE(C64),"")</x:f>
        <x:v>9</x:v>
      </x:c>
      <x:c r="W64" s="21" t="n">
        <x:f>ROUND(COUNTA(A64:K64)/11*100,0)</x:f>
        <x:v>100</x:v>
      </x:c>
      <x:c r="X64" s="18" t="str">
        <x:v>Google News RSS</x:v>
      </x:c>
      <x:c r="Y64" s="22" t="str">
        <x:v>https://news.google.com/rss/articles/CBMinAFBVV95cUxNMHZPT1hxT25IbTRkOGZOTkVBYV9uSHJLZ2lxVWp0Q2FRVmpOUjF0eDF6LVcwZlljamZtRm9RMmVjaDV1b3dKT2RkWjFEam45NHNJNmt2UkZfbFh5MGJFTVVha051LU4zT3BWZXNVWWRBZmViRmFCYXljUHNpTXpEdUFGYllQLWJKdlN4N3JnTHhVT295bjFZNHpCSkLSAaIBQVVfeXFMTUtOdTZLdWlxdHVTa2tySXpobjI5UlNPV21XTEg4Qm9TRE51VHA5QUdNNFFtbWZFSExMWC1ibE5zV09Kb0QwakRONjBoQU5sc1ZzTUotSUMtUGZZa2lsQ3cweHRseEVYcFNMOTdMYzFhNXQtX29nTE1Ua3JjMVlPaGY0eC1lWnRqV3J6M3A4Nm1DVVVEREt1ZWtSanlZVDNtYXp3?oc=5</x:v>
      </x:c>
      <x:c r="Z64" s="18" t="n">
        <x:v>46266.14265046296</x:v>
      </x:c>
      <x:c r="AA64" s="18" t="n">
        <x:v>46275.38862103009</x:v>
      </x:c>
      <x:c r="AB64" s="18" t="str">
        <x:v>public_rss</x:v>
      </x:c>
      <x:c r="AC64" s="18" t="str">
        <x:v>READY</x:v>
      </x:c>
    </x:row>
    <x:row r="65">
      <x:c r="A65" s="18" t="str">
        <x:v>NYT-40-56cd599934dea58f</x:v>
      </x:c>
      <x:c r="B65" s="18" t="str">
        <x:v>10th Circuit expands state authority to arrest in Indian Country, remands Shawn Walden civil rights suit - NonDoc Media</x:v>
      </x:c>
      <x:c r="C65" s="18" t="str">
        <x:v>2026-09-09</x:v>
      </x:c>
      <x:c r="D65" s="18" t="n">
        <x:v>2026</x:v>
      </x:c>
      <x:c r="E65" s="18" t="str">
        <x:v>2026-09</x:v>
      </x:c>
      <x:c r="F65" s="18" t="str"/>
      <x:c r="G65" s="18" t="str">
        <x:v>India district court order judgment</x:v>
      </x:c>
      <x:c r="H65" s="18" t="str"/>
      <x:c r="I65" s="18" t="str">
        <x:v>NonDoc Media</x:v>
      </x:c>
      <x:c r="J65" s="20" t="str"/>
      <x:c r="K65" s="18" t="str"/>
      <x:c r="L65" s="18" t="str">
        <x:v>10th Circuit expands state authority to arrest in Indian Country, remands Shawn Walden civil rights suit - NonDoc Media</x:v>
      </x:c>
      <x:c r="M65" s="18" t="str">
        <x:v>NonDoc Media</x:v>
      </x:c>
      <x:c r="N65" s="18" t="str">
        <x:v>India district court order judgment</x:v>
      </x:c>
      <x:c r="O65" s="18" t="n">
        <x:v>46274.211805555555</x:v>
      </x:c>
      <x:c r="P65" s="18" t="str">
        <x:v>https://nondoc.com</x:v>
      </x:c>
      <x:c r="Q65" s="18" t="str">
        <x:v>DEFINED_TERMINAL_OR_FEED_SCOPE</x:v>
      </x:c>
      <x:c r="R65" s="18" t="str">
        <x:v>news_district_court_14d.json — published records loaded</x:v>
      </x:c>
      <x:c r="S65" s="18" t="str"/>
      <x:c r="T65" s="18" t="str"/>
      <x:c r="U65" s="20" t="n">
        <x:v>63</x:v>
      </x:c>
      <x:c r="V65" s="19" t="n">
        <x:f>IFERROR(TODAY()-DATEVALUE(C65),"")</x:f>
        <x:v>1</x:v>
      </x:c>
      <x:c r="W65" s="21" t="n">
        <x:f>ROUND(COUNTA(A65:K65)/11*100,0)</x:f>
        <x:v>100</x:v>
      </x:c>
      <x:c r="X65" s="18" t="str">
        <x:v>Google News RSS</x:v>
      </x:c>
      <x:c r="Y65" s="22" t="str">
        <x:v>https://news.google.com/rss/articles/CBMizwFBVV95cUxNdlN1eHY0RVRBa1haVXRJRDBmOW5FOGw2d3pBRDNEbFpZc0lMZ253UlQ4Nmo4cUlRX3hmamR4eGJubV8yQzE4WEpDcFVpX2xadGFvRzlLc3M1b09tYS1IWWlzeV8tX25aQ3V1X3JEYXFPaFdHSkxqN2RqVHhULU5VZHVTRktXV2VVdGpWd0VxbmkwaG5wb3UxOHJPSEloaE8tQ2l5eWdMVDV4aEdvQmFuSjd4M3BLZHJjekFiWmwxQXlQa01ISTNJdHJaeXM2UVU?oc=5</x:v>
      </x:c>
      <x:c r="Z65" s="18" t="n">
        <x:v>46274.211805555555</x:v>
      </x:c>
      <x:c r="AA65" s="18" t="n">
        <x:v>46275.38862103009</x:v>
      </x:c>
      <x:c r="AB65" s="18" t="str">
        <x:v>public_rss</x:v>
      </x:c>
      <x:c r="AC65" s="18" t="str">
        <x:v>READY</x:v>
      </x:c>
    </x:row>
    <x:row r="66">
      <x:c r="A66" s="18" t="str">
        <x:v>NYT-40-7f5aa6034b341fb4</x:v>
      </x:c>
      <x:c r="B66" s="18" t="str">
        <x:v>Allahabad High Court Clarifies Who Can Regulate Fertilizer Distribution In Districts - Indianmasterminds</x:v>
      </x:c>
      <x:c r="C66" s="18" t="str">
        <x:v>2026-08-29</x:v>
      </x:c>
      <x:c r="D66" s="18" t="n">
        <x:v>2026</x:v>
      </x:c>
      <x:c r="E66" s="18" t="str">
        <x:v>2026-08</x:v>
      </x:c>
      <x:c r="F66" s="18" t="str"/>
      <x:c r="G66" s="18" t="str">
        <x:v>India district court order judgment</x:v>
      </x:c>
      <x:c r="H66" s="18" t="str"/>
      <x:c r="I66" s="18" t="str">
        <x:v>Indianmasterminds</x:v>
      </x:c>
      <x:c r="J66" s="20" t="str"/>
      <x:c r="K66" s="18" t="str"/>
      <x:c r="L66" s="18" t="str">
        <x:v>Allahabad High Court Clarifies Who Can Regulate Fertilizer Distribution In Districts - Indianmasterminds</x:v>
      </x:c>
      <x:c r="M66" s="18" t="str">
        <x:v>Indianmasterminds</x:v>
      </x:c>
      <x:c r="N66" s="18" t="str">
        <x:v>India district court order judgment</x:v>
      </x:c>
      <x:c r="O66" s="18" t="n">
        <x:v>46263.577210648145</x:v>
      </x:c>
      <x:c r="P66" s="18" t="str">
        <x:v>https://indianmasterminds.com</x:v>
      </x:c>
      <x:c r="Q66" s="18" t="str">
        <x:v>DEFINED_TERMINAL_OR_FEED_SCOPE</x:v>
      </x:c>
      <x:c r="R66" s="18" t="str">
        <x:v>news_district_court_14d.json — published records loaded</x:v>
      </x:c>
      <x:c r="S66" s="18" t="str"/>
      <x:c r="T66" s="18" t="str"/>
      <x:c r="U66" s="20" t="n">
        <x:v>63</x:v>
      </x:c>
      <x:c r="V66" s="19" t="n">
        <x:f>IFERROR(TODAY()-DATEVALUE(C66),"")</x:f>
        <x:v>12</x:v>
      </x:c>
      <x:c r="W66" s="21" t="n">
        <x:f>ROUND(COUNTA(A66:K66)/11*100,0)</x:f>
        <x:v>100</x:v>
      </x:c>
      <x:c r="X66" s="18" t="str">
        <x:v>Google News RSS</x:v>
      </x:c>
      <x:c r="Y66" s="22" t="str">
        <x:v>https://news.google.com/rss/articles/CBMi4wFBVV95cUxOMWVzRVFjOElJeGd1OUQ5N1RDcW5DVXdianV0OHBRR3FuWnlwaVNLRWVTWms5Z2N0eUVYX3MzVHZnLUwxYlhlX2lBSV9RMS1Fc0x1VHBwcVpkRkhhV205RHRKMEFGT1hHS0ZLd0VlLUxaUjdiWjFtSXJnR25faTlnRExtWjBYRk5Ra0xvQnNPbzdVMHVSdENQMDZOVGFtWWJSSVdDTHdEaURjNnpRLUNydVJoNDMxQWk2Z1NtalVmX050N1VUNHVBMUNiRzZpU0paQlNqVmk4UzNhU2lHb0htb2Z2UQ?oc=5</x:v>
      </x:c>
      <x:c r="Z66" s="18" t="n">
        <x:v>46263.577210648145</x:v>
      </x:c>
      <x:c r="AA66" s="18" t="n">
        <x:v>46275.38862103009</x:v>
      </x:c>
      <x:c r="AB66" s="18" t="str">
        <x:v>public_rss</x:v>
      </x:c>
      <x:c r="AC66" s="18" t="str">
        <x:v>READY</x:v>
      </x:c>
    </x:row>
    <x:row r="67">
      <x:c r="A67" s="18" t="str">
        <x:v>NYT-40-0043beb0868ffe47</x:v>
      </x:c>
      <x:c r="B67" s="18" t="str">
        <x:v>SC Refers BPCL vs District Revenue Officer Stamp Duty Dispute to Larger Bench on Section 47-A - PSU Connect</x:v>
      </x:c>
      <x:c r="C67" s="18" t="str">
        <x:v>2026-09-08</x:v>
      </x:c>
      <x:c r="D67" s="18" t="n">
        <x:v>2026</x:v>
      </x:c>
      <x:c r="E67" s="18" t="str">
        <x:v>2026-09</x:v>
      </x:c>
      <x:c r="F67" s="18" t="str"/>
      <x:c r="G67" s="18" t="str">
        <x:v>India district court order judgment</x:v>
      </x:c>
      <x:c r="H67" s="18" t="str"/>
      <x:c r="I67" s="18" t="str">
        <x:v>PSU Connect</x:v>
      </x:c>
      <x:c r="J67" s="20" t="str"/>
      <x:c r="K67" s="18" t="str"/>
      <x:c r="L67" s="18" t="str">
        <x:v>SC Refers BPCL vs District Revenue Officer Stamp Duty Dispute to Larger Bench on Section 47-A - PSU Connect</x:v>
      </x:c>
      <x:c r="M67" s="18" t="str">
        <x:v>PSU Connect</x:v>
      </x:c>
      <x:c r="N67" s="18" t="str">
        <x:v>India district court order judgment</x:v>
      </x:c>
      <x:c r="O67" s="18" t="n">
        <x:v>46273.22152777778</x:v>
      </x:c>
      <x:c r="P67" s="18" t="str">
        <x:v>https://www.psuconnect.in</x:v>
      </x:c>
      <x:c r="Q67" s="18" t="str">
        <x:v>DEFINED_TERMINAL_OR_FEED_SCOPE</x:v>
      </x:c>
      <x:c r="R67" s="18" t="str">
        <x:v>news_district_court_14d.json — published records loaded</x:v>
      </x:c>
      <x:c r="S67" s="18" t="str"/>
      <x:c r="T67" s="18" t="str"/>
      <x:c r="U67" s="20" t="n">
        <x:v>63</x:v>
      </x:c>
      <x:c r="V67" s="19" t="n">
        <x:f>IFERROR(TODAY()-DATEVALUE(C67),"")</x:f>
        <x:v>2</x:v>
      </x:c>
      <x:c r="W67" s="21" t="n">
        <x:f>ROUND(COUNTA(A67:K67)/11*100,0)</x:f>
        <x:v>100</x:v>
      </x:c>
      <x:c r="X67" s="18" t="str">
        <x:v>Google News RSS</x:v>
      </x:c>
      <x:c r="Y67" s="22" t="str">
        <x:v>https://news.google.com/rss/articles/CBMixwFBVV95cUxONlBCZ1duU0NCVWVjcndfbUFmbkVCdTJEQUl3TkxzNFdlMTRIT3VBdUlBU0JEU1NOOGpOWXc4NmVoSjFvcFFOdEc1aHNDS3dFZmdVTm01NG1reW9yNXJpZlJiZUJNU2lvOVRjZEVRbFdWcXc4bkp6UllNby1qeVZUbGtmUU5WeVlaR0JrRUhycWJ6STNvMndoNFpwRmg3OWhYVGNGVGhTOGFXX1JEdGlNZ3RfQWVPcThBamtWbmZwTE5QQWgyalpR?oc=5</x:v>
      </x:c>
      <x:c r="Z67" s="18" t="n">
        <x:v>46273.22152777778</x:v>
      </x:c>
      <x:c r="AA67" s="18" t="n">
        <x:v>46275.38862103009</x:v>
      </x:c>
      <x:c r="AB67" s="18" t="str">
        <x:v>public_rss</x:v>
      </x:c>
      <x:c r="AC67" s="18" t="str">
        <x:v>READY</x:v>
      </x:c>
    </x:row>
    <x:row r="68">
      <x:c r="A68" s="18" t="str">
        <x:v>NYT-40-414af9483ce69b63</x:v>
      </x:c>
      <x:c r="B68" s="18" t="str">
        <x:v>Noida Student NSA Detention: SG Tells Supreme Court Allahabad HC Order Quashing Detention, ₹5 Lakh - Free Press Journal</x:v>
      </x:c>
      <x:c r="C68" s="18" t="str">
        <x:v>2026-09-09</x:v>
      </x:c>
      <x:c r="D68" s="18" t="n">
        <x:v>2026</x:v>
      </x:c>
      <x:c r="E68" s="18" t="str">
        <x:v>2026-09</x:v>
      </x:c>
      <x:c r="F68" s="18" t="str"/>
      <x:c r="G68" s="18" t="str">
        <x:v>India district court order judgment</x:v>
      </x:c>
      <x:c r="H68" s="18" t="str"/>
      <x:c r="I68" s="18" t="str">
        <x:v>Free Press Journal</x:v>
      </x:c>
      <x:c r="J68" s="20" t="str"/>
      <x:c r="K68" s="18" t="str"/>
      <x:c r="L68" s="18" t="str">
        <x:v>Noida Student NSA Detention: SG Tells Supreme Court Allahabad HC Order Quashing Detention, ₹5 Lakh - Free Press Journal</x:v>
      </x:c>
      <x:c r="M68" s="18" t="str">
        <x:v>Free Press Journal</x:v>
      </x:c>
      <x:c r="N68" s="18" t="str">
        <x:v>India district court order judgment</x:v>
      </x:c>
      <x:c r="O68" s="18" t="n">
        <x:v>46274.37892361111</x:v>
      </x:c>
      <x:c r="P68" s="18" t="str">
        <x:v>https://www.freepressjournal.in</x:v>
      </x:c>
      <x:c r="Q68" s="18" t="str">
        <x:v>DEFINED_TERMINAL_OR_FEED_SCOPE</x:v>
      </x:c>
      <x:c r="R68" s="18" t="str">
        <x:v>news_district_court_14d.json — published records loaded</x:v>
      </x:c>
      <x:c r="S68" s="18" t="str"/>
      <x:c r="T68" s="18" t="str"/>
      <x:c r="U68" s="20" t="n">
        <x:v>63</x:v>
      </x:c>
      <x:c r="V68" s="19" t="n">
        <x:f>IFERROR(TODAY()-DATEVALUE(C68),"")</x:f>
        <x:v>1</x:v>
      </x:c>
      <x:c r="W68" s="21" t="n">
        <x:f>ROUND(COUNTA(A68:K68)/11*100,0)</x:f>
        <x:v>100</x:v>
      </x:c>
      <x:c r="X68" s="18" t="str">
        <x:v>Google News RSS</x:v>
      </x:c>
      <x:c r="Y68" s="22" t="str">
        <x:v>https://news.google.com/rss/articles/CBMi_gFBVV95cUxQSmNjSm5xM2pIM1d1aVh1alRXbVZLS1dEWXJreGhYTmxMbEcwd002bkVERlJ3R2ptS2EtVWdzYVhDZXBBNHJKMmg3dHoya0xySy1pVzlCRVpOVUFrcUpRcXFpVFBaMHRTM3d1VTk0ejYyUlQyeE5BWkhjS1JRREZOWmU1aHlXUUJhTjQtWG9GLUtYUTdNWk9XbHFaNllaMVhpbERRUzUxZGxpTThQdVdZeXZPN0szN0RfUXRaOFdxRU1XVGhCblNXVkZoV05qQVVQaVNjLUVDdXo0NkpGc3oya05LV0NKanpJNWx3RDYwV2swTl9rc09fYmtqMUZ1d9IBgwJBVV95cUxNalpMMTVxQnYzWExwQ2pHNDU1bUp0RW9HX2pQUnF6bjBPdW9RZEJEOFpxdHRSUDBCU08tN1d2UDZ2RjV3d1pJdEZGNGR0R1Y3aVp3Qlc0SzFtTlZubnU2Znp1NUVXQklmRmIxMWFna2dQS2l3Mmtqa3pTNEFBcGJUT1Nja1lCUEhCZkZmZ3dvaDFYUWdmU3VCSGNjN3Rpbm15RkxWTzEwMlA4cDNGUDZUcjgwNElkSXhmWWNtcWxoNEZUeG14Q1pmaVdoaUVGeFZVR1lCSWhNcE9sS2hVNHJCSjNFdTZwenUyVzBuRXppMkZ6cVJIV3hJa09ZTGdjMDZBaWYw?oc=5</x:v>
      </x:c>
      <x:c r="Z68" s="18" t="n">
        <x:v>46274.37892361111</x:v>
      </x:c>
      <x:c r="AA68" s="18" t="n">
        <x:v>46275.38862103009</x:v>
      </x:c>
      <x:c r="AB68" s="18" t="str">
        <x:v>public_rss</x:v>
      </x:c>
      <x:c r="AC68" s="18" t="str">
        <x:v>READY</x:v>
      </x:c>
    </x:row>
    <x:row r="69">
      <x:c r="A69" s="18" t="str">
        <x:v>NYT-40-86ca1de5c6536c00</x:v>
      </x:c>
      <x:c r="B69" s="18" t="str">
        <x:v>Court is real culprit, passed order in sheer haste, says Maulana Rashidi on Saharanpur mosque row - Punjab Kesari English</x:v>
      </x:c>
      <x:c r="C69" s="18" t="str">
        <x:v>2026-09-06</x:v>
      </x:c>
      <x:c r="D69" s="18" t="n">
        <x:v>2026</x:v>
      </x:c>
      <x:c r="E69" s="18" t="str">
        <x:v>2026-09</x:v>
      </x:c>
      <x:c r="F69" s="18" t="str"/>
      <x:c r="G69" s="18" t="str">
        <x:v>India district court order judgment</x:v>
      </x:c>
      <x:c r="H69" s="18" t="str"/>
      <x:c r="I69" s="18" t="str">
        <x:v>Punjab Kesari English</x:v>
      </x:c>
      <x:c r="J69" s="20" t="str"/>
      <x:c r="K69" s="18" t="str"/>
      <x:c r="L69" s="18" t="str">
        <x:v>Court is real culprit, passed order in sheer haste, says Maulana Rashidi on Saharanpur mosque row - Punjab Kesari English</x:v>
      </x:c>
      <x:c r="M69" s="18" t="str">
        <x:v>Punjab Kesari English</x:v>
      </x:c>
      <x:c r="N69" s="18" t="str">
        <x:v>India district court order judgment</x:v>
      </x:c>
      <x:c r="O69" s="18" t="n">
        <x:v>46271.389756944445</x:v>
      </x:c>
      <x:c r="P69" s="18" t="str">
        <x:v>https://english.punjabkesari.com</x:v>
      </x:c>
      <x:c r="Q69" s="18" t="str">
        <x:v>DEFINED_TERMINAL_OR_FEED_SCOPE</x:v>
      </x:c>
      <x:c r="R69" s="18" t="str">
        <x:v>news_district_court_14d.json — published records loaded</x:v>
      </x:c>
      <x:c r="S69" s="18" t="str"/>
      <x:c r="T69" s="18" t="str"/>
      <x:c r="U69" s="20" t="n">
        <x:v>63</x:v>
      </x:c>
      <x:c r="V69" s="19" t="n">
        <x:f>IFERROR(TODAY()-DATEVALUE(C69),"")</x:f>
        <x:v>4</x:v>
      </x:c>
      <x:c r="W69" s="21" t="n">
        <x:f>ROUND(COUNTA(A69:K69)/11*100,0)</x:f>
        <x:v>100</x:v>
      </x:c>
      <x:c r="X69" s="18" t="str">
        <x:v>Google News RSS</x:v>
      </x:c>
      <x:c r="Y69" s="22" t="str">
        <x:v>https://news.google.com/rss/articles/CBMiygFBVV95cUxPVUdaMUhHb21MR2E1U0NwbHRZeThIOTQzaU1vSE9hZjFYUjhraXRvYXFtZ29uSFp5QXp5MWFkTl9YcTZZM2Z3T1Zsd1J5MlBtWHk2NUxxdThDQXJqNmFLam1NT0VzaVlIakNBb3B1V2J5NkJSTjF6U28xS3BVV01ZMGJ0LXo3SlQzNHFsRlVXeFFmTnJrVW1WX2pady1HTnJ3VUlJSWNEemVkUm01bVc4dXBMN1JJYUNjZ3FJV00ydF9HN3ZpNm9wQ2RR0gHPAUFVX3lxTE9BeHNsOFhVVjZUVzhuMWlLb0V6TGduVlk4TDZ5Nm9hdXRnX0tSa3VaTjVybXBOLUVha3J2Ry1BN1RXeU50cmV5UDRldW9YMFJqYWV5dDBPb3hWUUlRVUNyZEJPUnB6VEZqY3N3eFRvai1wZ084Q1VSZUNVODFXNVRtWFNtcWh4T3F5ZVFMcmZvLVRpN1NuemNNVnFfbkN5bGI1anhfS0dzTDV0OEVidkxXYXVfeTZvZWEzcEZ6QklnZFk2ekR0VzRXa1NiZ2lscw?oc=5</x:v>
      </x:c>
      <x:c r="Z69" s="18" t="n">
        <x:v>46271.389756944445</x:v>
      </x:c>
      <x:c r="AA69" s="18" t="n">
        <x:v>46275.38862103009</x:v>
      </x:c>
      <x:c r="AB69" s="18" t="str">
        <x:v>public_rss</x:v>
      </x:c>
      <x:c r="AC69" s="18" t="str">
        <x:v>READY</x:v>
      </x:c>
    </x:row>
    <x:row r="70">
      <x:c r="A70" s="18" t="str">
        <x:v>NYT-40-b23d7e468fab3f83</x:v>
      </x:c>
      <x:c r="B70" s="18" t="str">
        <x:v>UP govt to move SC against Allahabad HC order quashing student's NSA detention - The Hans India</x:v>
      </x:c>
      <x:c r="C70" s="18" t="str">
        <x:v>2026-09-09</x:v>
      </x:c>
      <x:c r="D70" s="18" t="n">
        <x:v>2026</x:v>
      </x:c>
      <x:c r="E70" s="18" t="str">
        <x:v>2026-09</x:v>
      </x:c>
      <x:c r="F70" s="18" t="str"/>
      <x:c r="G70" s="18" t="str">
        <x:v>India district court order judgment</x:v>
      </x:c>
      <x:c r="H70" s="18" t="str"/>
      <x:c r="I70" s="18" t="str">
        <x:v>The Hans India</x:v>
      </x:c>
      <x:c r="J70" s="20" t="str"/>
      <x:c r="K70" s="18" t="str"/>
      <x:c r="L70" s="18" t="str">
        <x:v>UP govt to move SC against Allahabad HC order quashing student's NSA detention - The Hans India</x:v>
      </x:c>
      <x:c r="M70" s="18" t="str">
        <x:v>The Hans India</x:v>
      </x:c>
      <x:c r="N70" s="18" t="str">
        <x:v>India district court order judgment</x:v>
      </x:c>
      <x:c r="O70" s="18" t="n">
        <x:v>46274.470046296294</x:v>
      </x:c>
      <x:c r="P70" s="18" t="str">
        <x:v>https://www.thehansindia.com</x:v>
      </x:c>
      <x:c r="Q70" s="18" t="str">
        <x:v>DEFINED_TERMINAL_OR_FEED_SCOPE</x:v>
      </x:c>
      <x:c r="R70" s="18" t="str">
        <x:v>news_district_court_14d.json — published records loaded</x:v>
      </x:c>
      <x:c r="S70" s="18" t="str"/>
      <x:c r="T70" s="18" t="str"/>
      <x:c r="U70" s="20" t="n">
        <x:v>63</x:v>
      </x:c>
      <x:c r="V70" s="19" t="n">
        <x:f>IFERROR(TODAY()-DATEVALUE(C70),"")</x:f>
        <x:v>1</x:v>
      </x:c>
      <x:c r="W70" s="21" t="n">
        <x:f>ROUND(COUNTA(A70:K70)/11*100,0)</x:f>
        <x:v>100</x:v>
      </x:c>
      <x:c r="X70" s="18" t="str">
        <x:v>Google News RSS</x:v>
      </x:c>
      <x:c r="Y70" s="22" t="str">
        <x:v>https://news.google.com/rss/articles/CBMixgFBVV95cUxPOThyTlZWS3lBUVB4UGxPNFlaVXBrLXBxVFd4UUV6Z3NhVlBMbFIxTXlEeDZ6SUh5S09HQlUxcHcyRjl2TzBVQUEwbnJIaHdJYzZSVmRyYzFFZmNubk1ubEJNbXdfSVNtelpMOUw3RVJibV9QWDlfVE9NMXJxSnAyRDdhRWsySHpzWTUxMXJXY1pGbVZUdFhqdG9NLWtCUDJkZ2Iyd3NvZ2ctY0NvZjR2NnNxejRJTllkRUg2RV9rdzZuRUtHdnc?oc=5</x:v>
      </x:c>
      <x:c r="Z70" s="18" t="n">
        <x:v>46274.470046296294</x:v>
      </x:c>
      <x:c r="AA70" s="18" t="n">
        <x:v>46275.38862103009</x:v>
      </x:c>
      <x:c r="AB70" s="18" t="str">
        <x:v>public_rss</x:v>
      </x:c>
      <x:c r="AC70" s="18" t="str">
        <x:v>READY</x:v>
      </x:c>
    </x:row>
    <x:row r="71">
      <x:c r="A71" s="18" t="str">
        <x:v>NYT-40-5f668ecf984f08a9</x:v>
      </x:c>
      <x:c r="B71" s="18" t="str">
        <x:v>Why Indian-Origin Gurmeet Singh Lost His US Citizenship 15 Years After Brutal New York Rape Conviction - latestly.com</x:v>
      </x:c>
      <x:c r="C71" s="18" t="str">
        <x:v>2026-09-01</x:v>
      </x:c>
      <x:c r="D71" s="18" t="n">
        <x:v>2026</x:v>
      </x:c>
      <x:c r="E71" s="18" t="str">
        <x:v>2026-09</x:v>
      </x:c>
      <x:c r="F71" s="18" t="str"/>
      <x:c r="G71" s="18" t="str">
        <x:v>India district court order judgment</x:v>
      </x:c>
      <x:c r="H71" s="18" t="str"/>
      <x:c r="I71" s="18" t="str">
        <x:v>latestly.com</x:v>
      </x:c>
      <x:c r="J71" s="20" t="str"/>
      <x:c r="K71" s="18" t="str"/>
      <x:c r="L71" s="18" t="str">
        <x:v>Why Indian-Origin Gurmeet Singh Lost His US Citizenship 15 Years After Brutal New York Rape Conviction - latestly.com</x:v>
      </x:c>
      <x:c r="M71" s="18" t="str">
        <x:v>latestly.com</x:v>
      </x:c>
      <x:c r="N71" s="18" t="str">
        <x:v>India district court order judgment</x:v>
      </x:c>
      <x:c r="O71" s="18" t="n">
        <x:v>46266.40961805556</x:v>
      </x:c>
      <x:c r="P71" s="18" t="str">
        <x:v>https://www.latestly.com</x:v>
      </x:c>
      <x:c r="Q71" s="18" t="str">
        <x:v>DEFINED_TERMINAL_OR_FEED_SCOPE</x:v>
      </x:c>
      <x:c r="R71" s="18" t="str">
        <x:v>news_district_court_14d.json — published records loaded</x:v>
      </x:c>
      <x:c r="S71" s="18" t="str"/>
      <x:c r="T71" s="18" t="str"/>
      <x:c r="U71" s="20" t="n">
        <x:v>63</x:v>
      </x:c>
      <x:c r="V71" s="19" t="n">
        <x:f>IFERROR(TODAY()-DATEVALUE(C71),"")</x:f>
        <x:v>9</x:v>
      </x:c>
      <x:c r="W71" s="21" t="n">
        <x:f>ROUND(COUNTA(A71:K71)/11*100,0)</x:f>
        <x:v>100</x:v>
      </x:c>
      <x:c r="X71" s="18" t="str">
        <x:v>Google News RSS</x:v>
      </x:c>
      <x:c r="Y71" s="22" t="str">
        <x:v>https://news.google.com/rss/articles/CBMi5gFBVV95cUxQYzNzVXhyQURYaUFlZFgtT2pMM2pDeDNvSkhqQ2REUWU1Nk5nNGJUeXpUUnk0SG1fcFREVklRUDMwNmtLeUo3Z1NaR2M4aUk5U1dGa0xmUjZmM200SGp0cnFGM29zZzhjSkVKM0MwNnRVNTluU21kcUNocHllRzZtbzBrQzRvVUNuWDNEb3VkRk5WVjc5bEJZdVo5Unhlem0zVmJ0UGdVSHpoQUkxSEw4MnVNZ0U5ZDVOWk5iUWxGVlBjcFBHYWJEWm1xQmFwTFZTU2kyVVVoblBBcHNSVVl0eWl6YTdNZ9IB6wFBVV95cUxPMGViUVptYWNqM2tyMmRNSjJUYXoxdk9RYzcxaV9ZYW5yT3NFVWNRdkxLbVZQbmhJSkNwdk5CZXN5UXN0anU4YUl0RDcwS05JOGMtNDhnZ3B2TG1MMkYyVXZfNnpOa3BsT19RV3A2RDJxT0RPbXBHQ3puTVo4LVEzTFJVa21va3RBeW5nS28tQWxiRzViZ0Q3SFl1Vk5yUHlHVzVoRTh5ajBQTkFOVGxJVDBNdEh2VVAxR0d0eWkySjUySzQ4cmJaUVcwMDVJQm5NZnZQXzJyOThFZjFuX3k5OGdnVjZvSjhZS1dV?oc=5</x:v>
      </x:c>
      <x:c r="Z71" s="18" t="n">
        <x:v>46266.40961805556</x:v>
      </x:c>
      <x:c r="AA71" s="18" t="n">
        <x:v>46275.38862103009</x:v>
      </x:c>
      <x:c r="AB71" s="18" t="str">
        <x:v>public_rss</x:v>
      </x:c>
      <x:c r="AC71" s="18" t="str">
        <x:v>READY</x:v>
      </x:c>
    </x:row>
  </x:sheetData>
  <x:mergeCells>
    <x:mergeCell ref="A1:H1"/>
    <x:mergeCell ref="A2:H2"/>
  </x:mergeCells>
  <x:pageMargins left="0.7" right="0.7" top="0.75" bottom="0.75" header="0.3" footer="0.3"/>
  <x:drawing xmlns:r="http://schemas.openxmlformats.org/officeDocument/2006/relationships" r:id="Rc792b39fe12d4766"/>
  <x:tableParts count="1">
    <x:tablePart xmlns:r="http://schemas.openxmlformats.org/officeDocument/2006/relationships" r:id="Rb4cdb268f5ee4c32"/>
  </x:tableParts>
</x:worksheet>
</file>