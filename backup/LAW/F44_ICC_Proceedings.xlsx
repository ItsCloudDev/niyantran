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2f0884492f4914" /></Relationships>
</file>

<file path=xl/workbook.xml><?xml version="1.0" encoding="utf-8"?>
<x:workbook xmlns:x="http://schemas.openxmlformats.org/spreadsheetml/2006/main">
  <x:sheets>
    <x:sheet xmlns:r="http://schemas.openxmlformats.org/officeDocument/2006/relationships" name="F44 ICC Proceedings" sheetId="1" r:id="R4049b8f65c234da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e38e9df7bb4fac" /><Relationship Type="http://schemas.openxmlformats.org/officeDocument/2006/relationships/theme" Target="/xl/theme/theme1.xml" Id="R5ca1474d38c34ab4" /><Relationship Type="http://schemas.openxmlformats.org/officeDocument/2006/relationships/sharedStrings" Target="/xl/sharedStrings.xml" Id="Rf4e38e1cba7a459d" /><Relationship Type="http://schemas.openxmlformats.org/officeDocument/2006/relationships/worksheet" Target="/xl/worksheets/sheet1.xml" Id="R4049b8f65c234daf" /></Relationships>
</file>

<file path=xl/drawings/_rels/drawing1.xml.rels>&#65279;<?xml version="1.0" encoding="utf-8"?><Relationships xmlns="http://schemas.openxmlformats.org/package/2006/relationships"><Relationship Type="http://schemas.openxmlformats.org/officeDocument/2006/relationships/chart" Target="/xl/drawings/charts/chart1.xml" Id="R79a00d5a482c4487" /><Relationship Type="http://schemas.openxmlformats.org/officeDocument/2006/relationships/chart" Target="/xl/drawings/charts/chart2.xml" Id="R9426a78b40df47c8" /><Relationship Type="http://schemas.openxmlformats.org/officeDocument/2006/relationships/chart" Target="/xl/drawings/charts/chart3.xml" Id="Ra6d9cf049e3541d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Proceeding milestones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'F44 ICC Proceedings'!$AZ$3:$AZ$15</c:f>
              <c:strCache>
                <c:ptCount val="0"/>
              </c:strCache>
            </c:strRef>
          </c:cat>
          <c:val>
            <c:numRef>
              <c:f>'F44 ICC Proceedings'!$BA$3:$BA$15</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Situations by region and stage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'F44 ICC Proceedings'!$BC$3</c:f>
              <c:strCache>
                <c:ptCount val="0"/>
              </c:strCache>
            </c:strRef>
          </c:cat>
          <c:val>
            <c:numRef>
              <c:f>'F44 ICC Proceedings'!$BD$3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Defendant-charge-outcome matrix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'F44 ICC Proceedings'!$BF$3:$BF$14</c:f>
              <c:strCache>
                <c:ptCount val="0"/>
              </c:strCache>
            </c:strRef>
          </c:cat>
          <c:val>
            <c:numRef>
              <c:f>'F44 ICC Proceedings'!$BG$3:$BG$14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9a00d5a482c4487"/>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26a78b40df47c8"/>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d9cf049e3541d4"/>
        </a:graphicData>
      </a:graphic>
    </xdr:graphicFrame>
    <xdr:clientData/>
  </xdr:twoCellAnchor>
</xdr:wsDr>
</file>

<file path=xl/tables/table1.xml><?xml version="1.0" encoding="utf-8"?>
<x:table xmlns:x="http://schemas.openxmlformats.org/spreadsheetml/2006/main" id="1" name="T_law_44_clean_e4e375" displayName="T_law_44_clean_e4e375" ref="A8:AC61" headerRowCount="1" totalsRowCount="0" totalsRowShown="0">
  <x:tableColumns count="29">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title"/>
    <x:tableColumn id="13" name="publisher"/>
    <x:tableColumn id="14" name="query"/>
    <x:tableColumn id="15" name="published_at"/>
    <x:tableColumn id="16" name="publisher_url"/>
    <x:tableColumn id="17" name="coverage_status"/>
    <x:tableColumn id="18" name="coverage_scope"/>
    <x:tableColumn id="19" name="coverage_start"/>
    <x:tableColumn id="20" name="coverage_end"/>
    <x:tableColumn id="21" name="universe_count"/>
    <x:tableColumn id="22" name="record_age_days"/>
    <x:tableColumn id="23" name="record_completeness_pct"/>
    <x:tableColumn id="24" name="source_provider"/>
    <x:tableColumn id="25" name="source_url"/>
    <x:tableColumn id="26" name="source_published_at"/>
    <x:tableColumn id="27" name="source_retrieved_at"/>
    <x:tableColumn id="28" name="provenance"/>
    <x:tableColumn id="29"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d4e856b4fa24ce4" /><Relationship Type="http://schemas.openxmlformats.org/officeDocument/2006/relationships/table" Target="/xl/tables/table1.xml" Id="R50e1a30d8a4c42f2"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32" hidden="0" customWidth="1"/>
    <x:col min="13" max="13" width="15" hidden="0" customWidth="1"/>
    <x:col min="14" max="14" width="15" hidden="0" customWidth="1"/>
    <x:col min="15" max="15" width="15" hidden="0" customWidth="1"/>
    <x:col min="16" max="16" width="42"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8" hidden="0" customWidth="1"/>
    <x:col min="25" max="25" width="42" hidden="0" customWidth="1"/>
    <x:col min="26" max="26" width="15" hidden="0" customWidth="1"/>
    <x:col min="27" max="27" width="15" hidden="0" customWidth="1"/>
    <x:col min="28" max="28" width="15" hidden="0" customWidth="1"/>
    <x:col min="29" max="29" width="15" hidden="0" customWidth="1"/>
  </x:cols>
  <x:sheetData>
    <x:row r="1" ht="25" customHeight="1">
      <x:c r="A1" s="4" t="str">
        <x:v>ICC Proceedings</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53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2026-08-27</x:v>
      </x:c>
      <x:c r="BA3" s="18" t="n">
        <x:v>1</x:v>
      </x:c>
      <x:c r="BC3" s="18" t="str">
        <x:v>International Criminal Court proceeding</x:v>
      </x:c>
      <x:c r="BD3" s="18" t="n">
        <x:v>53</x:v>
      </x:c>
      <x:c r="BF3" s="18" t="str">
        <x:v>facebook.com</x:v>
      </x:c>
      <x:c r="BG3" s="18" t="n">
        <x:v>5</x:v>
      </x:c>
    </x:row>
    <x:row r="4">
      <x:c r="A4" s="9" t="str">
        <x:v>Records</x:v>
      </x:c>
      <x:c r="B4" s="10" t="n">
        <x:v>53</x:v>
      </x:c>
      <x:c r="C4" s="9" t="str">
        <x:v>Dated records</x:v>
      </x:c>
      <x:c r="D4" s="10" t="n">
        <x:v>53</x:v>
      </x:c>
      <x:c r="E4" s="9" t="str">
        <x:v>Sources</x:v>
      </x:c>
      <x:c r="F4" s="10" t="n">
        <x:v>1</x:v>
      </x:c>
      <x:c r="G4" s="9" t="str">
        <x:v>Freshest record</x:v>
      </x:c>
      <x:c r="H4" s="9" t="str">
        <x:v>2026-09-10</x:v>
      </x:c>
      <x:c r="AZ4" s="18" t="str">
        <x:v>2026-08-28</x:v>
      </x:c>
      <x:c r="BA4" s="18" t="n">
        <x:v>2</x:v>
      </x:c>
      <x:c r="BF4" s="18" t="str">
        <x:v>Britannica</x:v>
      </x:c>
      <x:c r="BG4" s="18" t="n">
        <x:v>4</x:v>
      </x:c>
    </x:row>
    <x:row r="5">
      <x:c r="AZ5" s="18" t="str">
        <x:v>2026-08-31</x:v>
      </x:c>
      <x:c r="BA5" s="18" t="n">
        <x:v>1</x:v>
      </x:c>
      <x:c r="BF5" s="18" t="str">
        <x:v>ABS-CBN</x:v>
      </x:c>
      <x:c r="BG5" s="18" t="n">
        <x:v>3</x:v>
      </x:c>
    </x:row>
    <x:row r="6">
      <x:c r="AZ6" s="18" t="str">
        <x:v>2026-09-01</x:v>
      </x:c>
      <x:c r="BA6" s="18" t="n">
        <x:v>1</x:v>
      </x:c>
      <x:c r="BF6" s="18" t="str">
        <x:v>Wansom AI</x:v>
      </x:c>
      <x:c r="BG6" s="18" t="n">
        <x:v>3</x:v>
      </x:c>
    </x:row>
    <x:row r="7">
      <x:c r="AZ7" s="18" t="str">
        <x:v>2026-09-02</x:v>
      </x:c>
      <x:c r="BA7" s="18" t="n">
        <x:v>5</x:v>
      </x:c>
      <x:c r="BF7" s="18" t="str">
        <x:v>Daily Tribune</x:v>
      </x:c>
      <x:c r="BG7" s="18" t="n">
        <x:v>3</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title</x:v>
      </x:c>
      <x:c r="M8" s="15" t="str">
        <x:v>publisher</x:v>
      </x:c>
      <x:c r="N8" s="15" t="str">
        <x:v>query</x:v>
      </x:c>
      <x:c r="O8" s="15" t="str">
        <x:v>published_at</x:v>
      </x:c>
      <x:c r="P8" s="15" t="str">
        <x:v>publisher_url</x:v>
      </x:c>
      <x:c r="Q8" s="15" t="str">
        <x:v>coverage_status</x:v>
      </x:c>
      <x:c r="R8" s="15" t="str">
        <x:v>coverage_scope</x:v>
      </x:c>
      <x:c r="S8" s="15" t="str">
        <x:v>coverage_start</x:v>
      </x:c>
      <x:c r="T8" s="15" t="str">
        <x:v>coverage_end</x:v>
      </x:c>
      <x:c r="U8" s="15" t="str">
        <x:v>universe_count</x:v>
      </x:c>
      <x:c r="V8" s="15" t="str">
        <x:v>record_age_days</x:v>
      </x:c>
      <x:c r="W8" s="15" t="str">
        <x:v>record_completeness_pct</x:v>
      </x:c>
      <x:c r="X8" s="15" t="str">
        <x:v>source_provider</x:v>
      </x:c>
      <x:c r="Y8" s="15" t="str">
        <x:v>source_url</x:v>
      </x:c>
      <x:c r="Z8" s="15" t="str">
        <x:v>source_published_at</x:v>
      </x:c>
      <x:c r="AA8" s="15" t="str">
        <x:v>source_retrieved_at</x:v>
      </x:c>
      <x:c r="AB8" s="15" t="str">
        <x:v>provenance</x:v>
      </x:c>
      <x:c r="AC8" s="15" t="str">
        <x:v>quality_status</x:v>
      </x:c>
      <x:c r="AZ8" s="18" t="str">
        <x:v>2026-09-03</x:v>
      </x:c>
      <x:c r="BA8" s="18" t="n">
        <x:v>5</x:v>
      </x:c>
      <x:c r="BF8" s="18" t="str">
        <x:v>Inquirer.net</x:v>
      </x:c>
      <x:c r="BG8" s="18" t="n">
        <x:v>2</x:v>
      </x:c>
    </x:row>
    <x:row r="9">
      <x:c r="A9" s="18" t="str">
        <x:v>NYT-44-26ec1591b8ed4526</x:v>
      </x:c>
      <x:c r="B9" s="18" t="str">
        <x:v>Hearing on reparations in the Abd-Al-Rahman case on 8 September 2026 – Practical Information - | International Criminal Court</x:v>
      </x:c>
      <x:c r="C9" s="18" t="str">
        <x:v>2026-08-28</x:v>
      </x:c>
      <x:c r="D9" s="18" t="n">
        <x:v>2026</x:v>
      </x:c>
      <x:c r="E9" s="18" t="str">
        <x:v>2026-08</x:v>
      </x:c>
      <x:c r="F9" s="18" t="str"/>
      <x:c r="G9" s="18" t="str">
        <x:v>International Criminal Court proceeding</x:v>
      </x:c>
      <x:c r="H9" s="18" t="str"/>
      <x:c r="I9" s="18" t="str">
        <x:v>| International Criminal Court</x:v>
      </x:c>
      <x:c r="J9" s="20" t="str"/>
      <x:c r="K9" s="18" t="str"/>
      <x:c r="L9" s="18" t="str">
        <x:v>Hearing on reparations in the Abd-Al-Rahman case on 8 September 2026 – Practical Information - | International Criminal Court</x:v>
      </x:c>
      <x:c r="M9" s="18" t="str">
        <x:v>| International Criminal Court</x:v>
      </x:c>
      <x:c r="N9" s="18" t="str">
        <x:v>International Criminal Court proceeding</x:v>
      </x:c>
      <x:c r="O9" s="18" t="n">
        <x:v>46262.291666666664</x:v>
      </x:c>
      <x:c r="P9" s="18" t="str">
        <x:v>https://www.icc-cpi.int</x:v>
      </x:c>
      <x:c r="Q9" s="18" t="str">
        <x:v>DEFINED_TERMINAL_OR_FEED_SCOPE</x:v>
      </x:c>
      <x:c r="R9" s="18" t="str">
        <x:v>news_icc_14d.json — published records loaded</x:v>
      </x:c>
      <x:c r="S9" s="18" t="str"/>
      <x:c r="T9" s="18" t="str"/>
      <x:c r="U9" s="20" t="n">
        <x:v>53</x:v>
      </x:c>
      <x:c r="V9" s="19" t="n">
        <x:f>IFERROR(TODAY()-DATEVALUE(C9),"")</x:f>
        <x:v>13</x:v>
      </x:c>
      <x:c r="W9" s="21" t="n">
        <x:f>ROUND(COUNTA(A9:K9)/11*100,0)</x:f>
        <x:v>100</x:v>
      </x:c>
      <x:c r="X9" s="18" t="str">
        <x:v>Google News RSS</x:v>
      </x:c>
      <x:c r="Y9" s="22" t="str">
        <x:v>https://news.google.com/rss/articles/CBMiqgFBVV95cUxOS1g5UjB2Qk44UHppU2VUNlhEVmVJN1NOeFNjajg3QkxtQ3NxUWhRVEc4NDdEdWp4bGNPUUJSdTdjLXNPelpWS3ZfSmFTS0tHTHRSZEhrMVFOel81aGtkaFdsSC1STk82YWI1R0trSVlxeDJfUjVDd2tWcTJRX1VyZzBoM3BoS0s4VUVLbjNHaXd4N0F2LWlYZUNpOXFtSkpmYVRyRmVEdVdRZw?oc=5</x:v>
      </x:c>
      <x:c r="Z9" s="18" t="n">
        <x:v>46262.291666666664</x:v>
      </x:c>
      <x:c r="AA9" s="18" t="n">
        <x:v>46275.38862103009</x:v>
      </x:c>
      <x:c r="AB9" s="18" t="str">
        <x:v>public_rss</x:v>
      </x:c>
      <x:c r="AC9" s="18" t="str">
        <x:v>READY</x:v>
      </x:c>
      <x:c r="AZ9" s="18" t="str">
        <x:v>2026-09-04</x:v>
      </x:c>
      <x:c r="BA9" s="18" t="n">
        <x:v>4</x:v>
      </x:c>
      <x:c r="BF9" s="18" t="str">
        <x:v>Rappler</x:v>
      </x:c>
      <x:c r="BG9" s="18" t="n">
        <x:v>2</x:v>
      </x:c>
    </x:row>
    <x:row r="10">
      <x:c r="A10" s="18" t="str">
        <x:v>NYT-44-e41b8acf25df4b48</x:v>
      </x:c>
      <x:c r="B10" s="18" t="str">
        <x:v>Watch the prosecution and defense lawyers speaking on the Katanga case at the International Criminal Court - Britannica</x:v>
      </x:c>
      <x:c r="C10" s="18" t="str">
        <x:v>2026-09-05</x:v>
      </x:c>
      <x:c r="D10" s="18" t="n">
        <x:v>2026</x:v>
      </x:c>
      <x:c r="E10" s="18" t="str">
        <x:v>2026-09</x:v>
      </x:c>
      <x:c r="F10" s="18" t="str"/>
      <x:c r="G10" s="18" t="str">
        <x:v>International Criminal Court proceeding</x:v>
      </x:c>
      <x:c r="H10" s="18" t="str"/>
      <x:c r="I10" s="18" t="str">
        <x:v>Britannica</x:v>
      </x:c>
      <x:c r="J10" s="20" t="str"/>
      <x:c r="K10" s="18" t="str"/>
      <x:c r="L10" s="18" t="str">
        <x:v>Watch the prosecution and defense lawyers speaking on the Katanga case at the International Criminal Court - Britannica</x:v>
      </x:c>
      <x:c r="M10" s="18" t="str">
        <x:v>Britannica</x:v>
      </x:c>
      <x:c r="N10" s="18" t="str">
        <x:v>International Criminal Court proceeding</x:v>
      </x:c>
      <x:c r="O10" s="18" t="n">
        <x:v>46270.208333333336</x:v>
      </x:c>
      <x:c r="P10" s="18" t="str">
        <x:v>https://www.britannica.com</x:v>
      </x:c>
      <x:c r="Q10" s="18" t="str">
        <x:v>DEFINED_TERMINAL_OR_FEED_SCOPE</x:v>
      </x:c>
      <x:c r="R10" s="18" t="str">
        <x:v>news_icc_14d.json — published records loaded</x:v>
      </x:c>
      <x:c r="S10" s="18" t="str"/>
      <x:c r="T10" s="18" t="str"/>
      <x:c r="U10" s="20" t="n">
        <x:v>53</x:v>
      </x:c>
      <x:c r="V10" s="19" t="n">
        <x:f>IFERROR(TODAY()-DATEVALUE(C10),"")</x:f>
        <x:v>5</x:v>
      </x:c>
      <x:c r="W10" s="21" t="n">
        <x:f>ROUND(COUNTA(A10:K10)/11*100,0)</x:f>
        <x:v>100</x:v>
      </x:c>
      <x:c r="X10" s="18" t="str">
        <x:v>Google News RSS</x:v>
      </x:c>
      <x:c r="Y10" s="22" t="str">
        <x:v>https://news.google.com/rss/articles/CBMipAFBVV95cUxQTUdHRjE0SzNZVVBkSGFMSXhzNXZSYmlzcU5PNWh0TVdyc2tSY3Zoa2lJME9icEgyckhIN3hySnQ1aWJTWnZSdjltTHRiVXo2T3lrRkVHdFdLTDZkenpTZXdwX21kTnJsZjdoMkpmQlJrcVVtZmV5aWZDVHYyU1dXMFJEX21vT0lZby1xS2o1cEdodW54cG1WbWlpU1hmSWJMRTg5dA?oc=5</x:v>
      </x:c>
      <x:c r="Z10" s="18" t="n">
        <x:v>46270.208333333336</x:v>
      </x:c>
      <x:c r="AA10" s="18" t="n">
        <x:v>46275.38862103009</x:v>
      </x:c>
      <x:c r="AB10" s="18" t="str">
        <x:v>public_rss</x:v>
      </x:c>
      <x:c r="AC10" s="18" t="str">
        <x:v>READY</x:v>
      </x:c>
      <x:c r="AZ10" s="18" t="str">
        <x:v>2026-09-05</x:v>
      </x:c>
      <x:c r="BA10" s="18" t="n">
        <x:v>4</x:v>
      </x:c>
      <x:c r="BF10" s="18" t="str">
        <x:v>Manila Bulletin</x:v>
      </x:c>
      <x:c r="BG10" s="18" t="n">
        <x:v>2</x:v>
      </x:c>
    </x:row>
    <x:row r="11">
      <x:c r="A11" s="18" t="str">
        <x:v>NYT-44-fa95e2f9455e672d</x:v>
      </x:c>
      <x:c r="B11" s="18" t="str">
        <x:v>Crime Without Punishment: How Corrective Rape Escapes Law - SCC Online</x:v>
      </x:c>
      <x:c r="C11" s="18" t="str">
        <x:v>2026-09-02</x:v>
      </x:c>
      <x:c r="D11" s="18" t="n">
        <x:v>2026</x:v>
      </x:c>
      <x:c r="E11" s="18" t="str">
        <x:v>2026-09</x:v>
      </x:c>
      <x:c r="F11" s="18" t="str"/>
      <x:c r="G11" s="18" t="str">
        <x:v>International Criminal Court proceeding</x:v>
      </x:c>
      <x:c r="H11" s="18" t="str"/>
      <x:c r="I11" s="18" t="str">
        <x:v>SCC Online</x:v>
      </x:c>
      <x:c r="J11" s="20" t="str"/>
      <x:c r="K11" s="18" t="str"/>
      <x:c r="L11" s="18" t="str">
        <x:v>Crime Without Punishment: How Corrective Rape Escapes Law - SCC Online</x:v>
      </x:c>
      <x:c r="M11" s="18" t="str">
        <x:v>SCC Online</x:v>
      </x:c>
      <x:c r="N11" s="18" t="str">
        <x:v>International Criminal Court proceeding</x:v>
      </x:c>
      <x:c r="O11" s="18" t="n">
        <x:v>46267.14585648148</x:v>
      </x:c>
      <x:c r="P11" s="18" t="str">
        <x:v>https://www.scconline.com</x:v>
      </x:c>
      <x:c r="Q11" s="18" t="str">
        <x:v>DEFINED_TERMINAL_OR_FEED_SCOPE</x:v>
      </x:c>
      <x:c r="R11" s="18" t="str">
        <x:v>news_icc_14d.json — published records loaded</x:v>
      </x:c>
      <x:c r="S11" s="18" t="str"/>
      <x:c r="T11" s="18" t="str"/>
      <x:c r="U11" s="20" t="n">
        <x:v>53</x:v>
      </x:c>
      <x:c r="V11" s="19" t="n">
        <x:f>IFERROR(TODAY()-DATEVALUE(C11),"")</x:f>
        <x:v>8</x:v>
      </x:c>
      <x:c r="W11" s="21" t="n">
        <x:f>ROUND(COUNTA(A11:K11)/11*100,0)</x:f>
        <x:v>100</x:v>
      </x:c>
      <x:c r="X11" s="18" t="str">
        <x:v>Google News RSS</x:v>
      </x:c>
      <x:c r="Y11" s="22" t="str">
        <x:v>https://news.google.com/rss/articles/CBMitAFBVV95cUxPcHJpcW5tX0pfeTdPMU9GRlEtNkNiUWFGWlR2b2hZRUJ1VGEwV09XckRfOHE0VGgtbXBkRmx1OS1tOVhzSm5jWklPVE10UTBLN21zN0dleC1jNUczWHBDUFBRcENHLXE4d2R2RjhTLVNRTkpVT2NvN1BvNFJzd2tWMkdYd2Fobmw4YUdXNVRQNFBGZENCMVJQdHpSMFM1YVdyMjdCeWR6UnB1Z0ZPaUE0anNOb2c?oc=5</x:v>
      </x:c>
      <x:c r="Z11" s="18" t="n">
        <x:v>46267.14585648148</x:v>
      </x:c>
      <x:c r="AA11" s="18" t="n">
        <x:v>46275.38862103009</x:v>
      </x:c>
      <x:c r="AB11" s="18" t="str">
        <x:v>public_rss</x:v>
      </x:c>
      <x:c r="AC11" s="18" t="str">
        <x:v>READY</x:v>
      </x:c>
      <x:c r="AZ11" s="18" t="str">
        <x:v>2026-09-06</x:v>
      </x:c>
      <x:c r="BA11" s="18" t="n">
        <x:v>6</x:v>
      </x:c>
      <x:c r="BF11" s="18" t="str">
        <x:v>| International Criminal Court</x:v>
      </x:c>
      <x:c r="BG11" s="18" t="n">
        <x:v>1</x:v>
      </x:c>
    </x:row>
    <x:row r="12">
      <x:c r="A12" s="18" t="str">
        <x:v>NYT-44-46cd6bbcd0daeb13</x:v>
      </x:c>
      <x:c r="B12" s="18" t="str">
        <x:v>How the Trump Administration’s ICC sanctions reveal the power of international law - The Conversation</x:v>
      </x:c>
      <x:c r="C12" s="18" t="str">
        <x:v>2026-08-31</x:v>
      </x:c>
      <x:c r="D12" s="18" t="n">
        <x:v>2026</x:v>
      </x:c>
      <x:c r="E12" s="18" t="str">
        <x:v>2026-08</x:v>
      </x:c>
      <x:c r="F12" s="18" t="str"/>
      <x:c r="G12" s="18" t="str">
        <x:v>International Criminal Court proceeding</x:v>
      </x:c>
      <x:c r="H12" s="18" t="str"/>
      <x:c r="I12" s="18" t="str">
        <x:v>The Conversation</x:v>
      </x:c>
      <x:c r="J12" s="20" t="str"/>
      <x:c r="K12" s="18" t="str"/>
      <x:c r="L12" s="18" t="str">
        <x:v>How the Trump Administration’s ICC sanctions reveal the power of international law - The Conversation</x:v>
      </x:c>
      <x:c r="M12" s="18" t="str">
        <x:v>The Conversation</x:v>
      </x:c>
      <x:c r="N12" s="18" t="str">
        <x:v>International Criminal Court proceeding</x:v>
      </x:c>
      <x:c r="O12" s="18" t="n">
        <x:v>46265.291666666664</x:v>
      </x:c>
      <x:c r="P12" s="18" t="str">
        <x:v>https://theconversation.com</x:v>
      </x:c>
      <x:c r="Q12" s="18" t="str">
        <x:v>DEFINED_TERMINAL_OR_FEED_SCOPE</x:v>
      </x:c>
      <x:c r="R12" s="18" t="str">
        <x:v>news_icc_14d.json — published records loaded</x:v>
      </x:c>
      <x:c r="S12" s="18" t="str"/>
      <x:c r="T12" s="18" t="str"/>
      <x:c r="U12" s="20" t="n">
        <x:v>53</x:v>
      </x:c>
      <x:c r="V12" s="19" t="n">
        <x:f>IFERROR(TODAY()-DATEVALUE(C12),"")</x:f>
        <x:v>10</x:v>
      </x:c>
      <x:c r="W12" s="21" t="n">
        <x:f>ROUND(COUNTA(A12:K12)/11*100,0)</x:f>
        <x:v>100</x:v>
      </x:c>
      <x:c r="X12" s="18" t="str">
        <x:v>Google News RSS</x:v>
      </x:c>
      <x:c r="Y12" s="22" t="str">
        <x:v>https://news.google.com/rss/articles/CBMitwFBVV95cUxPT1NSbkJZVUI5Z3pRWG1lUFltQWNDVnVFemdPejQ1WmtNbmhfdjVCVmxfUmFhLTE0OXBXQzd6N0N5bjlXdE84UzRXR2ZkTDJ5N0xFbTRKcVpNWldWWlhybU5pcjJpemtHVURSdjZPVVF4Ui1GNFlLMmF0MVc0dHVINFJ0MVVLeFJkSDFpSEMzYWQ3NWdfb214cE1BTFlKWFNoMjRrcWJqMHY1V0gzcGp5SDRZNW80VEE?oc=5</x:v>
      </x:c>
      <x:c r="Z12" s="18" t="n">
        <x:v>46265.291666666664</x:v>
      </x:c>
      <x:c r="AA12" s="18" t="n">
        <x:v>46275.38862103009</x:v>
      </x:c>
      <x:c r="AB12" s="18" t="str">
        <x:v>public_rss</x:v>
      </x:c>
      <x:c r="AC12" s="18" t="str">
        <x:v>READY</x:v>
      </x:c>
      <x:c r="AZ12" s="18" t="str">
        <x:v>2026-09-07</x:v>
      </x:c>
      <x:c r="BA12" s="18" t="n">
        <x:v>10</x:v>
      </x:c>
      <x:c r="BF12" s="18" t="str">
        <x:v>SCC Online</x:v>
      </x:c>
      <x:c r="BG12" s="18" t="n">
        <x:v>1</x:v>
      </x:c>
    </x:row>
    <x:row r="13">
      <x:c r="A13" s="18" t="str">
        <x:v>NYT-44-f2ad058ee2ab8948</x:v>
      </x:c>
      <x:c r="B13" s="18" t="str">
        <x:v>Hear about the formation, functions, and limitations of the International Criminal Court - Britannica</x:v>
      </x:c>
      <x:c r="C13" s="18" t="str">
        <x:v>2026-09-05</x:v>
      </x:c>
      <x:c r="D13" s="18" t="n">
        <x:v>2026</x:v>
      </x:c>
      <x:c r="E13" s="18" t="str">
        <x:v>2026-09</x:v>
      </x:c>
      <x:c r="F13" s="18" t="str"/>
      <x:c r="G13" s="18" t="str">
        <x:v>International Criminal Court proceeding</x:v>
      </x:c>
      <x:c r="H13" s="18" t="str"/>
      <x:c r="I13" s="18" t="str">
        <x:v>Britannica</x:v>
      </x:c>
      <x:c r="J13" s="20" t="str"/>
      <x:c r="K13" s="18" t="str"/>
      <x:c r="L13" s="18" t="str">
        <x:v>Hear about the formation, functions, and limitations of the International Criminal Court - Britannica</x:v>
      </x:c>
      <x:c r="M13" s="18" t="str">
        <x:v>Britannica</x:v>
      </x:c>
      <x:c r="N13" s="18" t="str">
        <x:v>International Criminal Court proceeding</x:v>
      </x:c>
      <x:c r="O13" s="18" t="n">
        <x:v>46270.208333333336</x:v>
      </x:c>
      <x:c r="P13" s="18" t="str">
        <x:v>https://www.britannica.com</x:v>
      </x:c>
      <x:c r="Q13" s="18" t="str">
        <x:v>DEFINED_TERMINAL_OR_FEED_SCOPE</x:v>
      </x:c>
      <x:c r="R13" s="18" t="str">
        <x:v>news_icc_14d.json — published records loaded</x:v>
      </x:c>
      <x:c r="S13" s="18" t="str"/>
      <x:c r="T13" s="18" t="str"/>
      <x:c r="U13" s="20" t="n">
        <x:v>53</x:v>
      </x:c>
      <x:c r="V13" s="19" t="n">
        <x:f>IFERROR(TODAY()-DATEVALUE(C13),"")</x:f>
        <x:v>5</x:v>
      </x:c>
      <x:c r="W13" s="21" t="n">
        <x:f>ROUND(COUNTA(A13:K13)/11*100,0)</x:f>
        <x:v>100</x:v>
      </x:c>
      <x:c r="X13" s="18" t="str">
        <x:v>Google News RSS</x:v>
      </x:c>
      <x:c r="Y13" s="22" t="str">
        <x:v>https://news.google.com/rss/articles/CBMieEFVX3lxTFAxNzlVWlZGaHNJMGF1VllDNDYxMkl6VHRqVXNwRXFlMS1HamNSQ0dpOFA1a3RoWXdmZHp0UmRRcGJucnJwYXpnYlB5c1pBQTFxSnNQVEg3M2E0c0xHM1RUR2JQZ1Y4R1lMYVp0OUlEU21XRVhFM0UzRg?oc=5</x:v>
      </x:c>
      <x:c r="Z13" s="18" t="n">
        <x:v>46270.208333333336</x:v>
      </x:c>
      <x:c r="AA13" s="18" t="n">
        <x:v>46275.38862103009</x:v>
      </x:c>
      <x:c r="AB13" s="18" t="str">
        <x:v>public_rss</x:v>
      </x:c>
      <x:c r="AC13" s="18" t="str">
        <x:v>READY</x:v>
      </x:c>
      <x:c r="AZ13" s="18" t="str">
        <x:v>2026-09-08</x:v>
      </x:c>
      <x:c r="BA13" s="18" t="n">
        <x:v>10</x:v>
      </x:c>
      <x:c r="BF13" s="18" t="str">
        <x:v>The Conversation</x:v>
      </x:c>
      <x:c r="BG13" s="18" t="n">
        <x:v>1</x:v>
      </x:c>
    </x:row>
    <x:row r="14">
      <x:c r="A14" s="18" t="str">
        <x:v>NYT-44-fc79141bb9edfb6f</x:v>
      </x:c>
      <x:c r="B14" s="18" t="str">
        <x:v>A New Genocide Convention Case in the ICJ: DRC v Rwanda Version 3.0 - Opinio Juris</x:v>
      </x:c>
      <x:c r="C14" s="18" t="str">
        <x:v>2026-09-07</x:v>
      </x:c>
      <x:c r="D14" s="18" t="n">
        <x:v>2026</x:v>
      </x:c>
      <x:c r="E14" s="18" t="str">
        <x:v>2026-09</x:v>
      </x:c>
      <x:c r="F14" s="18" t="str"/>
      <x:c r="G14" s="18" t="str">
        <x:v>International Criminal Court proceeding</x:v>
      </x:c>
      <x:c r="H14" s="18" t="str"/>
      <x:c r="I14" s="18" t="str">
        <x:v>Opinio Juris</x:v>
      </x:c>
      <x:c r="J14" s="20" t="str"/>
      <x:c r="K14" s="18" t="str"/>
      <x:c r="L14" s="18" t="str">
        <x:v>A New Genocide Convention Case in the ICJ: DRC v Rwanda Version 3.0 - Opinio Juris</x:v>
      </x:c>
      <x:c r="M14" s="18" t="str">
        <x:v>Opinio Juris</x:v>
      </x:c>
      <x:c r="N14" s="18" t="str">
        <x:v>International Criminal Court proceeding</x:v>
      </x:c>
      <x:c r="O14" s="18" t="n">
        <x:v>46272.50298611111</x:v>
      </x:c>
      <x:c r="P14" s="18" t="str">
        <x:v>https://opiniojuris.org</x:v>
      </x:c>
      <x:c r="Q14" s="18" t="str">
        <x:v>DEFINED_TERMINAL_OR_FEED_SCOPE</x:v>
      </x:c>
      <x:c r="R14" s="18" t="str">
        <x:v>news_icc_14d.json — published records loaded</x:v>
      </x:c>
      <x:c r="S14" s="18" t="str"/>
      <x:c r="T14" s="18" t="str"/>
      <x:c r="U14" s="20" t="n">
        <x:v>53</x:v>
      </x:c>
      <x:c r="V14" s="19" t="n">
        <x:f>IFERROR(TODAY()-DATEVALUE(C14),"")</x:f>
        <x:v>3</x:v>
      </x:c>
      <x:c r="W14" s="21" t="n">
        <x:f>ROUND(COUNTA(A14:K14)/11*100,0)</x:f>
        <x:v>100</x:v>
      </x:c>
      <x:c r="X14" s="18" t="str">
        <x:v>Google News RSS</x:v>
      </x:c>
      <x:c r="Y14" s="22" t="str">
        <x:v>https://news.google.com/rss/articles/CBMipAFBVV95cUxORThyTDcyT2p3UWVFZ2hiZFBBRTdoZmRaV0NyZmF2akM3MVd1bWRiS2trMkFUWHk3WTJfZlRFZFI1S2I0blJNMmM0VWxLZmtiM0J0dmVEelM0YVlLS3hPaWM0NXYwM1hpRFJXU3VrcFo4Wk83OVdfZzdhOXRlbGVTVUVwb0FGdHBaZXM0cGxyQmQ0MVdWa1BjUFhTcUVFYzJrbmg1LQ?oc=5</x:v>
      </x:c>
      <x:c r="Z14" s="18" t="n">
        <x:v>46272.50298611111</x:v>
      </x:c>
      <x:c r="AA14" s="18" t="n">
        <x:v>46275.38862103009</x:v>
      </x:c>
      <x:c r="AB14" s="18" t="str">
        <x:v>public_rss</x:v>
      </x:c>
      <x:c r="AC14" s="18" t="str">
        <x:v>READY</x:v>
      </x:c>
      <x:c r="AZ14" s="18" t="str">
        <x:v>2026-09-09</x:v>
      </x:c>
      <x:c r="BA14" s="18" t="n">
        <x:v>1</x:v>
      </x:c>
      <x:c r="BF14" s="18" t="str">
        <x:v>Opinio Juris</x:v>
      </x:c>
      <x:c r="BG14" s="18" t="n">
        <x:v>1</x:v>
      </x:c>
    </x:row>
    <x:row r="15">
      <x:c r="A15" s="18" t="str">
        <x:v>NYT-44-a075ba9bf2930825</x:v>
      </x:c>
      <x:c r="B15" s="18" t="str">
        <x:v>ICC chief prosecutor suspended amid sexual misconduct allegations - Euronews.com</x:v>
      </x:c>
      <x:c r="C15" s="18" t="str">
        <x:v>2026-09-06</x:v>
      </x:c>
      <x:c r="D15" s="18" t="n">
        <x:v>2026</x:v>
      </x:c>
      <x:c r="E15" s="18" t="str">
        <x:v>2026-09</x:v>
      </x:c>
      <x:c r="F15" s="18" t="str"/>
      <x:c r="G15" s="18" t="str">
        <x:v>International Criminal Court proceeding</x:v>
      </x:c>
      <x:c r="H15" s="18" t="str"/>
      <x:c r="I15" s="18" t="str">
        <x:v>Euronews.com</x:v>
      </x:c>
      <x:c r="J15" s="20" t="str"/>
      <x:c r="K15" s="18" t="str"/>
      <x:c r="L15" s="18" t="str">
        <x:v>ICC chief prosecutor suspended amid sexual misconduct allegations - Euronews.com</x:v>
      </x:c>
      <x:c r="M15" s="18" t="str">
        <x:v>Euronews.com</x:v>
      </x:c>
      <x:c r="N15" s="18" t="str">
        <x:v>International Criminal Court proceeding</x:v>
      </x:c>
      <x:c r="O15" s="18" t="n">
        <x:v>46271.14375</x:v>
      </x:c>
      <x:c r="P15" s="18" t="str">
        <x:v>https://www.euronews.com</x:v>
      </x:c>
      <x:c r="Q15" s="18" t="str">
        <x:v>DEFINED_TERMINAL_OR_FEED_SCOPE</x:v>
      </x:c>
      <x:c r="R15" s="18" t="str">
        <x:v>news_icc_14d.json — published records loaded</x:v>
      </x:c>
      <x:c r="S15" s="18" t="str"/>
      <x:c r="T15" s="18" t="str"/>
      <x:c r="U15" s="20" t="n">
        <x:v>53</x:v>
      </x:c>
      <x:c r="V15" s="19" t="n">
        <x:f>IFERROR(TODAY()-DATEVALUE(C15),"")</x:f>
        <x:v>4</x:v>
      </x:c>
      <x:c r="W15" s="21" t="n">
        <x:f>ROUND(COUNTA(A15:K15)/11*100,0)</x:f>
        <x:v>100</x:v>
      </x:c>
      <x:c r="X15" s="18" t="str">
        <x:v>Google News RSS</x:v>
      </x:c>
      <x:c r="Y15" s="22" t="str">
        <x:v>https://news.google.com/rss/articles/CBMiyAFBVV95cUxPRW9kRkU4elhBbEEwVzZNQ3J5cERZaWFRZzBma2xfNkxFcmxHc1NURW4xRjdmQUthM2lyci1wU3VxdE1HeHM2WEtPLURzaTNva0JLckx1SFdBVklYTXU2WE9EM0YxN1ZObXJEZ2FENExSemdob003MFFESmpOUC1pMWc1Um9BTi1FS1ItbV9Kc2JSSVpFM08tMXVlNFQ0RzRrZGZFaklfRW9oOEVtTW0yNzl3eTkxSWdSRFpJMENkSDJxajBCZHBXNQ?oc=5</x:v>
      </x:c>
      <x:c r="Z15" s="18" t="n">
        <x:v>46271.14375</x:v>
      </x:c>
      <x:c r="AA15" s="18" t="n">
        <x:v>46275.38862103009</x:v>
      </x:c>
      <x:c r="AB15" s="18" t="str">
        <x:v>public_rss</x:v>
      </x:c>
      <x:c r="AC15" s="18" t="str">
        <x:v>READY</x:v>
      </x:c>
      <x:c r="AZ15" s="18" t="str">
        <x:v>2026-09-10</x:v>
      </x:c>
      <x:c r="BA15" s="18" t="n">
        <x:v>3</x:v>
      </x:c>
    </x:row>
    <x:row r="16">
      <x:c r="A16" s="18" t="str">
        <x:v>NYT-44-e74fcbf29caa67e1</x:v>
      </x:c>
      <x:c r="B16" s="18" t="str">
        <x:v>International criminal court should be supported not disparaged - The Financial Express</x:v>
      </x:c>
      <x:c r="C16" s="18" t="str">
        <x:v>2026-09-06</x:v>
      </x:c>
      <x:c r="D16" s="18" t="n">
        <x:v>2026</x:v>
      </x:c>
      <x:c r="E16" s="18" t="str">
        <x:v>2026-09</x:v>
      </x:c>
      <x:c r="F16" s="18" t="str"/>
      <x:c r="G16" s="18" t="str">
        <x:v>International Criminal Court proceeding</x:v>
      </x:c>
      <x:c r="H16" s="18" t="str"/>
      <x:c r="I16" s="18" t="str">
        <x:v>The Financial Express</x:v>
      </x:c>
      <x:c r="J16" s="20" t="str"/>
      <x:c r="K16" s="18" t="str"/>
      <x:c r="L16" s="18" t="str">
        <x:v>International criminal court should be supported not disparaged - The Financial Express</x:v>
      </x:c>
      <x:c r="M16" s="18" t="str">
        <x:v>The Financial Express</x:v>
      </x:c>
      <x:c r="N16" s="18" t="str">
        <x:v>International Criminal Court proceeding</x:v>
      </x:c>
      <x:c r="O16" s="18" t="n">
        <x:v>46271.761099537034</x:v>
      </x:c>
      <x:c r="P16" s="18" t="str">
        <x:v>https://thefinancialexpress.com.bd</x:v>
      </x:c>
      <x:c r="Q16" s="18" t="str">
        <x:v>DEFINED_TERMINAL_OR_FEED_SCOPE</x:v>
      </x:c>
      <x:c r="R16" s="18" t="str">
        <x:v>news_icc_14d.json — published records loaded</x:v>
      </x:c>
      <x:c r="S16" s="18" t="str"/>
      <x:c r="T16" s="18" t="str"/>
      <x:c r="U16" s="20" t="n">
        <x:v>53</x:v>
      </x:c>
      <x:c r="V16" s="19" t="n">
        <x:f>IFERROR(TODAY()-DATEVALUE(C16),"")</x:f>
        <x:v>4</x:v>
      </x:c>
      <x:c r="W16" s="21" t="n">
        <x:f>ROUND(COUNTA(A16:K16)/11*100,0)</x:f>
        <x:v>100</x:v>
      </x:c>
      <x:c r="X16" s="18" t="str">
        <x:v>Google News RSS</x:v>
      </x:c>
      <x:c r="Y16" s="22" t="str">
        <x:v>https://news.google.com/rss/articles/CBMipwFBVV95cUxNaDF5S2lnQnNIZFZHTFdpVGd0cThmTWRjWkFKNVJ5VzA3UzlNT2IyTEpyYkptWV9TRHFhT1lOaUpYNjlOVXJPdEdLRlotQ0RMMGhzQWtCSEpfUmxEYzBPNVBwdlNZQWRZY3Q5QnZaNDVYMkpwcVhvaFRrdjdudDA5Rm84a2tKR2J2M0cxV3FVX3ZfbGE0cWNLZGVRc0tENzh5YWJhUUZsYw?oc=5</x:v>
      </x:c>
      <x:c r="Z16" s="18" t="n">
        <x:v>46271.761099537034</x:v>
      </x:c>
      <x:c r="AA16" s="18" t="n">
        <x:v>46275.38862103009</x:v>
      </x:c>
      <x:c r="AB16" s="18" t="str">
        <x:v>public_rss</x:v>
      </x:c>
      <x:c r="AC16" s="18" t="str">
        <x:v>READY</x:v>
      </x:c>
    </x:row>
    <x:row r="17">
      <x:c r="A17" s="18" t="str">
        <x:v>NYT-44-032f41e075f3af17</x:v>
      </x:c>
      <x:c r="B17" s="18" t="str">
        <x:v>Germany seeks to quash Gaza genocide case at top UN court - The New Arab</x:v>
      </x:c>
      <x:c r="C17" s="18" t="str">
        <x:v>2026-09-07</x:v>
      </x:c>
      <x:c r="D17" s="18" t="n">
        <x:v>2026</x:v>
      </x:c>
      <x:c r="E17" s="18" t="str">
        <x:v>2026-09</x:v>
      </x:c>
      <x:c r="F17" s="18" t="str"/>
      <x:c r="G17" s="18" t="str">
        <x:v>International Criminal Court proceeding</x:v>
      </x:c>
      <x:c r="H17" s="18" t="str"/>
      <x:c r="I17" s="18" t="str">
        <x:v>The New Arab</x:v>
      </x:c>
      <x:c r="J17" s="20" t="str"/>
      <x:c r="K17" s="18" t="str"/>
      <x:c r="L17" s="18" t="str">
        <x:v>Germany seeks to quash Gaza genocide case at top UN court - The New Arab</x:v>
      </x:c>
      <x:c r="M17" s="18" t="str">
        <x:v>The New Arab</x:v>
      </x:c>
      <x:c r="N17" s="18" t="str">
        <x:v>International Criminal Court proceeding</x:v>
      </x:c>
      <x:c r="O17" s="18" t="n">
        <x:v>46272.36746527778</x:v>
      </x:c>
      <x:c r="P17" s="18" t="str">
        <x:v>https://www.newarab.com</x:v>
      </x:c>
      <x:c r="Q17" s="18" t="str">
        <x:v>DEFINED_TERMINAL_OR_FEED_SCOPE</x:v>
      </x:c>
      <x:c r="R17" s="18" t="str">
        <x:v>news_icc_14d.json — published records loaded</x:v>
      </x:c>
      <x:c r="S17" s="18" t="str"/>
      <x:c r="T17" s="18" t="str"/>
      <x:c r="U17" s="20" t="n">
        <x:v>53</x:v>
      </x:c>
      <x:c r="V17" s="19" t="n">
        <x:f>IFERROR(TODAY()-DATEVALUE(C17),"")</x:f>
        <x:v>3</x:v>
      </x:c>
      <x:c r="W17" s="21" t="n">
        <x:f>ROUND(COUNTA(A17:K17)/11*100,0)</x:f>
        <x:v>100</x:v>
      </x:c>
      <x:c r="X17" s="18" t="str">
        <x:v>Google News RSS</x:v>
      </x:c>
      <x:c r="Y17" s="22" t="str">
        <x:v>https://news.google.com/rss/articles/CBMihwFBVV95cUxPZk5HLXFZRGNhUm81dzJZdXpCZzIxWHQ5ajJJTWJObFpMU0JxMU9Gd1Q5ZVlQRzJ6NHNMM1cwZ2FGZHg5d2FUdkhlYUpvMmJtdFFsUG5tV3ZlUGI3bEw5Um9jRVpOOWVnVmR0WktLVGhibVZDNmRTVGZlb1JKZXlHTzA5Y1h4R1nSAYwBQVVfeXFMT01Bc0MtcW1Lb0ZBdFhpZmljV09wTDlhcFJUWG9YRm51MHNNU2NGRzZhRU1MZmxLXy00c2E0aWpzLW9zbFZXX0FXMFVhTVlvQTdNLXp6TVFZcVhsUE8wbVNFRW01dUExd2YxQzM1VmVQTlV2eGVhTXdpVEo5ZTNaZk83N3RNNUdLako0YXY?oc=5</x:v>
      </x:c>
      <x:c r="Z17" s="18" t="n">
        <x:v>46272.36746527778</x:v>
      </x:c>
      <x:c r="AA17" s="18" t="n">
        <x:v>46275.38862103009</x:v>
      </x:c>
      <x:c r="AB17" s="18" t="str">
        <x:v>public_rss</x:v>
      </x:c>
      <x:c r="AC17" s="18" t="str">
        <x:v>READY</x:v>
      </x:c>
    </x:row>
    <x:row r="18">
      <x:c r="A18" s="18" t="str">
        <x:v>NYT-44-a703436cbd6e09ed</x:v>
      </x:c>
      <x:c r="B18" s="18" t="str">
        <x:v>The prosecutor of the International Criminal Court (ICC) has formally submitted the list of witnesses and evidence to be presented against former president Rodrigo Duterte in his upcoming trial for crimes against humanity. https://tinyurl.com/426afs73 - facebook.com</x:v>
      </x:c>
      <x:c r="C18" s="18" t="str">
        <x:v>2026-09-03</x:v>
      </x:c>
      <x:c r="D18" s="18" t="n">
        <x:v>2026</x:v>
      </x:c>
      <x:c r="E18" s="18" t="str">
        <x:v>2026-09</x:v>
      </x:c>
      <x:c r="F18" s="18" t="str"/>
      <x:c r="G18" s="18" t="str">
        <x:v>International Criminal Court proceeding</x:v>
      </x:c>
      <x:c r="H18" s="18" t="str"/>
      <x:c r="I18" s="18" t="str">
        <x:v>facebook.com</x:v>
      </x:c>
      <x:c r="J18" s="20" t="str"/>
      <x:c r="K18" s="18" t="str"/>
      <x:c r="L18" s="18" t="str">
        <x:v>The prosecutor of the International Criminal Court (ICC) has formally submitted the list of witnesses and evidence to be presented against former president Rodrigo Duterte in his upcoming trial for crimes against humanity. https://tinyurl.com/426afs73 - facebook.com</x:v>
      </x:c>
      <x:c r="M18" s="18" t="str">
        <x:v>facebook.com</x:v>
      </x:c>
      <x:c r="N18" s="18" t="str">
        <x:v>International Criminal Court proceeding</x:v>
      </x:c>
      <x:c r="O18" s="18" t="n">
        <x:v>46268.07709490741</x:v>
      </x:c>
      <x:c r="P18" s="18" t="str">
        <x:v>https://www.facebook.com</x:v>
      </x:c>
      <x:c r="Q18" s="18" t="str">
        <x:v>DEFINED_TERMINAL_OR_FEED_SCOPE</x:v>
      </x:c>
      <x:c r="R18" s="18" t="str">
        <x:v>news_icc_14d.json — published records loaded</x:v>
      </x:c>
      <x:c r="S18" s="18" t="str"/>
      <x:c r="T18" s="18" t="str"/>
      <x:c r="U18" s="20" t="n">
        <x:v>53</x:v>
      </x:c>
      <x:c r="V18" s="19" t="n">
        <x:f>IFERROR(TODAY()-DATEVALUE(C18),"")</x:f>
        <x:v>7</x:v>
      </x:c>
      <x:c r="W18" s="21" t="n">
        <x:f>ROUND(COUNTA(A18:K18)/11*100,0)</x:f>
        <x:v>100</x:v>
      </x:c>
      <x:c r="X18" s="18" t="str">
        <x:v>Google News RSS</x:v>
      </x:c>
      <x:c r="Y18" s="22" t="str">
        <x:v>https://news.google.com/rss/articles/CBMi3AFBVV95cUxPQTAwNENCeTk1b3BubmlDVHVtMXh1bjNwYjdreE5VekRhM0NoVVZLaFJXUlNzNTB1QlNhYXpmOWRYTllKZHgybncxYWJneEM3VHVNNVFCa21WWVVnNHZLTmdCUjhJM1FaSElXdDFxYWpXRkstTWl4Q2Raal9zS1dwS3gwRFo2NDBvNjJ0Xzc1U2RScXhlYi1Vd2VNNGJHOTdBT3owaHVGaWNjM0tkRkJYQmh3NkNrYkdRZEtUNlpicDh6Q1IzNXFoWVdUYjNudzdRRGVlMGNINnppQmQ1?oc=5</x:v>
      </x:c>
      <x:c r="Z18" s="18" t="n">
        <x:v>46268.07709490741</x:v>
      </x:c>
      <x:c r="AA18" s="18" t="n">
        <x:v>46275.38862103009</x:v>
      </x:c>
      <x:c r="AB18" s="18" t="str">
        <x:v>public_rss</x:v>
      </x:c>
      <x:c r="AC18" s="18" t="str">
        <x:v>READY</x:v>
      </x:c>
    </x:row>
    <x:row r="19">
      <x:c r="A19" s="18" t="str">
        <x:v>NYT-44-653a62571068ea41</x:v>
      </x:c>
      <x:c r="B19" s="18" t="str">
        <x:v>Germany asks UN court to dismiss Nicaragua case over Israel arms support - India Today</x:v>
      </x:c>
      <x:c r="C19" s="18" t="str">
        <x:v>2026-09-07</x:v>
      </x:c>
      <x:c r="D19" s="18" t="n">
        <x:v>2026</x:v>
      </x:c>
      <x:c r="E19" s="18" t="str">
        <x:v>2026-09</x:v>
      </x:c>
      <x:c r="F19" s="18" t="str"/>
      <x:c r="G19" s="18" t="str">
        <x:v>International Criminal Court proceeding</x:v>
      </x:c>
      <x:c r="H19" s="18" t="str"/>
      <x:c r="I19" s="18" t="str">
        <x:v>India Today</x:v>
      </x:c>
      <x:c r="J19" s="20" t="str"/>
      <x:c r="K19" s="18" t="str"/>
      <x:c r="L19" s="18" t="str">
        <x:v>Germany asks UN court to dismiss Nicaragua case over Israel arms support - India Today</x:v>
      </x:c>
      <x:c r="M19" s="18" t="str">
        <x:v>India Today</x:v>
      </x:c>
      <x:c r="N19" s="18" t="str">
        <x:v>International Criminal Court proceeding</x:v>
      </x:c>
      <x:c r="O19" s="18" t="n">
        <x:v>46272.4684375</x:v>
      </x:c>
      <x:c r="P19" s="18" t="str">
        <x:v>https://www.indiatoday.in</x:v>
      </x:c>
      <x:c r="Q19" s="18" t="str">
        <x:v>DEFINED_TERMINAL_OR_FEED_SCOPE</x:v>
      </x:c>
      <x:c r="R19" s="18" t="str">
        <x:v>news_icc_14d.json — published records loaded</x:v>
      </x:c>
      <x:c r="S19" s="18" t="str"/>
      <x:c r="T19" s="18" t="str"/>
      <x:c r="U19" s="20" t="n">
        <x:v>53</x:v>
      </x:c>
      <x:c r="V19" s="19" t="n">
        <x:f>IFERROR(TODAY()-DATEVALUE(C19),"")</x:f>
        <x:v>3</x:v>
      </x:c>
      <x:c r="W19" s="21" t="n">
        <x:f>ROUND(COUNTA(A19:K19)/11*100,0)</x:f>
        <x:v>100</x:v>
      </x:c>
      <x:c r="X19" s="18" t="str">
        <x:v>Google News RSS</x:v>
      </x:c>
      <x:c r="Y19" s="22" t="str">
        <x:v>https://news.google.com/rss/articles/CBMiuAFBVV95cUxQQ0RhUXhWMHhhR1gzZXBpVm5FekRhSi0tRzBoSExkbmRFXzVSZDZ4djJQOS1rVUxWNUhZaXljWmVHLVQ4aGo5bUxZLUNPYUJKWWxRUXZvMzBfTDlJWGVNSWdDbHcwajVQLU5IdldRSVkwSXpQWHp1WVZGb1lkMDFCVlNDY0laMWVfZFphRFNPLWkyNloxWXRvZGNiUFJ2RUU0OXhQYmxOYWhraDNKS1dqMHlOYzEzeUs50gG4AUFVX3lxTFBDRGFReFYweGFHWDNlcGlWbkV6RGFKLS1HMGhITGRuZEVfNVJkNnh2MlA5LWtVTFY1SFlpeWNaZUctVDhoajltTFktQ09hQkpZbFFRdm8zMF9MOUlYZU1JZ0NsdzBqNVAtTkh2V1FJWTBJelBYenVZVkZvWWQwMUJWU0NjSVoxZV9kWmFEU08taTI2WjFZdG9kY2JQUnZFRTQ5eFBibE5haGtoM0pLV2oweU5jMTN5Szk?oc=5</x:v>
      </x:c>
      <x:c r="Z19" s="18" t="n">
        <x:v>46272.4684375</x:v>
      </x:c>
      <x:c r="AA19" s="18" t="n">
        <x:v>46275.38862103009</x:v>
      </x:c>
      <x:c r="AB19" s="18" t="str">
        <x:v>public_rss</x:v>
      </x:c>
      <x:c r="AC19" s="18" t="str">
        <x:v>READY</x:v>
      </x:c>
    </x:row>
    <x:row r="20">
      <x:c r="A20" s="18" t="str">
        <x:v>NYT-44-ef570383c2631fce</x:v>
      </x:c>
      <x:c r="B20" s="18" t="str">
        <x:v>Prosecution to ICC: Admit witness’ testimony on Duterte ‘DDS’ model - Inquirer.net</x:v>
      </x:c>
      <x:c r="C20" s="18" t="str">
        <x:v>2026-09-08</x:v>
      </x:c>
      <x:c r="D20" s="18" t="n">
        <x:v>2026</x:v>
      </x:c>
      <x:c r="E20" s="18" t="str">
        <x:v>2026-09</x:v>
      </x:c>
      <x:c r="F20" s="18" t="str"/>
      <x:c r="G20" s="18" t="str">
        <x:v>International Criminal Court proceeding</x:v>
      </x:c>
      <x:c r="H20" s="18" t="str"/>
      <x:c r="I20" s="18" t="str">
        <x:v>Inquirer.net</x:v>
      </x:c>
      <x:c r="J20" s="20" t="str"/>
      <x:c r="K20" s="18" t="str"/>
      <x:c r="L20" s="18" t="str">
        <x:v>Prosecution to ICC: Admit witness’ testimony on Duterte ‘DDS’ model - Inquirer.net</x:v>
      </x:c>
      <x:c r="M20" s="18" t="str">
        <x:v>Inquirer.net</x:v>
      </x:c>
      <x:c r="N20" s="18" t="str">
        <x:v>International Criminal Court proceeding</x:v>
      </x:c>
      <x:c r="O20" s="18" t="n">
        <x:v>46273.89236111111</x:v>
      </x:c>
      <x:c r="P20" s="18" t="str">
        <x:v>https://globalnation.inquirer.net</x:v>
      </x:c>
      <x:c r="Q20" s="18" t="str">
        <x:v>DEFINED_TERMINAL_OR_FEED_SCOPE</x:v>
      </x:c>
      <x:c r="R20" s="18" t="str">
        <x:v>news_icc_14d.json — published records loaded</x:v>
      </x:c>
      <x:c r="S20" s="18" t="str"/>
      <x:c r="T20" s="18" t="str"/>
      <x:c r="U20" s="20" t="n">
        <x:v>53</x:v>
      </x:c>
      <x:c r="V20" s="19" t="n">
        <x:f>IFERROR(TODAY()-DATEVALUE(C20),"")</x:f>
        <x:v>2</x:v>
      </x:c>
      <x:c r="W20" s="21" t="n">
        <x:f>ROUND(COUNTA(A20:K20)/11*100,0)</x:f>
        <x:v>100</x:v>
      </x:c>
      <x:c r="X20" s="18" t="str">
        <x:v>Google News RSS</x:v>
      </x:c>
      <x:c r="Y20" s="22" t="str">
        <x:v>https://news.google.com/rss/articles/CBMipwFBVV95cUxNZE1zeUVRQ2FUdy1XWF8tMFFlcHBuN0RMcXBGREFjT2NiclhFM2NOYXBPQWtPUHAyTnZEWnQ1WWtHZEgwb05idFRFRTNXbVJBcGFvMlRKWFBTUlVqdUVFNDktdG5Mbm1Uc3NJNFE2ZldDbVVpM21KanFUY09meG1IN05sQnBTVVYwb1pkYmp2MWc0ZHhDSGgzdE5YaHRfOUFYTDFEd0hlZ9IBrAFBVV95cUxQQkkyNnV6dlpNT0R1VWR5VUpDZWhSMl9YSFdjMW44LVJHNng2N1JpZFhLVTlyNlhYQzFmRmJTWnVWSVJDSzh3WFA1MU9Tc1p1Rl9CSkVyQzkxM1FXeUdoaXpGU2t6U3pRNW0xTDJ0WUZZRm5xMUI3aXF0WWtKWlBZSUlIMTgzOFVkLUlILVJTYlJQYWw3dnpqMEpUN0JQaFBZNnYzczlKZU5rdjU2?oc=5</x:v>
      </x:c>
      <x:c r="Z20" s="18" t="n">
        <x:v>46273.89236111111</x:v>
      </x:c>
      <x:c r="AA20" s="18" t="n">
        <x:v>46275.38862103009</x:v>
      </x:c>
      <x:c r="AB20" s="18" t="str">
        <x:v>public_rss</x:v>
      </x:c>
      <x:c r="AC20" s="18" t="str">
        <x:v>READY</x:v>
      </x:c>
    </x:row>
    <x:row r="21">
      <x:c r="A21" s="18" t="str">
        <x:v>NYT-44-d6e579fc2deafcb4</x:v>
      </x:c>
      <x:c r="B21" s="18" t="str">
        <x:v>Ratko Mladić and the Srebrenica Genocide: What International Law Established - Diplomacy and Law</x:v>
      </x:c>
      <x:c r="C21" s="18" t="str">
        <x:v>2026-08-28</x:v>
      </x:c>
      <x:c r="D21" s="18" t="n">
        <x:v>2026</x:v>
      </x:c>
      <x:c r="E21" s="18" t="str">
        <x:v>2026-08</x:v>
      </x:c>
      <x:c r="F21" s="18" t="str"/>
      <x:c r="G21" s="18" t="str">
        <x:v>International Criminal Court proceeding</x:v>
      </x:c>
      <x:c r="H21" s="18" t="str"/>
      <x:c r="I21" s="18" t="str">
        <x:v>Diplomacy and Law</x:v>
      </x:c>
      <x:c r="J21" s="20" t="str"/>
      <x:c r="K21" s="18" t="str"/>
      <x:c r="L21" s="18" t="str">
        <x:v>Ratko Mladić and the Srebrenica Genocide: What International Law Established - Diplomacy and Law</x:v>
      </x:c>
      <x:c r="M21" s="18" t="str">
        <x:v>Diplomacy and Law</x:v>
      </x:c>
      <x:c r="N21" s="18" t="str">
        <x:v>International Criminal Court proceeding</x:v>
      </x:c>
      <x:c r="O21" s="18" t="n">
        <x:v>46262.338541666664</x:v>
      </x:c>
      <x:c r="P21" s="18" t="str">
        <x:v>https://www.diplomacyandlaw.com</x:v>
      </x:c>
      <x:c r="Q21" s="18" t="str">
        <x:v>DEFINED_TERMINAL_OR_FEED_SCOPE</x:v>
      </x:c>
      <x:c r="R21" s="18" t="str">
        <x:v>news_icc_14d.json — published records loaded</x:v>
      </x:c>
      <x:c r="S21" s="18" t="str"/>
      <x:c r="T21" s="18" t="str"/>
      <x:c r="U21" s="20" t="n">
        <x:v>53</x:v>
      </x:c>
      <x:c r="V21" s="19" t="n">
        <x:f>IFERROR(TODAY()-DATEVALUE(C21),"")</x:f>
        <x:v>13</x:v>
      </x:c>
      <x:c r="W21" s="21" t="n">
        <x:f>ROUND(COUNTA(A21:K21)/11*100,0)</x:f>
        <x:v>100</x:v>
      </x:c>
      <x:c r="X21" s="18" t="str">
        <x:v>Google News RSS</x:v>
      </x:c>
      <x:c r="Y21" s="22" t="str">
        <x:v>https://news.google.com/rss/articles/CBMigwFBVV95cUxObjJ3UGo0bTV5REVfQnhlM0RWbF9xcnY2NGR6Tll5eTRWeU1zM2I2d1RrdnNJVURJQWlud3lkdGxlclZ1WFpLMjVNMy10Z1d6VS1FZ0VONGhPTWEyam1CRER1c1Q1MXBOb1lCOWplVnY3STdKV1VMTUI2dEdqZi04bUU1RQ?oc=5</x:v>
      </x:c>
      <x:c r="Z21" s="18" t="n">
        <x:v>46262.338541666664</x:v>
      </x:c>
      <x:c r="AA21" s="18" t="n">
        <x:v>46275.38862103009</x:v>
      </x:c>
      <x:c r="AB21" s="18" t="str">
        <x:v>public_rss</x:v>
      </x:c>
      <x:c r="AC21" s="18" t="str">
        <x:v>READY</x:v>
      </x:c>
    </x:row>
    <x:row r="22">
      <x:c r="A22" s="18" t="str">
        <x:v>NYT-44-acb948478518b92a</x:v>
      </x:c>
      <x:c r="B22" s="18" t="str">
        <x:v>ICC trial chamber wants Duterte to appear in Sept. 7 status conference - Philippine News Agency</x:v>
      </x:c>
      <x:c r="C22" s="18" t="str">
        <x:v>2026-09-08</x:v>
      </x:c>
      <x:c r="D22" s="18" t="n">
        <x:v>2026</x:v>
      </x:c>
      <x:c r="E22" s="18" t="str">
        <x:v>2026-09</x:v>
      </x:c>
      <x:c r="F22" s="18" t="str"/>
      <x:c r="G22" s="18" t="str">
        <x:v>International Criminal Court proceeding</x:v>
      </x:c>
      <x:c r="H22" s="18" t="str"/>
      <x:c r="I22" s="18" t="str">
        <x:v>Philippine News Agency</x:v>
      </x:c>
      <x:c r="J22" s="20" t="str"/>
      <x:c r="K22" s="18" t="str"/>
      <x:c r="L22" s="18" t="str">
        <x:v>ICC trial chamber wants Duterte to appear in Sept. 7 status conference - Philippine News Agency</x:v>
      </x:c>
      <x:c r="M22" s="18" t="str">
        <x:v>Philippine News Agency</x:v>
      </x:c>
      <x:c r="N22" s="18" t="str">
        <x:v>International Criminal Court proceeding</x:v>
      </x:c>
      <x:c r="O22" s="18" t="n">
        <x:v>46273.072291666664</x:v>
      </x:c>
      <x:c r="P22" s="18" t="str">
        <x:v>https://www.pna.gov.ph</x:v>
      </x:c>
      <x:c r="Q22" s="18" t="str">
        <x:v>DEFINED_TERMINAL_OR_FEED_SCOPE</x:v>
      </x:c>
      <x:c r="R22" s="18" t="str">
        <x:v>news_icc_14d.json — published records loaded</x:v>
      </x:c>
      <x:c r="S22" s="18" t="str"/>
      <x:c r="T22" s="18" t="str"/>
      <x:c r="U22" s="20" t="n">
        <x:v>53</x:v>
      </x:c>
      <x:c r="V22" s="19" t="n">
        <x:f>IFERROR(TODAY()-DATEVALUE(C22),"")</x:f>
        <x:v>2</x:v>
      </x:c>
      <x:c r="W22" s="21" t="n">
        <x:f>ROUND(COUNTA(A22:K22)/11*100,0)</x:f>
        <x:v>100</x:v>
      </x:c>
      <x:c r="X22" s="18" t="str">
        <x:v>Google News RSS</x:v>
      </x:c>
      <x:c r="Y22" s="22" t="str">
        <x:v>https://news.google.com/rss/articles/CBMiUEFVX3lxTFBYUnhXTVhxTzVvQmVBV3ktSnZvblhfS1hpaHpKcnFxUHB3N3g2QjNzdERBRnE5YUhodFpSNHA0SUsxSy1USVR0d0xra3dsS09o?oc=5</x:v>
      </x:c>
      <x:c r="Z22" s="18" t="n">
        <x:v>46273.072291666664</x:v>
      </x:c>
      <x:c r="AA22" s="18" t="n">
        <x:v>46275.38862103009</x:v>
      </x:c>
      <x:c r="AB22" s="18" t="str">
        <x:v>public_rss</x:v>
      </x:c>
      <x:c r="AC22" s="18" t="str">
        <x:v>READY</x:v>
      </x:c>
    </x:row>
    <x:row r="23">
      <x:c r="A23" s="18" t="str">
        <x:v>NYT-44-f393ae48fbfb7cb8</x:v>
      </x:c>
      <x:c r="B23" s="18" t="str">
        <x:v>The Case for a German Structural Investigation into Crimes against Humanity in Iran - Just Security</x:v>
      </x:c>
      <x:c r="C23" s="18" t="str">
        <x:v>2026-09-04</x:v>
      </x:c>
      <x:c r="D23" s="18" t="n">
        <x:v>2026</x:v>
      </x:c>
      <x:c r="E23" s="18" t="str">
        <x:v>2026-09</x:v>
      </x:c>
      <x:c r="F23" s="18" t="str"/>
      <x:c r="G23" s="18" t="str">
        <x:v>International Criminal Court proceeding</x:v>
      </x:c>
      <x:c r="H23" s="18" t="str"/>
      <x:c r="I23" s="18" t="str">
        <x:v>Just Security</x:v>
      </x:c>
      <x:c r="J23" s="20" t="str"/>
      <x:c r="K23" s="18" t="str"/>
      <x:c r="L23" s="18" t="str">
        <x:v>The Case for a German Structural Investigation into Crimes against Humanity in Iran - Just Security</x:v>
      </x:c>
      <x:c r="M23" s="18" t="str">
        <x:v>Just Security</x:v>
      </x:c>
      <x:c r="N23" s="18" t="str">
        <x:v>International Criminal Court proceeding</x:v>
      </x:c>
      <x:c r="O23" s="18" t="n">
        <x:v>46269.53466435185</x:v>
      </x:c>
      <x:c r="P23" s="18" t="str">
        <x:v>https://www.justsecurity.org</x:v>
      </x:c>
      <x:c r="Q23" s="18" t="str">
        <x:v>DEFINED_TERMINAL_OR_FEED_SCOPE</x:v>
      </x:c>
      <x:c r="R23" s="18" t="str">
        <x:v>news_icc_14d.json — published records loaded</x:v>
      </x:c>
      <x:c r="S23" s="18" t="str"/>
      <x:c r="T23" s="18" t="str"/>
      <x:c r="U23" s="20" t="n">
        <x:v>53</x:v>
      </x:c>
      <x:c r="V23" s="19" t="n">
        <x:f>IFERROR(TODAY()-DATEVALUE(C23),"")</x:f>
        <x:v>6</x:v>
      </x:c>
      <x:c r="W23" s="21" t="n">
        <x:f>ROUND(COUNTA(A23:K23)/11*100,0)</x:f>
        <x:v>100</x:v>
      </x:c>
      <x:c r="X23" s="18" t="str">
        <x:v>Google News RSS</x:v>
      </x:c>
      <x:c r="Y23" s="22" t="str">
        <x:v>https://news.google.com/rss/articles/CBMijwFBVV95cUxNcEZUalpZaTZLLTQyOVJLczlRSS1BSFQ4cURqTTJJR2h2VVJUR1hsdkhESWhPVUdlXzRxNjJ4SDUybXA4Nms1MjNtTkVjVFlnb0pHY2ZfdjdNY1FvRHA4cjFSWE5ZWkdua1g3ZVZxVGFuRm5RV3dLaC0zaThtQng0dzN1T3lPSzVVWDRUMDA5aw?oc=5</x:v>
      </x:c>
      <x:c r="Z23" s="18" t="n">
        <x:v>46269.53466435185</x:v>
      </x:c>
      <x:c r="AA23" s="18" t="n">
        <x:v>46275.38862103009</x:v>
      </x:c>
      <x:c r="AB23" s="18" t="str">
        <x:v>public_rss</x:v>
      </x:c>
      <x:c r="AC23" s="18" t="str">
        <x:v>READY</x:v>
      </x:c>
    </x:row>
    <x:row r="24">
      <x:c r="A24" s="18" t="str">
        <x:v>NYT-44-2277fdfb417d6cae</x:v>
      </x:c>
      <x:c r="B24" s="18" t="str">
        <x:v>Germany fights Gaza genocide claims at the UN’s top court - abcnews.com</x:v>
      </x:c>
      <x:c r="C24" s="18" t="str">
        <x:v>2026-09-07</x:v>
      </x:c>
      <x:c r="D24" s="18" t="n">
        <x:v>2026</x:v>
      </x:c>
      <x:c r="E24" s="18" t="str">
        <x:v>2026-09</x:v>
      </x:c>
      <x:c r="F24" s="18" t="str"/>
      <x:c r="G24" s="18" t="str">
        <x:v>International Criminal Court proceeding</x:v>
      </x:c>
      <x:c r="H24" s="18" t="str"/>
      <x:c r="I24" s="18" t="str">
        <x:v>abcnews.com</x:v>
      </x:c>
      <x:c r="J24" s="20" t="str"/>
      <x:c r="K24" s="18" t="str"/>
      <x:c r="L24" s="18" t="str">
        <x:v>Germany fights Gaza genocide claims at the UN’s top court - abcnews.com</x:v>
      </x:c>
      <x:c r="M24" s="18" t="str">
        <x:v>abcnews.com</x:v>
      </x:c>
      <x:c r="N24" s="18" t="str">
        <x:v>International Criminal Court proceeding</x:v>
      </x:c>
      <x:c r="O24" s="18" t="n">
        <x:v>46272.30173611111</x:v>
      </x:c>
      <x:c r="P24" s="18" t="str">
        <x:v>https://abcnews.com</x:v>
      </x:c>
      <x:c r="Q24" s="18" t="str">
        <x:v>DEFINED_TERMINAL_OR_FEED_SCOPE</x:v>
      </x:c>
      <x:c r="R24" s="18" t="str">
        <x:v>news_icc_14d.json — published records loaded</x:v>
      </x:c>
      <x:c r="S24" s="18" t="str"/>
      <x:c r="T24" s="18" t="str"/>
      <x:c r="U24" s="20" t="n">
        <x:v>53</x:v>
      </x:c>
      <x:c r="V24" s="19" t="n">
        <x:f>IFERROR(TODAY()-DATEVALUE(C24),"")</x:f>
        <x:v>3</x:v>
      </x:c>
      <x:c r="W24" s="21" t="n">
        <x:f>ROUND(COUNTA(A24:K24)/11*100,0)</x:f>
        <x:v>100</x:v>
      </x:c>
      <x:c r="X24" s="18" t="str">
        <x:v>Google News RSS</x:v>
      </x:c>
      <x:c r="Y24" s="22" t="str">
        <x:v>https://news.google.com/rss/articles/CBMipgFBVV95cUxNa3BEeGpRUGNaeDRkSUQ5OXZ1dnpSakdZVmJpQ21fMFNSb3Zoa2FKQVJnSndJWl9FYVJUX29xNmlOS2VMYkNrUEZlQjFjZnlmbTEtUW8weV8wTTlpaTdiOFhhS0N4X0ZCUFNjRXk5ekR1TlNqd1BVNURLS2xRbkxsc1FnM2hYVXBHODFaMHNKUU9zdTJEc01YdlNpbWt6Y2t3OUltUUlR0gGrAUFVX3lxTE1jQ040NWFBdDUtdFZ2QWhJU1B1Y0NaclQwUWdLckNpVjNsZWZadkE2NDZlVWZMNjFDM2JJd0MwM2tka3AyWklCUjhUQS1HSGw3LUZUWlc3all3d1VTWnpQLWhaREcyQlNfdm5KV1JfbUt2em9WYThySDZVZGhvNVV2V2R3OUhOR1JpTDJmMC1yOUZ6cVZMQjVTS0VqQjQ5YWNQcUpJdTVhNkM4QQ?oc=5</x:v>
      </x:c>
      <x:c r="Z24" s="18" t="n">
        <x:v>46272.30173611111</x:v>
      </x:c>
      <x:c r="AA24" s="18" t="n">
        <x:v>46275.38862103009</x:v>
      </x:c>
      <x:c r="AB24" s="18" t="str">
        <x:v>public_rss</x:v>
      </x:c>
      <x:c r="AC24" s="18" t="str">
        <x:v>READY</x:v>
      </x:c>
    </x:row>
    <x:row r="25">
      <x:c r="A25" s="18" t="str">
        <x:v>NYT-44-729d5a4aa1e42d55</x:v>
      </x:c>
      <x:c r="B25" s="18" t="str">
        <x:v>Germany Requests UN Court To Dismiss Nicaragua’s Case Linked to Israel - The CSR Journal</x:v>
      </x:c>
      <x:c r="C25" s="18" t="str">
        <x:v>2026-09-07</x:v>
      </x:c>
      <x:c r="D25" s="18" t="n">
        <x:v>2026</x:v>
      </x:c>
      <x:c r="E25" s="18" t="str">
        <x:v>2026-09</x:v>
      </x:c>
      <x:c r="F25" s="18" t="str"/>
      <x:c r="G25" s="18" t="str">
        <x:v>International Criminal Court proceeding</x:v>
      </x:c>
      <x:c r="H25" s="18" t="str"/>
      <x:c r="I25" s="18" t="str">
        <x:v>The CSR Journal</x:v>
      </x:c>
      <x:c r="J25" s="20" t="str"/>
      <x:c r="K25" s="18" t="str"/>
      <x:c r="L25" s="18" t="str">
        <x:v>Germany Requests UN Court To Dismiss Nicaragua’s Case Linked to Israel - The CSR Journal</x:v>
      </x:c>
      <x:c r="M25" s="18" t="str">
        <x:v>The CSR Journal</x:v>
      </x:c>
      <x:c r="N25" s="18" t="str">
        <x:v>International Criminal Court proceeding</x:v>
      </x:c>
      <x:c r="O25" s="18" t="n">
        <x:v>46272.58724537037</x:v>
      </x:c>
      <x:c r="P25" s="18" t="str">
        <x:v>https://thecsrjournal.in</x:v>
      </x:c>
      <x:c r="Q25" s="18" t="str">
        <x:v>DEFINED_TERMINAL_OR_FEED_SCOPE</x:v>
      </x:c>
      <x:c r="R25" s="18" t="str">
        <x:v>news_icc_14d.json — published records loaded</x:v>
      </x:c>
      <x:c r="S25" s="18" t="str"/>
      <x:c r="T25" s="18" t="str"/>
      <x:c r="U25" s="20" t="n">
        <x:v>53</x:v>
      </x:c>
      <x:c r="V25" s="19" t="n">
        <x:f>IFERROR(TODAY()-DATEVALUE(C25),"")</x:f>
        <x:v>3</x:v>
      </x:c>
      <x:c r="W25" s="21" t="n">
        <x:f>ROUND(COUNTA(A25:K25)/11*100,0)</x:f>
        <x:v>100</x:v>
      </x:c>
      <x:c r="X25" s="18" t="str">
        <x:v>Google News RSS</x:v>
      </x:c>
      <x:c r="Y25" s="22" t="str">
        <x:v>https://news.google.com/rss/articles/CBMimgFBVV95cUxQX0hwaGxsdGdSc1VNbnM1RkNERjlpN0lsc1Q0Tm1zOFZfaTNLTXVUbnhMWjR6eTB5YS1RVDlYTENYN0lxZGhyQ2psTGxqNnBON2lHS3N5ZlM1S0FFb1pnaWVuc0xaVVdFRkI4X19XWmZ6ZXNERjFxN1JqbkZnSl9hdmdnQzZrc05uV2VyQmNYNDlPekFZeFJFUEN3?oc=5</x:v>
      </x:c>
      <x:c r="Z25" s="18" t="n">
        <x:v>46272.58724537037</x:v>
      </x:c>
      <x:c r="AA25" s="18" t="n">
        <x:v>46275.38862103009</x:v>
      </x:c>
      <x:c r="AB25" s="18" t="str">
        <x:v>public_rss</x:v>
      </x:c>
      <x:c r="AC25" s="18" t="str">
        <x:v>READY</x:v>
      </x:c>
    </x:row>
    <x:row r="26">
      <x:c r="A26" s="18" t="str">
        <x:v>NYT-44-2a3c5d624db2c9ed</x:v>
      </x:c>
      <x:c r="B26" s="18" t="str">
        <x:v>Hear about the Thomas Lubanga case, the first trial conducted by the International Criminal Court in 2012 - Britannica</x:v>
      </x:c>
      <x:c r="C26" s="18" t="str">
        <x:v>2026-09-05</x:v>
      </x:c>
      <x:c r="D26" s="18" t="n">
        <x:v>2026</x:v>
      </x:c>
      <x:c r="E26" s="18" t="str">
        <x:v>2026-09</x:v>
      </x:c>
      <x:c r="F26" s="18" t="str"/>
      <x:c r="G26" s="18" t="str">
        <x:v>International Criminal Court proceeding</x:v>
      </x:c>
      <x:c r="H26" s="18" t="str"/>
      <x:c r="I26" s="18" t="str">
        <x:v>Britannica</x:v>
      </x:c>
      <x:c r="J26" s="20" t="str"/>
      <x:c r="K26" s="18" t="str"/>
      <x:c r="L26" s="18" t="str">
        <x:v>Hear about the Thomas Lubanga case, the first trial conducted by the International Criminal Court in 2012 - Britannica</x:v>
      </x:c>
      <x:c r="M26" s="18" t="str">
        <x:v>Britannica</x:v>
      </x:c>
      <x:c r="N26" s="18" t="str">
        <x:v>International Criminal Court proceeding</x:v>
      </x:c>
      <x:c r="O26" s="18" t="n">
        <x:v>46270.208333333336</x:v>
      </x:c>
      <x:c r="P26" s="18" t="str">
        <x:v>https://www.britannica.com</x:v>
      </x:c>
      <x:c r="Q26" s="18" t="str">
        <x:v>DEFINED_TERMINAL_OR_FEED_SCOPE</x:v>
      </x:c>
      <x:c r="R26" s="18" t="str">
        <x:v>news_icc_14d.json — published records loaded</x:v>
      </x:c>
      <x:c r="S26" s="18" t="str"/>
      <x:c r="T26" s="18" t="str"/>
      <x:c r="U26" s="20" t="n">
        <x:v>53</x:v>
      </x:c>
      <x:c r="V26" s="19" t="n">
        <x:f>IFERROR(TODAY()-DATEVALUE(C26),"")</x:f>
        <x:v>5</x:v>
      </x:c>
      <x:c r="W26" s="21" t="n">
        <x:f>ROUND(COUNTA(A26:K26)/11*100,0)</x:f>
        <x:v>100</x:v>
      </x:c>
      <x:c r="X26" s="18" t="str">
        <x:v>Google News RSS</x:v>
      </x:c>
      <x:c r="Y26" s="22" t="str">
        <x:v>https://news.google.com/rss/articles/CBMiogFBVV95cUxNQ1daVnNaeUt3UTl2cTFwSkU0N3JXdXlDOWlZeUx6WVp3Y3RpQ285R0FnOC1VbEJyd0U3dUZrWGRlNmxtSTRsN21fMmRvVV9xUHlldmowc1pLVFJfS2MwVjlsc3ZrVmQ4VGNNbkpEUHNsd3VvMENUbzU0RkJxRzgycUIteGE2NFhTWTRJMmhrRHF2U25GTEY3TU1YUnVFS3pYTnc?oc=5</x:v>
      </x:c>
      <x:c r="Z26" s="18" t="n">
        <x:v>46270.208333333336</x:v>
      </x:c>
      <x:c r="AA26" s="18" t="n">
        <x:v>46275.38862103009</x:v>
      </x:c>
      <x:c r="AB26" s="18" t="str">
        <x:v>public_rss</x:v>
      </x:c>
      <x:c r="AC26" s="18" t="str">
        <x:v>READY</x:v>
      </x:c>
    </x:row>
    <x:row r="27">
      <x:c r="A27" s="18" t="str">
        <x:v>NYT-44-5712180d846a13a3</x:v>
      </x:c>
      <x:c r="B27" s="18" t="str">
        <x:v>The prosecution has submitted two confidential annexes, listing its witnesses and evidence in the crimes against humanity case of ex-president Rodrigo Duterte, based on a document published by Trial Chamber III. #DuterteInICC - facebook.com</x:v>
      </x:c>
      <x:c r="C27" s="18" t="str">
        <x:v>2026-09-01</x:v>
      </x:c>
      <x:c r="D27" s="18" t="n">
        <x:v>2026</x:v>
      </x:c>
      <x:c r="E27" s="18" t="str">
        <x:v>2026-09</x:v>
      </x:c>
      <x:c r="F27" s="18" t="str"/>
      <x:c r="G27" s="18" t="str">
        <x:v>International Criminal Court proceeding</x:v>
      </x:c>
      <x:c r="H27" s="18" t="str"/>
      <x:c r="I27" s="18" t="str">
        <x:v>facebook.com</x:v>
      </x:c>
      <x:c r="J27" s="20" t="str"/>
      <x:c r="K27" s="18" t="str"/>
      <x:c r="L27" s="18" t="str">
        <x:v>The prosecution has submitted two confidential annexes, listing its witnesses and evidence in the crimes against humanity case of ex-president Rodrigo Duterte, based on a document published by Trial Chamber III. #DuterteInICC - facebook.com</x:v>
      </x:c>
      <x:c r="M27" s="18" t="str">
        <x:v>facebook.com</x:v>
      </x:c>
      <x:c r="N27" s="18" t="str">
        <x:v>International Criminal Court proceeding</x:v>
      </x:c>
      <x:c r="O27" s="18" t="n">
        <x:v>46266.399675925924</x:v>
      </x:c>
      <x:c r="P27" s="18" t="str">
        <x:v>https://www.facebook.com</x:v>
      </x:c>
      <x:c r="Q27" s="18" t="str">
        <x:v>DEFINED_TERMINAL_OR_FEED_SCOPE</x:v>
      </x:c>
      <x:c r="R27" s="18" t="str">
        <x:v>news_icc_14d.json — published records loaded</x:v>
      </x:c>
      <x:c r="S27" s="18" t="str"/>
      <x:c r="T27" s="18" t="str"/>
      <x:c r="U27" s="20" t="n">
        <x:v>53</x:v>
      </x:c>
      <x:c r="V27" s="19" t="n">
        <x:f>IFERROR(TODAY()-DATEVALUE(C27),"")</x:f>
        <x:v>9</x:v>
      </x:c>
      <x:c r="W27" s="21" t="n">
        <x:f>ROUND(COUNTA(A27:K27)/11*100,0)</x:f>
        <x:v>100</x:v>
      </x:c>
      <x:c r="X27" s="18" t="str">
        <x:v>Google News RSS</x:v>
      </x:c>
      <x:c r="Y27" s="22" t="str">
        <x:v>https://news.google.com/rss/articles/CBMi1wFBVV95cUxNb0ExOFpsVHFxa2lSdVNkX1Q3cFM2TmFOUkY2QVFPclRfa2RHUmZpbEZic3JRX05xRHYtX3JGaVctWjdjN3BnZ2tCajl5MGlKbnJxdTNmdV92SVEzQUFDLW5UTWhFcExhODlUWXdwd0xPTzlrR01UUHBUSlJJZVkzQU9hT1FTZEJXSnE4aUR3TFd6REszZ1pkTFBPdG1HUEU3NWppUHl0UTF0anFESUpwVE9saS1zV0hVMnFBb25YQ3ZfOFFsbHlPTk4tZXVMdWEtRGJTNXBDWQ?oc=5</x:v>
      </x:c>
      <x:c r="Z27" s="18" t="n">
        <x:v>46266.399675925924</x:v>
      </x:c>
      <x:c r="AA27" s="18" t="n">
        <x:v>46275.38862103009</x:v>
      </x:c>
      <x:c r="AB27" s="18" t="str">
        <x:v>public_rss</x:v>
      </x:c>
      <x:c r="AC27" s="18" t="str">
        <x:v>READY</x:v>
      </x:c>
    </x:row>
    <x:row r="28">
      <x:c r="A28" s="18" t="str">
        <x:v>NYT-44-75459443b595e742</x:v>
      </x:c>
      <x:c r="B28" s="18" t="str">
        <x:v>The defense team of former president Rodrigo Duterte wants the prosecution to “reframe” the crimes against humanity charges against him and file an updated document before the pre-trial chamber of the International Criminal Court (ICC). http://tiny.cc/v5q910 - facebook.com</x:v>
      </x:c>
      <x:c r="C28" s="18" t="str">
        <x:v>2026-09-02</x:v>
      </x:c>
      <x:c r="D28" s="18" t="n">
        <x:v>2026</x:v>
      </x:c>
      <x:c r="E28" s="18" t="str">
        <x:v>2026-09</x:v>
      </x:c>
      <x:c r="F28" s="18" t="str"/>
      <x:c r="G28" s="18" t="str">
        <x:v>International Criminal Court proceeding</x:v>
      </x:c>
      <x:c r="H28" s="18" t="str"/>
      <x:c r="I28" s="18" t="str">
        <x:v>facebook.com</x:v>
      </x:c>
      <x:c r="J28" s="20" t="str"/>
      <x:c r="K28" s="18" t="str"/>
      <x:c r="L28" s="18" t="str">
        <x:v>The defense team of former president Rodrigo Duterte wants the prosecution to “reframe” the crimes against humanity charges against him and file an updated document before the pre-trial chamber of the International Criminal Court (ICC). http://tiny.cc/v5q910 - facebook.com</x:v>
      </x:c>
      <x:c r="M28" s="18" t="str">
        <x:v>facebook.com</x:v>
      </x:c>
      <x:c r="N28" s="18" t="str">
        <x:v>International Criminal Court proceeding</x:v>
      </x:c>
      <x:c r="O28" s="18" t="n">
        <x:v>46267.04295138889</x:v>
      </x:c>
      <x:c r="P28" s="18" t="str">
        <x:v>https://www.facebook.com</x:v>
      </x:c>
      <x:c r="Q28" s="18" t="str">
        <x:v>DEFINED_TERMINAL_OR_FEED_SCOPE</x:v>
      </x:c>
      <x:c r="R28" s="18" t="str">
        <x:v>news_icc_14d.json — published records loaded</x:v>
      </x:c>
      <x:c r="S28" s="18" t="str"/>
      <x:c r="T28" s="18" t="str"/>
      <x:c r="U28" s="20" t="n">
        <x:v>53</x:v>
      </x:c>
      <x:c r="V28" s="19" t="n">
        <x:f>IFERROR(TODAY()-DATEVALUE(C28),"")</x:f>
        <x:v>8</x:v>
      </x:c>
      <x:c r="W28" s="21" t="n">
        <x:f>ROUND(COUNTA(A28:K28)/11*100,0)</x:f>
        <x:v>100</x:v>
      </x:c>
      <x:c r="X28" s="18" t="str">
        <x:v>Google News RSS</x:v>
      </x:c>
      <x:c r="Y28" s="22" t="str">
        <x:v>https://news.google.com/rss/articles/CBMi3AFBVV95cUxPTmt0Z0RDQWxOZGZpTXhMNzhSS2pIQkQxRUxKcGtrZHBwRVVJQ2FmREQ1NmFXU01yUDNKNk5YNUluTHVYYU1lQ29SVVFvNFYtY1JRU2NEVS1GNi1NYTdBbWtPTkMybmc4QTd5YkVCdXVJT1VSeVg5alpPODBONTVLb01PZU1oM3JRNFhuRzJadlZ5ZF9oWF9aWTFNZEFxTzRhVnEwZXRxUk55MlkxSW5kUGFuMEVESEptZTUtaWJTakNocV9jOEp5ZlkwM1B6T0ExZ3VuemlmYnZ0SW1Z?oc=5</x:v>
      </x:c>
      <x:c r="Z28" s="18" t="n">
        <x:v>46267.04295138889</x:v>
      </x:c>
      <x:c r="AA28" s="18" t="n">
        <x:v>46275.38862103009</x:v>
      </x:c>
      <x:c r="AB28" s="18" t="str">
        <x:v>public_rss</x:v>
      </x:c>
      <x:c r="AC28" s="18" t="str">
        <x:v>READY</x:v>
      </x:c>
    </x:row>
    <x:row r="29">
      <x:c r="A29" s="18" t="str">
        <x:v>NYT-44-5208ac652015051f</x:v>
      </x:c>
      <x:c r="B29" s="18" t="str">
        <x:v>Srebrenica genocide | Facts, History, War Crimes, Map, &amp; Photos - Britannica</x:v>
      </x:c>
      <x:c r="C29" s="18" t="str">
        <x:v>2026-09-04</x:v>
      </x:c>
      <x:c r="D29" s="18" t="n">
        <x:v>2026</x:v>
      </x:c>
      <x:c r="E29" s="18" t="str">
        <x:v>2026-09</x:v>
      </x:c>
      <x:c r="F29" s="18" t="str"/>
      <x:c r="G29" s="18" t="str">
        <x:v>International Criminal Court proceeding</x:v>
      </x:c>
      <x:c r="H29" s="18" t="str"/>
      <x:c r="I29" s="18" t="str">
        <x:v>Britannica</x:v>
      </x:c>
      <x:c r="J29" s="20" t="str"/>
      <x:c r="K29" s="18" t="str"/>
      <x:c r="L29" s="18" t="str">
        <x:v>Srebrenica genocide | Facts, History, War Crimes, Map, &amp; Photos - Britannica</x:v>
      </x:c>
      <x:c r="M29" s="18" t="str">
        <x:v>Britannica</x:v>
      </x:c>
      <x:c r="N29" s="18" t="str">
        <x:v>International Criminal Court proceeding</x:v>
      </x:c>
      <x:c r="O29" s="18" t="n">
        <x:v>46269.208333333336</x:v>
      </x:c>
      <x:c r="P29" s="18" t="str">
        <x:v>https://www.britannica.com</x:v>
      </x:c>
      <x:c r="Q29" s="18" t="str">
        <x:v>DEFINED_TERMINAL_OR_FEED_SCOPE</x:v>
      </x:c>
      <x:c r="R29" s="18" t="str">
        <x:v>news_icc_14d.json — published records loaded</x:v>
      </x:c>
      <x:c r="S29" s="18" t="str"/>
      <x:c r="T29" s="18" t="str"/>
      <x:c r="U29" s="20" t="n">
        <x:v>53</x:v>
      </x:c>
      <x:c r="V29" s="19" t="n">
        <x:f>IFERROR(TODAY()-DATEVALUE(C29),"")</x:f>
        <x:v>6</x:v>
      </x:c>
      <x:c r="W29" s="21" t="n">
        <x:f>ROUND(COUNTA(A29:K29)/11*100,0)</x:f>
        <x:v>100</x:v>
      </x:c>
      <x:c r="X29" s="18" t="str">
        <x:v>Google News RSS</x:v>
      </x:c>
      <x:c r="Y29" s="22" t="str">
        <x:v>https://news.google.com/rss/articles/CBMiYkFVX3lxTE51UFA4RlIyYmY3RkNCQTNqRWhDRmFrSk5OVWhBSmhaTURjd19nQlBfaGg3RGVNLWJyYVpvdW9yZjc1WEw0SU03aDNkMVlNa2J6Ujl2TGtOdDJNSC1QQ3VXMkF3?oc=5</x:v>
      </x:c>
      <x:c r="Z29" s="18" t="n">
        <x:v>46269.208333333336</x:v>
      </x:c>
      <x:c r="AA29" s="18" t="n">
        <x:v>46275.38862103009</x:v>
      </x:c>
      <x:c r="AB29" s="18" t="str">
        <x:v>public_rss</x:v>
      </x:c>
      <x:c r="AC29" s="18" t="str">
        <x:v>READY</x:v>
      </x:c>
    </x:row>
    <x:row r="30">
      <x:c r="A30" s="18" t="str">
        <x:v>NYT-44-6cf0a6cd5cc6ebf0</x:v>
      </x:c>
      <x:c r="B30" s="18" t="str">
        <x:v>On September 4, Quezon City Regional Trial Court (RTC) Branch 98 ordered Duterte’s arrest and set bail at P120,000 for each count. The Vice President and her lawyers did not appear before the court that day. Duterte posted bail a day later, September 5, a - facebook.com</x:v>
      </x:c>
      <x:c r="C30" s="18" t="str">
        <x:v>2026-09-07</x:v>
      </x:c>
      <x:c r="D30" s="18" t="n">
        <x:v>2026</x:v>
      </x:c>
      <x:c r="E30" s="18" t="str">
        <x:v>2026-09</x:v>
      </x:c>
      <x:c r="F30" s="18" t="str"/>
      <x:c r="G30" s="18" t="str">
        <x:v>International Criminal Court proceeding</x:v>
      </x:c>
      <x:c r="H30" s="18" t="str"/>
      <x:c r="I30" s="18" t="str">
        <x:v>facebook.com</x:v>
      </x:c>
      <x:c r="J30" s="20" t="str"/>
      <x:c r="K30" s="18" t="str"/>
      <x:c r="L30" s="18" t="str">
        <x:v>On September 4, Quezon City Regional Trial Court (RTC) Branch 98 ordered Duterte’s arrest and set bail at P120,000 for each count. The Vice President and her lawyers did not appear before the court that day. Duterte posted bail a day later, September 5, a - facebook.com</x:v>
      </x:c>
      <x:c r="M30" s="18" t="str">
        <x:v>facebook.com</x:v>
      </x:c>
      <x:c r="N30" s="18" t="str">
        <x:v>International Criminal Court proceeding</x:v>
      </x:c>
      <x:c r="O30" s="18" t="n">
        <x:v>46272.25005787037</x:v>
      </x:c>
      <x:c r="P30" s="18" t="str">
        <x:v>https://www.facebook.com</x:v>
      </x:c>
      <x:c r="Q30" s="18" t="str">
        <x:v>DEFINED_TERMINAL_OR_FEED_SCOPE</x:v>
      </x:c>
      <x:c r="R30" s="18" t="str">
        <x:v>news_icc_14d.json — published records loaded</x:v>
      </x:c>
      <x:c r="S30" s="18" t="str"/>
      <x:c r="T30" s="18" t="str"/>
      <x:c r="U30" s="20" t="n">
        <x:v>53</x:v>
      </x:c>
      <x:c r="V30" s="19" t="n">
        <x:f>IFERROR(TODAY()-DATEVALUE(C30),"")</x:f>
        <x:v>3</x:v>
      </x:c>
      <x:c r="W30" s="21" t="n">
        <x:f>ROUND(COUNTA(A30:K30)/11*100,0)</x:f>
        <x:v>100</x:v>
      </x:c>
      <x:c r="X30" s="18" t="str">
        <x:v>Google News RSS</x:v>
      </x:c>
      <x:c r="Y30" s="22" t="str">
        <x:v>https://news.google.com/rss/articles/CBMi2wFBVV95cUxNME9fUFk4VGJXV0tXZ29IU1UzS3RnSlZMMkFqLTl1MlhOUjlKMFJ1OTdpNkZrdzJoNE9XeE52WWN4aFJfNDJtak42QlVIREhFRkpOeGxteXVRa0ZtYjdUd3U0b3ZMcE82cW5rYmtpaElRekhFeXlTcEkyZ0dIOU5haldDWjlPRUNUYzF2OUJBOG0wckZzRjVTOXZqWENJTFpBdTZ5WXI3YWMzWmYxaDZBQzdMODV6NmhfMmdSOUlDeGRqNFFxc3FDaFUzYWNRMjZkc2hmZnlsV291TTA?oc=5</x:v>
      </x:c>
      <x:c r="Z30" s="18" t="n">
        <x:v>46272.25005787037</x:v>
      </x:c>
      <x:c r="AA30" s="18" t="n">
        <x:v>46275.38862103009</x:v>
      </x:c>
      <x:c r="AB30" s="18" t="str">
        <x:v>public_rss</x:v>
      </x:c>
      <x:c r="AC30" s="18" t="str">
        <x:v>READY</x:v>
      </x:c>
    </x:row>
    <x:row r="31">
      <x:c r="A31" s="18" t="str">
        <x:v>NYT-44-47b72efcee6ba4e5</x:v>
      </x:c>
      <x:c r="B31" s="18" t="str">
        <x:v>Germany asks top UN court to throw out Gaza genocide case brought by Nicaragua - Morning Star | The People’s Daily</x:v>
      </x:c>
      <x:c r="C31" s="18" t="str">
        <x:v>2026-09-07</x:v>
      </x:c>
      <x:c r="D31" s="18" t="n">
        <x:v>2026</x:v>
      </x:c>
      <x:c r="E31" s="18" t="str">
        <x:v>2026-09</x:v>
      </x:c>
      <x:c r="F31" s="18" t="str"/>
      <x:c r="G31" s="18" t="str">
        <x:v>International Criminal Court proceeding</x:v>
      </x:c>
      <x:c r="H31" s="18" t="str"/>
      <x:c r="I31" s="18" t="str">
        <x:v>Morning Star | The People’s Daily</x:v>
      </x:c>
      <x:c r="J31" s="20" t="str"/>
      <x:c r="K31" s="18" t="str"/>
      <x:c r="L31" s="18" t="str">
        <x:v>Germany asks top UN court to throw out Gaza genocide case brought by Nicaragua - Morning Star | The People’s Daily</x:v>
      </x:c>
      <x:c r="M31" s="18" t="str">
        <x:v>Morning Star | The People’s Daily</x:v>
      </x:c>
      <x:c r="N31" s="18" t="str">
        <x:v>International Criminal Court proceeding</x:v>
      </x:c>
      <x:c r="O31" s="18" t="n">
        <x:v>46272.62064814815</x:v>
      </x:c>
      <x:c r="P31" s="18" t="str">
        <x:v>https://morningstaronline.co.uk</x:v>
      </x:c>
      <x:c r="Q31" s="18" t="str">
        <x:v>DEFINED_TERMINAL_OR_FEED_SCOPE</x:v>
      </x:c>
      <x:c r="R31" s="18" t="str">
        <x:v>news_icc_14d.json — published records loaded</x:v>
      </x:c>
      <x:c r="S31" s="18" t="str"/>
      <x:c r="T31" s="18" t="str"/>
      <x:c r="U31" s="20" t="n">
        <x:v>53</x:v>
      </x:c>
      <x:c r="V31" s="19" t="n">
        <x:f>IFERROR(TODAY()-DATEVALUE(C31),"")</x:f>
        <x:v>3</x:v>
      </x:c>
      <x:c r="W31" s="21" t="n">
        <x:f>ROUND(COUNTA(A31:K31)/11*100,0)</x:f>
        <x:v>100</x:v>
      </x:c>
      <x:c r="X31" s="18" t="str">
        <x:v>Google News RSS</x:v>
      </x:c>
      <x:c r="Y31" s="22" t="str">
        <x:v>https://news.google.com/rss/articles/CBMi0AFBVV95cUxPeloxc1ExQllkQ053eTMwdUFac1o5YzM4bkQxM3VlTzRHMk9SZHVpaUVOdy1GM0d5alhJMXd4S1BPNTNzYkZzOGIybXFPN3Q5R2s0OHRmeUlJajBWaEpDX0RvN2xvYU5UaklpdFpzVndHLWdEdVVlUEt2SzE4d3EzUDlqazlxMU9fLWhiTjI0SFpPT2ZKdTZyRFBBdHRJODNJaHBYYU14MWg1eVltLUhyZmMyWUpGWDczMi1TS2s3ME5pVGd0OGlBWjRhaFBiWFdI?oc=5</x:v>
      </x:c>
      <x:c r="Z31" s="18" t="n">
        <x:v>46272.62064814815</x:v>
      </x:c>
      <x:c r="AA31" s="18" t="n">
        <x:v>46275.38862103009</x:v>
      </x:c>
      <x:c r="AB31" s="18" t="str">
        <x:v>public_rss</x:v>
      </x:c>
      <x:c r="AC31" s="18" t="str">
        <x:v>READY</x:v>
      </x:c>
    </x:row>
    <x:row r="32">
      <x:c r="A32" s="18" t="str">
        <x:v>NYT-44-bd178be8d5d5e04e</x:v>
      </x:c>
      <x:c r="B32" s="18" t="str">
        <x:v>ICC Prosecutors Seek to Admit Pre-Recorded Testimony of Key Witness in Duterte Case - politiko.com.ph</x:v>
      </x:c>
      <x:c r="C32" s="18" t="str">
        <x:v>2026-09-08</x:v>
      </x:c>
      <x:c r="D32" s="18" t="n">
        <x:v>2026</x:v>
      </x:c>
      <x:c r="E32" s="18" t="str">
        <x:v>2026-09</x:v>
      </x:c>
      <x:c r="F32" s="18" t="str"/>
      <x:c r="G32" s="18" t="str">
        <x:v>International Criminal Court proceeding</x:v>
      </x:c>
      <x:c r="H32" s="18" t="str"/>
      <x:c r="I32" s="18" t="str">
        <x:v>politiko.com.ph</x:v>
      </x:c>
      <x:c r="J32" s="20" t="str"/>
      <x:c r="K32" s="18" t="str"/>
      <x:c r="L32" s="18" t="str">
        <x:v>ICC Prosecutors Seek to Admit Pre-Recorded Testimony of Key Witness in Duterte Case - politiko.com.ph</x:v>
      </x:c>
      <x:c r="M32" s="18" t="str">
        <x:v>politiko.com.ph</x:v>
      </x:c>
      <x:c r="N32" s="18" t="str">
        <x:v>International Criminal Court proceeding</x:v>
      </x:c>
      <x:c r="O32" s="18" t="n">
        <x:v>46273.31784722222</x:v>
      </x:c>
      <x:c r="P32" s="18" t="str">
        <x:v>https://politiko.com.ph</x:v>
      </x:c>
      <x:c r="Q32" s="18" t="str">
        <x:v>DEFINED_TERMINAL_OR_FEED_SCOPE</x:v>
      </x:c>
      <x:c r="R32" s="18" t="str">
        <x:v>news_icc_14d.json — published records loaded</x:v>
      </x:c>
      <x:c r="S32" s="18" t="str"/>
      <x:c r="T32" s="18" t="str"/>
      <x:c r="U32" s="20" t="n">
        <x:v>53</x:v>
      </x:c>
      <x:c r="V32" s="19" t="n">
        <x:f>IFERROR(TODAY()-DATEVALUE(C32),"")</x:f>
        <x:v>2</x:v>
      </x:c>
      <x:c r="W32" s="21" t="n">
        <x:f>ROUND(COUNTA(A32:K32)/11*100,0)</x:f>
        <x:v>100</x:v>
      </x:c>
      <x:c r="X32" s="18" t="str">
        <x:v>Google News RSS</x:v>
      </x:c>
      <x:c r="Y32" s="22" t="str">
        <x:v>https://news.google.com/rss/articles/CBMizwFBVV95cUxNS1hHMkw5bVpGWUdHWGJLLVlHc3IyaFpsVEFrU1JBMzZwNnZSOVpsTXBtR3ZLcUJfWE01cExOZDA2Ykc5OFhrWFRYN3Y3YlNKY0RGT0NNRGk5aW43T19TOXZKSGQ3S2hHMFpPaEhBSE81Qm5JaWxEaENSM3Z5RlZNZV84SzJYeEZPVWpCdkprMXROSWxQTE1yNHhjTDY1bEF4d0U3dnZWZzFXN2xKY2ZEWmE3MnRMVHVQbGNVU3dEZEdzNnRGYTlqY1NIRi1RUFE?oc=5</x:v>
      </x:c>
      <x:c r="Z32" s="18" t="n">
        <x:v>46273.31784722222</x:v>
      </x:c>
      <x:c r="AA32" s="18" t="n">
        <x:v>46275.38862103009</x:v>
      </x:c>
      <x:c r="AB32" s="18" t="str">
        <x:v>public_rss</x:v>
      </x:c>
      <x:c r="AC32" s="18" t="str">
        <x:v>READY</x:v>
      </x:c>
    </x:row>
    <x:row r="33">
      <x:c r="A33" s="18" t="str">
        <x:v>NYT-44-2d6daea3e270b574</x:v>
      </x:c>
      <x:c r="B33" s="18" t="str">
        <x:v>ICC dismisses anonymous crimes against humanity petition against Nigeria, FG reacts - Premium Times Nigeria</x:v>
      </x:c>
      <x:c r="C33" s="18" t="str">
        <x:v>2026-09-03</x:v>
      </x:c>
      <x:c r="D33" s="18" t="n">
        <x:v>2026</x:v>
      </x:c>
      <x:c r="E33" s="18" t="str">
        <x:v>2026-09</x:v>
      </x:c>
      <x:c r="F33" s="18" t="str"/>
      <x:c r="G33" s="18" t="str">
        <x:v>International Criminal Court proceeding</x:v>
      </x:c>
      <x:c r="H33" s="18" t="str"/>
      <x:c r="I33" s="18" t="str">
        <x:v>Premium Times Nigeria</x:v>
      </x:c>
      <x:c r="J33" s="20" t="str"/>
      <x:c r="K33" s="18" t="str"/>
      <x:c r="L33" s="18" t="str">
        <x:v>ICC dismisses anonymous crimes against humanity petition against Nigeria, FG reacts - Premium Times Nigeria</x:v>
      </x:c>
      <x:c r="M33" s="18" t="str">
        <x:v>Premium Times Nigeria</x:v>
      </x:c>
      <x:c r="N33" s="18" t="str">
        <x:v>International Criminal Court proceeding</x:v>
      </x:c>
      <x:c r="O33" s="18" t="n">
        <x:v>46268.82511574074</x:v>
      </x:c>
      <x:c r="P33" s="18" t="str">
        <x:v>https://www.premiumtimesng.com</x:v>
      </x:c>
      <x:c r="Q33" s="18" t="str">
        <x:v>DEFINED_TERMINAL_OR_FEED_SCOPE</x:v>
      </x:c>
      <x:c r="R33" s="18" t="str">
        <x:v>news_icc_14d.json — published records loaded</x:v>
      </x:c>
      <x:c r="S33" s="18" t="str"/>
      <x:c r="T33" s="18" t="str"/>
      <x:c r="U33" s="20" t="n">
        <x:v>53</x:v>
      </x:c>
      <x:c r="V33" s="19" t="n">
        <x:f>IFERROR(TODAY()-DATEVALUE(C33),"")</x:f>
        <x:v>7</x:v>
      </x:c>
      <x:c r="W33" s="21" t="n">
        <x:f>ROUND(COUNTA(A33:K33)/11*100,0)</x:f>
        <x:v>100</x:v>
      </x:c>
      <x:c r="X33" s="18" t="str">
        <x:v>Google News RSS</x:v>
      </x:c>
      <x:c r="Y33" s="22" t="str">
        <x:v>https://news.google.com/rss/articles/CBMi1gFBVV95cUxNZkhPbXhIdE1oZHg3aFlIMGlzczBjekd4c181czNnRHd3NEtINnhaN2tEb1JkcTJ5XzJocGRtWmpQUm9PR3hQRnpaVEpxZElBNlNLZEdhTEVCT0ZiemYxc20tZkh1VUpJLTZwb1VQNEJMUXhLcHVUa1pHVVFvWEVQWm5PRXk5blUxa1dqX0VhWjF0Wnl3U2RkUndWUklRM1V1NktVMVZESUh4eUpXQXZlREZJR2NDZUdyUDRjUVdqZU5DOVV0bGg3TTNtM0Y1T2cyby1UMFNn?oc=5</x:v>
      </x:c>
      <x:c r="Z33" s="18" t="n">
        <x:v>46268.82511574074</x:v>
      </x:c>
      <x:c r="AA33" s="18" t="n">
        <x:v>46275.38862103009</x:v>
      </x:c>
      <x:c r="AB33" s="18" t="str">
        <x:v>public_rss</x:v>
      </x:c>
      <x:c r="AC33" s="18" t="str">
        <x:v>READY</x:v>
      </x:c>
    </x:row>
    <x:row r="34">
      <x:c r="A34" s="18" t="str">
        <x:v>NYT-44-7f58daa15b2151a3</x:v>
      </x:c>
      <x:c r="B34" s="18" t="str">
        <x:v>Duterte lawyer asks ICC to screen digital evidence before Nov 30 trial - ABS-CBN</x:v>
      </x:c>
      <x:c r="C34" s="18" t="str">
        <x:v>2026-09-06</x:v>
      </x:c>
      <x:c r="D34" s="18" t="n">
        <x:v>2026</x:v>
      </x:c>
      <x:c r="E34" s="18" t="str">
        <x:v>2026-09</x:v>
      </x:c>
      <x:c r="F34" s="18" t="str"/>
      <x:c r="G34" s="18" t="str">
        <x:v>International Criminal Court proceeding</x:v>
      </x:c>
      <x:c r="H34" s="18" t="str"/>
      <x:c r="I34" s="18" t="str">
        <x:v>ABS-CBN</x:v>
      </x:c>
      <x:c r="J34" s="20" t="str"/>
      <x:c r="K34" s="18" t="str"/>
      <x:c r="L34" s="18" t="str">
        <x:v>Duterte lawyer asks ICC to screen digital evidence before Nov 30 trial - ABS-CBN</x:v>
      </x:c>
      <x:c r="M34" s="18" t="str">
        <x:v>ABS-CBN</x:v>
      </x:c>
      <x:c r="N34" s="18" t="str">
        <x:v>International Criminal Court proceeding</x:v>
      </x:c>
      <x:c r="O34" s="18" t="n">
        <x:v>46271.00664351852</x:v>
      </x:c>
      <x:c r="P34" s="18" t="str">
        <x:v>https://www.abs-cbn.com</x:v>
      </x:c>
      <x:c r="Q34" s="18" t="str">
        <x:v>DEFINED_TERMINAL_OR_FEED_SCOPE</x:v>
      </x:c>
      <x:c r="R34" s="18" t="str">
        <x:v>news_icc_14d.json — published records loaded</x:v>
      </x:c>
      <x:c r="S34" s="18" t="str"/>
      <x:c r="T34" s="18" t="str"/>
      <x:c r="U34" s="20" t="n">
        <x:v>53</x:v>
      </x:c>
      <x:c r="V34" s="19" t="n">
        <x:f>IFERROR(TODAY()-DATEVALUE(C34),"")</x:f>
        <x:v>4</x:v>
      </x:c>
      <x:c r="W34" s="21" t="n">
        <x:f>ROUND(COUNTA(A34:K34)/11*100,0)</x:f>
        <x:v>100</x:v>
      </x:c>
      <x:c r="X34" s="18" t="str">
        <x:v>Google News RSS</x:v>
      </x:c>
      <x:c r="Y34" s="22" t="str">
        <x:v>https://news.google.com/rss/articles/CBMivAFBVV95cUxNZmZOMTZNVzY3bzRFemQxYkhvZ1cwOGZkRDRVSC1EenVzVlhMakw2Tjg2QjNmcFZiZFlqUlZWV0V1WWo3T0xUZDdHVFhMUFhxMXFlSjFpSnkxVWd4WDdESVE0SmZjNmlvdEZrVzl6a1NZRkI1RHlEbEpGcFFCbGZqMmFiMkVSUG9mVmRNWDVkRExEMC05d2k1M1Y1ZjZobndjYkFrLUF2eEZ4Q3VMWm0xakdqN2kyTXZvbVdLQg?oc=5</x:v>
      </x:c>
      <x:c r="Z34" s="18" t="n">
        <x:v>46271.00664351852</x:v>
      </x:c>
      <x:c r="AA34" s="18" t="n">
        <x:v>46275.38862103009</x:v>
      </x:c>
      <x:c r="AB34" s="18" t="str">
        <x:v>public_rss</x:v>
      </x:c>
      <x:c r="AC34" s="18" t="str">
        <x:v>READY</x:v>
      </x:c>
    </x:row>
    <x:row r="35">
      <x:c r="A35" s="18" t="str">
        <x:v>NYT-44-2e0dcef5a33d241d</x:v>
      </x:c>
      <x:c r="B35" s="18" t="str">
        <x:v>ICC: Dismisses Nigeria Kidnappings Petition for No Legal Basis - Wansom AI</x:v>
      </x:c>
      <x:c r="C35" s="18" t="str">
        <x:v>2026-09-04</x:v>
      </x:c>
      <x:c r="D35" s="18" t="n">
        <x:v>2026</x:v>
      </x:c>
      <x:c r="E35" s="18" t="str">
        <x:v>2026-09</x:v>
      </x:c>
      <x:c r="F35" s="18" t="str"/>
      <x:c r="G35" s="18" t="str">
        <x:v>International Criminal Court proceeding</x:v>
      </x:c>
      <x:c r="H35" s="18" t="str"/>
      <x:c r="I35" s="18" t="str">
        <x:v>Wansom AI</x:v>
      </x:c>
      <x:c r="J35" s="20" t="str"/>
      <x:c r="K35" s="18" t="str"/>
      <x:c r="L35" s="18" t="str">
        <x:v>ICC: Dismisses Nigeria Kidnappings Petition for No Legal Basis - Wansom AI</x:v>
      </x:c>
      <x:c r="M35" s="18" t="str">
        <x:v>Wansom AI</x:v>
      </x:c>
      <x:c r="N35" s="18" t="str">
        <x:v>International Criminal Court proceeding</x:v>
      </x:c>
      <x:c r="O35" s="18" t="n">
        <x:v>46269.30903935185</x:v>
      </x:c>
      <x:c r="P35" s="18" t="str">
        <x:v>https://www.wansom.ai</x:v>
      </x:c>
      <x:c r="Q35" s="18" t="str">
        <x:v>DEFINED_TERMINAL_OR_FEED_SCOPE</x:v>
      </x:c>
      <x:c r="R35" s="18" t="str">
        <x:v>news_icc_14d.json — published records loaded</x:v>
      </x:c>
      <x:c r="S35" s="18" t="str"/>
      <x:c r="T35" s="18" t="str"/>
      <x:c r="U35" s="20" t="n">
        <x:v>53</x:v>
      </x:c>
      <x:c r="V35" s="19" t="n">
        <x:f>IFERROR(TODAY()-DATEVALUE(C35),"")</x:f>
        <x:v>6</x:v>
      </x:c>
      <x:c r="W35" s="21" t="n">
        <x:f>ROUND(COUNTA(A35:K35)/11*100,0)</x:f>
        <x:v>100</x:v>
      </x:c>
      <x:c r="X35" s="18" t="str">
        <x:v>Google News RSS</x:v>
      </x:c>
      <x:c r="Y35" s="22" t="str">
        <x:v>https://news.google.com/rss/articles/CBMiyAFBVV95cUxQMEZxeG04eGhqMjY3TDRwNWstbTVWcEhiZVpmRDV1TGlFLUxBSHNZQUVsMGlmN0hWN0pLeExVcXNmMzkzbWV6VVExZjloOG80TFM5bXpRRmhNZXA4bkJxRE03ZGF3X1QzeEZsVTkzZGRBbmhnRjVfZmloSGphcGItV2ZUNHhiaGczanNyRGdndmR5WmxHWXZ0bUJNMWlBR1loeUZEVWZtSjZ3Y0FCZHZPZlZicUxpWUJWSG5XdnRzWU9XOHBNenRPag?oc=5</x:v>
      </x:c>
      <x:c r="Z35" s="18" t="n">
        <x:v>46269.30903935185</x:v>
      </x:c>
      <x:c r="AA35" s="18" t="n">
        <x:v>46275.38862103009</x:v>
      </x:c>
      <x:c r="AB35" s="18" t="str">
        <x:v>public_rss</x:v>
      </x:c>
      <x:c r="AC35" s="18" t="str">
        <x:v>READY</x:v>
      </x:c>
    </x:row>
    <x:row r="36">
      <x:c r="A36" s="18" t="str">
        <x:v>NYT-44-6acccfdc0b7eb25c</x:v>
      </x:c>
      <x:c r="B36" s="18" t="str">
        <x:v>How Nicaragua defended its ICJ case accusing Germany of complicity in Israel's genocide - Middle East Eye</x:v>
      </x:c>
      <x:c r="C36" s="18" t="str">
        <x:v>2026-09-09</x:v>
      </x:c>
      <x:c r="D36" s="18" t="n">
        <x:v>2026</x:v>
      </x:c>
      <x:c r="E36" s="18" t="str">
        <x:v>2026-09</x:v>
      </x:c>
      <x:c r="F36" s="18" t="str"/>
      <x:c r="G36" s="18" t="str">
        <x:v>International Criminal Court proceeding</x:v>
      </x:c>
      <x:c r="H36" s="18" t="str"/>
      <x:c r="I36" s="18" t="str">
        <x:v>Middle East Eye</x:v>
      </x:c>
      <x:c r="J36" s="20" t="str"/>
      <x:c r="K36" s="18" t="str"/>
      <x:c r="L36" s="18" t="str">
        <x:v>How Nicaragua defended its ICJ case accusing Germany of complicity in Israel's genocide - Middle East Eye</x:v>
      </x:c>
      <x:c r="M36" s="18" t="str">
        <x:v>Middle East Eye</x:v>
      </x:c>
      <x:c r="N36" s="18" t="str">
        <x:v>International Criminal Court proceeding</x:v>
      </x:c>
      <x:c r="O36" s="18" t="n">
        <x:v>46274.41778935185</x:v>
      </x:c>
      <x:c r="P36" s="18" t="str">
        <x:v>https://www.middleeasteye.net</x:v>
      </x:c>
      <x:c r="Q36" s="18" t="str">
        <x:v>DEFINED_TERMINAL_OR_FEED_SCOPE</x:v>
      </x:c>
      <x:c r="R36" s="18" t="str">
        <x:v>news_icc_14d.json — published records loaded</x:v>
      </x:c>
      <x:c r="S36" s="18" t="str"/>
      <x:c r="T36" s="18" t="str"/>
      <x:c r="U36" s="20" t="n">
        <x:v>53</x:v>
      </x:c>
      <x:c r="V36" s="19" t="n">
        <x:f>IFERROR(TODAY()-DATEVALUE(C36),"")</x:f>
        <x:v>1</x:v>
      </x:c>
      <x:c r="W36" s="21" t="n">
        <x:f>ROUND(COUNTA(A36:K36)/11*100,0)</x:f>
        <x:v>100</x:v>
      </x:c>
      <x:c r="X36" s="18" t="str">
        <x:v>Google News RSS</x:v>
      </x:c>
      <x:c r="Y36" s="22" t="str">
        <x:v>https://news.google.com/rss/articles/CBMirwFBVV95cUxOWXQtdDk1WkpHeHZYa3J2eGZSc3VpUDRnWkVSQzFiMFdhcmxUaWpTY0VfZnZCWE4ycDhxbmlEcW15TkNyMmhydG9udTJIQTR4cEhVNzhTVUF4T3ZRaTdoaC12eTJMQVZXRldTaWoydWpvSF9iSjdiNzJ6aTZFRTZlenJpanhSQkZ5dmdhTGN3NFlEdGN4OEV4dHdnZk02M0c1Q21OVGwxbnZ1YlVKdktZ?oc=5</x:v>
      </x:c>
      <x:c r="Z36" s="18" t="n">
        <x:v>46274.41778935185</x:v>
      </x:c>
      <x:c r="AA36" s="18" t="n">
        <x:v>46275.38862103009</x:v>
      </x:c>
      <x:c r="AB36" s="18" t="str">
        <x:v>public_rss</x:v>
      </x:c>
      <x:c r="AC36" s="18" t="str">
        <x:v>READY</x:v>
      </x:c>
    </x:row>
    <x:row r="37">
      <x:c r="A37" s="18" t="str">
        <x:v>NYT-44-00e63be063237208</x:v>
      </x:c>
      <x:c r="B37" s="18" t="str">
        <x:v>ICC prosecutors oppose Duterte bid to require expert verification for crowdsourced evidence - ABS-CBN</x:v>
      </x:c>
      <x:c r="C37" s="18" t="str">
        <x:v>2026-09-10</x:v>
      </x:c>
      <x:c r="D37" s="18" t="n">
        <x:v>2026</x:v>
      </x:c>
      <x:c r="E37" s="18" t="str">
        <x:v>2026-09</x:v>
      </x:c>
      <x:c r="F37" s="18" t="str"/>
      <x:c r="G37" s="18" t="str">
        <x:v>International Criminal Court proceeding</x:v>
      </x:c>
      <x:c r="H37" s="18" t="str"/>
      <x:c r="I37" s="18" t="str">
        <x:v>ABS-CBN</x:v>
      </x:c>
      <x:c r="J37" s="20" t="str"/>
      <x:c r="K37" s="18" t="str"/>
      <x:c r="L37" s="18" t="str">
        <x:v>ICC prosecutors oppose Duterte bid to require expert verification for crowdsourced evidence - ABS-CBN</x:v>
      </x:c>
      <x:c r="M37" s="18" t="str">
        <x:v>ABS-CBN</x:v>
      </x:c>
      <x:c r="N37" s="18" t="str">
        <x:v>International Criminal Court proceeding</x:v>
      </x:c>
      <x:c r="O37" s="18" t="n">
        <x:v>46275.27003472222</x:v>
      </x:c>
      <x:c r="P37" s="18" t="str">
        <x:v>https://www.abs-cbn.com</x:v>
      </x:c>
      <x:c r="Q37" s="18" t="str">
        <x:v>DEFINED_TERMINAL_OR_FEED_SCOPE</x:v>
      </x:c>
      <x:c r="R37" s="18" t="str">
        <x:v>news_icc_14d.json — published records loaded</x:v>
      </x:c>
      <x:c r="S37" s="18" t="str"/>
      <x:c r="T37" s="18" t="str"/>
      <x:c r="U37" s="20" t="n">
        <x:v>53</x:v>
      </x:c>
      <x:c r="V37" s="19" t="n">
        <x:f>IFERROR(TODAY()-DATEVALUE(C37),"")</x:f>
        <x:v>0</x:v>
      </x:c>
      <x:c r="W37" s="21" t="n">
        <x:f>ROUND(COUNTA(A37:K37)/11*100,0)</x:f>
        <x:v>100</x:v>
      </x:c>
      <x:c r="X37" s="18" t="str">
        <x:v>Google News RSS</x:v>
      </x:c>
      <x:c r="Y37" s="22" t="str">
        <x:v>https://news.google.com/rss/articles/CBMiuwFBVV95cUxQYUZFSHpxQVVyYlBCUnhFaEQ3a1Faa0xhMUItbzdiU2Y5aldXOTBTWWNORC13cFd0RkVkUFlKYy0yM1B0Qkp6cm43LTdRNnNsVmU5cGxfTlJqc0hnb2VmVHR5UlZzcUZDTHlEakN3YUtzM3J3MTVGankwN3BmeElZMjlQbGpaR1pzeDRsTEtQR05GWjBQU2JCLXRUZWZVYkFSZDFlTjNpMVd0MEdpaVpwbVBFUEU5WUZXeTlB?oc=5</x:v>
      </x:c>
      <x:c r="Z37" s="18" t="n">
        <x:v>46275.27003472222</x:v>
      </x:c>
      <x:c r="AA37" s="18" t="n">
        <x:v>46275.38862103009</x:v>
      </x:c>
      <x:c r="AB37" s="18" t="str">
        <x:v>public_rss</x:v>
      </x:c>
      <x:c r="AC37" s="18" t="str">
        <x:v>READY</x:v>
      </x:c>
    </x:row>
    <x:row r="38">
      <x:c r="A38" s="18" t="str">
        <x:v>NYT-44-48da6e34b935a209</x:v>
      </x:c>
      <x:c r="B38" s="18" t="str">
        <x:v>ICC: Nigeria Crimes Against Humanity Petition Dismissed - Wansom AI</x:v>
      </x:c>
      <x:c r="C38" s="18" t="str">
        <x:v>2026-09-03</x:v>
      </x:c>
      <x:c r="D38" s="18" t="n">
        <x:v>2026</x:v>
      </x:c>
      <x:c r="E38" s="18" t="str">
        <x:v>2026-09</x:v>
      </x:c>
      <x:c r="F38" s="18" t="str"/>
      <x:c r="G38" s="18" t="str">
        <x:v>International Criminal Court proceeding</x:v>
      </x:c>
      <x:c r="H38" s="18" t="str"/>
      <x:c r="I38" s="18" t="str">
        <x:v>Wansom AI</x:v>
      </x:c>
      <x:c r="J38" s="20" t="str"/>
      <x:c r="K38" s="18" t="str"/>
      <x:c r="L38" s="18" t="str">
        <x:v>ICC: Nigeria Crimes Against Humanity Petition Dismissed - Wansom AI</x:v>
      </x:c>
      <x:c r="M38" s="18" t="str">
        <x:v>Wansom AI</x:v>
      </x:c>
      <x:c r="N38" s="18" t="str">
        <x:v>International Criminal Court proceeding</x:v>
      </x:c>
      <x:c r="O38" s="18" t="n">
        <x:v>46268.82472222222</x:v>
      </x:c>
      <x:c r="P38" s="18" t="str">
        <x:v>https://www.wansom.ai</x:v>
      </x:c>
      <x:c r="Q38" s="18" t="str">
        <x:v>DEFINED_TERMINAL_OR_FEED_SCOPE</x:v>
      </x:c>
      <x:c r="R38" s="18" t="str">
        <x:v>news_icc_14d.json — published records loaded</x:v>
      </x:c>
      <x:c r="S38" s="18" t="str"/>
      <x:c r="T38" s="18" t="str"/>
      <x:c r="U38" s="20" t="n">
        <x:v>53</x:v>
      </x:c>
      <x:c r="V38" s="19" t="n">
        <x:f>IFERROR(TODAY()-DATEVALUE(C38),"")</x:f>
        <x:v>7</x:v>
      </x:c>
      <x:c r="W38" s="21" t="n">
        <x:f>ROUND(COUNTA(A38:K38)/11*100,0)</x:f>
        <x:v>100</x:v>
      </x:c>
      <x:c r="X38" s="18" t="str">
        <x:v>Google News RSS</x:v>
      </x:c>
      <x:c r="Y38" s="22" t="str">
        <x:v>https://news.google.com/rss/articles/CBMi3gFBVV95cUxNalBSRGYyRlNWQTgzWG1IWHBkamdVS0xFVmRUQ1ZLYTYyeHc5MmZ5S3ozUGQ5ZjdXcFAwVHVjaGgyY2g5WC1KOVlFX0tXVEJlTVRvcGEwWWJMX1dYWDMzWWNzaEkyMWhZV2NvNVByZXZtcUw1S0VMWExWNkxFRkhDZVRfLTJXQjEyeU1SSHo0MmdWZmhvMldBRFk4ZlN1anpBNENyVWhFcEg5WkFVdmo5Y21paDZaYXVqNF9yS3ZQNVJCd2hhVHczQ0FXcjZ3TDd6VkFYVHpHZzgzZjNQV2c?oc=5</x:v>
      </x:c>
      <x:c r="Z38" s="18" t="n">
        <x:v>46268.82472222222</x:v>
      </x:c>
      <x:c r="AA38" s="18" t="n">
        <x:v>46275.38862103009</x:v>
      </x:c>
      <x:c r="AB38" s="18" t="str">
        <x:v>public_rss</x:v>
      </x:c>
      <x:c r="AC38" s="18" t="str">
        <x:v>READY</x:v>
      </x:c>
    </x:row>
    <x:row r="39">
      <x:c r="A39" s="18" t="str">
        <x:v>NYT-44-4b1b78803e64f9bc</x:v>
      </x:c>
      <x:c r="B39" s="18" t="str">
        <x:v>ICC Dismisses Anonymous Petition Nigeria: AG Cites Procedural Breaches - Wansom AI</x:v>
      </x:c>
      <x:c r="C39" s="18" t="str">
        <x:v>2026-09-03</x:v>
      </x:c>
      <x:c r="D39" s="18" t="n">
        <x:v>2026</x:v>
      </x:c>
      <x:c r="E39" s="18" t="str">
        <x:v>2026-09</x:v>
      </x:c>
      <x:c r="F39" s="18" t="str"/>
      <x:c r="G39" s="18" t="str">
        <x:v>International Criminal Court proceeding</x:v>
      </x:c>
      <x:c r="H39" s="18" t="str"/>
      <x:c r="I39" s="18" t="str">
        <x:v>Wansom AI</x:v>
      </x:c>
      <x:c r="J39" s="20" t="str"/>
      <x:c r="K39" s="18" t="str"/>
      <x:c r="L39" s="18" t="str">
        <x:v>ICC Dismisses Anonymous Petition Nigeria: AG Cites Procedural Breaches - Wansom AI</x:v>
      </x:c>
      <x:c r="M39" s="18" t="str">
        <x:v>Wansom AI</x:v>
      </x:c>
      <x:c r="N39" s="18" t="str">
        <x:v>International Criminal Court proceeding</x:v>
      </x:c>
      <x:c r="O39" s="18" t="n">
        <x:v>46268.85787037037</x:v>
      </x:c>
      <x:c r="P39" s="18" t="str">
        <x:v>https://www.wansom.ai</x:v>
      </x:c>
      <x:c r="Q39" s="18" t="str">
        <x:v>DEFINED_TERMINAL_OR_FEED_SCOPE</x:v>
      </x:c>
      <x:c r="R39" s="18" t="str">
        <x:v>news_icc_14d.json — published records loaded</x:v>
      </x:c>
      <x:c r="S39" s="18" t="str"/>
      <x:c r="T39" s="18" t="str"/>
      <x:c r="U39" s="20" t="n">
        <x:v>53</x:v>
      </x:c>
      <x:c r="V39" s="19" t="n">
        <x:f>IFERROR(TODAY()-DATEVALUE(C39),"")</x:f>
        <x:v>7</x:v>
      </x:c>
      <x:c r="W39" s="21" t="n">
        <x:f>ROUND(COUNTA(A39:K39)/11*100,0)</x:f>
        <x:v>100</x:v>
      </x:c>
      <x:c r="X39" s="18" t="str">
        <x:v>Google News RSS</x:v>
      </x:c>
      <x:c r="Y39" s="22" t="str">
        <x:v>https://news.google.com/rss/articles/CBMiwgFBVV95cUxQZFFmR2doRFZLXzdWaXdnMEgweEhrek9CSTEzQjJySmRBMG9taTAzMFRDSVRpMm93YTVFa3hiUFhsLWVoc3BySHJ3T0tFTmJPcVRpNEtwOFBRVGwxTGxNNi00cUh3dHNrZTNMU2JyYmdtMk5KZHV5eDkydGVNTElPWXpkQnZybFNMOTE0S0J5bThwendYdWZJaGk0eHQ1cXl3NnRSeG1qODZSaFhlNG1vSkVNTllFRUNMQlpET0Ytd0ZJdw?oc=5</x:v>
      </x:c>
      <x:c r="Z39" s="18" t="n">
        <x:v>46268.85787037037</x:v>
      </x:c>
      <x:c r="AA39" s="18" t="n">
        <x:v>46275.38862103009</x:v>
      </x:c>
      <x:c r="AB39" s="18" t="str">
        <x:v>public_rss</x:v>
      </x:c>
      <x:c r="AC39" s="18" t="str">
        <x:v>READY</x:v>
      </x:c>
    </x:row>
    <x:row r="40">
      <x:c r="A40" s="18" t="str">
        <x:v>NYT-44-2d726e00db4bf7f0</x:v>
      </x:c>
      <x:c r="B40" s="18" t="str">
        <x:v>Lundin Oil Case: Legal expert explains why Sweden holds jurisdiction for 1990s Unity State Oil abuses - Eye Radio</x:v>
      </x:c>
      <x:c r="C40" s="18" t="str">
        <x:v>2026-09-02</x:v>
      </x:c>
      <x:c r="D40" s="18" t="n">
        <x:v>2026</x:v>
      </x:c>
      <x:c r="E40" s="18" t="str">
        <x:v>2026-09</x:v>
      </x:c>
      <x:c r="F40" s="18" t="str"/>
      <x:c r="G40" s="18" t="str">
        <x:v>International Criminal Court proceeding</x:v>
      </x:c>
      <x:c r="H40" s="18" t="str"/>
      <x:c r="I40" s="18" t="str">
        <x:v>Eye Radio</x:v>
      </x:c>
      <x:c r="J40" s="20" t="str"/>
      <x:c r="K40" s="18" t="str"/>
      <x:c r="L40" s="18" t="str">
        <x:v>Lundin Oil Case: Legal expert explains why Sweden holds jurisdiction for 1990s Unity State Oil abuses - Eye Radio</x:v>
      </x:c>
      <x:c r="M40" s="18" t="str">
        <x:v>Eye Radio</x:v>
      </x:c>
      <x:c r="N40" s="18" t="str">
        <x:v>International Criminal Court proceeding</x:v>
      </x:c>
      <x:c r="O40" s="18" t="n">
        <x:v>46267.25613425926</x:v>
      </x:c>
      <x:c r="P40" s="18" t="str">
        <x:v>https://www.eyeradio.org</x:v>
      </x:c>
      <x:c r="Q40" s="18" t="str">
        <x:v>DEFINED_TERMINAL_OR_FEED_SCOPE</x:v>
      </x:c>
      <x:c r="R40" s="18" t="str">
        <x:v>news_icc_14d.json — published records loaded</x:v>
      </x:c>
      <x:c r="S40" s="18" t="str"/>
      <x:c r="T40" s="18" t="str"/>
      <x:c r="U40" s="20" t="n">
        <x:v>53</x:v>
      </x:c>
      <x:c r="V40" s="19" t="n">
        <x:f>IFERROR(TODAY()-DATEVALUE(C40),"")</x:f>
        <x:v>8</x:v>
      </x:c>
      <x:c r="W40" s="21" t="n">
        <x:f>ROUND(COUNTA(A40:K40)/11*100,0)</x:f>
        <x:v>100</x:v>
      </x:c>
      <x:c r="X40" s="18" t="str">
        <x:v>Google News RSS</x:v>
      </x:c>
      <x:c r="Y40" s="22" t="str">
        <x:v>https://news.google.com/rss/articles/CBMixAFBVV95cUxPSWFoZDNILXYwNjdRdG9WbXJJS2hVVU5mQUwtTU1uUXRya0VIMnljdmFiVFlDenROYURKRmFYWWh6aFIycEIweHF0N1ZSZ3ZjT0pIdU1lTFBiMkRXZV9ZbVJXc0xfaXE0cWU2enFQaVV5eVpJdE9zVjBVNmF1TWp2YjZfaVc1VmxCYVQ0MlJhUEg4X3psaE9zck0yZkNYN3NjOFBRLUliSy1ZZVVQNk5Xa1VYM21rQXZ5MUxoX0FMdG9BR0FC0gHKAUFVX3lxTFBZOEg2RXZON2NCMzdlbnh6XzhveUxrQXpPRFFrT1FZeXdnenY5QTlmXzMzSlZKRjhyenkwUmFvVkhfeTJsS2F0ZTQtaWhSR051eVZrV2FqOVdCbzdTRUlqd01oTF9vcXc2YkhCbW9JR3BHR1I2elZ3Y2ljOUU1Nk1GS1kwb0sxUnJCSElPQVZ4cWFCMmtUX0ZNRmpVV1B0M3VzRkI4UGFQVy1tbERHTDhaLUtNWkdHZUhkUl9wb1FLb3RMZmRHdHZKUFE?oc=5</x:v>
      </x:c>
      <x:c r="Z40" s="18" t="n">
        <x:v>46267.25613425926</x:v>
      </x:c>
      <x:c r="AA40" s="18" t="n">
        <x:v>46275.38862103009</x:v>
      </x:c>
      <x:c r="AB40" s="18" t="str">
        <x:v>public_rss</x:v>
      </x:c>
      <x:c r="AC40" s="18" t="str">
        <x:v>READY</x:v>
      </x:c>
    </x:row>
    <x:row r="41">
      <x:c r="A41" s="18" t="str">
        <x:v>NYT-44-0d68c44eea3c71b2</x:v>
      </x:c>
      <x:c r="B41" s="18" t="str">
        <x:v>Germany Tells ICJ To Throw Out Nicaragua’s Gaza Genocide Case Over Arms Exports: 55 outlets compared - NewsCord</x:v>
      </x:c>
      <x:c r="C41" s="18" t="str">
        <x:v>2026-09-08</x:v>
      </x:c>
      <x:c r="D41" s="18" t="n">
        <x:v>2026</x:v>
      </x:c>
      <x:c r="E41" s="18" t="str">
        <x:v>2026-09</x:v>
      </x:c>
      <x:c r="F41" s="18" t="str"/>
      <x:c r="G41" s="18" t="str">
        <x:v>International Criminal Court proceeding</x:v>
      </x:c>
      <x:c r="H41" s="18" t="str"/>
      <x:c r="I41" s="18" t="str">
        <x:v>NewsCord</x:v>
      </x:c>
      <x:c r="J41" s="20" t="str"/>
      <x:c r="K41" s="18" t="str"/>
      <x:c r="L41" s="18" t="str">
        <x:v>Germany Tells ICJ To Throw Out Nicaragua’s Gaza Genocide Case Over Arms Exports: 55 outlets compared - NewsCord</x:v>
      </x:c>
      <x:c r="M41" s="18" t="str">
        <x:v>NewsCord</x:v>
      </x:c>
      <x:c r="N41" s="18" t="str">
        <x:v>International Criminal Court proceeding</x:v>
      </x:c>
      <x:c r="O41" s="18" t="n">
        <x:v>46273.07708333333</x:v>
      </x:c>
      <x:c r="P41" s="18" t="str">
        <x:v>https://newscord.org</x:v>
      </x:c>
      <x:c r="Q41" s="18" t="str">
        <x:v>DEFINED_TERMINAL_OR_FEED_SCOPE</x:v>
      </x:c>
      <x:c r="R41" s="18" t="str">
        <x:v>news_icc_14d.json — published records loaded</x:v>
      </x:c>
      <x:c r="S41" s="18" t="str"/>
      <x:c r="T41" s="18" t="str"/>
      <x:c r="U41" s="20" t="n">
        <x:v>53</x:v>
      </x:c>
      <x:c r="V41" s="19" t="n">
        <x:f>IFERROR(TODAY()-DATEVALUE(C41),"")</x:f>
        <x:v>2</x:v>
      </x:c>
      <x:c r="W41" s="21" t="n">
        <x:f>ROUND(COUNTA(A41:K41)/11*100,0)</x:f>
        <x:v>100</x:v>
      </x:c>
      <x:c r="X41" s="18" t="str">
        <x:v>Google News RSS</x:v>
      </x:c>
      <x:c r="Y41" s="22" t="str">
        <x:v>https://news.google.com/rss/articles/CBMi6gFBVV95cUxQS1hKVlhRMkxFM1JwNzB3MUd6aGVxQ1QzOTJoQ2NkaTBGSWN1S3hiRDZjdldBUEQxUThqRUpMTzFOemdIMEFmZjhuck1wMGJtcGQ0ZFU0SURJY1E3ajRCcWhBUXJlVmFpbHREdHFZV2xXVGdNOWZJNHhzTFJZMFR2UEczT2NzYXZUa0VxNndFUHFvNlZ0M253bENyVnBGWkgwUTQ0U1Z6OXJQaktJZFhOQ2I2SFFmU3RpNHdHNGpfNURlY2Y1V0ZQR3h2SkpTWmlUenk2TVl6NXZUVnFlR2ZFYkFpd2lmNHkxc0E?oc=5</x:v>
      </x:c>
      <x:c r="Z41" s="18" t="n">
        <x:v>46273.07708333333</x:v>
      </x:c>
      <x:c r="AA41" s="18" t="n">
        <x:v>46275.38862103009</x:v>
      </x:c>
      <x:c r="AB41" s="18" t="str">
        <x:v>public_rss</x:v>
      </x:c>
      <x:c r="AC41" s="18" t="str">
        <x:v>READY</x:v>
      </x:c>
    </x:row>
    <x:row r="42">
      <x:c r="A42" s="18" t="str">
        <x:v>NYT-44-7903841fef093339</x:v>
      </x:c>
      <x:c r="B42" s="18" t="str">
        <x:v>International Criminal Court Suspends Chief Prosecutor Over Misconduct Allegations - İlke Haber Ajansı</x:v>
      </x:c>
      <x:c r="C42" s="18" t="str">
        <x:v>2026-09-06</x:v>
      </x:c>
      <x:c r="D42" s="18" t="n">
        <x:v>2026</x:v>
      </x:c>
      <x:c r="E42" s="18" t="str">
        <x:v>2026-09</x:v>
      </x:c>
      <x:c r="F42" s="18" t="str"/>
      <x:c r="G42" s="18" t="str">
        <x:v>International Criminal Court proceeding</x:v>
      </x:c>
      <x:c r="H42" s="18" t="str"/>
      <x:c r="I42" s="18" t="str">
        <x:v>İlke Haber Ajansı</x:v>
      </x:c>
      <x:c r="J42" s="20" t="str"/>
      <x:c r="K42" s="18" t="str"/>
      <x:c r="L42" s="18" t="str">
        <x:v>International Criminal Court Suspends Chief Prosecutor Over Misconduct Allegations - İlke Haber Ajansı</x:v>
      </x:c>
      <x:c r="M42" s="18" t="str">
        <x:v>İlke Haber Ajansı</x:v>
      </x:c>
      <x:c r="N42" s="18" t="str">
        <x:v>International Criminal Court proceeding</x:v>
      </x:c>
      <x:c r="O42" s="18" t="n">
        <x:v>46271.291666666664</x:v>
      </x:c>
      <x:c r="P42" s="18" t="str">
        <x:v>https://ilkha.com</x:v>
      </x:c>
      <x:c r="Q42" s="18" t="str">
        <x:v>DEFINED_TERMINAL_OR_FEED_SCOPE</x:v>
      </x:c>
      <x:c r="R42" s="18" t="str">
        <x:v>news_icc_14d.json — published records loaded</x:v>
      </x:c>
      <x:c r="S42" s="18" t="str"/>
      <x:c r="T42" s="18" t="str"/>
      <x:c r="U42" s="20" t="n">
        <x:v>53</x:v>
      </x:c>
      <x:c r="V42" s="19" t="n">
        <x:f>IFERROR(TODAY()-DATEVALUE(C42),"")</x:f>
        <x:v>4</x:v>
      </x:c>
      <x:c r="W42" s="21" t="n">
        <x:f>ROUND(COUNTA(A42:K42)/11*100,0)</x:f>
        <x:v>100</x:v>
      </x:c>
      <x:c r="X42" s="18" t="str">
        <x:v>Google News RSS</x:v>
      </x:c>
      <x:c r="Y42" s="22" t="str">
        <x:v>https://news.google.com/rss/articles/CBMivgFBVV95cUxPekZjdUZKYzZqUUdhN25xamJJZEk4VWZtZmdnd0hNX2lPLWF1STNsZzlYS212SU4xM0VEMHZsY09ZX3dIX3hoYUg0Qkt2YUc0enlxMkRMS3l2VWp6XzJybjhXSGxUTGl6UXphUUZkME15QzFXemFicTZvOTVmTVJlYXUzaU1zbUc4X3VvRUp2ZkxCa3VJbmZlakNYTkhBRnQ1eWR3VG5GWFpuaE9WZEN6b2tKbVFFeC1CQUN5eTVR?oc=5</x:v>
      </x:c>
      <x:c r="Z42" s="18" t="n">
        <x:v>46271.291666666664</x:v>
      </x:c>
      <x:c r="AA42" s="18" t="n">
        <x:v>46275.38862103009</x:v>
      </x:c>
      <x:c r="AB42" s="18" t="str">
        <x:v>public_rss</x:v>
      </x:c>
      <x:c r="AC42" s="18" t="str">
        <x:v>READY</x:v>
      </x:c>
    </x:row>
    <x:row r="43">
      <x:c r="A43" s="18" t="str">
        <x:v>NYT-44-44cd8aa000750bee</x:v>
      </x:c>
      <x:c r="B43" s="18" t="str">
        <x:v>Digong's defense laments sharp increase in evidence pre-trial, pleads ICC to revise e-filing rules - Daily Tribune</x:v>
      </x:c>
      <x:c r="C43" s="18" t="str">
        <x:v>2026-09-04</x:v>
      </x:c>
      <x:c r="D43" s="18" t="n">
        <x:v>2026</x:v>
      </x:c>
      <x:c r="E43" s="18" t="str">
        <x:v>2026-09</x:v>
      </x:c>
      <x:c r="F43" s="18" t="str"/>
      <x:c r="G43" s="18" t="str">
        <x:v>International Criminal Court proceeding</x:v>
      </x:c>
      <x:c r="H43" s="18" t="str"/>
      <x:c r="I43" s="18" t="str">
        <x:v>Daily Tribune</x:v>
      </x:c>
      <x:c r="J43" s="20" t="str"/>
      <x:c r="K43" s="18" t="str"/>
      <x:c r="L43" s="18" t="str">
        <x:v>Digong's defense laments sharp increase in evidence pre-trial, pleads ICC to revise e-filing rules - Daily Tribune</x:v>
      </x:c>
      <x:c r="M43" s="18" t="str">
        <x:v>Daily Tribune</x:v>
      </x:c>
      <x:c r="N43" s="18" t="str">
        <x:v>International Criminal Court proceeding</x:v>
      </x:c>
      <x:c r="O43" s="18" t="n">
        <x:v>46269.55538194445</x:v>
      </x:c>
      <x:c r="P43" s="18" t="str">
        <x:v>https://tribune.net.ph</x:v>
      </x:c>
      <x:c r="Q43" s="18" t="str">
        <x:v>DEFINED_TERMINAL_OR_FEED_SCOPE</x:v>
      </x:c>
      <x:c r="R43" s="18" t="str">
        <x:v>news_icc_14d.json — published records loaded</x:v>
      </x:c>
      <x:c r="S43" s="18" t="str"/>
      <x:c r="T43" s="18" t="str"/>
      <x:c r="U43" s="20" t="n">
        <x:v>53</x:v>
      </x:c>
      <x:c r="V43" s="19" t="n">
        <x:f>IFERROR(TODAY()-DATEVALUE(C43),"")</x:f>
        <x:v>6</x:v>
      </x:c>
      <x:c r="W43" s="21" t="n">
        <x:f>ROUND(COUNTA(A43:K43)/11*100,0)</x:f>
        <x:v>100</x:v>
      </x:c>
      <x:c r="X43" s="18" t="str">
        <x:v>Google News RSS</x:v>
      </x:c>
      <x:c r="Y43" s="22" t="str">
        <x:v>https://news.google.com/rss/articles/CBMiygFBVV95cUxQcVdUSDgyQ01kSjZLMml5dEI3MFJQYWhkRmZFdmpaa0d1aTR3NndtZUUyVWVNQ2QyY1p4V2ZEMXkxbHBmTzZiV0E4alR2ZFZyOXRzUjhWM3liR3NlTlI2YWdSbE0tc1Q2WkFaSFFSWHNnWlVXRm5idkVHZHlfOEc1TlJYOEp2S2RORVo4a05yak4yaERiR3kzRWVUSzdxUnpLeldDZGpjWTRDS0c4ZzB2bFJUcXVVX3VZVVhWd1Rfb0o4ZjNjTkV2bEV3?oc=5</x:v>
      </x:c>
      <x:c r="Z43" s="18" t="n">
        <x:v>46269.55538194445</x:v>
      </x:c>
      <x:c r="AA43" s="18" t="n">
        <x:v>46275.38862103009</x:v>
      </x:c>
      <x:c r="AB43" s="18" t="str">
        <x:v>public_rss</x:v>
      </x:c>
      <x:c r="AC43" s="18" t="str">
        <x:v>READY</x:v>
      </x:c>
    </x:row>
    <x:row r="44">
      <x:c r="A44" s="18" t="str">
        <x:v>NYT-44-4dc19e35c4e85157</x:v>
      </x:c>
      <x:c r="B44" s="18" t="str">
        <x:v>CIDG-NCR Chief PCol. John Guiagui arrived at the Sandiganbayan on Tuesday morning for the return of warrant of former House Speaker Martin Romualdez. | via Bea Cuadra, ABS-CBN News - facebook.com</x:v>
      </x:c>
      <x:c r="C44" s="18" t="str">
        <x:v>2026-09-08</x:v>
      </x:c>
      <x:c r="D44" s="18" t="n">
        <x:v>2026</x:v>
      </x:c>
      <x:c r="E44" s="18" t="str">
        <x:v>2026-09</x:v>
      </x:c>
      <x:c r="F44" s="18" t="str"/>
      <x:c r="G44" s="18" t="str">
        <x:v>International Criminal Court proceeding</x:v>
      </x:c>
      <x:c r="H44" s="18" t="str"/>
      <x:c r="I44" s="18" t="str">
        <x:v>facebook.com</x:v>
      </x:c>
      <x:c r="J44" s="20" t="str"/>
      <x:c r="K44" s="18" t="str"/>
      <x:c r="L44" s="18" t="str">
        <x:v>CIDG-NCR Chief PCol. John Guiagui arrived at the Sandiganbayan on Tuesday morning for the return of warrant of former House Speaker Martin Romualdez. | via Bea Cuadra, ABS-CBN News - facebook.com</x:v>
      </x:c>
      <x:c r="M44" s="18" t="str">
        <x:v>facebook.com</x:v>
      </x:c>
      <x:c r="N44" s="18" t="str">
        <x:v>International Criminal Court proceeding</x:v>
      </x:c>
      <x:c r="O44" s="18" t="n">
        <x:v>46273.049305555556</x:v>
      </x:c>
      <x:c r="P44" s="18" t="str">
        <x:v>https://www.facebook.com</x:v>
      </x:c>
      <x:c r="Q44" s="18" t="str">
        <x:v>DEFINED_TERMINAL_OR_FEED_SCOPE</x:v>
      </x:c>
      <x:c r="R44" s="18" t="str">
        <x:v>news_icc_14d.json — published records loaded</x:v>
      </x:c>
      <x:c r="S44" s="18" t="str"/>
      <x:c r="T44" s="18" t="str"/>
      <x:c r="U44" s="20" t="n">
        <x:v>53</x:v>
      </x:c>
      <x:c r="V44" s="19" t="n">
        <x:f>IFERROR(TODAY()-DATEVALUE(C44),"")</x:f>
        <x:v>2</x:v>
      </x:c>
      <x:c r="W44" s="21" t="n">
        <x:f>ROUND(COUNTA(A44:K44)/11*100,0)</x:f>
        <x:v>100</x:v>
      </x:c>
      <x:c r="X44" s="18" t="str">
        <x:v>Google News RSS</x:v>
      </x:c>
      <x:c r="Y44" s="22" t="str">
        <x:v>https://news.google.com/rss/articles/CBMi2AFBVV95cUxNN1hia0hLQU1VSmZNd3BrN3hwOVNKanVQMEtUR2lQUDNtLUdVa2JkODBqMVVFSWQxeUdQX1BJeVVHcV9jOGFZdE9yZFd5b2lkTzI2RWVrNDlzLUcyam1Yei10enR0QVNVYmJ5MTB1ZVJYMll0M0N1WlY3eG1ZanFHNGtTM0FzOGQxYkFDcTNoSENFblYxUk5aLXRZYm90cmZ4dUVzeng1SUxuMlJnNEh3MlBxRHcwSDJ1SzNYa3JodDg0TmNVNHBLSUV6UGtYbW81RG5kdUhVNEo?oc=5</x:v>
      </x:c>
      <x:c r="Z44" s="18" t="n">
        <x:v>46273.049305555556</x:v>
      </x:c>
      <x:c r="AA44" s="18" t="n">
        <x:v>46275.38862103009</x:v>
      </x:c>
      <x:c r="AB44" s="18" t="str">
        <x:v>public_rss</x:v>
      </x:c>
      <x:c r="AC44" s="18" t="str">
        <x:v>READY</x:v>
      </x:c>
    </x:row>
    <x:row r="45">
      <x:c r="A45" s="18" t="str">
        <x:v>NYT-44-7b57b073c11fe15c</x:v>
      </x:c>
      <x:c r="B45" s="18" t="str">
        <x:v>Prosecutors ask ICC to examine docs linking Rodrigo Duterte to DDS - Inquirer.net</x:v>
      </x:c>
      <x:c r="C45" s="18" t="str">
        <x:v>2026-09-08</x:v>
      </x:c>
      <x:c r="D45" s="18" t="n">
        <x:v>2026</x:v>
      </x:c>
      <x:c r="E45" s="18" t="str">
        <x:v>2026-09</x:v>
      </x:c>
      <x:c r="F45" s="18" t="str"/>
      <x:c r="G45" s="18" t="str">
        <x:v>International Criminal Court proceeding</x:v>
      </x:c>
      <x:c r="H45" s="18" t="str"/>
      <x:c r="I45" s="18" t="str">
        <x:v>Inquirer.net</x:v>
      </x:c>
      <x:c r="J45" s="20" t="str"/>
      <x:c r="K45" s="18" t="str"/>
      <x:c r="L45" s="18" t="str">
        <x:v>Prosecutors ask ICC to examine docs linking Rodrigo Duterte to DDS - Inquirer.net</x:v>
      </x:c>
      <x:c r="M45" s="18" t="str">
        <x:v>Inquirer.net</x:v>
      </x:c>
      <x:c r="N45" s="18" t="str">
        <x:v>International Criminal Court proceeding</x:v>
      </x:c>
      <x:c r="O45" s="18" t="n">
        <x:v>46273.066666666666</x:v>
      </x:c>
      <x:c r="P45" s="18" t="str">
        <x:v>https://globalnation.inquirer.net</x:v>
      </x:c>
      <x:c r="Q45" s="18" t="str">
        <x:v>DEFINED_TERMINAL_OR_FEED_SCOPE</x:v>
      </x:c>
      <x:c r="R45" s="18" t="str">
        <x:v>news_icc_14d.json — published records loaded</x:v>
      </x:c>
      <x:c r="S45" s="18" t="str"/>
      <x:c r="T45" s="18" t="str"/>
      <x:c r="U45" s="20" t="n">
        <x:v>53</x:v>
      </x:c>
      <x:c r="V45" s="19" t="n">
        <x:f>IFERROR(TODAY()-DATEVALUE(C45),"")</x:f>
        <x:v>2</x:v>
      </x:c>
      <x:c r="W45" s="21" t="n">
        <x:f>ROUND(COUNTA(A45:K45)/11*100,0)</x:f>
        <x:v>100</x:v>
      </x:c>
      <x:c r="X45" s="18" t="str">
        <x:v>Google News RSS</x:v>
      </x:c>
      <x:c r="Y45" s="22" t="str">
        <x:v>https://news.google.com/rss/articles/CBMisgFBVV95cUxORHdCemx0YTJyUkFRdVo0S1BZellCWloyblFaOGY4Wi0tZE9ha2ItTVQwUUgtQnM1dEhCVnFyWFVwSlZUNnVCX2cteVo3NVk3YmJhQ1oxaGdWdUR1VkRGOXYwaTFFLUVpSzRWZ2FNNjhsa1ZUdlhsZWpERzVDN3JBX1ZXYkZfbFFBZmM3TW9QUWRBWE02MmFUZUhiX1dBVjBPSDh5MmFqclVXc1lGdVVaR2hn0gG3AUFVX3lxTFA0LWpVUzliY0JldVlZRGFnbEVFSkZWTGhMZ3lweW9NRV9YYVZTNHBfSXpJeXZJOTFPVjBPVU00dURLUXEwQVZOU3ZTX0c4cXJ6WFVZV3Bub29KU2dxaElwZlkzV2Qwb2xvSlFSN1FfNkt5RHRkNHkwaWp0WF9ObG40TlA3TkNweUh2Y2VDQmY2OG9GXzBCRGNzNUN3RzdwN0JBV0gxS0I5SEVfSTlQLTlfOFd5R0ZjNA?oc=5</x:v>
      </x:c>
      <x:c r="Z45" s="18" t="n">
        <x:v>46273.066666666666</x:v>
      </x:c>
      <x:c r="AA45" s="18" t="n">
        <x:v>46275.38862103009</x:v>
      </x:c>
      <x:c r="AB45" s="18" t="str">
        <x:v>public_rss</x:v>
      </x:c>
      <x:c r="AC45" s="18" t="str">
        <x:v>READY</x:v>
      </x:c>
    </x:row>
    <x:row r="46">
      <x:c r="A46" s="18" t="str">
        <x:v>NYT-44-7501430b28bd9ea7</x:v>
      </x:c>
      <x:c r="B46" s="18" t="str">
        <x:v>Duterte lawyer asks ICC to screen digital evidence before November 30 trial - Philippine Canadian Inquirer</x:v>
      </x:c>
      <x:c r="C46" s="18" t="str">
        <x:v>2026-09-05</x:v>
      </x:c>
      <x:c r="D46" s="18" t="n">
        <x:v>2026</x:v>
      </x:c>
      <x:c r="E46" s="18" t="str">
        <x:v>2026-09</x:v>
      </x:c>
      <x:c r="F46" s="18" t="str"/>
      <x:c r="G46" s="18" t="str">
        <x:v>International Criminal Court proceeding</x:v>
      </x:c>
      <x:c r="H46" s="18" t="str"/>
      <x:c r="I46" s="18" t="str">
        <x:v>Philippine Canadian Inquirer</x:v>
      </x:c>
      <x:c r="J46" s="20" t="str"/>
      <x:c r="K46" s="18" t="str"/>
      <x:c r="L46" s="18" t="str">
        <x:v>Duterte lawyer asks ICC to screen digital evidence before November 30 trial - Philippine Canadian Inquirer</x:v>
      </x:c>
      <x:c r="M46" s="18" t="str">
        <x:v>Philippine Canadian Inquirer</x:v>
      </x:c>
      <x:c r="N46" s="18" t="str">
        <x:v>International Criminal Court proceeding</x:v>
      </x:c>
      <x:c r="O46" s="18" t="n">
        <x:v>46270.953125</x:v>
      </x:c>
      <x:c r="P46" s="18" t="str">
        <x:v>https://canadianinquirer.net</x:v>
      </x:c>
      <x:c r="Q46" s="18" t="str">
        <x:v>DEFINED_TERMINAL_OR_FEED_SCOPE</x:v>
      </x:c>
      <x:c r="R46" s="18" t="str">
        <x:v>news_icc_14d.json — published records loaded</x:v>
      </x:c>
      <x:c r="S46" s="18" t="str"/>
      <x:c r="T46" s="18" t="str"/>
      <x:c r="U46" s="20" t="n">
        <x:v>53</x:v>
      </x:c>
      <x:c r="V46" s="19" t="n">
        <x:f>IFERROR(TODAY()-DATEVALUE(C46),"")</x:f>
        <x:v>5</x:v>
      </x:c>
      <x:c r="W46" s="21" t="n">
        <x:f>ROUND(COUNTA(A46:K46)/11*100,0)</x:f>
        <x:v>100</x:v>
      </x:c>
      <x:c r="X46" s="18" t="str">
        <x:v>Google News RSS</x:v>
      </x:c>
      <x:c r="Y46" s="22" t="str">
        <x:v>https://news.google.com/rss/articles/CBMitwFBVV95cUxQNEJwTlA5TFlDTVdaR2Z4cXN3dHhYM2tfaE5BR1hLTDNXOGZBM24wZ3Ryb2dwenBOSmI1OVQ2RkZBSkhyRGFlMG9vM3J2Y1o1ZEZ3N2VLNUZ1Ni02RUk1Wl94eDRfdGdoRDNuMVNhMlh4OXAtMjBJa2F6T3pTencyRldfaHZRWkVsTXNXTFQ3QkxHT3NHTFp3bkRocUZIX1JrSWZWOF90aFpTYkNhb0NUZUVVQmQyeHc?oc=5</x:v>
      </x:c>
      <x:c r="Z46" s="18" t="n">
        <x:v>46270.953125</x:v>
      </x:c>
      <x:c r="AA46" s="18" t="n">
        <x:v>46275.38862103009</x:v>
      </x:c>
      <x:c r="AB46" s="18" t="str">
        <x:v>public_rss</x:v>
      </x:c>
      <x:c r="AC46" s="18" t="str">
        <x:v>READY</x:v>
      </x:c>
    </x:row>
    <x:row r="47">
      <x:c r="A47" s="18" t="str">
        <x:v>NYT-44-b32733aadbcc59c5</x:v>
      </x:c>
      <x:c r="B47" s="18" t="str">
        <x:v>Nigeria’s kidnapping crisis has reached the Hague. Here is what the ICC decision means - TheCable</x:v>
      </x:c>
      <x:c r="C47" s="18" t="str">
        <x:v>2026-08-27</x:v>
      </x:c>
      <x:c r="D47" s="18" t="n">
        <x:v>2026</x:v>
      </x:c>
      <x:c r="E47" s="18" t="str">
        <x:v>2026-08</x:v>
      </x:c>
      <x:c r="F47" s="18" t="str"/>
      <x:c r="G47" s="18" t="str">
        <x:v>International Criminal Court proceeding</x:v>
      </x:c>
      <x:c r="H47" s="18" t="str"/>
      <x:c r="I47" s="18" t="str">
        <x:v>TheCable</x:v>
      </x:c>
      <x:c r="J47" s="20" t="str"/>
      <x:c r="K47" s="18" t="str"/>
      <x:c r="L47" s="18" t="str">
        <x:v>Nigeria’s kidnapping crisis has reached the Hague. Here is what the ICC decision means - TheCable</x:v>
      </x:c>
      <x:c r="M47" s="18" t="str">
        <x:v>TheCable</x:v>
      </x:c>
      <x:c r="N47" s="18" t="str">
        <x:v>International Criminal Court proceeding</x:v>
      </x:c>
      <x:c r="O47" s="18" t="n">
        <x:v>46261.82916666667</x:v>
      </x:c>
      <x:c r="P47" s="18" t="str">
        <x:v>https://www.thecable.ng</x:v>
      </x:c>
      <x:c r="Q47" s="18" t="str">
        <x:v>DEFINED_TERMINAL_OR_FEED_SCOPE</x:v>
      </x:c>
      <x:c r="R47" s="18" t="str">
        <x:v>news_icc_14d.json — published records loaded</x:v>
      </x:c>
      <x:c r="S47" s="18" t="str"/>
      <x:c r="T47" s="18" t="str"/>
      <x:c r="U47" s="20" t="n">
        <x:v>53</x:v>
      </x:c>
      <x:c r="V47" s="19" t="n">
        <x:f>IFERROR(TODAY()-DATEVALUE(C47),"")</x:f>
        <x:v>14</x:v>
      </x:c>
      <x:c r="W47" s="21" t="n">
        <x:f>ROUND(COUNTA(A47:K47)/11*100,0)</x:f>
        <x:v>100</x:v>
      </x:c>
      <x:c r="X47" s="18" t="str">
        <x:v>Google News RSS</x:v>
      </x:c>
      <x:c r="Y47" s="22" t="str">
        <x:v>https://news.google.com/rss/articles/CBMirgFBVV95cUxNbjd1dHE3ODJGbjJmOUp5RlFSX3NQeDVNXzlJdkFKQzBubGRqajBNc3BMUURZaGtONjJyUEdqUUJKcEhYSXNOM1dTSndJYVFBVDZOeUhxNExKTVRUcG1RckF3Wk5rcHYwTEEwVTI1Z1lYTTFSVUZ0RTg1dlZKMVpKcXVRZUtsZFlkTUNSdnVVZVhydDlqa3lSLWxCblN1N0NSUnhxRFFBNzE3NVY4LUE?oc=5</x:v>
      </x:c>
      <x:c r="Z47" s="18" t="n">
        <x:v>46261.82916666667</x:v>
      </x:c>
      <x:c r="AA47" s="18" t="n">
        <x:v>46275.38862103009</x:v>
      </x:c>
      <x:c r="AB47" s="18" t="str">
        <x:v>public_rss</x:v>
      </x:c>
      <x:c r="AC47" s="18" t="str">
        <x:v>READY</x:v>
      </x:c>
    </x:row>
    <x:row r="48">
      <x:c r="A48" s="18" t="str">
        <x:v>NYT-44-5fb2c9665c3638d3</x:v>
      </x:c>
      <x:c r="B48" s="18" t="str">
        <x:v>ICC Prosecutors Seek Video Testimony Linking Duterte to Davao Death Squad in Crimes Against Humanity Case - Daily Tribune</x:v>
      </x:c>
      <x:c r="C48" s="18" t="str">
        <x:v>2026-09-08</x:v>
      </x:c>
      <x:c r="D48" s="18" t="n">
        <x:v>2026</x:v>
      </x:c>
      <x:c r="E48" s="18" t="str">
        <x:v>2026-09</x:v>
      </x:c>
      <x:c r="F48" s="18" t="str"/>
      <x:c r="G48" s="18" t="str">
        <x:v>International Criminal Court proceeding</x:v>
      </x:c>
      <x:c r="H48" s="18" t="str"/>
      <x:c r="I48" s="18" t="str">
        <x:v>Daily Tribune</x:v>
      </x:c>
      <x:c r="J48" s="20" t="str"/>
      <x:c r="K48" s="18" t="str"/>
      <x:c r="L48" s="18" t="str">
        <x:v>ICC Prosecutors Seek Video Testimony Linking Duterte to Davao Death Squad in Crimes Against Humanity Case - Daily Tribune</x:v>
      </x:c>
      <x:c r="M48" s="18" t="str">
        <x:v>Daily Tribune</x:v>
      </x:c>
      <x:c r="N48" s="18" t="str">
        <x:v>International Criminal Court proceeding</x:v>
      </x:c>
      <x:c r="O48" s="18" t="n">
        <x:v>46273.15081018519</x:v>
      </x:c>
      <x:c r="P48" s="18" t="str">
        <x:v>https://tribune.net.ph</x:v>
      </x:c>
      <x:c r="Q48" s="18" t="str">
        <x:v>DEFINED_TERMINAL_OR_FEED_SCOPE</x:v>
      </x:c>
      <x:c r="R48" s="18" t="str">
        <x:v>news_icc_14d.json — published records loaded</x:v>
      </x:c>
      <x:c r="S48" s="18" t="str"/>
      <x:c r="T48" s="18" t="str"/>
      <x:c r="U48" s="20" t="n">
        <x:v>53</x:v>
      </x:c>
      <x:c r="V48" s="19" t="n">
        <x:f>IFERROR(TODAY()-DATEVALUE(C48),"")</x:f>
        <x:v>2</x:v>
      </x:c>
      <x:c r="W48" s="21" t="n">
        <x:f>ROUND(COUNTA(A48:K48)/11*100,0)</x:f>
        <x:v>100</x:v>
      </x:c>
      <x:c r="X48" s="18" t="str">
        <x:v>Google News RSS</x:v>
      </x:c>
      <x:c r="Y48" s="22" t="str">
        <x:v>https://news.google.com/rss/articles/CBMi1AFBVV95cUxOOFpUOFZjc2t4SVRjcDNLbmF5NkZ0djRLZEdtN0dBTFdaVHlsemVud0hyY0dJSzNNb3NIX0JUX3JRYTd0bk5FSmg0V1ZDSmxMV3FxSHdLU1hSaTlvQjBVckl6aVVtVFdmVzlPZmdQbVBYMkZOYThzdlYtLWpnbG9oQVlOSElBTXhhR1F5QzRmYzlXTlZ4cEIxZGpmQXJYeDVJVjdISVN4ajBJZlBEbXFnTG5tNHlqUWRCZFM3Q0ZMRWdteWt4REJmYnljblBiUV9jYWcwRw?oc=5</x:v>
      </x:c>
      <x:c r="Z48" s="18" t="n">
        <x:v>46273.15081018519</x:v>
      </x:c>
      <x:c r="AA48" s="18" t="n">
        <x:v>46275.38862103009</x:v>
      </x:c>
      <x:c r="AB48" s="18" t="str">
        <x:v>public_rss</x:v>
      </x:c>
      <x:c r="AC48" s="18" t="str">
        <x:v>READY</x:v>
      </x:c>
    </x:row>
    <x:row r="49">
      <x:c r="A49" s="18" t="str">
        <x:v>NYT-44-21e3997ef16034fc</x:v>
      </x:c>
      <x:c r="B49" s="18" t="str">
        <x:v>ICC prosecution asks to include prior testimony of witness in Rodrigo Duterte case - GMA Network</x:v>
      </x:c>
      <x:c r="C49" s="18" t="str">
        <x:v>2026-09-08</x:v>
      </x:c>
      <x:c r="D49" s="18" t="n">
        <x:v>2026</x:v>
      </x:c>
      <x:c r="E49" s="18" t="str">
        <x:v>2026-09</x:v>
      </x:c>
      <x:c r="F49" s="18" t="str"/>
      <x:c r="G49" s="18" t="str">
        <x:v>International Criminal Court proceeding</x:v>
      </x:c>
      <x:c r="H49" s="18" t="str"/>
      <x:c r="I49" s="18" t="str">
        <x:v>GMA Network</x:v>
      </x:c>
      <x:c r="J49" s="20" t="str"/>
      <x:c r="K49" s="18" t="str"/>
      <x:c r="L49" s="18" t="str">
        <x:v>ICC prosecution asks to include prior testimony of witness in Rodrigo Duterte case - GMA Network</x:v>
      </x:c>
      <x:c r="M49" s="18" t="str">
        <x:v>GMA Network</x:v>
      </x:c>
      <x:c r="N49" s="18" t="str">
        <x:v>International Criminal Court proceeding</x:v>
      </x:c>
      <x:c r="O49" s="18" t="n">
        <x:v>46273.04789351852</x:v>
      </x:c>
      <x:c r="P49" s="18" t="str">
        <x:v>https://www.gmanetwork.com</x:v>
      </x:c>
      <x:c r="Q49" s="18" t="str">
        <x:v>DEFINED_TERMINAL_OR_FEED_SCOPE</x:v>
      </x:c>
      <x:c r="R49" s="18" t="str">
        <x:v>news_icc_14d.json — published records loaded</x:v>
      </x:c>
      <x:c r="S49" s="18" t="str"/>
      <x:c r="T49" s="18" t="str"/>
      <x:c r="U49" s="20" t="n">
        <x:v>53</x:v>
      </x:c>
      <x:c r="V49" s="19" t="n">
        <x:f>IFERROR(TODAY()-DATEVALUE(C49),"")</x:f>
        <x:v>2</x:v>
      </x:c>
      <x:c r="W49" s="21" t="n">
        <x:f>ROUND(COUNTA(A49:K49)/11*100,0)</x:f>
        <x:v>100</x:v>
      </x:c>
      <x:c r="X49" s="18" t="str">
        <x:v>Google News RSS</x:v>
      </x:c>
      <x:c r="Y49" s="22" t="str">
        <x:v>https://news.google.com/rss/articles/CBMi4AFBVV95cUxOMjRLVGxiWE9HY2h4RDBnVlVmRGtJSlNCTnc3NmttTE5GNUtNMV9CMTNLWHp3WXU2LS01SGtjX0dxMi1aTDlFWlJlTzhuNXNvY0tweXNoQ1h5VjljY2p0bG54YkotY2VMMEdYSWpTUThGcU9XbGFQbWpKSzEyWldlUHdSSVJ6RmtfQ3RRRGxQRUpLZVZ3bzRFXzBFMUdTRE5pXzY0WGNtcTlETUJpWEZJSFlEekNGVzZMVzZadlh3NXBIcDFtZjhLT09CQ056cG9ta0MtR2lPQmJUN2pfVEFEc9IB5gFBVV95cUxPX1N1OGM3aEJYZlEzSDRmUXhfZFJyeG54VTlWbEdROGtnTzIxLVRjUjNVeFBLUG52SzZxZHFzV1JzUTI5Ym9aR01FaUdHYnROdkI5YlVEQkhKNGNwRXdfMGM0dTZ0clY5S1pyRW1ta1NKUkFKalp1dWFzcEVENHpWTnF1eThNTlpjb1RIYlVocG9PM1NKSnBHXzFvQXJMYVV2QWhGUC1iN2lHTTk5UGVkZW45blJDRVhHaWlYcEo2SDJ4aHpQdEJWUFBFZVB3MVZ6dDhBT3ducnJGYjVUdW9TcDNvc3Qxdw?oc=5</x:v>
      </x:c>
      <x:c r="Z49" s="18" t="n">
        <x:v>46273.04789351852</x:v>
      </x:c>
      <x:c r="AA49" s="18" t="n">
        <x:v>46275.38862103009</x:v>
      </x:c>
      <x:c r="AB49" s="18" t="str">
        <x:v>public_rss</x:v>
      </x:c>
      <x:c r="AC49" s="18" t="str">
        <x:v>READY</x:v>
      </x:c>
    </x:row>
    <x:row r="50">
      <x:c r="A50" s="18" t="str">
        <x:v>NYT-44-99a28a659893c9d7</x:v>
      </x:c>
      <x:c r="B50" s="18" t="str">
        <x:v>ICC prosecutors submit final list of witnesses, evidence ahead of Duterte trial on Nov. 30 - ABS-CBN</x:v>
      </x:c>
      <x:c r="C50" s="18" t="str">
        <x:v>2026-09-02</x:v>
      </x:c>
      <x:c r="D50" s="18" t="n">
        <x:v>2026</x:v>
      </x:c>
      <x:c r="E50" s="18" t="str">
        <x:v>2026-09</x:v>
      </x:c>
      <x:c r="F50" s="18" t="str"/>
      <x:c r="G50" s="18" t="str">
        <x:v>International Criminal Court proceeding</x:v>
      </x:c>
      <x:c r="H50" s="18" t="str"/>
      <x:c r="I50" s="18" t="str">
        <x:v>ABS-CBN</x:v>
      </x:c>
      <x:c r="J50" s="20" t="str"/>
      <x:c r="K50" s="18" t="str"/>
      <x:c r="L50" s="18" t="str">
        <x:v>ICC prosecutors submit final list of witnesses, evidence ahead of Duterte trial on Nov. 30 - ABS-CBN</x:v>
      </x:c>
      <x:c r="M50" s="18" t="str">
        <x:v>ABS-CBN</x:v>
      </x:c>
      <x:c r="N50" s="18" t="str">
        <x:v>International Criminal Court proceeding</x:v>
      </x:c>
      <x:c r="O50" s="18" t="n">
        <x:v>46267.48915509259</x:v>
      </x:c>
      <x:c r="P50" s="18" t="str">
        <x:v>https://www.abs-cbn.com</x:v>
      </x:c>
      <x:c r="Q50" s="18" t="str">
        <x:v>DEFINED_TERMINAL_OR_FEED_SCOPE</x:v>
      </x:c>
      <x:c r="R50" s="18" t="str">
        <x:v>news_icc_14d.json — published records loaded</x:v>
      </x:c>
      <x:c r="S50" s="18" t="str"/>
      <x:c r="T50" s="18" t="str"/>
      <x:c r="U50" s="20" t="n">
        <x:v>53</x:v>
      </x:c>
      <x:c r="V50" s="19" t="n">
        <x:f>IFERROR(TODAY()-DATEVALUE(C50),"")</x:f>
        <x:v>8</x:v>
      </x:c>
      <x:c r="W50" s="21" t="n">
        <x:f>ROUND(COUNTA(A50:K50)/11*100,0)</x:f>
        <x:v>100</x:v>
      </x:c>
      <x:c r="X50" s="18" t="str">
        <x:v>Google News RSS</x:v>
      </x:c>
      <x:c r="Y50" s="22" t="str">
        <x:v>https://news.google.com/rss/articles/CBMi1AFBVV95cUxNdXJvdHlmVTFja3AzMWJKY1Q3cDIwV1dtNlpYNEdrRUozRE1JN3dzcUk1a0k5WXZtWGs1TFlKTDZIRmpHM1FRWjFlaVJGa3dnTHlzNUJHeG9UYjhrS2RVNEVIVExFNkRDQ0ttcTQ3b2lReVhOQVRCU1JCUExEY1BjZFdEOWlJM3duX3Zua0lfOHd3RXJwQXBnLVVGRWwydnJBN2s4bjMwX25fbndSLTI0dzRTbzB2MFFXWnlydkFwN0Y1cWtXc0RWVjd2OThYNy1mNENXZA?oc=5</x:v>
      </x:c>
      <x:c r="Z50" s="18" t="n">
        <x:v>46267.48915509259</x:v>
      </x:c>
      <x:c r="AA50" s="18" t="n">
        <x:v>46275.38862103009</x:v>
      </x:c>
      <x:c r="AB50" s="18" t="str">
        <x:v>public_rss</x:v>
      </x:c>
      <x:c r="AC50" s="18" t="str">
        <x:v>READY</x:v>
      </x:c>
    </x:row>
    <x:row r="51">
      <x:c r="A51" s="18" t="str">
        <x:v>NYT-44-a01ba43275018f75</x:v>
      </x:c>
      <x:c r="B51" s="18" t="str">
        <x:v>ICC tightens pretrial timeline, sets Duterte trial for Nov. 30 - Explained PH</x:v>
      </x:c>
      <x:c r="C51" s="18" t="str">
        <x:v>2026-09-06</x:v>
      </x:c>
      <x:c r="D51" s="18" t="n">
        <x:v>2026</x:v>
      </x:c>
      <x:c r="E51" s="18" t="str">
        <x:v>2026-09</x:v>
      </x:c>
      <x:c r="F51" s="18" t="str"/>
      <x:c r="G51" s="18" t="str">
        <x:v>International Criminal Court proceeding</x:v>
      </x:c>
      <x:c r="H51" s="18" t="str"/>
      <x:c r="I51" s="18" t="str">
        <x:v>Explained PH</x:v>
      </x:c>
      <x:c r="J51" s="20" t="str"/>
      <x:c r="K51" s="18" t="str"/>
      <x:c r="L51" s="18" t="str">
        <x:v>ICC tightens pretrial timeline, sets Duterte trial for Nov. 30 - Explained PH</x:v>
      </x:c>
      <x:c r="M51" s="18" t="str">
        <x:v>Explained PH</x:v>
      </x:c>
      <x:c r="N51" s="18" t="str">
        <x:v>International Criminal Court proceeding</x:v>
      </x:c>
      <x:c r="O51" s="18" t="n">
        <x:v>46271.98521990741</x:v>
      </x:c>
      <x:c r="P51" s="18" t="str">
        <x:v>https://explained.ph</x:v>
      </x:c>
      <x:c r="Q51" s="18" t="str">
        <x:v>DEFINED_TERMINAL_OR_FEED_SCOPE</x:v>
      </x:c>
      <x:c r="R51" s="18" t="str">
        <x:v>news_icc_14d.json — published records loaded</x:v>
      </x:c>
      <x:c r="S51" s="18" t="str"/>
      <x:c r="T51" s="18" t="str"/>
      <x:c r="U51" s="20" t="n">
        <x:v>53</x:v>
      </x:c>
      <x:c r="V51" s="19" t="n">
        <x:f>IFERROR(TODAY()-DATEVALUE(C51),"")</x:f>
        <x:v>4</x:v>
      </x:c>
      <x:c r="W51" s="21" t="n">
        <x:f>ROUND(COUNTA(A51:K51)/11*100,0)</x:f>
        <x:v>100</x:v>
      </x:c>
      <x:c r="X51" s="18" t="str">
        <x:v>Google News RSS</x:v>
      </x:c>
      <x:c r="Y51" s="22" t="str">
        <x:v>https://news.google.com/rss/articles/CBMiigFBVV95cUxPYWZtVlJ5UmNyRVNkNXZaRVFleUZLNW1RdHRUVF9KaDRwQzZMX2FQQy1yLWp2SXhpd1drTWJoS09TUUNGeHRmM0VuZkxqclJYRDNQemM0NWYzNjQyOHRYSEdHREc0bzItdVQ2ekdjZExGV280SXZUTHk2eEloc2VZMFFjQnJLU0ZBeWc?oc=5</x:v>
      </x:c>
      <x:c r="Z51" s="18" t="n">
        <x:v>46271.98521990741</x:v>
      </x:c>
      <x:c r="AA51" s="18" t="n">
        <x:v>46275.38862103009</x:v>
      </x:c>
      <x:c r="AB51" s="18" t="str">
        <x:v>public_rss</x:v>
      </x:c>
      <x:c r="AC51" s="18" t="str">
        <x:v>READY</x:v>
      </x:c>
    </x:row>
    <x:row r="52">
      <x:c r="A52" s="18" t="str">
        <x:v>NYT-44-e18ff426be4acd15</x:v>
      </x:c>
      <x:c r="B52" s="18" t="str">
        <x:v>ICC Prosecution seeks approval to introduce recorded witness testimony in Duterte case - Mindanao Times</x:v>
      </x:c>
      <x:c r="C52" s="18" t="str">
        <x:v>2026-09-08</x:v>
      </x:c>
      <x:c r="D52" s="18" t="n">
        <x:v>2026</x:v>
      </x:c>
      <x:c r="E52" s="18" t="str">
        <x:v>2026-09</x:v>
      </x:c>
      <x:c r="F52" s="18" t="str"/>
      <x:c r="G52" s="18" t="str">
        <x:v>International Criminal Court proceeding</x:v>
      </x:c>
      <x:c r="H52" s="18" t="str"/>
      <x:c r="I52" s="18" t="str">
        <x:v>Mindanao Times</x:v>
      </x:c>
      <x:c r="J52" s="20" t="str"/>
      <x:c r="K52" s="18" t="str"/>
      <x:c r="L52" s="18" t="str">
        <x:v>ICC Prosecution seeks approval to introduce recorded witness testimony in Duterte case - Mindanao Times</x:v>
      </x:c>
      <x:c r="M52" s="18" t="str">
        <x:v>Mindanao Times</x:v>
      </x:c>
      <x:c r="N52" s="18" t="str">
        <x:v>International Criminal Court proceeding</x:v>
      </x:c>
      <x:c r="O52" s="18" t="n">
        <x:v>46273.29005787037</x:v>
      </x:c>
      <x:c r="P52" s="18" t="str">
        <x:v>https://www.mindanaotimes.com.ph</x:v>
      </x:c>
      <x:c r="Q52" s="18" t="str">
        <x:v>DEFINED_TERMINAL_OR_FEED_SCOPE</x:v>
      </x:c>
      <x:c r="R52" s="18" t="str">
        <x:v>news_icc_14d.json — published records loaded</x:v>
      </x:c>
      <x:c r="S52" s="18" t="str"/>
      <x:c r="T52" s="18" t="str"/>
      <x:c r="U52" s="20" t="n">
        <x:v>53</x:v>
      </x:c>
      <x:c r="V52" s="19" t="n">
        <x:f>IFERROR(TODAY()-DATEVALUE(C52),"")</x:f>
        <x:v>2</x:v>
      </x:c>
      <x:c r="W52" s="21" t="n">
        <x:f>ROUND(COUNTA(A52:K52)/11*100,0)</x:f>
        <x:v>100</x:v>
      </x:c>
      <x:c r="X52" s="18" t="str">
        <x:v>Google News RSS</x:v>
      </x:c>
      <x:c r="Y52" s="22" t="str">
        <x:v>https://news.google.com/rss/articles/CBMivAFBVV95cUxQUDVZNGNrNjBBSlVWb081YlJFMjRSeVVLVXFXdDRYZE5JYU5VYWNBb2NnV2NGZlN5ejJWRGFuc0ZQWG1UOXk1SHRYNklJWkVxWjVJU196UFM2MVZ3OXN5N0tYN1RzQzMwUWhXUTBULVNoa2xCM0FhMTBLRlozTWxuMVBRNmluN2RMelIweFZUeng3M0t6NUJFaWN0Q2VSSV9SZWwySUcxRDdPbE51SHZvSzRscmdiaU1Za1N2Yw?oc=5</x:v>
      </x:c>
      <x:c r="Z52" s="18" t="n">
        <x:v>46273.29005787037</x:v>
      </x:c>
      <x:c r="AA52" s="18" t="n">
        <x:v>46275.38862103009</x:v>
      </x:c>
      <x:c r="AB52" s="18" t="str">
        <x:v>public_rss</x:v>
      </x:c>
      <x:c r="AC52" s="18" t="str">
        <x:v>READY</x:v>
      </x:c>
    </x:row>
    <x:row r="53">
      <x:c r="A53" s="18" t="str">
        <x:v>NYT-44-533a10532d0a73f7</x:v>
      </x:c>
      <x:c r="B53" s="18" t="str">
        <x:v>Who is Peter Haynes, Duterte’s new ICC lawyer? - Rappler</x:v>
      </x:c>
      <x:c r="C53" s="18" t="str">
        <x:v>2026-09-10</x:v>
      </x:c>
      <x:c r="D53" s="18" t="n">
        <x:v>2026</x:v>
      </x:c>
      <x:c r="E53" s="18" t="str">
        <x:v>2026-09</x:v>
      </x:c>
      <x:c r="F53" s="18" t="str"/>
      <x:c r="G53" s="18" t="str">
        <x:v>International Criminal Court proceeding</x:v>
      </x:c>
      <x:c r="H53" s="18" t="str"/>
      <x:c r="I53" s="18" t="str">
        <x:v>Rappler</x:v>
      </x:c>
      <x:c r="J53" s="20" t="str"/>
      <x:c r="K53" s="18" t="str"/>
      <x:c r="L53" s="18" t="str">
        <x:v>Who is Peter Haynes, Duterte’s new ICC lawyer? - Rappler</x:v>
      </x:c>
      <x:c r="M53" s="18" t="str">
        <x:v>Rappler</x:v>
      </x:c>
      <x:c r="N53" s="18" t="str">
        <x:v>International Criminal Court proceeding</x:v>
      </x:c>
      <x:c r="O53" s="18" t="n">
        <x:v>46275.29421296297</x:v>
      </x:c>
      <x:c r="P53" s="18" t="str">
        <x:v>https://www.rappler.com</x:v>
      </x:c>
      <x:c r="Q53" s="18" t="str">
        <x:v>DEFINED_TERMINAL_OR_FEED_SCOPE</x:v>
      </x:c>
      <x:c r="R53" s="18" t="str">
        <x:v>news_icc_14d.json — published records loaded</x:v>
      </x:c>
      <x:c r="S53" s="18" t="str"/>
      <x:c r="T53" s="18" t="str"/>
      <x:c r="U53" s="20" t="n">
        <x:v>53</x:v>
      </x:c>
      <x:c r="V53" s="19" t="n">
        <x:f>IFERROR(TODAY()-DATEVALUE(C53),"")</x:f>
        <x:v>0</x:v>
      </x:c>
      <x:c r="W53" s="21" t="n">
        <x:f>ROUND(COUNTA(A53:K53)/11*100,0)</x:f>
        <x:v>100</x:v>
      </x:c>
      <x:c r="X53" s="18" t="str">
        <x:v>Google News RSS</x:v>
      </x:c>
      <x:c r="Y53" s="22" t="str">
        <x:v>https://news.google.com/rss/articles/CBMid0FVX3lxTE8wWURiOUZ3WXYtbGhhVWppbFVib1NXMHJXNHBTcVQ5dFJtQjVERkUzZ3ZkVkw3aFVyeUJLY1hQNU9YcDFrSWh5VzhraGdrQ21aRWluSWlJU1Z0dnJnRkFzVkxaWUJTX0M2TjRVUngwc0RJY185UUZZ?oc=5</x:v>
      </x:c>
      <x:c r="Z53" s="18" t="n">
        <x:v>46275.29421296297</x:v>
      </x:c>
      <x:c r="AA53" s="18" t="n">
        <x:v>46275.38862103009</x:v>
      </x:c>
      <x:c r="AB53" s="18" t="str">
        <x:v>public_rss</x:v>
      </x:c>
      <x:c r="AC53" s="18" t="str">
        <x:v>READY</x:v>
      </x:c>
    </x:row>
    <x:row r="54">
      <x:c r="A54" s="18" t="str">
        <x:v>NYT-44-bffbb12d8956531c</x:v>
      </x:c>
      <x:c r="B54" s="18" t="str">
        <x:v>Up to 70 witnesses could testify against Duterte in ICC trial - mytv.ph</x:v>
      </x:c>
      <x:c r="C54" s="18" t="str">
        <x:v>2026-09-02</x:v>
      </x:c>
      <x:c r="D54" s="18" t="n">
        <x:v>2026</x:v>
      </x:c>
      <x:c r="E54" s="18" t="str">
        <x:v>2026-09</x:v>
      </x:c>
      <x:c r="F54" s="18" t="str"/>
      <x:c r="G54" s="18" t="str">
        <x:v>International Criminal Court proceeding</x:v>
      </x:c>
      <x:c r="H54" s="18" t="str"/>
      <x:c r="I54" s="18" t="str">
        <x:v>mytv.ph</x:v>
      </x:c>
      <x:c r="J54" s="20" t="str"/>
      <x:c r="K54" s="18" t="str"/>
      <x:c r="L54" s="18" t="str">
        <x:v>Up to 70 witnesses could testify against Duterte in ICC trial - mytv.ph</x:v>
      </x:c>
      <x:c r="M54" s="18" t="str">
        <x:v>mytv.ph</x:v>
      </x:c>
      <x:c r="N54" s="18" t="str">
        <x:v>International Criminal Court proceeding</x:v>
      </x:c>
      <x:c r="O54" s="18" t="n">
        <x:v>46267.666666666664</x:v>
      </x:c>
      <x:c r="P54" s="18" t="str">
        <x:v>https://mytv.ph</x:v>
      </x:c>
      <x:c r="Q54" s="18" t="str">
        <x:v>DEFINED_TERMINAL_OR_FEED_SCOPE</x:v>
      </x:c>
      <x:c r="R54" s="18" t="str">
        <x:v>news_icc_14d.json — published records loaded</x:v>
      </x:c>
      <x:c r="S54" s="18" t="str"/>
      <x:c r="T54" s="18" t="str"/>
      <x:c r="U54" s="20" t="n">
        <x:v>53</x:v>
      </x:c>
      <x:c r="V54" s="19" t="n">
        <x:f>IFERROR(TODAY()-DATEVALUE(C54),"")</x:f>
        <x:v>8</x:v>
      </x:c>
      <x:c r="W54" s="21" t="n">
        <x:f>ROUND(COUNTA(A54:K54)/11*100,0)</x:f>
        <x:v>100</x:v>
      </x:c>
      <x:c r="X54" s="18" t="str">
        <x:v>Google News RSS</x:v>
      </x:c>
      <x:c r="Y54" s="22" t="str">
        <x:v>https://news.google.com/rss/articles/CBMijgFBVV95cUxPTmE0a08zZWI5SmRtVGtVb2g4T21mTUtTcFJQYXhYNlRSeWhZb2RoVTZJTkxEdTdKSGxMdW93V3k4YUM1TDk3Q0FRcHliRjFlaXdBNHNhbDhEcWlpaWN4LWE4bE1ObEFOZmxvS3p6aV9OeVZ0al9tNFFRcjNzcF9oSXNWNTBQazdSZE52cUt3?oc=5</x:v>
      </x:c>
      <x:c r="Z54" s="18" t="n">
        <x:v>46267.666666666664</x:v>
      </x:c>
      <x:c r="AA54" s="18" t="n">
        <x:v>46275.38862103009</x:v>
      </x:c>
      <x:c r="AB54" s="18" t="str">
        <x:v>public_rss</x:v>
      </x:c>
      <x:c r="AC54" s="18" t="str">
        <x:v>READY</x:v>
      </x:c>
    </x:row>
    <x:row r="55">
      <x:c r="A55" s="18" t="str">
        <x:v>NYT-44-83500c74175f7c2c</x:v>
      </x:c>
      <x:c r="B55" s="18" t="str">
        <x:v>ICC prosecutors seek to admit witness testimony on Duterte, 'Davao Death Squad' - Manila Bulletin</x:v>
      </x:c>
      <x:c r="C55" s="18" t="str">
        <x:v>2026-09-08</x:v>
      </x:c>
      <x:c r="D55" s="18" t="n">
        <x:v>2026</x:v>
      </x:c>
      <x:c r="E55" s="18" t="str">
        <x:v>2026-09</x:v>
      </x:c>
      <x:c r="F55" s="18" t="str"/>
      <x:c r="G55" s="18" t="str">
        <x:v>International Criminal Court proceeding</x:v>
      </x:c>
      <x:c r="H55" s="18" t="str"/>
      <x:c r="I55" s="18" t="str">
        <x:v>Manila Bulletin</x:v>
      </x:c>
      <x:c r="J55" s="20" t="str"/>
      <x:c r="K55" s="18" t="str"/>
      <x:c r="L55" s="18" t="str">
        <x:v>ICC prosecutors seek to admit witness testimony on Duterte, 'Davao Death Squad' - Manila Bulletin</x:v>
      </x:c>
      <x:c r="M55" s="18" t="str">
        <x:v>Manila Bulletin</x:v>
      </x:c>
      <x:c r="N55" s="18" t="str">
        <x:v>International Criminal Court proceeding</x:v>
      </x:c>
      <x:c r="O55" s="18" t="n">
        <x:v>46273.18436342593</x:v>
      </x:c>
      <x:c r="P55" s="18" t="str">
        <x:v>https://mb.com.ph</x:v>
      </x:c>
      <x:c r="Q55" s="18" t="str">
        <x:v>DEFINED_TERMINAL_OR_FEED_SCOPE</x:v>
      </x:c>
      <x:c r="R55" s="18" t="str">
        <x:v>news_icc_14d.json — published records loaded</x:v>
      </x:c>
      <x:c r="S55" s="18" t="str"/>
      <x:c r="T55" s="18" t="str"/>
      <x:c r="U55" s="20" t="n">
        <x:v>53</x:v>
      </x:c>
      <x:c r="V55" s="19" t="n">
        <x:f>IFERROR(TODAY()-DATEVALUE(C55),"")</x:f>
        <x:v>2</x:v>
      </x:c>
      <x:c r="W55" s="21" t="n">
        <x:f>ROUND(COUNTA(A55:K55)/11*100,0)</x:f>
        <x:v>100</x:v>
      </x:c>
      <x:c r="X55" s="18" t="str">
        <x:v>Google News RSS</x:v>
      </x:c>
      <x:c r="Y55" s="22" t="str">
        <x:v>https://news.google.com/rss/articles/CBMiqAFBVV95cUxNNVA5UUE4T3RWZ1hPLU01dlhWWlRnYktzZmxISVBObFdxSUZYU21VOGp3TFZmdnAyOHpyNUhySXU2U09iRWFJVmlLRWVJeHJvMVdMMzhsM2xVNW1ORk9vOGY2eHUtVU5PM0VxR3ZYYVEybDRpZFJtUVcwcGxYQU1ORk5DVGNYdjZtclV2REVnQjJuc2pCRk5QMUozMGlvTTk1QVJkWF80Q3o?oc=5</x:v>
      </x:c>
      <x:c r="Z55" s="18" t="n">
        <x:v>46273.18436342593</x:v>
      </x:c>
      <x:c r="AA55" s="18" t="n">
        <x:v>46275.38862103009</x:v>
      </x:c>
      <x:c r="AB55" s="18" t="str">
        <x:v>public_rss</x:v>
      </x:c>
      <x:c r="AC55" s="18" t="str">
        <x:v>READY</x:v>
      </x:c>
    </x:row>
    <x:row r="56">
      <x:c r="A56" s="18" t="str">
        <x:v>NYT-44-00c57ea169a6c003</x:v>
      </x:c>
      <x:c r="B56" s="18" t="str">
        <x:v>Germany fights Gaza genocide claims at the top UN court - FOX8 WGHP</x:v>
      </x:c>
      <x:c r="C56" s="18" t="str">
        <x:v>2026-09-07</x:v>
      </x:c>
      <x:c r="D56" s="18" t="n">
        <x:v>2026</x:v>
      </x:c>
      <x:c r="E56" s="18" t="str">
        <x:v>2026-09</x:v>
      </x:c>
      <x:c r="F56" s="18" t="str"/>
      <x:c r="G56" s="18" t="str">
        <x:v>International Criminal Court proceeding</x:v>
      </x:c>
      <x:c r="H56" s="18" t="str"/>
      <x:c r="I56" s="18" t="str">
        <x:v>FOX8 WGHP</x:v>
      </x:c>
      <x:c r="J56" s="20" t="str"/>
      <x:c r="K56" s="18" t="str"/>
      <x:c r="L56" s="18" t="str">
        <x:v>Germany fights Gaza genocide claims at the top UN court - FOX8 WGHP</x:v>
      </x:c>
      <x:c r="M56" s="18" t="str">
        <x:v>FOX8 WGHP</x:v>
      </x:c>
      <x:c r="N56" s="18" t="str">
        <x:v>International Criminal Court proceeding</x:v>
      </x:c>
      <x:c r="O56" s="18" t="n">
        <x:v>46272.23604166666</x:v>
      </x:c>
      <x:c r="P56" s="18" t="str">
        <x:v>https://myfox8.com</x:v>
      </x:c>
      <x:c r="Q56" s="18" t="str">
        <x:v>DEFINED_TERMINAL_OR_FEED_SCOPE</x:v>
      </x:c>
      <x:c r="R56" s="18" t="str">
        <x:v>news_icc_14d.json — published records loaded</x:v>
      </x:c>
      <x:c r="S56" s="18" t="str"/>
      <x:c r="T56" s="18" t="str"/>
      <x:c r="U56" s="20" t="n">
        <x:v>53</x:v>
      </x:c>
      <x:c r="V56" s="19" t="n">
        <x:f>IFERROR(TODAY()-DATEVALUE(C56),"")</x:f>
        <x:v>3</x:v>
      </x:c>
      <x:c r="W56" s="21" t="n">
        <x:f>ROUND(COUNTA(A56:K56)/11*100,0)</x:f>
        <x:v>100</x:v>
      </x:c>
      <x:c r="X56" s="18" t="str">
        <x:v>Google News RSS</x:v>
      </x:c>
      <x:c r="Y56" s="22" t="str">
        <x:v>https://news.google.com/rss/articles/CBMiuwFBVV95cUxPdHFPdFBYWkZPQ1FnV21Wd3VQU18zOFpJb0Jxanpnc1FScDZFd0lQeVloaDBfRWFrcXNMR21WZW1FRW1STHRiNS1CbFBlSGFrR25CWWdVcVQyb1B0aTE2NUlPZ19CUWtSM3Z6ZE5uZF9WQjVKenpxRTJDUEJ0YVAwUzZjekdrOFdXc08tNkJtZEpjWnl1MURFRkctdXgzUUlFYlU5ZXgzeTBTdEVKUTJvVEtpRGh6aEs5Z3hJ0gG7AUFVX3lxTE90cU90UFhaRk9DUWdXbVZ3dVBTXzM4WklvQnFqemdzUVJwNkV3SVB5WWhoMF9FYWtxc0xHbVZlbUVFbVJMdGI1LUJsUGVIYWtHbkJZZ1VxVDJvUHRpMTY1SU9nX0JRa1IzdnpkTm5kX1ZCNUp6enFFMkNQQnRhUDBTNmN6R2s4V1dzTy02Qm1kSmNaeXUxREVGRy11eDNRSUViVTlleDN5MFN0RUpRMm9US2lEaHpoSzlneEk?oc=5</x:v>
      </x:c>
      <x:c r="Z56" s="18" t="n">
        <x:v>46272.23604166666</x:v>
      </x:c>
      <x:c r="AA56" s="18" t="n">
        <x:v>46275.38862103009</x:v>
      </x:c>
      <x:c r="AB56" s="18" t="str">
        <x:v>public_rss</x:v>
      </x:c>
      <x:c r="AC56" s="18" t="str">
        <x:v>READY</x:v>
      </x:c>
    </x:row>
    <x:row r="57">
      <x:c r="A57" s="18" t="str">
        <x:v>NYT-44-315c66369c167633</x:v>
      </x:c>
      <x:c r="B57" s="18" t="str">
        <x:v>Germany fights Gaza genocide claims at the top UN court - Manila Bulletin</x:v>
      </x:c>
      <x:c r="C57" s="18" t="str">
        <x:v>2026-09-07</x:v>
      </x:c>
      <x:c r="D57" s="18" t="n">
        <x:v>2026</x:v>
      </x:c>
      <x:c r="E57" s="18" t="str">
        <x:v>2026-09</x:v>
      </x:c>
      <x:c r="F57" s="18" t="str"/>
      <x:c r="G57" s="18" t="str">
        <x:v>International Criminal Court proceeding</x:v>
      </x:c>
      <x:c r="H57" s="18" t="str"/>
      <x:c r="I57" s="18" t="str">
        <x:v>Manila Bulletin</x:v>
      </x:c>
      <x:c r="J57" s="20" t="str"/>
      <x:c r="K57" s="18" t="str"/>
      <x:c r="L57" s="18" t="str">
        <x:v>Germany fights Gaza genocide claims at the top UN court - Manila Bulletin</x:v>
      </x:c>
      <x:c r="M57" s="18" t="str">
        <x:v>Manila Bulletin</x:v>
      </x:c>
      <x:c r="N57" s="18" t="str">
        <x:v>International Criminal Court proceeding</x:v>
      </x:c>
      <x:c r="O57" s="18" t="n">
        <x:v>46272.54914351852</x:v>
      </x:c>
      <x:c r="P57" s="18" t="str">
        <x:v>https://mb.com.ph</x:v>
      </x:c>
      <x:c r="Q57" s="18" t="str">
        <x:v>DEFINED_TERMINAL_OR_FEED_SCOPE</x:v>
      </x:c>
      <x:c r="R57" s="18" t="str">
        <x:v>news_icc_14d.json — published records loaded</x:v>
      </x:c>
      <x:c r="S57" s="18" t="str"/>
      <x:c r="T57" s="18" t="str"/>
      <x:c r="U57" s="20" t="n">
        <x:v>53</x:v>
      </x:c>
      <x:c r="V57" s="19" t="n">
        <x:f>IFERROR(TODAY()-DATEVALUE(C57),"")</x:f>
        <x:v>3</x:v>
      </x:c>
      <x:c r="W57" s="21" t="n">
        <x:f>ROUND(COUNTA(A57:K57)/11*100,0)</x:f>
        <x:v>100</x:v>
      </x:c>
      <x:c r="X57" s="18" t="str">
        <x:v>Google News RSS</x:v>
      </x:c>
      <x:c r="Y57" s="22" t="str">
        <x:v>https://news.google.com/rss/articles/CBMijAFBVV95cUxQY01ndlF6MDF1VF84d0pmaGMwWEVJTV9fbWhLTWdnbDJmQUVUWVUwSTdPYkVuTUF4TzA3ci1LRVEwejJuWXBUZXJsMEJPYUp1YkI1blVwWFd6M0Q5bEp0bGdLeVByd2lDUG9EU2tKQk0xODBiVDRHZHZMTm9xOFBucGdWTkZ1MHVjbWF4Zg?oc=5</x:v>
      </x:c>
      <x:c r="Z57" s="18" t="n">
        <x:v>46272.54914351852</x:v>
      </x:c>
      <x:c r="AA57" s="18" t="n">
        <x:v>46275.38862103009</x:v>
      </x:c>
      <x:c r="AB57" s="18" t="str">
        <x:v>public_rss</x:v>
      </x:c>
      <x:c r="AC57" s="18" t="str">
        <x:v>READY</x:v>
      </x:c>
    </x:row>
    <x:row r="58">
      <x:c r="A58" s="18" t="str">
        <x:v>NYT-44-0b66a928f0976231</x:v>
      </x:c>
      <x:c r="B58" s="18" t="str">
        <x:v>5 senators urge Bato dela Rosa to surrender to ‘proper authorities’ - Rappler</x:v>
      </x:c>
      <x:c r="C58" s="18" t="str">
        <x:v>2026-09-10</x:v>
      </x:c>
      <x:c r="D58" s="18" t="n">
        <x:v>2026</x:v>
      </x:c>
      <x:c r="E58" s="18" t="str">
        <x:v>2026-09</x:v>
      </x:c>
      <x:c r="F58" s="18" t="str"/>
      <x:c r="G58" s="18" t="str">
        <x:v>International Criminal Court proceeding</x:v>
      </x:c>
      <x:c r="H58" s="18" t="str"/>
      <x:c r="I58" s="18" t="str">
        <x:v>Rappler</x:v>
      </x:c>
      <x:c r="J58" s="20" t="str"/>
      <x:c r="K58" s="18" t="str"/>
      <x:c r="L58" s="18" t="str">
        <x:v>5 senators urge Bato dela Rosa to surrender to ‘proper authorities’ - Rappler</x:v>
      </x:c>
      <x:c r="M58" s="18" t="str">
        <x:v>Rappler</x:v>
      </x:c>
      <x:c r="N58" s="18" t="str">
        <x:v>International Criminal Court proceeding</x:v>
      </x:c>
      <x:c r="O58" s="18" t="n">
        <x:v>46275.134884259256</x:v>
      </x:c>
      <x:c r="P58" s="18" t="str">
        <x:v>https://www.rappler.com</x:v>
      </x:c>
      <x:c r="Q58" s="18" t="str">
        <x:v>DEFINED_TERMINAL_OR_FEED_SCOPE</x:v>
      </x:c>
      <x:c r="R58" s="18" t="str">
        <x:v>news_icc_14d.json — published records loaded</x:v>
      </x:c>
      <x:c r="S58" s="18" t="str"/>
      <x:c r="T58" s="18" t="str"/>
      <x:c r="U58" s="20" t="n">
        <x:v>53</x:v>
      </x:c>
      <x:c r="V58" s="19" t="n">
        <x:f>IFERROR(TODAY()-DATEVALUE(C58),"")</x:f>
        <x:v>0</x:v>
      </x:c>
      <x:c r="W58" s="21" t="n">
        <x:f>ROUND(COUNTA(A58:K58)/11*100,0)</x:f>
        <x:v>100</x:v>
      </x:c>
      <x:c r="X58" s="18" t="str">
        <x:v>Google News RSS</x:v>
      </x:c>
      <x:c r="Y58" s="22" t="str">
        <x:v>https://news.google.com/rss/articles/CBMiogFBVV95cUxQNVVvZmk2MmZhTUZGQlBLWFZDcVp0SGtLQnhyNGhUYkpYVXl5dUJvNmhMeWtTZ0pLbWlfR0FGTEgyOTd4SnJVUVllU0RaZkpHeW9SWmtpRlRUSTY1Yi1kcmRvVGNOWll1YXJwOURRSHFEb2ozN3UzdHFJUERmTkFBUUJUeDdUQXpDQXhPY25TU0hOTkJGU3NlZERGQkQydkJrZnc?oc=5</x:v>
      </x:c>
      <x:c r="Z58" s="18" t="n">
        <x:v>46275.134884259256</x:v>
      </x:c>
      <x:c r="AA58" s="18" t="n">
        <x:v>46275.38862103009</x:v>
      </x:c>
      <x:c r="AB58" s="18" t="str">
        <x:v>public_rss</x:v>
      </x:c>
      <x:c r="AC58" s="18" t="str">
        <x:v>READY</x:v>
      </x:c>
    </x:row>
    <x:row r="59">
      <x:c r="A59" s="18" t="str">
        <x:v>NYT-44-c0e4051b1e921429</x:v>
      </x:c>
      <x:c r="B59" s="18" t="str">
        <x:v>Adiong questions Duterte camp’s stance on Philippine courts - Daily Tribune</x:v>
      </x:c>
      <x:c r="C59" s="18" t="str">
        <x:v>2026-09-06</x:v>
      </x:c>
      <x:c r="D59" s="18" t="n">
        <x:v>2026</x:v>
      </x:c>
      <x:c r="E59" s="18" t="str">
        <x:v>2026-09</x:v>
      </x:c>
      <x:c r="F59" s="18" t="str"/>
      <x:c r="G59" s="18" t="str">
        <x:v>International Criminal Court proceeding</x:v>
      </x:c>
      <x:c r="H59" s="18" t="str"/>
      <x:c r="I59" s="18" t="str">
        <x:v>Daily Tribune</x:v>
      </x:c>
      <x:c r="J59" s="20" t="str"/>
      <x:c r="K59" s="18" t="str"/>
      <x:c r="L59" s="18" t="str">
        <x:v>Adiong questions Duterte camp’s stance on Philippine courts - Daily Tribune</x:v>
      </x:c>
      <x:c r="M59" s="18" t="str">
        <x:v>Daily Tribune</x:v>
      </x:c>
      <x:c r="N59" s="18" t="str">
        <x:v>International Criminal Court proceeding</x:v>
      </x:c>
      <x:c r="O59" s="18" t="n">
        <x:v>46271.44877314815</x:v>
      </x:c>
      <x:c r="P59" s="18" t="str">
        <x:v>https://tribune.net.ph</x:v>
      </x:c>
      <x:c r="Q59" s="18" t="str">
        <x:v>DEFINED_TERMINAL_OR_FEED_SCOPE</x:v>
      </x:c>
      <x:c r="R59" s="18" t="str">
        <x:v>news_icc_14d.json — published records loaded</x:v>
      </x:c>
      <x:c r="S59" s="18" t="str"/>
      <x:c r="T59" s="18" t="str"/>
      <x:c r="U59" s="20" t="n">
        <x:v>53</x:v>
      </x:c>
      <x:c r="V59" s="19" t="n">
        <x:f>IFERROR(TODAY()-DATEVALUE(C59),"")</x:f>
        <x:v>4</x:v>
      </x:c>
      <x:c r="W59" s="21" t="n">
        <x:f>ROUND(COUNTA(A59:K59)/11*100,0)</x:f>
        <x:v>100</x:v>
      </x:c>
      <x:c r="X59" s="18" t="str">
        <x:v>Google News RSS</x:v>
      </x:c>
      <x:c r="Y59" s="22" t="str">
        <x:v>https://news.google.com/rss/articles/CBMilwFBVV95cUxPT0E1RnIwUTdSM1E2dE1HOGtYZmpLczBBaXdpVnZ3Rk1DM0tYaVpaNE95bFVGSkZ1QUJLYXNhUWFRQ3hXN205Zk9va0l3Wk9iU0l5X3M1UGkyWTdZQ0lBRHdPWVBzQnBJOHZaSFB3QWtKTHQ2eS1jRTZCalg1WHFOQTF6YlJQUXRFQ18tTEw3MW41RzBlQWVv?oc=5</x:v>
      </x:c>
      <x:c r="Z59" s="18" t="n">
        <x:v>46271.44877314815</x:v>
      </x:c>
      <x:c r="AA59" s="18" t="n">
        <x:v>46275.38862103009</x:v>
      </x:c>
      <x:c r="AB59" s="18" t="str">
        <x:v>public_rss</x:v>
      </x:c>
      <x:c r="AC59" s="18" t="str">
        <x:v>READY</x:v>
      </x:c>
    </x:row>
    <x:row r="60">
      <x:c r="A60" s="18" t="str">
        <x:v>NYT-44-be9f2b488c44a77a</x:v>
      </x:c>
      <x:c r="B60" s="18" t="str">
        <x:v>Germany in the dock? Berlin asks UN court to kill Nicaragua’s Israel arms case - Mathrubhumi English</x:v>
      </x:c>
      <x:c r="C60" s="18" t="str">
        <x:v>2026-09-07</x:v>
      </x:c>
      <x:c r="D60" s="18" t="n">
        <x:v>2026</x:v>
      </x:c>
      <x:c r="E60" s="18" t="str">
        <x:v>2026-09</x:v>
      </x:c>
      <x:c r="F60" s="18" t="str"/>
      <x:c r="G60" s="18" t="str">
        <x:v>International Criminal Court proceeding</x:v>
      </x:c>
      <x:c r="H60" s="18" t="str"/>
      <x:c r="I60" s="18" t="str">
        <x:v>Mathrubhumi English</x:v>
      </x:c>
      <x:c r="J60" s="20" t="str"/>
      <x:c r="K60" s="18" t="str"/>
      <x:c r="L60" s="18" t="str">
        <x:v>Germany in the dock? Berlin asks UN court to kill Nicaragua’s Israel arms case - Mathrubhumi English</x:v>
      </x:c>
      <x:c r="M60" s="18" t="str">
        <x:v>Mathrubhumi English</x:v>
      </x:c>
      <x:c r="N60" s="18" t="str">
        <x:v>International Criminal Court proceeding</x:v>
      </x:c>
      <x:c r="O60" s="18" t="n">
        <x:v>46272.51576388889</x:v>
      </x:c>
      <x:c r="P60" s="18" t="str">
        <x:v>https://english.mathrubhumi.com</x:v>
      </x:c>
      <x:c r="Q60" s="18" t="str">
        <x:v>DEFINED_TERMINAL_OR_FEED_SCOPE</x:v>
      </x:c>
      <x:c r="R60" s="18" t="str">
        <x:v>news_icc_14d.json — published records loaded</x:v>
      </x:c>
      <x:c r="S60" s="18" t="str"/>
      <x:c r="T60" s="18" t="str"/>
      <x:c r="U60" s="20" t="n">
        <x:v>53</x:v>
      </x:c>
      <x:c r="V60" s="19" t="n">
        <x:f>IFERROR(TODAY()-DATEVALUE(C60),"")</x:f>
        <x:v>3</x:v>
      </x:c>
      <x:c r="W60" s="21" t="n">
        <x:f>ROUND(COUNTA(A60:K60)/11*100,0)</x:f>
        <x:v>100</x:v>
      </x:c>
      <x:c r="X60" s="18" t="str">
        <x:v>Google News RSS</x:v>
      </x:c>
      <x:c r="Y60" s="22" t="str">
        <x:v>https://news.google.com/rss/articles/CBMipgFBVV95cUxPZVFSR0ZMalRYSGJiV1BtcmN5VktEOFhTZjBFN2daTnBpbXZNdnlpMW96SHN1UTNWTnl6bWs5enJ2by10MWZ3V3pmU0VYWjNmNV9tWnJNbGM1enRWem5jMUNwMUx4M3V4c0dCTjBLVWVBZnVmQTc0WkstN2VpRmFnVXFTV1NySE50VGJqMHJ2RGJBMEx6aTRSLWc2MFVuYUZRZ1UweTh30gGrAUFVX3lxTE9FbWlSQnMyUlo5WE1aMGJpbGZrSHZqeUlsNUcxU3hUd2J3cE5YZzVxdm9XVjhTaUxlRG4wVUdBUnhyT1FUSUlQV1dUSkhrVmJ0ZnJTZVFYazZTeE5oQlN0RDJVRGEwMmxZaEJLVXppMU9uUDdfZ3M3OElmTUZTMElmZWpoRGRuWnFLMnZqZTZnTWR4emFTTUdEN1NoWV9YQjZWODBBRjBsRDRXMA?oc=5</x:v>
      </x:c>
      <x:c r="Z60" s="18" t="n">
        <x:v>46272.51576388889</x:v>
      </x:c>
      <x:c r="AA60" s="18" t="n">
        <x:v>46275.38862103009</x:v>
      </x:c>
      <x:c r="AB60" s="18" t="str">
        <x:v>public_rss</x:v>
      </x:c>
      <x:c r="AC60" s="18" t="str">
        <x:v>READY</x:v>
      </x:c>
    </x:row>
    <x:row r="61">
      <x:c r="A61" s="18" t="str">
        <x:v>NYT-44-15c6db60330d0512</x:v>
      </x:c>
      <x:c r="B61" s="18" t="str">
        <x:v>“Anonymous Petitions Cannot Bypass Rome Statute Procedures” — AGF Fagbemi Reacts As ICC Throws Out Nigeria Kidnapping Case - TheNigeriaLawyer</x:v>
      </x:c>
      <x:c r="C61" s="18" t="str">
        <x:v>2026-09-03</x:v>
      </x:c>
      <x:c r="D61" s="18" t="n">
        <x:v>2026</x:v>
      </x:c>
      <x:c r="E61" s="18" t="str">
        <x:v>2026-09</x:v>
      </x:c>
      <x:c r="F61" s="18" t="str"/>
      <x:c r="G61" s="18" t="str">
        <x:v>International Criminal Court proceeding</x:v>
      </x:c>
      <x:c r="H61" s="18" t="str"/>
      <x:c r="I61" s="18" t="str">
        <x:v>TheNigeriaLawyer</x:v>
      </x:c>
      <x:c r="J61" s="20" t="str"/>
      <x:c r="K61" s="18" t="str"/>
      <x:c r="L61" s="18" t="str">
        <x:v>“Anonymous Petitions Cannot Bypass Rome Statute Procedures” — AGF Fagbemi Reacts As ICC Throws Out Nigeria Kidnapping Case - TheNigeriaLawyer</x:v>
      </x:c>
      <x:c r="M61" s="18" t="str">
        <x:v>TheNigeriaLawyer</x:v>
      </x:c>
      <x:c r="N61" s="18" t="str">
        <x:v>International Criminal Court proceeding</x:v>
      </x:c>
      <x:c r="O61" s="18" t="n">
        <x:v>46268.74193287037</x:v>
      </x:c>
      <x:c r="P61" s="18" t="str">
        <x:v>https://thenigerialawyer.com</x:v>
      </x:c>
      <x:c r="Q61" s="18" t="str">
        <x:v>DEFINED_TERMINAL_OR_FEED_SCOPE</x:v>
      </x:c>
      <x:c r="R61" s="18" t="str">
        <x:v>news_icc_14d.json — published records loaded</x:v>
      </x:c>
      <x:c r="S61" s="18" t="str"/>
      <x:c r="T61" s="18" t="str"/>
      <x:c r="U61" s="20" t="n">
        <x:v>53</x:v>
      </x:c>
      <x:c r="V61" s="19" t="n">
        <x:f>IFERROR(TODAY()-DATEVALUE(C61),"")</x:f>
        <x:v>7</x:v>
      </x:c>
      <x:c r="W61" s="21" t="n">
        <x:f>ROUND(COUNTA(A61:K61)/11*100,0)</x:f>
        <x:v>100</x:v>
      </x:c>
      <x:c r="X61" s="18" t="str">
        <x:v>Google News RSS</x:v>
      </x:c>
      <x:c r="Y61" s="22" t="str">
        <x:v>https://news.google.com/rss/articles/CBMi4gFBVV95cUxOZVI0cG5CYV9lTEM5WjVIYXdUQ3c0eDcxdFJkRzRmdHVhZ2x6TDJUOFNJZEJqY1FxX01sbElydGZ2MTktMFlWUllUYzAxbFd6aThxaXZsNENROTQ1UFplbWl2WTA2S2duSkZNZ0RqUWFPNVRMaUllaDJwQzYtQmUxaGlSd2FzSExZWUpaaUM1QmRpd19FLW9fa2xQVEk3Z1hjdEtMREZFS1d6NFVTZWxlakNRbUNrSUVCTUgtaWduWGRFTGxTaGowYjV6TVlJYTRta1pEMm5jUmFyVEZiNVNfTFNB?oc=5</x:v>
      </x:c>
      <x:c r="Z61" s="18" t="n">
        <x:v>46268.74193287037</x:v>
      </x:c>
      <x:c r="AA61" s="18" t="n">
        <x:v>46275.38862103009</x:v>
      </x:c>
      <x:c r="AB61" s="18" t="str">
        <x:v>public_rss</x:v>
      </x:c>
      <x:c r="AC61" s="18" t="str">
        <x:v>READY</x:v>
      </x:c>
    </x:row>
  </x:sheetData>
  <x:mergeCells>
    <x:mergeCell ref="A1:H1"/>
    <x:mergeCell ref="A2:H2"/>
  </x:mergeCells>
  <x:pageMargins left="0.7" right="0.7" top="0.75" bottom="0.75" header="0.3" footer="0.3"/>
  <x:drawing xmlns:r="http://schemas.openxmlformats.org/officeDocument/2006/relationships" r:id="R6d4e856b4fa24ce4"/>
  <x:tableParts count="1">
    <x:tablePart xmlns:r="http://schemas.openxmlformats.org/officeDocument/2006/relationships" r:id="R50e1a30d8a4c42f2"/>
  </x:tableParts>
</x:worksheet>
</file>