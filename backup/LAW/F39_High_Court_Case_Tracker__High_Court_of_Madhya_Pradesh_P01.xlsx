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3b2d52bd0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7343503138ac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c81d43cc94a48" /><Relationship Type="http://schemas.openxmlformats.org/officeDocument/2006/relationships/theme" Target="/xl/theme/theme1.xml" Id="R047caa39ae8d449d" /><Relationship Type="http://schemas.openxmlformats.org/officeDocument/2006/relationships/sharedStrings" Target="/xl/sharedStrings.xml" Id="R3b8854cd9ecb4787" /><Relationship Type="http://schemas.openxmlformats.org/officeDocument/2006/relationships/worksheet" Target="/xl/worksheets/sheet1.xml" Id="R7343503138ac46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d10eb414634928" /><Relationship Type="http://schemas.openxmlformats.org/officeDocument/2006/relationships/chart" Target="/xl/drawings/charts/chart2.xml" Id="Rc2e84001ae7745e9" /><Relationship Type="http://schemas.openxmlformats.org/officeDocument/2006/relationships/chart" Target="/xl/drawings/charts/chart3.xml" Id="R57b8dc571d3948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Madhya Pradesh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Madhya Pradesh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Madhya Pradesh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d10eb414634928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e84001ae7745e9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b8dc571d3948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118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ad4352d1ca4f3e" /><Relationship Type="http://schemas.openxmlformats.org/officeDocument/2006/relationships/table" Target="/xl/tables/table1.xml" Id="R26c7ce63a6b84c53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Madhya Pradesh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110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2026-03-20</x:v>
      </x:c>
      <x:c r="BA3" s="18" t="n">
        <x:v>1</x:v>
      </x:c>
      <x:c r="BC3" s="18" t="str">
        <x:v>Unclassified</x:v>
      </x:c>
      <x:c r="BD3" s="18" t="n">
        <x:v>110</x:v>
      </x:c>
      <x:c r="BF3" s="18" t="str">
        <x:v>Unclassified</x:v>
      </x:c>
      <x:c r="BG3" s="18" t="n">
        <x:v>110</x:v>
      </x:c>
    </x:row>
    <x:row r="4">
      <x:c r="A4" s="9" t="str">
        <x:v>Records</x:v>
      </x:c>
      <x:c r="B4" s="10" t="n">
        <x:v>110</x:v>
      </x:c>
      <x:c r="C4" s="9" t="str">
        <x:v>Dated records</x:v>
      </x:c>
      <x:c r="D4" s="10" t="n">
        <x:v>110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2026-08-21</x:v>
      </x:c>
      <x:c r="AZ4" s="18" t="str">
        <x:v>2026-03-24</x:v>
      </x:c>
      <x:c r="BA4" s="18" t="n">
        <x:v>3</x:v>
      </x:c>
    </x:row>
    <x:row r="5">
      <x:c r="AZ5" s="18" t="str">
        <x:v>2026-03-26</x:v>
      </x:c>
      <x:c r="BA5" s="18" t="n">
        <x:v>4</x:v>
      </x:c>
    </x:row>
    <x:row r="6">
      <x:c r="AZ6" s="18" t="str">
        <x:v>2026-03-31</x:v>
      </x:c>
      <x:c r="BA6" s="18" t="n">
        <x:v>1</x:v>
      </x:c>
    </x:row>
    <x:row r="7">
      <x:c r="AZ7" s="18" t="str">
        <x:v>2026-04-02</x:v>
      </x:c>
      <x:c r="BA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2026-04-06</x:v>
      </x:c>
      <x:c r="BA8" s="18" t="n">
        <x:v>2</x:v>
      </x:c>
    </x:row>
    <x:row r="9">
      <x:c r="A9" s="19">
        <x:f>ROUND(COUNTA(A9:G9)/7*100,0)</x:f>
      </x:c>
      <x:c r="B9" s="18" t="str">
        <x:v>WP/632/2020 of RADHA MOHAN SHARMA Vs THE STATE OF MADHYA PRADESH</x:v>
      </x:c>
      <x:c r="C9" s="18" t="str">
        <x:v>2026-03-24</x:v>
      </x:c>
      <x:c r="D9" s="18" t="str">
        <x:v>High Court of Madhya Pradesh</x:v>
      </x:c>
      <x:c r="E9" s="18" t="str"/>
      <x:c r="F9" s="18" t="str">
        <x:v>Dismiss For Default/Want of Prosecution</x:v>
      </x:c>
      <x:c r="G9" s="20" t="str">
        <x:v>https://indian-high-court-judgments.s3.ap-south-1.amazonaws.com/data/pdf/year=2026/court=23_23/bench=mphc_db_gwl/MPHC030008222020_1_2020-01-10.pdf</x:v>
      </x:c>
      <x:c r="AZ9" s="18" t="str">
        <x:v>2026-04-07</x:v>
      </x:c>
      <x:c r="BA9" s="18" t="n">
        <x:v>1</x:v>
      </x:c>
    </x:row>
    <x:row r="10">
      <x:c r="A10" s="19">
        <x:f>ROUND(COUNTA(A10:G10)/7*100,0)</x:f>
      </x:c>
      <x:c r="B10" s="18" t="str">
        <x:v>WP/17955/2023 of ASHOK KUMAR DUBEY Vs THE STATE OF MADHYA PRADESH</x:v>
      </x:c>
      <x:c r="C10" s="18" t="str">
        <x:v>2026-03-09</x:v>
      </x:c>
      <x:c r="D10" s="18" t="str">
        <x:v>High Court of Madhya Pradesh</x:v>
      </x:c>
      <x:c r="E10" s="18" t="str"/>
      <x:c r="F10" s="18" t="str">
        <x:v>Disposed Off</x:v>
      </x:c>
      <x:c r="G10" s="20" t="str">
        <x:v>https://indian-high-court-judgments.s3.ap-south-1.amazonaws.com/data/pdf/year=2026/court=23_23/bench=mphc_db_gwl/MPHC030191902023_1_2023-07-25.pdf</x:v>
      </x:c>
      <x:c r="AZ10" s="18" t="str">
        <x:v>2026-07-06</x:v>
      </x:c>
      <x:c r="BA10" s="18" t="n">
        <x:v>2</x:v>
      </x:c>
    </x:row>
    <x:row r="11">
      <x:c r="A11" s="19">
        <x:f>ROUND(COUNTA(A11:G11)/7*100,0)</x:f>
      </x:c>
      <x:c r="B11" s="18" t="str">
        <x:v>WP/1776/2017 of ALOK RAGHUVANSHI Vs GHANSHYAM CHAUBEY</x:v>
      </x:c>
      <x:c r="C11" s="18" t="str">
        <x:v>2026-01-20</x:v>
      </x:c>
      <x:c r="D11" s="18" t="str">
        <x:v>High Court of Madhya Pradesh</x:v>
      </x:c>
      <x:c r="E11" s="18" t="str"/>
      <x:c r="F11" s="18" t="str">
        <x:v>Disposed Off</x:v>
      </x:c>
      <x:c r="G11" s="20" t="str">
        <x:v>https://indian-high-court-judgments.s3.ap-south-1.amazonaws.com/data/pdf/year=2026/court=23_23/bench=mphc_db_gwl/MPHC030067092017_1_2021-07-14.pdf</x:v>
      </x:c>
      <x:c r="AZ11" s="18" t="str">
        <x:v>2026-07-07</x:v>
      </x:c>
      <x:c r="BA11" s="18" t="n">
        <x:v>2</x:v>
      </x:c>
    </x:row>
    <x:row r="12">
      <x:c r="A12" s="19">
        <x:f>ROUND(COUNTA(A12:G12)/7*100,0)</x:f>
      </x:c>
      <x:c r="B12" s="18" t="str">
        <x:v>MCRC/49209/2022 of KAMALKISHORE SHAKYA Vs THE STATE OF MADHYA PRADESH</x:v>
      </x:c>
      <x:c r="C12" s="18" t="str">
        <x:v>2026-02-26</x:v>
      </x:c>
      <x:c r="D12" s="18" t="str">
        <x:v>High Court of Madhya Pradesh</x:v>
      </x:c>
      <x:c r="E12" s="18" t="str"/>
      <x:c r="F12" s="18" t="str">
        <x:v>Dismissed with peremptory order</x:v>
      </x:c>
      <x:c r="G12" s="20" t="str">
        <x:v>https://indian-high-court-judgments.s3.ap-south-1.amazonaws.com/data/pdf/year=2026/court=23_23/bench=mphc_db_gwl/MPHC030243132022_1_2023-07-20.pdf</x:v>
      </x:c>
      <x:c r="AZ12" s="18" t="str">
        <x:v>2026-07-08</x:v>
      </x:c>
      <x:c r="BA12" s="18" t="n">
        <x:v>1</x:v>
      </x:c>
    </x:row>
    <x:row r="13">
      <x:c r="A13" s="19">
        <x:f>ROUND(COUNTA(A13:G13)/7*100,0)</x:f>
      </x:c>
      <x:c r="B13" s="18" t="str">
        <x:v>MA/708/2016 of BABULAL JATAV Vs THE NEW INDIA INSURANCE COMPANY LIMITED THR.</x:v>
      </x:c>
      <x:c r="C13" s="18" t="str">
        <x:v>2026-01-29</x:v>
      </x:c>
      <x:c r="D13" s="18" t="str">
        <x:v>High Court of Madhya Pradesh</x:v>
      </x:c>
      <x:c r="E13" s="18" t="str"/>
      <x:c r="F13" s="18" t="str">
        <x:v>Disposed Off</x:v>
      </x:c>
      <x:c r="G13" s="20" t="str">
        <x:v>https://indian-high-court-judgments.s3.ap-south-1.amazonaws.com/data/pdf/year=2026/court=23_23/bench=mphc_db_gwl/MPHC030169582016_1_2022-03-28.pdf</x:v>
      </x:c>
      <x:c r="AZ13" s="18" t="str">
        <x:v>2026-07-09</x:v>
      </x:c>
      <x:c r="BA13" s="18" t="n">
        <x:v>2</x:v>
      </x:c>
    </x:row>
    <x:row r="14">
      <x:c r="A14" s="19">
        <x:f>ROUND(COUNTA(A14:G14)/7*100,0)</x:f>
      </x:c>
      <x:c r="B14" s="18" t="str">
        <x:v>WP/29192/2022 of DHIRAJ KUMAR SHARMA Vs THE STATE OF MADHYA PRADESH</x:v>
      </x:c>
      <x:c r="C14" s="18" t="str">
        <x:v>2026-03-13</x:v>
      </x:c>
      <x:c r="D14" s="18" t="str">
        <x:v>High Court of Madhya Pradesh</x:v>
      </x:c>
      <x:c r="E14" s="18" t="str"/>
      <x:c r="F14" s="18" t="str">
        <x:v>Disposed Off</x:v>
      </x:c>
      <x:c r="G14" s="20" t="str">
        <x:v>https://indian-high-court-judgments.s3.ap-south-1.amazonaws.com/data/pdf/year=2026/court=23_23/bench=mphc_db_gwl/MPHC030299162022_1_2023-09-08.pdf</x:v>
      </x:c>
      <x:c r="AZ14" s="18" t="str">
        <x:v>2026-07-10</x:v>
      </x:c>
      <x:c r="BA14" s="18" t="n">
        <x:v>2</x:v>
      </x:c>
    </x:row>
    <x:row r="15">
      <x:c r="A15" s="19">
        <x:f>ROUND(COUNTA(A15:G15)/7*100,0)</x:f>
      </x:c>
      <x:c r="B15" s="18" t="str">
        <x:v>WP/998/2024 of KUBERLAL JOHARI Vs THE STATE OF MADHYA PRADESH</x:v>
      </x:c>
      <x:c r="C15" s="18" t="str">
        <x:v>2026-02-06</x:v>
      </x:c>
      <x:c r="D15" s="18" t="str">
        <x:v>High Court of Madhya Pradesh</x:v>
      </x:c>
      <x:c r="E15" s="18" t="str"/>
      <x:c r="F15" s="18" t="str">
        <x:v>Disposed Off</x:v>
      </x:c>
      <x:c r="G15" s="20" t="str">
        <x:v>https://indian-high-court-judgments.s3.ap-south-1.amazonaws.com/data/pdf/year=2026/court=23_23/bench=mphc_db_gwl/MPHC030012372024_1_2024-01-22.pdf</x:v>
      </x:c>
      <x:c r="AZ15" s="18" t="str">
        <x:v>2026-07-14</x:v>
      </x:c>
      <x:c r="BA15" s="18" t="n">
        <x:v>2</x:v>
      </x:c>
    </x:row>
    <x:row r="16">
      <x:c r="A16" s="19">
        <x:f>ROUND(COUNTA(A16:G16)/7*100,0)</x:f>
      </x:c>
      <x:c r="B16" s="18" t="str">
        <x:v>CONC/820/2017 of RAKESH Vs SHRI ILAIYA RAJA T. (DELETED) SHRI SANJEEV SHRIVASTAV</x:v>
      </x:c>
      <x:c r="C16" s="18" t="str">
        <x:v>2026-07-06</x:v>
      </x:c>
      <x:c r="D16" s="18" t="str">
        <x:v>High Court of Madhya Pradesh</x:v>
      </x:c>
      <x:c r="E16" s="18" t="str"/>
      <x:c r="F16" s="18" t="str">
        <x:v>Disposed Off</x:v>
      </x:c>
      <x:c r="G16" s="20" t="str">
        <x:v>https://indian-high-court-judgments.s3.ap-south-1.amazonaws.com/data/pdf/year=2026/court=23_23/bench=mphc_db_gwl/MPHC030202722017_1_2022-03-12.pdf</x:v>
      </x:c>
      <x:c r="AZ16" s="18" t="str">
        <x:v>2026-07-16</x:v>
      </x:c>
      <x:c r="BA16" s="18" t="n">
        <x:v>1</x:v>
      </x:c>
    </x:row>
    <x:row r="17">
      <x:c r="A17" s="19">
        <x:f>ROUND(COUNTA(A17:G17)/7*100,0)</x:f>
      </x:c>
      <x:c r="B17" s="18" t="str">
        <x:v>WPS/1054/2005 of HEMANT SHRIVASTAVA Vs THE UNION OF INDIA AND ORS.</x:v>
      </x:c>
      <x:c r="C17" s="18" t="str">
        <x:v>2026-07-09</x:v>
      </x:c>
      <x:c r="D17" s="18" t="str">
        <x:v>High Court of Madhya Pradesh</x:v>
      </x:c>
      <x:c r="E17" s="18" t="str"/>
      <x:c r="F17" s="18" t="str">
        <x:v>Disposed Off</x:v>
      </x:c>
      <x:c r="G17" s="20" t="str">
        <x:v>https://indian-high-court-judgments.s3.ap-south-1.amazonaws.com/data/pdf/year=2026/court=23_23/bench=mphc_db_gwl/MPHC030053202005_1_2022-11-21.pdf</x:v>
      </x:c>
      <x:c r="AZ17" s="18" t="str">
        <x:v>2026-07-17</x:v>
      </x:c>
      <x:c r="BA17" s="18" t="n">
        <x:v>3</x:v>
      </x:c>
    </x:row>
    <x:row r="18">
      <x:c r="A18" s="19">
        <x:f>ROUND(COUNTA(A18:G18)/7*100,0)</x:f>
      </x:c>
      <x:c r="B18" s="18" t="str">
        <x:v>WP/2414/2016 of KAUSHAL KISHORE MISHRA Vs THE STATE OF MADHYA PRADESH THR</x:v>
      </x:c>
      <x:c r="C18" s="18" t="str">
        <x:v>2026-07-10</x:v>
      </x:c>
      <x:c r="D18" s="18" t="str">
        <x:v>High Court of Madhya Pradesh</x:v>
      </x:c>
      <x:c r="E18" s="18" t="str"/>
      <x:c r="F18" s="18" t="str">
        <x:v>Disposed Off</x:v>
      </x:c>
      <x:c r="G18" s="20" t="str">
        <x:v>https://indian-high-court-judgments.s3.ap-south-1.amazonaws.com/data/pdf/year=2026/court=23_23/bench=mphc_db_gwl/MPHC030085562016_1_2022-11-10.pdf</x:v>
      </x:c>
      <x:c r="AZ18" s="18" t="str">
        <x:v>2026-07-20</x:v>
      </x:c>
      <x:c r="BA18" s="18" t="n">
        <x:v>2</x:v>
      </x:c>
    </x:row>
    <x:row r="19">
      <x:c r="A19" s="19">
        <x:f>ROUND(COUNTA(A19:G19)/7*100,0)</x:f>
      </x:c>
      <x:c r="B19" s="18" t="str">
        <x:v>WP/2061/2022 of MANIRAM RAJAK Vs THE STATE OF MADHYA PRADESH</x:v>
      </x:c>
      <x:c r="C19" s="18" t="str">
        <x:v>2026-07-10</x:v>
      </x:c>
      <x:c r="D19" s="18" t="str">
        <x:v>High Court of Madhya Pradesh</x:v>
      </x:c>
      <x:c r="E19" s="18" t="str"/>
      <x:c r="F19" s="18" t="str">
        <x:v>Order on PUD/Clerical error</x:v>
      </x:c>
      <x:c r="G19" s="20" t="str">
        <x:v>https://indian-high-court-judgments.s3.ap-south-1.amazonaws.com/data/pdf/year=2026/court=23_23/bench=mphc_db_gwl/MPHC030024732022_1_2023-07-04.pdf</x:v>
      </x:c>
      <x:c r="AZ19" s="18" t="str">
        <x:v>2026-07-21</x:v>
      </x:c>
      <x:c r="BA19" s="18" t="n">
        <x:v>2</x:v>
      </x:c>
    </x:row>
    <x:row r="20">
      <x:c r="A20" s="19">
        <x:f>ROUND(COUNTA(A20:G20)/7*100,0)</x:f>
      </x:c>
      <x:c r="B20" s="18" t="str">
        <x:v>SA/312/2002 of MAHILA RAJVATI &amp; ORS. Vs FODEL SINGH</x:v>
      </x:c>
      <x:c r="C20" s="18" t="str">
        <x:v>2026-07-17</x:v>
      </x:c>
      <x:c r="D20" s="18" t="str">
        <x:v>High Court of Madhya Pradesh</x:v>
      </x:c>
      <x:c r="E20" s="18" t="str"/>
      <x:c r="F20" s="18" t="str">
        <x:v>Dismiss For Default/Want of Prosecution</x:v>
      </x:c>
      <x:c r="G20" s="20" t="str">
        <x:v>https://indian-high-court-judgments.s3.ap-south-1.amazonaws.com/data/pdf/year=2026/court=23_23/bench=mphc_db_gwl/MPHC030053512002_1_2023-02-06.pdf</x:v>
      </x:c>
      <x:c r="AZ20" s="18" t="str">
        <x:v>2026-07-27</x:v>
      </x:c>
      <x:c r="BA20" s="18" t="n">
        <x:v>1</x:v>
      </x:c>
    </x:row>
    <x:row r="21">
      <x:c r="A21" s="19">
        <x:f>ROUND(COUNTA(A21:G21)/7*100,0)</x:f>
      </x:c>
      <x:c r="B21" s="18" t="str">
        <x:v>MP/383/2019 of CHANDRABHAN SINGH Vs APAR AAYUKT SAMBHAG GWALIOR</x:v>
      </x:c>
      <x:c r="C21" s="18" t="str">
        <x:v>2026-07-30</x:v>
      </x:c>
      <x:c r="D21" s="18" t="str">
        <x:v>High Court of Madhya Pradesh</x:v>
      </x:c>
      <x:c r="E21" s="18" t="str"/>
      <x:c r="F21" s="18" t="str">
        <x:v>Converted</x:v>
      </x:c>
      <x:c r="G21" s="20" t="str">
        <x:v>https://indian-high-court-judgments.s3.ap-south-1.amazonaws.com/data/pdf/year=2026/court=23_23/bench=mphc_db_gwl/MPHC030015892019_1_2023-04-03.pdf</x:v>
      </x:c>
      <x:c r="AZ21" s="18" t="str">
        <x:v>2026-07-29</x:v>
      </x:c>
      <x:c r="BA21" s="18" t="n">
        <x:v>1</x:v>
      </x:c>
    </x:row>
    <x:row r="22">
      <x:c r="A22" s="19">
        <x:f>ROUND(COUNTA(A22:G22)/7*100,0)</x:f>
      </x:c>
      <x:c r="B22" s="18" t="str">
        <x:v>CONC/1029/2016 of MOHAR SINGH (DELETED) THR. LRS. (A) SHYAM KARAN SINGH TOMAR Vs SHRI ANIL SHARMA</x:v>
      </x:c>
      <x:c r="C22" s="18" t="str">
        <x:v>2026-07-21</x:v>
      </x:c>
      <x:c r="D22" s="18" t="str">
        <x:v>High Court of Madhya Pradesh</x:v>
      </x:c>
      <x:c r="E22" s="18" t="str"/>
      <x:c r="F22" s="18" t="str">
        <x:v>Disposed Off</x:v>
      </x:c>
      <x:c r="G22" s="20" t="str">
        <x:v>https://indian-high-court-judgments.s3.ap-south-1.amazonaws.com/data/pdf/year=2026/court=23_23/bench=mphc_db_gwl/MPHC030191342016_1_2019-09-09.pdf</x:v>
      </x:c>
      <x:c r="AZ22" s="18" t="str">
        <x:v>2026-07-30</x:v>
      </x:c>
      <x:c r="BA22" s="18" t="n">
        <x:v>1</x:v>
      </x:c>
    </x:row>
    <x:row r="23">
      <x:c r="A23" s="19">
        <x:f>ROUND(COUNTA(A23:G23)/7*100,0)</x:f>
      </x:c>
      <x:c r="B23" s="18" t="str">
        <x:v>MP/1417/2017 of AMARJEET SINGH Vs RICHHPAL SINGH</x:v>
      </x:c>
      <x:c r="C23" s="18" t="str">
        <x:v>2026-08-11</x:v>
      </x:c>
      <x:c r="D23" s="18" t="str">
        <x:v>High Court of Madhya Pradesh</x:v>
      </x:c>
      <x:c r="E23" s="18" t="str"/>
      <x:c r="F23" s="18" t="str">
        <x:v>Disposed Off</x:v>
      </x:c>
      <x:c r="G23" s="20" t="str">
        <x:v>https://indian-high-court-judgments.s3.ap-south-1.amazonaws.com/data/pdf/year=2026/court=23_23/bench=mphc_db_gwl/MPHC030302112017_1_2022-04-06.pdf</x:v>
      </x:c>
      <x:c r="AZ23" s="18" t="str">
        <x:v>2026-08-03</x:v>
      </x:c>
      <x:c r="BA23" s="18" t="n">
        <x:v>1</x:v>
      </x:c>
    </x:row>
    <x:row r="24">
      <x:c r="A24" s="19">
        <x:f>ROUND(COUNTA(A24:G24)/7*100,0)</x:f>
      </x:c>
      <x:c r="B24" s="18" t="str">
        <x:v>WP/20836/2023 of ASHOK RATHORE Vs THE STATE OF MADHYA PRADESH</x:v>
      </x:c>
      <x:c r="C24" s="18" t="str">
        <x:v>2026-08-07</x:v>
      </x:c>
      <x:c r="D24" s="18" t="str">
        <x:v>High Court of Madhya Pradesh</x:v>
      </x:c>
      <x:c r="E24" s="18" t="str"/>
      <x:c r="F24" s="18" t="str">
        <x:v>Dismissed</x:v>
      </x:c>
      <x:c r="G24" s="20" t="str">
        <x:v>https://indian-high-court-judgments.s3.ap-south-1.amazonaws.com/data/pdf/year=2026/court=23_23/bench=mphc_db_gwl/MPHC030215892023_1_2023-08-28.pdf</x:v>
      </x:c>
      <x:c r="AZ24" s="18" t="str">
        <x:v>2026-08-05</x:v>
      </x:c>
      <x:c r="BA24" s="18" t="n">
        <x:v>1</x:v>
      </x:c>
    </x:row>
    <x:row r="25">
      <x:c r="A25" s="19">
        <x:f>ROUND(COUNTA(A25:G25)/7*100,0)</x:f>
      </x:c>
      <x:c r="B25" s="18" t="str">
        <x:v>WP/19280/2023 of YADVENDRA SHUKLA Vs THE STATE OF MADHYA PRADESH</x:v>
      </x:c>
      <x:c r="C25" s="18" t="str">
        <x:v>2026-08-21</x:v>
      </x:c>
      <x:c r="D25" s="18" t="str">
        <x:v>High Court of Madhya Pradesh</x:v>
      </x:c>
      <x:c r="E25" s="18" t="str"/>
      <x:c r="F25" s="18" t="str">
        <x:v>Withdrawn</x:v>
      </x:c>
      <x:c r="G25" s="20" t="str">
        <x:v>https://indian-high-court-judgments.s3.ap-south-1.amazonaws.com/data/pdf/year=2026/court=23_23/bench=mphc_db_gwl/MPHC030202782023_1_2023-09-06.pdf</x:v>
      </x:c>
      <x:c r="AZ25" s="18" t="str">
        <x:v>2026-08-07</x:v>
      </x:c>
      <x:c r="BA25" s="18" t="n">
        <x:v>1</x:v>
      </x:c>
    </x:row>
    <x:row r="26">
      <x:c r="A26" s="19">
        <x:f>ROUND(COUNTA(A26:G26)/7*100,0)</x:f>
      </x:c>
      <x:c r="B26" s="18" t="str">
        <x:v>MA/122/2020 of MOHAMMAD SOHEL S/O MOHAMMAD YUSUF (MINOR) FATHER MOHAMMAD YUSUF Vs BHUPENDRA SINGH</x:v>
      </x:c>
      <x:c r="C26" s="18" t="str">
        <x:v>2026-03-14</x:v>
      </x:c>
      <x:c r="D26" s="18" t="str">
        <x:v>High Court of Madhya Pradesh</x:v>
      </x:c>
      <x:c r="E26" s="18" t="str"/>
      <x:c r="F26" s="18" t="str">
        <x:v>Disposed Off</x:v>
      </x:c>
      <x:c r="G26" s="20" t="str">
        <x:v>https://indian-high-court-judgments.s3.ap-south-1.amazonaws.com/data/pdf/year=2026/court=23_23/bench=mphc_db_ind/MPHC020000792020_1_2024-01-08.pdf</x:v>
      </x:c>
      <x:c r="AZ26" s="18" t="str">
        <x:v>2026-08-11</x:v>
      </x:c>
      <x:c r="BA26" s="18" t="n">
        <x:v>1</x:v>
      </x:c>
    </x:row>
    <x:row r="27">
      <x:c r="A27" s="19">
        <x:f>ROUND(COUNTA(A27:G27)/7*100,0)</x:f>
      </x:c>
      <x:c r="B27" s="18" t="str">
        <x:v>CRA/3202/2023 of PRABHU Vs THE STATE OF MADHYA PRADESH</x:v>
      </x:c>
      <x:c r="C27" s="18" t="str">
        <x:v>2026-01-14</x:v>
      </x:c>
      <x:c r="D27" s="18" t="str">
        <x:v>High Court of Madhya Pradesh</x:v>
      </x:c>
      <x:c r="E27" s="18" t="str"/>
      <x:c r="F27" s="18" t="str">
        <x:v>Dismissed with peremptory order</x:v>
      </x:c>
      <x:c r="G27" s="20" t="str">
        <x:v>https://indian-high-court-judgments.s3.ap-south-1.amazonaws.com/data/pdf/year=2026/court=23_23/bench=mphc_db_ind/MPHC020066052023_1_2023-11-24.pdf</x:v>
      </x:c>
      <x:c r="AZ27" s="18" t="str">
        <x:v>2026-08-13</x:v>
      </x:c>
      <x:c r="BA27" s="18" t="n">
        <x:v>2</x:v>
      </x:c>
    </x:row>
    <x:row r="28">
      <x:c r="A28" s="19">
        <x:f>ROUND(COUNTA(A28:G28)/7*100,0)</x:f>
      </x:c>
      <x:c r="B28" s="18" t="str">
        <x:v>/8182/2019 of ALKESH Vs PRAVEEN</x:v>
      </x:c>
      <x:c r="C28" s="18" t="str">
        <x:v>2026-02-02</x:v>
      </x:c>
      <x:c r="D28" s="18" t="str">
        <x:v>High Court of Madhya Pradesh</x:v>
      </x:c>
      <x:c r="E28" s="18" t="str"/>
      <x:c r="F28" s="18" t="str">
        <x:v>Dismissed</x:v>
      </x:c>
      <x:c r="G28" s="20" t="str">
        <x:v>https://indian-high-court-judgments.s3.ap-south-1.amazonaws.com/data/pdf/year=2026/court=23_23/bench=mphc_db_ind/MPHC020252032019_1_2021-09-14.pdf</x:v>
      </x:c>
      <x:c r="AZ28" s="18" t="str">
        <x:v>2026-08-17</x:v>
      </x:c>
      <x:c r="BA28" s="18" t="n">
        <x:v>1</x:v>
      </x:c>
    </x:row>
    <x:row r="29">
      <x:c r="A29" s="19">
        <x:f>ROUND(COUNTA(A29:G29)/7*100,0)</x:f>
      </x:c>
      <x:c r="B29" s="18" t="str">
        <x:v>MA/1675/2014 of SMT.KANUBAI Vs DINESH</x:v>
      </x:c>
      <x:c r="C29" s="18" t="str">
        <x:v>2026-02-02</x:v>
      </x:c>
      <x:c r="D29" s="18" t="str">
        <x:v>High Court of Madhya Pradesh</x:v>
      </x:c>
      <x:c r="E29" s="18" t="str"/>
      <x:c r="F29" s="18" t="str">
        <x:v>Disposed Off</x:v>
      </x:c>
      <x:c r="G29" s="20" t="str">
        <x:v>https://indian-high-court-judgments.s3.ap-south-1.amazonaws.com/data/pdf/year=2026/court=23_23/bench=mphc_db_ind/MPHC020197442014_1_2024-02-02.pdf</x:v>
      </x:c>
      <x:c r="AZ29" s="18" t="str">
        <x:v>2026-08-18</x:v>
      </x:c>
      <x:c r="BA29" s="18" t="n">
        <x:v>1</x:v>
      </x:c>
    </x:row>
    <x:row r="30">
      <x:c r="A30" s="19">
        <x:f>ROUND(COUNTA(A30:G30)/7*100,0)</x:f>
      </x:c>
      <x:c r="B30" s="18" t="str">
        <x:v>WP/29777/2023 of VIJAY KUMAR DWIVEDI Vs THE STATE OF MADHYA PRADESH</x:v>
      </x:c>
      <x:c r="C30" s="18" t="str">
        <x:v>2026-02-03</x:v>
      </x:c>
      <x:c r="D30" s="18" t="str">
        <x:v>High Court of Madhya Pradesh</x:v>
      </x:c>
      <x:c r="E30" s="18" t="str"/>
      <x:c r="F30" s="18" t="str">
        <x:v>Withdrawn</x:v>
      </x:c>
      <x:c r="G30" s="20" t="str">
        <x:v>https://indian-high-court-judgments.s3.ap-south-1.amazonaws.com/data/pdf/year=2026/court=23_23/bench=mphc_db_ind/MPHC020380202023_1_2023-12-04.pdf</x:v>
      </x:c>
      <x:c r="AZ30" s="18" t="str">
        <x:v>2026-08-19</x:v>
      </x:c>
      <x:c r="BA30" s="18" t="n">
        <x:v>4</x:v>
      </x:c>
    </x:row>
    <x:row r="31">
      <x:c r="A31" s="19">
        <x:f>ROUND(COUNTA(A31:G31)/7*100,0)</x:f>
      </x:c>
      <x:c r="B31" s="18" t="str">
        <x:v>MA/137/2021 of SMT. MAMTA Vs BABULAL CHOUDHARY</x:v>
      </x:c>
      <x:c r="C31" s="18" t="str">
        <x:v>2026-03-12</x:v>
      </x:c>
      <x:c r="D31" s="18" t="str">
        <x:v>High Court of Madhya Pradesh</x:v>
      </x:c>
      <x:c r="E31" s="18" t="str"/>
      <x:c r="F31" s="18" t="str">
        <x:v>Disposed Off</x:v>
      </x:c>
      <x:c r="G31" s="20" t="str">
        <x:v>https://indian-high-court-judgments.s3.ap-south-1.amazonaws.com/data/pdf/year=2026/court=23_23/bench=mphc_db_ind/MPHC020019252021_1_2023-09-09.pdf</x:v>
      </x:c>
      <x:c r="AZ31" s="18" t="str">
        <x:v>2026-08-20</x:v>
      </x:c>
      <x:c r="BA31" s="18" t="n">
        <x:v>2</x:v>
      </x:c>
    </x:row>
    <x:row r="32">
      <x:c r="A32" s="19">
        <x:f>ROUND(COUNTA(A32:G32)/7*100,0)</x:f>
      </x:c>
      <x:c r="B32" s="18" t="str">
        <x:v>AC/4/2016 of M/S PAPPU CONSTRUCTIONS THROUGH MR. RAJKAPUR SINGH Vs M.P. STATE MINING CORPORATION LIMITED</x:v>
      </x:c>
      <x:c r="C32" s="18" t="str">
        <x:v>2026-01-15</x:v>
      </x:c>
      <x:c r="D32" s="18" t="str">
        <x:v>High Court of Madhya Pradesh</x:v>
      </x:c>
      <x:c r="E32" s="18" t="str"/>
      <x:c r="F32" s="18" t="str">
        <x:v>Disposed Off</x:v>
      </x:c>
      <x:c r="G32" s="20" t="str">
        <x:v>https://indian-high-court-judgments.s3.ap-south-1.amazonaws.com/data/pdf/year=2026/court=23_23/bench=mphc_db_ind/MPHC020329972016_1_2023-05-12.pdf</x:v>
      </x:c>
      <x:c r="AZ32" s="18" t="str">
        <x:v>2026-08-21</x:v>
      </x:c>
      <x:c r="BA32" s="18" t="n">
        <x:v>3</x:v>
      </x:c>
    </x:row>
    <x:row r="33">
      <x:c r="A33" s="19">
        <x:f>ROUND(COUNTA(A33:G33)/7*100,0)</x:f>
      </x:c>
      <x:c r="B33" s="18" t="str">
        <x:v>WP/26963/2023 of RAJENDRA Vs MADHYA PRADESH REGIONANL TRANSPORT</x:v>
      </x:c>
      <x:c r="C33" s="18" t="str">
        <x:v>2026-01-29</x:v>
      </x:c>
      <x:c r="D33" s="18" t="str">
        <x:v>High Court of Madhya Pradesh</x:v>
      </x:c>
      <x:c r="E33" s="18" t="str"/>
      <x:c r="F33" s="18" t="str">
        <x:v>Disposed Off</x:v>
      </x:c>
      <x:c r="G33" s="20" t="str">
        <x:v>https://indian-high-court-judgments.s3.ap-south-1.amazonaws.com/data/pdf/year=2026/court=23_23/bench=mphc_db_ind/MPHC020337732023_1_2023-12-12.pdf</x:v>
      </x:c>
    </x:row>
    <x:row r="34">
      <x:c r="A34" s="19">
        <x:f>ROUND(COUNTA(A34:G34)/7*100,0)</x:f>
      </x:c>
      <x:c r="B34" s="18" t="str">
        <x:v>CRR/286/2012 of ELAMSINGH Vs THE STATE OF MADHYA PRADESH</x:v>
      </x:c>
      <x:c r="C34" s="18" t="str">
        <x:v>2026-02-05</x:v>
      </x:c>
      <x:c r="D34" s="18" t="str">
        <x:v>High Court of Madhya Pradesh</x:v>
      </x:c>
      <x:c r="E34" s="18" t="str"/>
      <x:c r="F34" s="18" t="str">
        <x:v>Partly Allowed</x:v>
      </x:c>
      <x:c r="G34" s="20" t="str">
        <x:v>https://indian-high-court-judgments.s3.ap-south-1.amazonaws.com/data/pdf/year=2026/court=23_23/bench=mphc_db_ind/MPHC020062692012_1_2015-08-07.pdf</x:v>
      </x:c>
    </x:row>
    <x:row r="35">
      <x:c r="A35" s="19">
        <x:f>ROUND(COUNTA(A35:G35)/7*100,0)</x:f>
      </x:c>
      <x:c r="B35" s="18" t="str">
        <x:v>MA/3066/2017 of DECD.ANIL THRU.LRS.SMT.TARABAI Vs ORIENTAL INSURANCE COMPANY LIMITED</x:v>
      </x:c>
      <x:c r="C35" s="18" t="str">
        <x:v>2026-02-19</x:v>
      </x:c>
      <x:c r="D35" s="18" t="str">
        <x:v>High Court of Madhya Pradesh</x:v>
      </x:c>
      <x:c r="E35" s="18" t="str"/>
      <x:c r="F35" s="18" t="str">
        <x:v>Disposed Off</x:v>
      </x:c>
      <x:c r="G35" s="20" t="str">
        <x:v>https://indian-high-court-judgments.s3.ap-south-1.amazonaws.com/data/pdf/year=2026/court=23_23/bench=mphc_db_ind/MPHC020290862017_1_2018-10-24.pdf</x:v>
      </x:c>
    </x:row>
    <x:row r="36">
      <x:c r="A36" s="19">
        <x:f>ROUND(COUNTA(A36:G36)/7*100,0)</x:f>
      </x:c>
      <x:c r="B36" s="18" t="str">
        <x:v>WP/26313/2022 of PUSHPA SHUKLA Vs THE STATE OF MADHYA PRADESH</x:v>
      </x:c>
      <x:c r="C36" s="18" t="str">
        <x:v>2026-03-05</x:v>
      </x:c>
      <x:c r="D36" s="18" t="str">
        <x:v>High Court of Madhya Pradesh</x:v>
      </x:c>
      <x:c r="E36" s="18" t="str"/>
      <x:c r="F36" s="18" t="str">
        <x:v>Disposed Off</x:v>
      </x:c>
      <x:c r="G36" s="20" t="str">
        <x:v>https://indian-high-court-judgments.s3.ap-south-1.amazonaws.com/data/pdf/year=2026/court=23_23/bench=mphc_db_ind/MPHC020323052022_1_2022-12-06.pdf</x:v>
      </x:c>
    </x:row>
    <x:row r="37">
      <x:c r="A37" s="19">
        <x:f>ROUND(COUNTA(A37:G37)/7*100,0)</x:f>
      </x:c>
      <x:c r="B37" s="18" t="str">
        <x:v>MCC/1442/2018 of DEVENDRA NATH (DECD.) THR. LRS SMT. PADMAWATI Vs SMT. DURGABAI (DECD.) THR. LRS CVHARUCHAND</x:v>
      </x:c>
      <x:c r="C37" s="18" t="str">
        <x:v>2026-03-26</x:v>
      </x:c>
      <x:c r="D37" s="18" t="str">
        <x:v>High Court of Madhya Pradesh</x:v>
      </x:c>
      <x:c r="E37" s="18" t="str"/>
      <x:c r="F37" s="18" t="str">
        <x:v>Disposed Off</x:v>
      </x:c>
      <x:c r="G37" s="20" t="str">
        <x:v>https://indian-high-court-judgments.s3.ap-south-1.amazonaws.com/data/pdf/year=2026/court=23_23/bench=mphc_db_ind/MPHC020135262018_1_2024-01-11.pdf</x:v>
      </x:c>
    </x:row>
    <x:row r="38">
      <x:c r="A38" s="19">
        <x:f>ROUND(COUNTA(A38:G38)/7*100,0)</x:f>
      </x:c>
      <x:c r="B38" s="18" t="str">
        <x:v>MA/5959/2018 of PHOOLVANTI DEVI Vs SANTOSH KUMAR MARU</x:v>
      </x:c>
      <x:c r="C38" s="18" t="str">
        <x:v>2026-07-09</x:v>
      </x:c>
      <x:c r="D38" s="18" t="str">
        <x:v>High Court of Madhya Pradesh</x:v>
      </x:c>
      <x:c r="E38" s="18" t="str"/>
      <x:c r="F38" s="18" t="str">
        <x:v>Partly Allowed</x:v>
      </x:c>
      <x:c r="G38" s="20" t="str">
        <x:v>https://indian-high-court-judgments.s3.ap-south-1.amazonaws.com/data/pdf/year=2026/court=23_23/bench=mphc_db_ind/MPHC020340422018_1_2023-09-08.pdf</x:v>
      </x:c>
    </x:row>
    <x:row r="39">
      <x:c r="A39" s="19">
        <x:f>ROUND(COUNTA(A39:G39)/7*100,0)</x:f>
      </x:c>
      <x:c r="B39" s="18" t="str">
        <x:v>MA/1806/2008 of SONIYA SHARMA &amp; ORS. Vs SHIVNARAYAN SINGH &amp; ORS.</x:v>
      </x:c>
      <x:c r="C39" s="18" t="str">
        <x:v>2026-07-20</x:v>
      </x:c>
      <x:c r="D39" s="18" t="str">
        <x:v>High Court of Madhya Pradesh</x:v>
      </x:c>
      <x:c r="E39" s="18" t="str"/>
      <x:c r="F39" s="18" t="str">
        <x:v>Disposed Off</x:v>
      </x:c>
      <x:c r="G39" s="20" t="str">
        <x:v>https://indian-high-court-judgments.s3.ap-south-1.amazonaws.com/data/pdf/year=2026/court=23_23/bench=mphc_db_ind/MPHC020269582008_1_2023-10-18.pdf</x:v>
      </x:c>
    </x:row>
    <x:row r="40">
      <x:c r="A40" s="19">
        <x:f>ROUND(COUNTA(A40:G40)/7*100,0)</x:f>
      </x:c>
      <x:c r="B40" s="18" t="str">
        <x:v>WP/7871/2013 of CHIEF EXECUTIVE OFFICER INDORE VIKAS PRADHIKARAN Vs DIRECTOR STATE OF M.P. AND ANR.</x:v>
      </x:c>
      <x:c r="C40" s="18" t="str">
        <x:v>2026-08-03</x:v>
      </x:c>
      <x:c r="D40" s="18" t="str">
        <x:v>High Court of Madhya Pradesh</x:v>
      </x:c>
      <x:c r="E40" s="18" t="str"/>
      <x:c r="F40" s="18" t="str">
        <x:v>Dismissed</x:v>
      </x:c>
      <x:c r="G40" s="20" t="str">
        <x:v>https://indian-high-court-judgments.s3.ap-south-1.amazonaws.com/data/pdf/year=2026/court=23_23/bench=mphc_db_ind/MPHC020189502013_1_2023-12-19.pdf</x:v>
      </x:c>
    </x:row>
    <x:row r="41">
      <x:c r="A41" s="19">
        <x:f>ROUND(COUNTA(A41:G41)/7*100,0)</x:f>
      </x:c>
      <x:c r="B41" s="18" t="str">
        <x:v>WP/6529/2015 of SUNIL Vs HOME DEPARTMENT</x:v>
      </x:c>
      <x:c r="C41" s="18" t="str">
        <x:v>2026-08-19</x:v>
      </x:c>
      <x:c r="D41" s="18" t="str">
        <x:v>High Court of Madhya Pradesh</x:v>
      </x:c>
      <x:c r="E41" s="18" t="str"/>
      <x:c r="F41" s="18" t="str">
        <x:v>Allowed</x:v>
      </x:c>
      <x:c r="G41" s="20" t="str">
        <x:v>https://indian-high-court-judgments.s3.ap-south-1.amazonaws.com/data/pdf/year=2026/court=23_23/bench=mphc_db_ind/MPHC020227142015_1_2023-02-14.pdf</x:v>
      </x:c>
    </x:row>
    <x:row r="42">
      <x:c r="A42" s="19">
        <x:f>ROUND(COUNTA(A42:G42)/7*100,0)</x:f>
      </x:c>
      <x:c r="B42" s="18" t="str">
        <x:v>WP/6399/2012 of MANIKLAL PATELS Vs THE STATE OF MADHYA PRADESH</x:v>
      </x:c>
      <x:c r="C42" s="18" t="str">
        <x:v>2026-03-26</x:v>
      </x:c>
      <x:c r="D42" s="18" t="str">
        <x:v>High Court of Madhya Pradesh</x:v>
      </x:c>
      <x:c r="E42" s="18" t="str"/>
      <x:c r="F42" s="18" t="str">
        <x:v>Withdrawn</x:v>
      </x:c>
      <x:c r="G42" s="20" t="str">
        <x:v>https://indian-high-court-judgments.s3.ap-south-1.amazonaws.com/data/pdf/year=2026/court=23_23/bench=mphc_db_jbp/MPHC010174612012_1_2024-01-30.pdf</x:v>
      </x:c>
    </x:row>
    <x:row r="43">
      <x:c r="A43" s="19">
        <x:f>ROUND(COUNTA(A43:G43)/7*100,0)</x:f>
      </x:c>
      <x:c r="B43" s="18" t="str">
        <x:v>WP/1542/2022 of PUSHPENDRA SHARMA Vs THE STATE OF MADHYA PRADESH</x:v>
      </x:c>
      <x:c r="C43" s="18" t="str">
        <x:v>2026-01-30</x:v>
      </x:c>
      <x:c r="D43" s="18" t="str">
        <x:v>High Court of Madhya Pradesh</x:v>
      </x:c>
      <x:c r="E43" s="18" t="str"/>
      <x:c r="F43" s="18" t="str">
        <x:v>Dismissed</x:v>
      </x:c>
      <x:c r="G43" s="20" t="str">
        <x:v>https://indian-high-court-judgments.s3.ap-south-1.amazonaws.com/data/pdf/year=2026/court=23_23/bench=mphc_db_jbp/MPHC010035642022_1_2023-09-13.pdf</x:v>
      </x:c>
    </x:row>
    <x:row r="44">
      <x:c r="A44" s="19">
        <x:f>ROUND(COUNTA(A44:G44)/7*100,0)</x:f>
      </x:c>
      <x:c r="B44" s="18" t="str">
        <x:v>MA/130/2020 of JITENDRA Vs JITENDRA @ LAXMAN @ CHHOTU</x:v>
      </x:c>
      <x:c r="C44" s="18" t="str">
        <x:v>2026-01-15</x:v>
      </x:c>
      <x:c r="D44" s="18" t="str">
        <x:v>High Court of Madhya Pradesh</x:v>
      </x:c>
      <x:c r="E44" s="18" t="str"/>
      <x:c r="F44" s="18" t="str">
        <x:v>Disposed Off</x:v>
      </x:c>
      <x:c r="G44" s="20" t="str">
        <x:v>https://indian-high-court-judgments.s3.ap-south-1.amazonaws.com/data/pdf/year=2026/court=23_23/bench=mphc_db_jbp/MPHC010001192020_1_2023-10-26.pdf</x:v>
      </x:c>
    </x:row>
    <x:row r="45">
      <x:c r="A45" s="19">
        <x:f>ROUND(COUNTA(A45:G45)/7*100,0)</x:f>
      </x:c>
      <x:c r="B45" s="18" t="str">
        <x:v>WPS/41/2004 of SMT. KAMLA BAI Vs THE STATE OF M.P.</x:v>
      </x:c>
      <x:c r="C45" s="18" t="str">
        <x:v>2026-04-06</x:v>
      </x:c>
      <x:c r="D45" s="18" t="str">
        <x:v>High Court of Madhya Pradesh</x:v>
      </x:c>
      <x:c r="E45" s="18" t="str"/>
      <x:c r="F45" s="18" t="str">
        <x:v>Disposed Off</x:v>
      </x:c>
      <x:c r="G45" s="20" t="str">
        <x:v>https://indian-high-court-judgments.s3.ap-south-1.amazonaws.com/data/pdf/year=2026/court=23_23/bench=mphc_db_jbp/MPHC010004902004_1_2023-09-04.pdf</x:v>
      </x:c>
    </x:row>
    <x:row r="46">
      <x:c r="A46" s="19">
        <x:f>ROUND(COUNTA(A46:G46)/7*100,0)</x:f>
      </x:c>
      <x:c r="B46" s="18" t="str">
        <x:v>MA/846/2005 of GENERAL MANAGER, DUGDH MAHA SANGH Vs SMT.ANITA BAI &amp; ORS.</x:v>
      </x:c>
      <x:c r="C46" s="18" t="str">
        <x:v>2026-03-12</x:v>
      </x:c>
      <x:c r="D46" s="18" t="str">
        <x:v>High Court of Madhya Pradesh</x:v>
      </x:c>
      <x:c r="E46" s="18" t="str"/>
      <x:c r="F46" s="18" t="str">
        <x:v>Dismiss For Default/Want of Prosecution</x:v>
      </x:c>
      <x:c r="G46" s="20" t="str">
        <x:v>https://indian-high-court-judgments.s3.ap-south-1.amazonaws.com/data/pdf/year=2026/court=23_23/bench=mphc_db_jbp/MPHC010121952005_1_2024-01-08.pdf</x:v>
      </x:c>
    </x:row>
    <x:row r="47">
      <x:c r="A47" s="19">
        <x:f>ROUND(COUNTA(A47:G47)/7*100,0)</x:f>
      </x:c>
      <x:c r="B47" s="18" t="str">
        <x:v>WP/13240/2008 of SMT. SUNITA YADAV Vs THE CHIEF FOREST CONSERVATOR</x:v>
      </x:c>
      <x:c r="C47" s="18" t="str">
        <x:v>2026-02-19</x:v>
      </x:c>
      <x:c r="D47" s="18" t="str">
        <x:v>High Court of Madhya Pradesh</x:v>
      </x:c>
      <x:c r="E47" s="18" t="str"/>
      <x:c r="F47" s="18" t="str">
        <x:v>Disposed Off</x:v>
      </x:c>
      <x:c r="G47" s="20" t="str">
        <x:v>https://indian-high-court-judgments.s3.ap-south-1.amazonaws.com/data/pdf/year=2026/court=23_23/bench=mphc_db_jbp/MPHC010399062008_1_2024-01-08.pdf</x:v>
      </x:c>
    </x:row>
    <x:row r="48">
      <x:c r="A48" s="19">
        <x:f>ROUND(COUNTA(A48:G48)/7*100,0)</x:f>
      </x:c>
      <x:c r="B48" s="18" t="str">
        <x:v>MA/1395/2005 of LAGHU VANOPAJ SAH.SANGH MAR. &amp; ANR. Vs RAMESH SINGHAL &amp; ORS.</x:v>
      </x:c>
      <x:c r="C48" s="18" t="str">
        <x:v>2026-02-18</x:v>
      </x:c>
      <x:c r="D48" s="18" t="str">
        <x:v>High Court of Madhya Pradesh</x:v>
      </x:c>
      <x:c r="E48" s="18" t="str"/>
      <x:c r="F48" s="18" t="str">
        <x:v>Dismiss For Default/Want of Prosecution</x:v>
      </x:c>
      <x:c r="G48" s="20" t="str">
        <x:v>https://indian-high-court-judgments.s3.ap-south-1.amazonaws.com/data/pdf/year=2026/court=23_23/bench=mphc_db_jbp/MPHC010190532005_1_2024-01-29.pdf</x:v>
      </x:c>
    </x:row>
    <x:row r="49">
      <x:c r="A49" s="19">
        <x:f>ROUND(COUNTA(A49:G49)/7*100,0)</x:f>
      </x:c>
      <x:c r="B49" s="18" t="str">
        <x:v>FA/53/2000 of MUNNI BEGUM &amp; ORS. Vs SAIDAN BI &amp; ORS.</x:v>
      </x:c>
      <x:c r="C49" s="18" t="str">
        <x:v>2026-03-14</x:v>
      </x:c>
      <x:c r="D49" s="18" t="str">
        <x:v>High Court of Madhya Pradesh</x:v>
      </x:c>
      <x:c r="E49" s="18" t="str"/>
      <x:c r="F49" s="18" t="str">
        <x:v>Disposed in Lok Adalat</x:v>
      </x:c>
      <x:c r="G49" s="20" t="str">
        <x:v>https://indian-high-court-judgments.s3.ap-south-1.amazonaws.com/data/pdf/year=2026/court=23_23/bench=mphc_db_jbp/MPHC010027372000_1_2023-04-10.pdf</x:v>
      </x:c>
    </x:row>
    <x:row r="50">
      <x:c r="A50" s="19">
        <x:f>ROUND(COUNTA(A50:G50)/7*100,0)</x:f>
      </x:c>
      <x:c r="B50" s="18" t="str">
        <x:v>FA/107/2014 of SMT.AGHANIYA Vs SMT. PUSHPA PRADHAN</x:v>
      </x:c>
      <x:c r="C50" s="18" t="str">
        <x:v>2026-03-14</x:v>
      </x:c>
      <x:c r="D50" s="18" t="str">
        <x:v>High Court of Madhya Pradesh</x:v>
      </x:c>
      <x:c r="E50" s="18" t="str"/>
      <x:c r="F50" s="18" t="str">
        <x:v>Disposed in Lok Adalat</x:v>
      </x:c>
      <x:c r="G50" s="20" t="str">
        <x:v>https://indian-high-court-judgments.s3.ap-south-1.amazonaws.com/data/pdf/year=2026/court=23_23/bench=mphc_db_jbp/MPHC010062462014_1_2022-04-21.pdf</x:v>
      </x:c>
    </x:row>
    <x:row r="51">
      <x:c r="A51" s="19">
        <x:f>ROUND(COUNTA(A51:G51)/7*100,0)</x:f>
      </x:c>
      <x:c r="B51" s="18" t="str">
        <x:v>WP/19378/2022 of BIMLESH KUMAR SEN Vs UNION OF INDIA</x:v>
      </x:c>
      <x:c r="C51" s="18" t="str">
        <x:v>2026-01-09</x:v>
      </x:c>
      <x:c r="D51" s="18" t="str">
        <x:v>High Court of Madhya Pradesh</x:v>
      </x:c>
      <x:c r="E51" s="18" t="str"/>
      <x:c r="F51" s="18" t="str">
        <x:v>Addl. Ground</x:v>
      </x:c>
      <x:c r="G51" s="20" t="str">
        <x:v>https://indian-high-court-judgments.s3.ap-south-1.amazonaws.com/data/pdf/year=2026/court=23_23/bench=mphc_db_jbp/MPHC010450962022_1_2023-01-10.pdf</x:v>
      </x:c>
    </x:row>
    <x:row r="52">
      <x:c r="A52" s="19">
        <x:f>ROUND(COUNTA(A52:G52)/7*100,0)</x:f>
      </x:c>
      <x:c r="B52" s="18" t="str">
        <x:v>FA/13/2001 of SMT. PRAMILA BAI Vs SMT.RAMBHA BAI (DEAD) DINESH CHANDRA</x:v>
      </x:c>
      <x:c r="C52" s="18" t="str">
        <x:v>2026-02-26</x:v>
      </x:c>
      <x:c r="D52" s="18" t="str">
        <x:v>High Court of Madhya Pradesh</x:v>
      </x:c>
      <x:c r="E52" s="18" t="str"/>
      <x:c r="F52" s="18" t="str">
        <x:v>Abated</x:v>
      </x:c>
      <x:c r="G52" s="20" t="str">
        <x:v>https://indian-high-court-judgments.s3.ap-south-1.amazonaws.com/data/pdf/year=2026/court=23_23/bench=mphc_db_jbp/MPHC010008432001_1_2023-10-26.pdf</x:v>
      </x:c>
    </x:row>
    <x:row r="53">
      <x:c r="A53" s="19">
        <x:f>ROUND(COUNTA(A53:G53)/7*100,0)</x:f>
      </x:c>
      <x:c r="B53" s="18" t="str">
        <x:v>/11246/2019 of SHARIB KAUSAR Vs PRAHSANT PANDEY</x:v>
      </x:c>
      <x:c r="C53" s="18" t="str">
        <x:v>2026-01-16</x:v>
      </x:c>
      <x:c r="D53" s="18" t="str">
        <x:v>High Court of Madhya Pradesh</x:v>
      </x:c>
      <x:c r="E53" s="18" t="str"/>
      <x:c r="F53" s="18" t="str">
        <x:v>Infructuous</x:v>
      </x:c>
      <x:c r="G53" s="20" t="str">
        <x:v>https://indian-high-court-judgments.s3.ap-south-1.amazonaws.com/data/pdf/year=2026/court=23_23/bench=mphc_db_jbp/MPHC010137852019_1_2023-09-26.pdf</x:v>
      </x:c>
    </x:row>
    <x:row r="54">
      <x:c r="A54" s="19">
        <x:f>ROUND(COUNTA(A54:G54)/7*100,0)</x:f>
      </x:c>
      <x:c r="B54" s="18" t="str">
        <x:v>MA/4062/2006 of RAGHUNANDAN SINGH Vs RAJJAN @ MAHENDRA KUMAR</x:v>
      </x:c>
      <x:c r="C54" s="18" t="str">
        <x:v>2026-03-26</x:v>
      </x:c>
      <x:c r="D54" s="18" t="str">
        <x:v>High Court of Madhya Pradesh</x:v>
      </x:c>
      <x:c r="E54" s="18" t="str"/>
      <x:c r="F54" s="18" t="str">
        <x:v>Partly Allowed</x:v>
      </x:c>
      <x:c r="G54" s="20" t="str">
        <x:v>https://indian-high-court-judgments.s3.ap-south-1.amazonaws.com/data/pdf/year=2026/court=23_23/bench=mphc_db_jbp/MPHC010443982006_1_2024-01-22.pdf</x:v>
      </x:c>
    </x:row>
    <x:row r="55">
      <x:c r="A55" s="19">
        <x:f>ROUND(COUNTA(A55:G55)/7*100,0)</x:f>
      </x:c>
      <x:c r="B55" s="18" t="str">
        <x:v>MCRC/8609/2017 of NIZAM QURESHI Vs P.K. SINGH</x:v>
      </x:c>
      <x:c r="C55" s="18" t="str">
        <x:v>2026-02-13</x:v>
      </x:c>
      <x:c r="D55" s="18" t="str">
        <x:v>High Court of Madhya Pradesh</x:v>
      </x:c>
      <x:c r="E55" s="18" t="str"/>
      <x:c r="F55" s="18" t="str">
        <x:v>Dismissed</x:v>
      </x:c>
      <x:c r="G55" s="20" t="str">
        <x:v>https://indian-high-court-judgments.s3.ap-south-1.amazonaws.com/data/pdf/year=2026/court=23_23/bench=mphc_db_jbp/MPHC010258852017_1_2023-12-01.pdf</x:v>
      </x:c>
    </x:row>
    <x:row r="56">
      <x:c r="A56" s="19">
        <x:f>ROUND(COUNTA(A56:G56)/7*100,0)</x:f>
      </x:c>
      <x:c r="B56" s="18" t="str">
        <x:v>WP/7015/2020 of SMT. NIRMALA KHATRI Vs UNION OF INDIA</x:v>
      </x:c>
      <x:c r="C56" s="18" t="str">
        <x:v>2026-03-24</x:v>
      </x:c>
      <x:c r="D56" s="18" t="str">
        <x:v>High Court of Madhya Pradesh</x:v>
      </x:c>
      <x:c r="E56" s="18" t="str"/>
      <x:c r="F56" s="18" t="str">
        <x:v>Dismissed</x:v>
      </x:c>
      <x:c r="G56" s="20" t="str">
        <x:v>https://indian-high-court-judgments.s3.ap-south-1.amazonaws.com/data/pdf/year=2026/court=23_23/bench=mphc_db_jbp/MPHC010157032020_1_2022-01-04.pdf</x:v>
      </x:c>
    </x:row>
    <x:row r="57">
      <x:c r="A57" s="19">
        <x:f>ROUND(COUNTA(A57:G57)/7*100,0)</x:f>
      </x:c>
      <x:c r="B57" s="18" t="str">
        <x:v>MCC/2506/2015 of UTTAR PRADESH STATE ROAD TRANSPORT CORPORATION Vs MRS. MUNNI DEVI</x:v>
      </x:c>
      <x:c r="C57" s="18" t="str">
        <x:v>2026-02-27</x:v>
      </x:c>
      <x:c r="D57" s="18" t="str">
        <x:v>High Court of Madhya Pradesh</x:v>
      </x:c>
      <x:c r="E57" s="18" t="str"/>
      <x:c r="F57" s="18" t="str"/>
      <x:c r="G57" s="20" t="str">
        <x:v>https://indian-high-court-judgments.s3.ap-south-1.amazonaws.com/data/pdf/year=2026/court=23_23/bench=mphc_db_jbp/MPHC010419362015_1_2023-08-03.pdf</x:v>
      </x:c>
    </x:row>
    <x:row r="58">
      <x:c r="A58" s="19">
        <x:f>ROUND(COUNTA(A58:G58)/7*100,0)</x:f>
      </x:c>
      <x:c r="B58" s="18" t="str">
        <x:v>WP/9117/2018 of POORVA KSHETRA VIYUT METER VACHAK KALYAN SANGH DISTT. CHHINDWARA Vs MADHYA PRADESH STATE ELECTRICITY BOARD</x:v>
      </x:c>
      <x:c r="C58" s="18" t="str">
        <x:v>2026-03-18</x:v>
      </x:c>
      <x:c r="D58" s="18" t="str">
        <x:v>High Court of Madhya Pradesh</x:v>
      </x:c>
      <x:c r="E58" s="18" t="str"/>
      <x:c r="F58" s="18" t="str">
        <x:v>Dismiss For Default/Want of Prosecution</x:v>
      </x:c>
      <x:c r="G58" s="20" t="str">
        <x:v>https://indian-high-court-judgments.s3.ap-south-1.amazonaws.com/data/pdf/year=2026/court=23_23/bench=mphc_db_jbp/MPHC010198212018_1_2018-04-24.pdf</x:v>
      </x:c>
    </x:row>
    <x:row r="59">
      <x:c r="A59" s="19">
        <x:f>ROUND(COUNTA(A59:G59)/7*100,0)</x:f>
      </x:c>
      <x:c r="B59" s="18" t="str">
        <x:v>MA/2158/2004 of MAN.,BAJAJ ALLIANZ GEN.INSURANCE COMP. Vs SMT.SHANTA BAI &amp; ORS</x:v>
      </x:c>
      <x:c r="C59" s="18" t="str">
        <x:v>2026-02-04</x:v>
      </x:c>
      <x:c r="D59" s="18" t="str">
        <x:v>High Court of Madhya Pradesh</x:v>
      </x:c>
      <x:c r="E59" s="18" t="str"/>
      <x:c r="F59" s="18" t="str">
        <x:v>Disposed Off</x:v>
      </x:c>
      <x:c r="G59" s="20" t="str">
        <x:v>https://indian-high-court-judgments.s3.ap-south-1.amazonaws.com/data/pdf/year=2026/court=23_23/bench=mphc_db_jbp/MPHC010227662004_1_2024-01-08.pdf</x:v>
      </x:c>
    </x:row>
    <x:row r="60">
      <x:c r="A60" s="19">
        <x:f>ROUND(COUNTA(A60:G60)/7*100,0)</x:f>
      </x:c>
      <x:c r="B60" s="18" t="str">
        <x:v>MCRC/8530/2017 of ARUN KUMAR Vs P.K. SINGH</x:v>
      </x:c>
      <x:c r="C60" s="18" t="str">
        <x:v>2026-02-13</x:v>
      </x:c>
      <x:c r="D60" s="18" t="str">
        <x:v>High Court of Madhya Pradesh</x:v>
      </x:c>
      <x:c r="E60" s="18" t="str"/>
      <x:c r="F60" s="18" t="str">
        <x:v>Dismissed</x:v>
      </x:c>
      <x:c r="G60" s="20" t="str">
        <x:v>https://indian-high-court-judgments.s3.ap-south-1.amazonaws.com/data/pdf/year=2026/court=23_23/bench=mphc_db_jbp/MPHC010256252017_1_2023-12-01.pdf</x:v>
      </x:c>
    </x:row>
    <x:row r="61">
      <x:c r="A61" s="19">
        <x:f>ROUND(COUNTA(A61:G61)/7*100,0)</x:f>
      </x:c>
      <x:c r="B61" s="18" t="str">
        <x:v>MCRC/44511/2021 of SAAD PARVAIZ Vs THE STATE OF MADHYA PRADESH</x:v>
      </x:c>
      <x:c r="C61" s="18" t="str">
        <x:v>2026-02-09</x:v>
      </x:c>
      <x:c r="D61" s="18" t="str">
        <x:v>High Court of Madhya Pradesh</x:v>
      </x:c>
      <x:c r="E61" s="18" t="str"/>
      <x:c r="F61" s="18" t="str">
        <x:v>Withdrawn</x:v>
      </x:c>
      <x:c r="G61" s="20" t="str">
        <x:v>https://indian-high-court-judgments.s3.ap-south-1.amazonaws.com/data/pdf/year=2026/court=23_23/bench=mphc_db_jbp/MPHC010610452021_1_2026-02-09.pdf</x:v>
      </x:c>
    </x:row>
    <x:row r="62">
      <x:c r="A62" s="19">
        <x:f>ROUND(COUNTA(A62:G62)/7*100,0)</x:f>
      </x:c>
      <x:c r="B62" s="18" t="str">
        <x:v>WP/13338/2023 of ROSHNI PATEL Vs THE STATE OF MADHYA PRADESH</x:v>
      </x:c>
      <x:c r="C62" s="18" t="str">
        <x:v>2026-01-22</x:v>
      </x:c>
      <x:c r="D62" s="18" t="str">
        <x:v>High Court of Madhya Pradesh</x:v>
      </x:c>
      <x:c r="E62" s="18" t="str"/>
      <x:c r="F62" s="18" t="str">
        <x:v>Disposed Off</x:v>
      </x:c>
      <x:c r="G62" s="20" t="str">
        <x:v>https://indian-high-court-judgments.s3.ap-south-1.amazonaws.com/data/pdf/year=2026/court=23_23/bench=mphc_db_jbp/MPHC010330292023_1_2024-01-17.pdf</x:v>
      </x:c>
    </x:row>
    <x:row r="63">
      <x:c r="A63" s="19">
        <x:f>ROUND(COUNTA(A63:G63)/7*100,0)</x:f>
      </x:c>
      <x:c r="B63" s="18" t="str">
        <x:v>MCRC/37362/2018 of DEEPAK SINGH Vs SMT. VIMLA PANDEY</x:v>
      </x:c>
      <x:c r="C63" s="18" t="str">
        <x:v>2026-02-23</x:v>
      </x:c>
      <x:c r="D63" s="18" t="str">
        <x:v>High Court of Madhya Pradesh</x:v>
      </x:c>
      <x:c r="E63" s="18" t="str"/>
      <x:c r="F63" s="18" t="str">
        <x:v>Dismiss For Default/Want of Prosecution</x:v>
      </x:c>
      <x:c r="G63" s="20" t="str">
        <x:v>https://indian-high-court-judgments.s3.ap-south-1.amazonaws.com/data/pdf/year=2026/court=23_23/bench=mphc_db_jbp/MPHC010465462018_1_2023-08-31.pdf</x:v>
      </x:c>
    </x:row>
    <x:row r="64">
      <x:c r="A64" s="19">
        <x:f>ROUND(COUNTA(A64:G64)/7*100,0)</x:f>
      </x:c>
      <x:c r="B64" s="18" t="str">
        <x:v>MA/830/2001 of NASEEM AHMAD Vs AMBIKA PRASAD PATEL</x:v>
      </x:c>
      <x:c r="C64" s="18" t="str">
        <x:v>2026-01-19</x:v>
      </x:c>
      <x:c r="D64" s="18" t="str">
        <x:v>High Court of Madhya Pradesh</x:v>
      </x:c>
      <x:c r="E64" s="18" t="str"/>
      <x:c r="F64" s="18" t="str">
        <x:v>Disposed Off</x:v>
      </x:c>
      <x:c r="G64" s="20" t="str">
        <x:v>https://indian-high-court-judgments.s3.ap-south-1.amazonaws.com/data/pdf/year=2026/court=23_23/bench=mphc_db_jbp/MPHC010112812001_1_2023-08-29.pdf</x:v>
      </x:c>
    </x:row>
    <x:row r="65">
      <x:c r="A65" s="19">
        <x:f>ROUND(COUNTA(A65:G65)/7*100,0)</x:f>
      </x:c>
      <x:c r="B65" s="18" t="str">
        <x:v>WP/25466/2003 of P.N. SAXENA Vs THE CHIEF SECRETARY</x:v>
      </x:c>
      <x:c r="C65" s="18" t="str">
        <x:v>2026-01-22</x:v>
      </x:c>
      <x:c r="D65" s="18" t="str">
        <x:v>High Court of Madhya Pradesh</x:v>
      </x:c>
      <x:c r="E65" s="18" t="str"/>
      <x:c r="F65" s="18" t="str">
        <x:v>Disposed Off</x:v>
      </x:c>
      <x:c r="G65" s="20" t="str">
        <x:v>https://indian-high-court-judgments.s3.ap-south-1.amazonaws.com/data/pdf/year=2026/court=23_23/bench=mphc_db_jbp/MPHC010420632003_1_2024-01-29.pdf</x:v>
      </x:c>
    </x:row>
    <x:row r="66">
      <x:c r="A66" s="19">
        <x:f>ROUND(COUNTA(A66:G66)/7*100,0)</x:f>
      </x:c>
      <x:c r="B66" s="18" t="str">
        <x:v>WP/5450/2009 of BALRAM SONI Vs THE STATE OF MADHYA PRADESH</x:v>
      </x:c>
      <x:c r="C66" s="18" t="str">
        <x:v>2026-03-26</x:v>
      </x:c>
      <x:c r="D66" s="18" t="str">
        <x:v>High Court of Madhya Pradesh</x:v>
      </x:c>
      <x:c r="E66" s="18" t="str"/>
      <x:c r="F66" s="18" t="str">
        <x:v>Dismiss For Default/Want of Prosecution</x:v>
      </x:c>
      <x:c r="G66" s="20" t="str">
        <x:v>https://indian-high-court-judgments.s3.ap-south-1.amazonaws.com/data/pdf/year=2026/court=23_23/bench=mphc_db_jbp/MPHC010182062009_1_2023-07-19.pdf</x:v>
      </x:c>
    </x:row>
    <x:row r="67">
      <x:c r="A67" s="19">
        <x:f>ROUND(COUNTA(A67:G67)/7*100,0)</x:f>
      </x:c>
      <x:c r="B67" s="18" t="str">
        <x:v>MP/1834/2021 of ARVIND KUMAR AZAD Vs GIRISH KUMAR SARAIYA</x:v>
      </x:c>
      <x:c r="C67" s="18" t="str">
        <x:v>2026-03-24</x:v>
      </x:c>
      <x:c r="D67" s="18" t="str">
        <x:v>High Court of Madhya Pradesh</x:v>
      </x:c>
      <x:c r="E67" s="18" t="str"/>
      <x:c r="F67" s="18" t="str">
        <x:v>Disposed Off</x:v>
      </x:c>
      <x:c r="G67" s="20" t="str">
        <x:v>https://indian-high-court-judgments.s3.ap-south-1.amazonaws.com/data/pdf/year=2026/court=23_23/bench=mphc_db_jbp/MPHC010237262021_1_2023-10-17.pdf</x:v>
      </x:c>
    </x:row>
    <x:row r="68">
      <x:c r="A68" s="19">
        <x:f>ROUND(COUNTA(A68:G68)/7*100,0)</x:f>
      </x:c>
      <x:c r="B68" s="18" t="str">
        <x:v>MCRC/515/2014 of SHEIKH ALIM Vs SHEIKH WASIM</x:v>
      </x:c>
      <x:c r="C68" s="18" t="str">
        <x:v>2026-01-29</x:v>
      </x:c>
      <x:c r="D68" s="18" t="str">
        <x:v>High Court of Madhya Pradesh</x:v>
      </x:c>
      <x:c r="E68" s="18" t="str"/>
      <x:c r="F68" s="18" t="str">
        <x:v>Disposed Off</x:v>
      </x:c>
      <x:c r="G68" s="20" t="str">
        <x:v>https://indian-high-court-judgments.s3.ap-south-1.amazonaws.com/data/pdf/year=2026/court=23_23/bench=mphc_db_jbp/MPHC010016492014_1_2023-03-01.pdf</x:v>
      </x:c>
    </x:row>
    <x:row r="69">
      <x:c r="A69" s="19">
        <x:f>ROUND(COUNTA(A69:G69)/7*100,0)</x:f>
      </x:c>
      <x:c r="B69" s="18" t="str">
        <x:v>/14336/2011 of SMT. SONALI THANAWALA Vs M/S SANDEEP INDUSTRIES</x:v>
      </x:c>
      <x:c r="C69" s="18" t="str">
        <x:v>2026-02-11</x:v>
      </x:c>
      <x:c r="D69" s="18" t="str">
        <x:v>High Court of Madhya Pradesh</x:v>
      </x:c>
      <x:c r="E69" s="18" t="str"/>
      <x:c r="F69" s="18" t="str">
        <x:v>Allowed</x:v>
      </x:c>
      <x:c r="G69" s="20" t="str">
        <x:v>https://indian-high-court-judgments.s3.ap-south-1.amazonaws.com/data/pdf/year=2026/court=23_23/bench=mphc_db_jbp/MPHC010537672011_1_2023-10-09.pdf</x:v>
      </x:c>
    </x:row>
    <x:row r="70">
      <x:c r="A70" s="19">
        <x:f>ROUND(COUNTA(A70:G70)/7*100,0)</x:f>
      </x:c>
      <x:c r="B70" s="18" t="str">
        <x:v>WP/14496/2003 of SATISH PAL AGRAWAL Vs STATE OF MADHYA PRADESH</x:v>
      </x:c>
      <x:c r="C70" s="18" t="str">
        <x:v>2026-01-23</x:v>
      </x:c>
      <x:c r="D70" s="18" t="str">
        <x:v>High Court of Madhya Pradesh</x:v>
      </x:c>
      <x:c r="E70" s="18" t="str"/>
      <x:c r="F70" s="18" t="str">
        <x:v>Disposed Off</x:v>
      </x:c>
      <x:c r="G70" s="20" t="str">
        <x:v>https://indian-high-court-judgments.s3.ap-south-1.amazonaws.com/data/pdf/year=2026/court=23_23/bench=mphc_db_jbp/MPHC010415002003_1_2023-01-23.pdf</x:v>
      </x:c>
    </x:row>
    <x:row r="71">
      <x:c r="A71" s="19">
        <x:f>ROUND(COUNTA(A71:G71)/7*100,0)</x:f>
      </x:c>
      <x:c r="B71" s="18" t="str">
        <x:v>FA/174/1998 of NARBADA EDUCATION SOCIETY HOSHANGABAD Vs THE STATE OF M.P. TH. COLLECTOR &amp; ORS.</x:v>
      </x:c>
      <x:c r="C71" s="18" t="str">
        <x:v>2026-03-12</x:v>
      </x:c>
      <x:c r="D71" s="18" t="str">
        <x:v>High Court of Madhya Pradesh</x:v>
      </x:c>
      <x:c r="E71" s="18" t="str"/>
      <x:c r="F71" s="18" t="str">
        <x:v>Dismiss For Default/Want of Prosecution</x:v>
      </x:c>
      <x:c r="G71" s="20" t="str">
        <x:v>https://indian-high-court-judgments.s3.ap-south-1.amazonaws.com/data/pdf/year=2026/court=23_23/bench=mphc_db_jbp/MPHC010038531998_1_2023-01-05.pdf</x:v>
      </x:c>
    </x:row>
    <x:row r="72">
      <x:c r="A72" s="19">
        <x:f>ROUND(COUNTA(A72:G72)/7*100,0)</x:f>
      </x:c>
      <x:c r="B72" s="18" t="str">
        <x:v>MCRC/13130/2010 of SMT. SONALI THANAWALA Vs M/S SANDEEP INDUSTRIES</x:v>
      </x:c>
      <x:c r="C72" s="18" t="str">
        <x:v>2026-02-11</x:v>
      </x:c>
      <x:c r="D72" s="18" t="str">
        <x:v>High Court of Madhya Pradesh</x:v>
      </x:c>
      <x:c r="E72" s="18" t="str"/>
      <x:c r="F72" s="18" t="str">
        <x:v>Allowed</x:v>
      </x:c>
      <x:c r="G72" s="20" t="str">
        <x:v>https://indian-high-court-judgments.s3.ap-south-1.amazonaws.com/data/pdf/year=2026/court=23_23/bench=mphc_db_jbp/MPHC010510612010_1_2023-10-09.pdf</x:v>
      </x:c>
    </x:row>
    <x:row r="73">
      <x:c r="A73" s="19">
        <x:f>ROUND(COUNTA(A73:G73)/7*100,0)</x:f>
      </x:c>
      <x:c r="B73" s="18" t="str">
        <x:v>MP/2586/2021 of NEHUL SAHU Vs SMT. ARTI SAHU</x:v>
      </x:c>
      <x:c r="C73" s="18" t="str">
        <x:v>2026-03-16</x:v>
      </x:c>
      <x:c r="D73" s="18" t="str">
        <x:v>High Court of Madhya Pradesh</x:v>
      </x:c>
      <x:c r="E73" s="18" t="str"/>
      <x:c r="F73" s="18" t="str">
        <x:v>Disposed Off</x:v>
      </x:c>
      <x:c r="G73" s="20" t="str">
        <x:v>https://indian-high-court-judgments.s3.ap-south-1.amazonaws.com/data/pdf/year=2026/court=23_23/bench=mphc_db_jbp/MPHC010344062021_1_2024-01-03.pdf</x:v>
      </x:c>
    </x:row>
    <x:row r="74">
      <x:c r="A74" s="19">
        <x:f>ROUND(COUNTA(A74:G74)/7*100,0)</x:f>
      </x:c>
      <x:c r="B74" s="18" t="str">
        <x:v>MP/2395/2021 of VEVA SADHNA DUBEY Vs MUKESH KUMAR DUBEY</x:v>
      </x:c>
      <x:c r="C74" s="18" t="str">
        <x:v>2026-03-06</x:v>
      </x:c>
      <x:c r="D74" s="18" t="str">
        <x:v>High Court of Madhya Pradesh</x:v>
      </x:c>
      <x:c r="E74" s="18" t="str"/>
      <x:c r="F74" s="18" t="str">
        <x:v>Disposed Off</x:v>
      </x:c>
      <x:c r="G74" s="20" t="str">
        <x:v>https://indian-high-court-judgments.s3.ap-south-1.amazonaws.com/data/pdf/year=2026/court=23_23/bench=mphc_db_jbp/MPHC010316352021_1_2023-12-15.pdf</x:v>
      </x:c>
    </x:row>
    <x:row r="75">
      <x:c r="A75" s="19">
        <x:f>ROUND(COUNTA(A75:G75)/7*100,0)</x:f>
      </x:c>
      <x:c r="B75" s="18" t="str">
        <x:v>WP/18068/2017 of SHALIGRAM DUBEY Vs THE STATE OF MADHYA PRADESH</x:v>
      </x:c>
      <x:c r="C75" s="18" t="str">
        <x:v>2026-04-02</x:v>
      </x:c>
      <x:c r="D75" s="18" t="str">
        <x:v>High Court of Madhya Pradesh</x:v>
      </x:c>
      <x:c r="E75" s="18" t="str"/>
      <x:c r="F75" s="18" t="str">
        <x:v>Dismissed</x:v>
      </x:c>
      <x:c r="G75" s="20" t="str">
        <x:v>https://indian-high-court-judgments.s3.ap-south-1.amazonaws.com/data/pdf/year=2026/court=23_23/bench=mphc_db_jbp/MPHC010545672017_1_2021-08-23.pdf</x:v>
      </x:c>
    </x:row>
    <x:row r="76">
      <x:c r="A76" s="19">
        <x:f>ROUND(COUNTA(A76:G76)/7*100,0)</x:f>
      </x:c>
      <x:c r="B76" s="18" t="str">
        <x:v>MA/354/2005 of GAJENDRANATH CHATURVEDI (DEAD) THROUGH LRS. DHARMENDRANATH CHATURVEDI Vs JAGDISH PRASAD SONI</x:v>
      </x:c>
      <x:c r="C76" s="18" t="str">
        <x:v>2026-02-11</x:v>
      </x:c>
      <x:c r="D76" s="18" t="str">
        <x:v>High Court of Madhya Pradesh</x:v>
      </x:c>
      <x:c r="E76" s="18" t="str"/>
      <x:c r="F76" s="18" t="str">
        <x:v>Withdrawn</x:v>
      </x:c>
      <x:c r="G76" s="20" t="str">
        <x:v>https://indian-high-court-judgments.s3.ap-south-1.amazonaws.com/data/pdf/year=2026/court=23_23/bench=mphc_db_jbp/MPHC010051142005_1_2023-12-18.pdf</x:v>
      </x:c>
    </x:row>
    <x:row r="77">
      <x:c r="A77" s="19">
        <x:f>ROUND(COUNTA(A77:G77)/7*100,0)</x:f>
      </x:c>
      <x:c r="B77" s="18" t="str">
        <x:v>MCRC/8401/2008 of M.P.STATE ELECTRICITY BOARD, Vs RAM VISHAL PATEL</x:v>
      </x:c>
      <x:c r="C77" s="18" t="str">
        <x:v>2026-02-13</x:v>
      </x:c>
      <x:c r="D77" s="18" t="str">
        <x:v>High Court of Madhya Pradesh</x:v>
      </x:c>
      <x:c r="E77" s="18" t="str"/>
      <x:c r="F77" s="18" t="str">
        <x:v>Dismissed</x:v>
      </x:c>
      <x:c r="G77" s="20" t="str">
        <x:v>https://indian-high-court-judgments.s3.ap-south-1.amazonaws.com/data/pdf/year=2026/court=23_23/bench=mphc_db_jbp/MPHC010323122008_1_2014-07-23.pdf</x:v>
      </x:c>
    </x:row>
    <x:row r="78">
      <x:c r="A78" s="19">
        <x:f>ROUND(COUNTA(A78:G78)/7*100,0)</x:f>
      </x:c>
      <x:c r="B78" s="18" t="str">
        <x:v>MCRC/7753/2012 of BISHAN SINGH Vs SHRI DWARKA PRASAD SAHU</x:v>
      </x:c>
      <x:c r="C78" s="18" t="str">
        <x:v>2026-03-16</x:v>
      </x:c>
      <x:c r="D78" s="18" t="str">
        <x:v>High Court of Madhya Pradesh</x:v>
      </x:c>
      <x:c r="E78" s="18" t="str"/>
      <x:c r="F78" s="18" t="str">
        <x:v>Infructuous</x:v>
      </x:c>
      <x:c r="G78" s="20" t="str">
        <x:v>https://indian-high-court-judgments.s3.ap-south-1.amazonaws.com/data/pdf/year=2026/court=23_23/bench=mphc_db_jbp/MPHC010264602012_1_2023-09-11.pdf</x:v>
      </x:c>
    </x:row>
    <x:row r="79">
      <x:c r="A79" s="19">
        <x:f>ROUND(COUNTA(A79:G79)/7*100,0)</x:f>
      </x:c>
      <x:c r="B79" s="18" t="str">
        <x:v>MCRC/14484/2012 of J.B.S. CHANDEL Vs THE STATE OF MADHYA PRADESH</x:v>
      </x:c>
      <x:c r="C79" s="18" t="str">
        <x:v>2026-03-14</x:v>
      </x:c>
      <x:c r="D79" s="18" t="str">
        <x:v>High Court of Madhya Pradesh</x:v>
      </x:c>
      <x:c r="E79" s="18" t="str"/>
      <x:c r="F79" s="18" t="str">
        <x:v>Disposed in Lok Adalat</x:v>
      </x:c>
      <x:c r="G79" s="20" t="str">
        <x:v>https://indian-high-court-judgments.s3.ap-south-1.amazonaws.com/data/pdf/year=2026/court=23_23/bench=mphc_db_jbp/MPHC010523282012_1_2022-01-14.pdf</x:v>
      </x:c>
    </x:row>
    <x:row r="80">
      <x:c r="A80" s="19">
        <x:f>ROUND(COUNTA(A80:G80)/7*100,0)</x:f>
      </x:c>
      <x:c r="B80" s="18" t="str">
        <x:v>WP/14726/2018 of MUKESH KUMAR VERMA Vs THE STATE OF MADHYA PRADESH</x:v>
      </x:c>
      <x:c r="C80" s="18" t="str">
        <x:v>2026-03-20</x:v>
      </x:c>
      <x:c r="D80" s="18" t="str">
        <x:v>High Court of Madhya Pradesh</x:v>
      </x:c>
      <x:c r="E80" s="18" t="str"/>
      <x:c r="F80" s="18" t="str">
        <x:v>Infructuous</x:v>
      </x:c>
      <x:c r="G80" s="20" t="str">
        <x:v>https://indian-high-court-judgments.s3.ap-south-1.amazonaws.com/data/pdf/year=2026/court=23_23/bench=mphc_db_jbp/MPHC010318902018_1_2018-12-14.pdf</x:v>
      </x:c>
    </x:row>
    <x:row r="81">
      <x:c r="A81" s="19">
        <x:f>ROUND(COUNTA(A81:G81)/7*100,0)</x:f>
      </x:c>
      <x:c r="B81" s="18" t="str">
        <x:v>WP/14228/2017 of N.KUMAR (DECEASED)THR. LRS SANDEEP SAHU Vs HARGOVIND SAHU</x:v>
      </x:c>
      <x:c r="C81" s="18" t="str">
        <x:v>2026-02-09</x:v>
      </x:c>
      <x:c r="D81" s="18" t="str">
        <x:v>High Court of Madhya Pradesh</x:v>
      </x:c>
      <x:c r="E81" s="18" t="str"/>
      <x:c r="F81" s="18" t="str">
        <x:v>Dismiss For Default/Want of Prosecution</x:v>
      </x:c>
      <x:c r="G81" s="20" t="str">
        <x:v>https://indian-high-court-judgments.s3.ap-south-1.amazonaws.com/data/pdf/year=2026/court=23_23/bench=mphc_db_jbp/MPHC010455592017_1_2022-06-30.pdf</x:v>
      </x:c>
    </x:row>
    <x:row r="82">
      <x:c r="A82" s="19">
        <x:f>ROUND(COUNTA(A82:G82)/7*100,0)</x:f>
      </x:c>
      <x:c r="B82" s="18" t="str">
        <x:v>WP/27897/2022 of RAJESH KUMAR RAIDAS Vs THE STATE OF MADHYA PRADESH</x:v>
      </x:c>
      <x:c r="C82" s="18" t="str">
        <x:v>2026-03-16</x:v>
      </x:c>
      <x:c r="D82" s="18" t="str">
        <x:v>High Court of Madhya Pradesh</x:v>
      </x:c>
      <x:c r="E82" s="18" t="str"/>
      <x:c r="F82" s="18" t="str">
        <x:v>Dismissed</x:v>
      </x:c>
      <x:c r="G82" s="20" t="str">
        <x:v>https://indian-high-court-judgments.s3.ap-south-1.amazonaws.com/data/pdf/year=2026/court=23_23/bench=mphc_db_jbp/MPHC010654162022_1_2023-12-18.pdf</x:v>
      </x:c>
    </x:row>
    <x:row r="83">
      <x:c r="A83" s="19">
        <x:f>ROUND(COUNTA(A83:G83)/7*100,0)</x:f>
      </x:c>
      <x:c r="B83" s="18" t="str">
        <x:v>MCRC/1230/2022 of ASHISH KATARE Vs RAJKUMAR</x:v>
      </x:c>
      <x:c r="C83" s="18" t="str">
        <x:v>2026-03-09</x:v>
      </x:c>
      <x:c r="D83" s="18" t="str">
        <x:v>High Court of Madhya Pradesh</x:v>
      </x:c>
      <x:c r="E83" s="18" t="str"/>
      <x:c r="F83" s="18" t="str">
        <x:v>Leave Granted</x:v>
      </x:c>
      <x:c r="G83" s="20" t="str">
        <x:v>https://indian-high-court-judgments.s3.ap-south-1.amazonaws.com/data/pdf/year=2026/court=23_23/bench=mphc_db_jbp/MPHC010011382022_1_2022-05-02.pdf</x:v>
      </x:c>
    </x:row>
    <x:row r="84">
      <x:c r="A84" s="19">
        <x:f>ROUND(COUNTA(A84:G84)/7*100,0)</x:f>
      </x:c>
      <x:c r="B84" s="18" t="str">
        <x:v>MA/602/2003 of RAGHUVANSH PRASAD DWIVEDI Vs CHANDRA DEV AND ORS</x:v>
      </x:c>
      <x:c r="C84" s="18" t="str">
        <x:v>2026-01-07</x:v>
      </x:c>
      <x:c r="D84" s="18" t="str">
        <x:v>High Court of Madhya Pradesh</x:v>
      </x:c>
      <x:c r="E84" s="18" t="str"/>
      <x:c r="F84" s="18" t="str">
        <x:v>Dismiss For Default/Want of Prosecution</x:v>
      </x:c>
      <x:c r="G84" s="20" t="str">
        <x:v>https://indian-high-court-judgments.s3.ap-south-1.amazonaws.com/data/pdf/year=2026/court=23_23/bench=mphc_db_jbp/MPHC010571962003_1_2024-01-19.pdf</x:v>
      </x:c>
    </x:row>
    <x:row r="85">
      <x:c r="A85" s="19">
        <x:f>ROUND(COUNTA(A85:G85)/7*100,0)</x:f>
      </x:c>
      <x:c r="B85" s="18" t="str">
        <x:v>WP/22310/2018 of MANISH KUMAR UIKEY Vs M.D.</x:v>
      </x:c>
      <x:c r="C85" s="18" t="str">
        <x:v>2026-01-15</x:v>
      </x:c>
      <x:c r="D85" s="18" t="str">
        <x:v>High Court of Madhya Pradesh</x:v>
      </x:c>
      <x:c r="E85" s="18" t="str"/>
      <x:c r="F85" s="18" t="str">
        <x:v>Disposed Off</x:v>
      </x:c>
      <x:c r="G85" s="20" t="str">
        <x:v>https://indian-high-court-judgments.s3.ap-south-1.amazonaws.com/data/pdf/year=2026/court=23_23/bench=mphc_db_jbp/MPHC010474132018_1_2022-02-01.pdf</x:v>
      </x:c>
    </x:row>
    <x:row r="86">
      <x:c r="A86" s="19">
        <x:f>ROUND(COUNTA(A86:G86)/7*100,0)</x:f>
      </x:c>
      <x:c r="B86" s="18" t="str">
        <x:v>AC/27/2022 of M/S C.S. CONSTRUCTION Vs UNION OF INDIA</x:v>
      </x:c>
      <x:c r="C86" s="18" t="str">
        <x:v>2026-03-31</x:v>
      </x:c>
      <x:c r="D86" s="18" t="str">
        <x:v>High Court of Madhya Pradesh</x:v>
      </x:c>
      <x:c r="E86" s="18" t="str"/>
      <x:c r="F86" s="18" t="str">
        <x:v>Disposed Off</x:v>
      </x:c>
      <x:c r="G86" s="20" t="str">
        <x:v>https://indian-high-court-judgments.s3.ap-south-1.amazonaws.com/data/pdf/year=2026/court=23_23/bench=mphc_db_jbp/MPHC010190842022_1_2023-06-19.pdf</x:v>
      </x:c>
    </x:row>
    <x:row r="87">
      <x:c r="A87" s="19">
        <x:f>ROUND(COUNTA(A87:G87)/7*100,0)</x:f>
      </x:c>
      <x:c r="B87" s="18" t="str">
        <x:v>MCRC/14495/2011 of DINESH KUMAR MISHRA Vs SHRIKANT DUBEY</x:v>
      </x:c>
      <x:c r="C87" s="18" t="str">
        <x:v>2026-03-12</x:v>
      </x:c>
      <x:c r="D87" s="18" t="str">
        <x:v>High Court of Madhya Pradesh</x:v>
      </x:c>
      <x:c r="E87" s="18" t="str"/>
      <x:c r="F87" s="18" t="str">
        <x:v>Withdrawn</x:v>
      </x:c>
      <x:c r="G87" s="20" t="str">
        <x:v>https://indian-high-court-judgments.s3.ap-south-1.amazonaws.com/data/pdf/year=2026/court=23_23/bench=mphc_db_jbp/MPHC010544772011_1_2023-09-11.pdf</x:v>
      </x:c>
    </x:row>
    <x:row r="88">
      <x:c r="A88" s="19">
        <x:f>ROUND(COUNTA(A88:G88)/7*100,0)</x:f>
      </x:c>
      <x:c r="B88" s="18" t="str">
        <x:v>MCRC/32249/2018 of RAKHI TIWARI Vs THE STATE OF MADHYA PRADESH</x:v>
      </x:c>
      <x:c r="C88" s="18" t="str">
        <x:v>2026-03-14</x:v>
      </x:c>
      <x:c r="D88" s="18" t="str">
        <x:v>High Court of Madhya Pradesh</x:v>
      </x:c>
      <x:c r="E88" s="18" t="str"/>
      <x:c r="F88" s="18" t="str">
        <x:v>Disposed in Lok Adalat</x:v>
      </x:c>
      <x:c r="G88" s="20" t="str">
        <x:v>https://indian-high-court-judgments.s3.ap-south-1.amazonaws.com/data/pdf/year=2026/court=23_23/bench=mphc_db_jbp/MPHC010398032018_1_2023-04-26.pdf</x:v>
      </x:c>
    </x:row>
    <x:row r="89">
      <x:c r="A89" s="19">
        <x:f>ROUND(COUNTA(A89:G89)/7*100,0)</x:f>
      </x:c>
      <x:c r="B89" s="18" t="str">
        <x:v>WP/10234/2017 of AYAJ WARIS Vs K.C. MALVIYA</x:v>
      </x:c>
      <x:c r="C89" s="18" t="str">
        <x:v>2026-04-07</x:v>
      </x:c>
      <x:c r="D89" s="18" t="str">
        <x:v>High Court of Madhya Pradesh</x:v>
      </x:c>
      <x:c r="E89" s="18" t="str"/>
      <x:c r="F89" s="18" t="str">
        <x:v>Disposed Off</x:v>
      </x:c>
      <x:c r="G89" s="20" t="str">
        <x:v>https://indian-high-court-judgments.s3.ap-south-1.amazonaws.com/data/pdf/year=2026/court=23_23/bench=mphc_db_jbp/MPHC010346672017_1_2022-07-28.pdf</x:v>
      </x:c>
    </x:row>
    <x:row r="90">
      <x:c r="A90" s="19">
        <x:f>ROUND(COUNTA(A90:G90)/7*100,0)</x:f>
      </x:c>
      <x:c r="B90" s="18" t="str">
        <x:v>MCRC/6569/2017 of AMRISH DUBEY Vs MANISH KUMAR JAIN</x:v>
      </x:c>
      <x:c r="C90" s="18" t="str">
        <x:v>2026-01-30</x:v>
      </x:c>
      <x:c r="D90" s="18" t="str">
        <x:v>High Court of Madhya Pradesh</x:v>
      </x:c>
      <x:c r="E90" s="18" t="str"/>
      <x:c r="F90" s="18" t="str">
        <x:v>Dismissed</x:v>
      </x:c>
      <x:c r="G90" s="20" t="str">
        <x:v>https://indian-high-court-judgments.s3.ap-south-1.amazonaws.com/data/pdf/year=2026/court=23_23/bench=mphc_db_jbp/MPHC010199602017_1_2023-08-22.pdf</x:v>
      </x:c>
    </x:row>
    <x:row r="91">
      <x:c r="A91" s="19">
        <x:f>ROUND(COUNTA(A91:G91)/7*100,0)</x:f>
      </x:c>
      <x:c r="B91" s="18" t="str">
        <x:v>WP/16472/2022 of RAJENDRA KUMAR Vs THE STATE OF MADHYA PRADESH</x:v>
      </x:c>
      <x:c r="C91" s="18" t="str">
        <x:v>2026-01-09</x:v>
      </x:c>
      <x:c r="D91" s="18" t="str">
        <x:v>High Court of Madhya Pradesh</x:v>
      </x:c>
      <x:c r="E91" s="18" t="str"/>
      <x:c r="F91" s="18" t="str">
        <x:v>Withdrawn</x:v>
      </x:c>
      <x:c r="G91" s="20" t="str">
        <x:v>https://indian-high-court-judgments.s3.ap-south-1.amazonaws.com/data/pdf/year=2026/court=23_23/bench=mphc_db_jbp/MPHC010378222022_1_2023-10-13.pdf</x:v>
      </x:c>
    </x:row>
    <x:row r="92">
      <x:c r="A92" s="19">
        <x:f>ROUND(COUNTA(A92:G92)/7*100,0)</x:f>
      </x:c>
      <x:c r="B92" s="18" t="str">
        <x:v>CR/464/2023 of NEETU PARMAR Vs VARSHAGADEKAR</x:v>
      </x:c>
      <x:c r="C92" s="18" t="str">
        <x:v>2026-04-06</x:v>
      </x:c>
      <x:c r="D92" s="18" t="str">
        <x:v>High Court of Madhya Pradesh</x:v>
      </x:c>
      <x:c r="E92" s="18" t="str"/>
      <x:c r="F92" s="18" t="str">
        <x:v>Allowed</x:v>
      </x:c>
      <x:c r="G92" s="20" t="str">
        <x:v>https://indian-high-court-judgments.s3.ap-south-1.amazonaws.com/data/pdf/year=2026/court=23_23/bench=mphc_db_jbp/MPHC010373102023_1_2023-10-04.pdf</x:v>
      </x:c>
    </x:row>
    <x:row r="93">
      <x:c r="A93" s="19">
        <x:f>ROUND(COUNTA(A93:G93)/7*100,0)</x:f>
      </x:c>
      <x:c r="B93" s="18" t="str">
        <x:v>MCRC/20465/2016 of SUDHIR KHANDEKAR Vs THE STATE OF MADHYA PRADESH</x:v>
      </x:c>
      <x:c r="C93" s="18" t="str">
        <x:v>2026-02-18</x:v>
      </x:c>
      <x:c r="D93" s="18" t="str">
        <x:v>High Court of Madhya Pradesh</x:v>
      </x:c>
      <x:c r="E93" s="18" t="str"/>
      <x:c r="F93" s="18" t="str">
        <x:v>Dismissed</x:v>
      </x:c>
      <x:c r="G93" s="20" t="str">
        <x:v>https://indian-high-court-judgments.s3.ap-south-1.amazonaws.com/data/pdf/year=2026/court=23_23/bench=mphc_db_jbp/MPHC010587572016_1_2022-05-13.pdf</x:v>
      </x:c>
    </x:row>
    <x:row r="94">
      <x:c r="A94" s="19">
        <x:f>ROUND(COUNTA(A94:G94)/7*100,0)</x:f>
      </x:c>
      <x:c r="B94" s="18" t="str">
        <x:v>MCC/1950/2017 of ASHRAF @ ASHABI (LEGAL REPRESENTATIVE) OF LATE ZAREENA Vs BHAIRU LAL</x:v>
      </x:c>
      <x:c r="C94" s="18" t="str">
        <x:v>2026-07-06</x:v>
      </x:c>
      <x:c r="D94" s="18" t="str">
        <x:v>High Court of Madhya Pradesh</x:v>
      </x:c>
      <x:c r="E94" s="18" t="str"/>
      <x:c r="F94" s="18" t="str">
        <x:v>Disposed Off</x:v>
      </x:c>
      <x:c r="G94" s="20" t="str">
        <x:v>https://indian-high-court-judgments.s3.ap-south-1.amazonaws.com/data/pdf/year=2026/court=23_23/bench=mphc_db_jbp/MPHC010330192017_1_2020-02-24.pdf</x:v>
      </x:c>
    </x:row>
    <x:row r="95">
      <x:c r="A95" s="19">
        <x:f>ROUND(COUNTA(A95:G95)/7*100,0)</x:f>
      </x:c>
      <x:c r="B95" s="18" t="str">
        <x:v>WPS/3007/2004 of COMMISSIONER LAND RECORD &amp; SETTLEMENT&amp;A Vs BHARAT BHUSHAN VYAS</x:v>
      </x:c>
      <x:c r="C95" s="18" t="str">
        <x:v>2026-07-07</x:v>
      </x:c>
      <x:c r="D95" s="18" t="str">
        <x:v>High Court of Madhya Pradesh</x:v>
      </x:c>
      <x:c r="E95" s="18" t="str"/>
      <x:c r="F95" s="18" t="str">
        <x:v>Dismissed</x:v>
      </x:c>
      <x:c r="G95" s="20" t="str">
        <x:v>https://indian-high-court-judgments.s3.ap-south-1.amazonaws.com/data/pdf/year=2026/court=23_23/bench=mphc_db_jbp/MPHC010151002004_1_2024-01-22.pdf</x:v>
      </x:c>
    </x:row>
    <x:row r="96">
      <x:c r="A96" s="19">
        <x:f>ROUND(COUNTA(A96:G96)/7*100,0)</x:f>
      </x:c>
      <x:c r="B96" s="18" t="str">
        <x:v>WP/19446/2023 of RAMSWAROOP PARMAR Vs THE STATE OF MADHYA PRADESH</x:v>
      </x:c>
      <x:c r="C96" s="18" t="str">
        <x:v>2026-07-07</x:v>
      </x:c>
      <x:c r="D96" s="18" t="str">
        <x:v>High Court of Madhya Pradesh</x:v>
      </x:c>
      <x:c r="E96" s="18" t="str"/>
      <x:c r="F96" s="18" t="str">
        <x:v>Order on PUD/Clerical error</x:v>
      </x:c>
      <x:c r="G96" s="20" t="str">
        <x:v>https://indian-high-court-judgments.s3.ap-south-1.amazonaws.com/data/pdf/year=2026/court=23_23/bench=mphc_db_jbp/MPHC010455422023_1_2023-08-11.pdf</x:v>
      </x:c>
    </x:row>
    <x:row r="97">
      <x:c r="A97" s="19">
        <x:f>ROUND(COUNTA(A97:G97)/7*100,0)</x:f>
      </x:c>
      <x:c r="B97" s="18" t="str">
        <x:v>CR/421/2014 of KRISHI UPAM JANDI Vs M/S MOTILAL DHANNI LAL TAPA</x:v>
      </x:c>
      <x:c r="C97" s="18" t="str">
        <x:v>2026-07-08</x:v>
      </x:c>
      <x:c r="D97" s="18" t="str">
        <x:v>High Court of Madhya Pradesh</x:v>
      </x:c>
      <x:c r="E97" s="18" t="str"/>
      <x:c r="F97" s="18" t="str">
        <x:v>Dismissed</x:v>
      </x:c>
      <x:c r="G97" s="20" t="str">
        <x:v>https://indian-high-court-judgments.s3.ap-south-1.amazonaws.com/data/pdf/year=2026/court=23_23/bench=mphc_db_jbp/MPHC010421802014_1_2023-04-24.pdf</x:v>
      </x:c>
    </x:row>
    <x:row r="98">
      <x:c r="A98" s="19">
        <x:f>ROUND(COUNTA(A98:G98)/7*100,0)</x:f>
      </x:c>
      <x:c r="B98" s="18" t="str">
        <x:v>WP/1669/2019 of SACHIN KUMAR NAMDEO Vs THE STATE OF MADHYA PRADESH</x:v>
      </x:c>
      <x:c r="C98" s="18" t="str">
        <x:v>2026-07-14</x:v>
      </x:c>
      <x:c r="D98" s="18" t="str">
        <x:v>High Court of Madhya Pradesh</x:v>
      </x:c>
      <x:c r="E98" s="18" t="str"/>
      <x:c r="F98" s="18" t="str">
        <x:v>Infructuous</x:v>
      </x:c>
      <x:c r="G98" s="20" t="str">
        <x:v>https://indian-high-court-judgments.s3.ap-south-1.amazonaws.com/data/pdf/year=2026/court=23_23/bench=mphc_db_jbp/MPHC010045382019_1_2019-03-26.pdf</x:v>
      </x:c>
    </x:row>
    <x:row r="99">
      <x:c r="A99" s="19">
        <x:f>ROUND(COUNTA(A99:G99)/7*100,0)</x:f>
      </x:c>
      <x:c r="B99" s="18" t="str">
        <x:v>WP/14228/2017 of N.KUMAR (DECEASED)THR. LRS SANDEEP SAHU Vs HARGOVIND SAHU</x:v>
      </x:c>
      <x:c r="C99" s="18" t="str">
        <x:v>2026-07-14</x:v>
      </x:c>
      <x:c r="D99" s="18" t="str">
        <x:v>High Court of Madhya Pradesh</x:v>
      </x:c>
      <x:c r="E99" s="18" t="str"/>
      <x:c r="F99" s="18" t="str">
        <x:v>Disposed Off</x:v>
      </x:c>
      <x:c r="G99" s="20" t="str">
        <x:v>https://indian-high-court-judgments.s3.ap-south-1.amazonaws.com/data/pdf/year=2026/court=23_23/bench=mphc_db_jbp/MPHC010455592017_1_2022-06-30.pdf</x:v>
      </x:c>
    </x:row>
    <x:row r="100">
      <x:c r="A100" s="19">
        <x:f>ROUND(COUNTA(A100:G100)/7*100,0)</x:f>
      </x:c>
      <x:c r="B100" s="18" t="str">
        <x:v>CRR/1930/2019 of SMT. SANDHYA MISHRA Vs ATUL MISHRA</x:v>
      </x:c>
      <x:c r="C100" s="18" t="str">
        <x:v>2026-07-16</x:v>
      </x:c>
      <x:c r="D100" s="18" t="str">
        <x:v>High Court of Madhya Pradesh</x:v>
      </x:c>
      <x:c r="E100" s="18" t="str"/>
      <x:c r="F100" s="18" t="str">
        <x:v>Withdrawn</x:v>
      </x:c>
      <x:c r="G100" s="20" t="str">
        <x:v>https://indian-high-court-judgments.s3.ap-south-1.amazonaws.com/data/pdf/year=2026/court=23_23/bench=mphc_db_jbp/MPHC012676982019_1_2023-01-20.pdf</x:v>
      </x:c>
    </x:row>
    <x:row r="101">
      <x:c r="A101" s="19">
        <x:f>ROUND(COUNTA(A101:G101)/7*100,0)</x:f>
      </x:c>
      <x:c r="B101" s="18" t="str">
        <x:v>FA/117/2020 of THE STATE OF MADHYA PRADESH Vs RAMADHAR (DEAD) THROUGH LRS SURENDRA NATH AHIRWAR</x:v>
      </x:c>
      <x:c r="C101" s="18" t="str">
        <x:v>2026-07-17</x:v>
      </x:c>
      <x:c r="D101" s="18" t="str">
        <x:v>High Court of Madhya Pradesh</x:v>
      </x:c>
      <x:c r="E101" s="18" t="str"/>
      <x:c r="F101" s="18" t="str">
        <x:v>Dismissed</x:v>
      </x:c>
      <x:c r="G101" s="20" t="str">
        <x:v>https://indian-high-court-judgments.s3.ap-south-1.amazonaws.com/data/pdf/year=2026/court=23_23/bench=mphc_db_jbp/MPHC010039082020_1_2022-09-07.pdf</x:v>
      </x:c>
    </x:row>
    <x:row r="102">
      <x:c r="A102" s="19">
        <x:f>ROUND(COUNTA(A102:G102)/7*100,0)</x:f>
      </x:c>
      <x:c r="B102" s="18" t="str">
        <x:v>CR/374/2019 of SHAILENDRA BHASKAR Vs M P WAKF BOARD</x:v>
      </x:c>
      <x:c r="C102" s="18" t="str">
        <x:v>2026-07-17</x:v>
      </x:c>
      <x:c r="D102" s="18" t="str">
        <x:v>High Court of Madhya Pradesh</x:v>
      </x:c>
      <x:c r="E102" s="18" t="str"/>
      <x:c r="F102" s="18" t="str">
        <x:v>Dismiss For Default/Want of Prosecution</x:v>
      </x:c>
      <x:c r="G102" s="20" t="str">
        <x:v>https://indian-high-court-judgments.s3.ap-south-1.amazonaws.com/data/pdf/year=2026/court=23_23/bench=mphc_db_jbp/MPHC010286472019_1_2023-08-21.pdf</x:v>
      </x:c>
    </x:row>
    <x:row r="103">
      <x:c r="A103" s="19">
        <x:f>ROUND(COUNTA(A103:G103)/7*100,0)</x:f>
      </x:c>
      <x:c r="B103" s="18" t="str">
        <x:v>MCRC/1266/2013 of CHANDRABHAN SINGH THAKUR Vs THE STATE OF MADHYA PRADESH</x:v>
      </x:c>
      <x:c r="C103" s="18" t="str">
        <x:v>2026-07-20</x:v>
      </x:c>
      <x:c r="D103" s="18" t="str">
        <x:v>High Court of Madhya Pradesh</x:v>
      </x:c>
      <x:c r="E103" s="18" t="str"/>
      <x:c r="F103" s="18" t="str">
        <x:v>Partly Allowed</x:v>
      </x:c>
      <x:c r="G103" s="20" t="str">
        <x:v>https://indian-high-court-judgments.s3.ap-south-1.amazonaws.com/data/pdf/year=2026/court=23_23/bench=mphc_db_jbp/MPHC010042752013_1_2023-10-09.pdf</x:v>
      </x:c>
    </x:row>
    <x:row r="104">
      <x:c r="A104" s="19">
        <x:f>ROUND(COUNTA(A104:G104)/7*100,0)</x:f>
      </x:c>
      <x:c r="B104" s="18" t="str">
        <x:v>WP/13357/2015 of HARDEO SINGH YADAV Vs MADHYA PRADESH STATE CIVIL SUPPLIES CORPORATION</x:v>
      </x:c>
      <x:c r="C104" s="18" t="str">
        <x:v>2026-07-21</x:v>
      </x:c>
      <x:c r="D104" s="18" t="str">
        <x:v>High Court of Madhya Pradesh</x:v>
      </x:c>
      <x:c r="E104" s="18" t="str"/>
      <x:c r="F104" s="18" t="str">
        <x:v>Disposed Off</x:v>
      </x:c>
      <x:c r="G104" s="20" t="str">
        <x:v>https://indian-high-court-judgments.s3.ap-south-1.amazonaws.com/data/pdf/year=2026/court=23_23/bench=mphc_db_jbp/MPHC010395442015_1_2022-11-22.pdf</x:v>
      </x:c>
    </x:row>
    <x:row r="105">
      <x:c r="A105" s="19">
        <x:f>ROUND(COUNTA(A105:G105)/7*100,0)</x:f>
      </x:c>
      <x:c r="B105" s="18" t="str">
        <x:v>MA/2898/2016 of DIVISIONAL MANAGER THE ORIENTAL INS. CO. LTD. Vs SMT. CHAMPA BAI CHOUDHARY</x:v>
      </x:c>
      <x:c r="C105" s="18" t="str">
        <x:v>2026-07-29</x:v>
      </x:c>
      <x:c r="D105" s="18" t="str">
        <x:v>High Court of Madhya Pradesh</x:v>
      </x:c>
      <x:c r="E105" s="18" t="str"/>
      <x:c r="F105" s="18" t="str">
        <x:v>Partly Allowed</x:v>
      </x:c>
      <x:c r="G105" s="20" t="str">
        <x:v>https://indian-high-court-judgments.s3.ap-south-1.amazonaws.com/data/pdf/year=2026/court=23_23/bench=mphc_db_jbp/MPHC010568552016_1_2023-12-05.pdf</x:v>
      </x:c>
    </x:row>
    <x:row r="106">
      <x:c r="A106" s="19">
        <x:f>ROUND(COUNTA(A106:G106)/7*100,0)</x:f>
      </x:c>
      <x:c r="B106" s="18" t="str">
        <x:v>MCRC/61270/2022 of ABHISHEK SINGH Vs THE STATE OF MADHYA PRADESH</x:v>
      </x:c>
      <x:c r="C106" s="18" t="str">
        <x:v>2026-07-27</x:v>
      </x:c>
      <x:c r="D106" s="18" t="str">
        <x:v>High Court of Madhya Pradesh</x:v>
      </x:c>
      <x:c r="E106" s="18" t="str"/>
      <x:c r="F106" s="18" t="str">
        <x:v>Dismissed</x:v>
      </x:c>
      <x:c r="G106" s="20" t="str">
        <x:v>https://indian-high-court-judgments.s3.ap-south-1.amazonaws.com/data/pdf/year=2026/court=23_23/bench=mphc_db_jbp/MPHC010703192022_1_2023-02-06.pdf</x:v>
      </x:c>
    </x:row>
    <x:row r="107">
      <x:c r="A107" s="19">
        <x:f>ROUND(COUNTA(A107:G107)/7*100,0)</x:f>
      </x:c>
      <x:c r="B107" s="18" t="str">
        <x:v>CRR/582/2022 of TARUN MALVIYA Vs GAURAV</x:v>
      </x:c>
      <x:c r="C107" s="18" t="str">
        <x:v>2026-08-13</x:v>
      </x:c>
      <x:c r="D107" s="18" t="str">
        <x:v>High Court of Madhya Pradesh</x:v>
      </x:c>
      <x:c r="E107" s="18" t="str"/>
      <x:c r="F107" s="18" t="str">
        <x:v>Infructuous</x:v>
      </x:c>
      <x:c r="G107" s="20" t="str">
        <x:v>https://indian-high-court-judgments.s3.ap-south-1.amazonaws.com/data/pdf/year=2026/court=23_23/bench=mphc_db_jbp/MPHC010092482022_1_2023-01-16.pdf</x:v>
      </x:c>
    </x:row>
    <x:row r="108">
      <x:c r="A108" s="19">
        <x:f>ROUND(COUNTA(A108:G108)/7*100,0)</x:f>
      </x:c>
      <x:c r="B108" s="18" t="str">
        <x:v>FA/199/1998 of HEERU BAI &amp; ANR. Vs DULI CHAND &amp; ORS.</x:v>
      </x:c>
      <x:c r="C108" s="18" t="str">
        <x:v>2026-08-13</x:v>
      </x:c>
      <x:c r="D108" s="18" t="str">
        <x:v>High Court of Madhya Pradesh</x:v>
      </x:c>
      <x:c r="E108" s="18" t="str"/>
      <x:c r="F108" s="18" t="str">
        <x:v>Dismiss For Default/Want of Prosecution</x:v>
      </x:c>
      <x:c r="G108" s="20" t="str">
        <x:v>https://indian-high-court-judgments.s3.ap-south-1.amazonaws.com/data/pdf/year=2026/court=23_23/bench=mphc_db_jbp/MPHC010043001998_1_2018-04-04.pdf</x:v>
      </x:c>
    </x:row>
    <x:row r="109">
      <x:c r="A109" s="19">
        <x:f>ROUND(COUNTA(A109:G109)/7*100,0)</x:f>
      </x:c>
      <x:c r="B109" s="18" t="str">
        <x:v>MA/2483/2003 of NATIONAL INSURANCE COMPANY Vs MOHD.RAIS @ RAHEESH &amp; ORS.</x:v>
      </x:c>
      <x:c r="C109" s="18" t="str">
        <x:v>2026-08-05</x:v>
      </x:c>
      <x:c r="D109" s="18" t="str">
        <x:v>High Court of Madhya Pradesh</x:v>
      </x:c>
      <x:c r="E109" s="18" t="str"/>
      <x:c r="F109" s="18" t="str">
        <x:v>Dismissed</x:v>
      </x:c>
      <x:c r="G109" s="20" t="str">
        <x:v>https://indian-high-court-judgments.s3.ap-south-1.amazonaws.com/data/pdf/year=2026/court=23_23/bench=mphc_db_jbp/MPHC010530932003_1_2024-01-19.pdf</x:v>
      </x:c>
    </x:row>
    <x:row r="110">
      <x:c r="A110" s="19">
        <x:f>ROUND(COUNTA(A110:G110)/7*100,0)</x:f>
      </x:c>
      <x:c r="B110" s="18" t="str">
        <x:v>WP/10642/2018 of SURENDRA KUMAR TIWARI Vs MADHYA PRADESH PURVA KSHETRA VIDYUT VITRAN COMPANY LIMITED</x:v>
      </x:c>
      <x:c r="C110" s="18" t="str">
        <x:v>2026-08-21</x:v>
      </x:c>
      <x:c r="D110" s="18" t="str">
        <x:v>High Court of Madhya Pradesh</x:v>
      </x:c>
      <x:c r="E110" s="18" t="str"/>
      <x:c r="F110" s="18" t="str">
        <x:v>Dismiss For Default/Want of Prosecution</x:v>
      </x:c>
      <x:c r="G110" s="20" t="str">
        <x:v>https://indian-high-court-judgments.s3.ap-south-1.amazonaws.com/data/pdf/year=2026/court=23_23/bench=mphc_db_jbp/MPHC010233012018_1_2018-08-28.pdf</x:v>
      </x:c>
    </x:row>
    <x:row r="111">
      <x:c r="A111" s="19">
        <x:f>ROUND(COUNTA(A111:G111)/7*100,0)</x:f>
      </x:c>
      <x:c r="B111" s="18" t="str">
        <x:v>FA/296/2003 of SHARAD KUMAR SONI &amp; ORS Vs CHHTELAL AGARWAL &amp; ORS</x:v>
      </x:c>
      <x:c r="C111" s="18" t="str">
        <x:v>2026-08-19</x:v>
      </x:c>
      <x:c r="D111" s="18" t="str">
        <x:v>High Court of Madhya Pradesh</x:v>
      </x:c>
      <x:c r="E111" s="18" t="str"/>
      <x:c r="F111" s="18" t="str">
        <x:v>Dismissed</x:v>
      </x:c>
      <x:c r="G111" s="20" t="str">
        <x:v>https://indian-high-court-judgments.s3.ap-south-1.amazonaws.com/data/pdf/year=2026/court=23_23/bench=mphc_db_jbp/MPHC010365802003_1_2023-12-15.pdf</x:v>
      </x:c>
    </x:row>
    <x:row r="112">
      <x:c r="A112" s="19">
        <x:f>ROUND(COUNTA(A112:G112)/7*100,0)</x:f>
      </x:c>
      <x:c r="B112" s="18" t="str">
        <x:v>MA/3433/2019 of DHARMENDRA Vs BHAGWANDAS SAHU</x:v>
      </x:c>
      <x:c r="C112" s="18" t="str">
        <x:v>2026-08-18</x:v>
      </x:c>
      <x:c r="D112" s="18" t="str">
        <x:v>High Court of Madhya Pradesh</x:v>
      </x:c>
      <x:c r="E112" s="18" t="str"/>
      <x:c r="F112" s="18" t="str">
        <x:v>Dismissed</x:v>
      </x:c>
      <x:c r="G112" s="20" t="str">
        <x:v>https://indian-high-court-judgments.s3.ap-south-1.amazonaws.com/data/pdf/year=2026/court=23_23/bench=mphc_db_jbp/MPHC010305632019_1_2024-01-03.pdf</x:v>
      </x:c>
    </x:row>
    <x:row r="113">
      <x:c r="A113" s="19">
        <x:f>ROUND(COUNTA(A113:G113)/7*100,0)</x:f>
      </x:c>
      <x:c r="B113" s="18" t="str">
        <x:v>WPS/3160/2004 of SMT.PUSHPALATA SINGH Vs THE STATE OF M.P. AND ORS.</x:v>
      </x:c>
      <x:c r="C113" s="18" t="str">
        <x:v>2026-08-20</x:v>
      </x:c>
      <x:c r="D113" s="18" t="str">
        <x:v>High Court of Madhya Pradesh</x:v>
      </x:c>
      <x:c r="E113" s="18" t="str"/>
      <x:c r="F113" s="18" t="str">
        <x:v>Dismissed</x:v>
      </x:c>
      <x:c r="G113" s="20" t="str">
        <x:v>https://indian-high-court-judgments.s3.ap-south-1.amazonaws.com/data/pdf/year=2026/court=23_23/bench=mphc_db_jbp/MPHC010160442004_1_2023-10-16.pdf</x:v>
      </x:c>
    </x:row>
    <x:row r="114">
      <x:c r="A114" s="19">
        <x:f>ROUND(COUNTA(A114:G114)/7*100,0)</x:f>
      </x:c>
      <x:c r="B114" s="18" t="str">
        <x:v>MCRC/13954/2014 of SANTOSH AGRAWAL Vs THE STATE OF MADHYA PRADESH</x:v>
      </x:c>
      <x:c r="C114" s="18" t="str">
        <x:v>2026-08-20</x:v>
      </x:c>
      <x:c r="D114" s="18" t="str">
        <x:v>High Court of Madhya Pradesh</x:v>
      </x:c>
      <x:c r="E114" s="18" t="str"/>
      <x:c r="F114" s="18" t="str">
        <x:v>Dismiss For Default/Want of Prosecution</x:v>
      </x:c>
      <x:c r="G114" s="20" t="str">
        <x:v>https://indian-high-court-judgments.s3.ap-south-1.amazonaws.com/data/pdf/year=2026/court=23_23/bench=mphc_db_jbp/MPHC010408902014_1_2023-05-09.pdf</x:v>
      </x:c>
    </x:row>
    <x:row r="115">
      <x:c r="A115" s="19">
        <x:f>ROUND(COUNTA(A115:G115)/7*100,0)</x:f>
      </x:c>
      <x:c r="B115" s="18" t="str">
        <x:v>WPS/2091/2004 of SMT. SHEELA SINGH Vs THE STATE OF M.P. AND ORS.</x:v>
      </x:c>
      <x:c r="C115" s="18" t="str">
        <x:v>2026-08-19</x:v>
      </x:c>
      <x:c r="D115" s="18" t="str">
        <x:v>High Court of Madhya Pradesh</x:v>
      </x:c>
      <x:c r="E115" s="18" t="str"/>
      <x:c r="F115" s="18" t="str">
        <x:v>Dismiss For Default/Want of Prosecution</x:v>
      </x:c>
      <x:c r="G115" s="20" t="str">
        <x:v>https://indian-high-court-judgments.s3.ap-south-1.amazonaws.com/data/pdf/year=2026/court=23_23/bench=mphc_db_jbp/MPHC010107572004_1_2023-09-25.pdf</x:v>
      </x:c>
    </x:row>
    <x:row r="116">
      <x:c r="A116" s="19">
        <x:f>ROUND(COUNTA(A116:G116)/7*100,0)</x:f>
      </x:c>
      <x:c r="B116" s="18" t="str">
        <x:v>WP/17453/2022 of ASHOK KUMAR VISHWAKARMA (DEA) LRS SMT. RITA VISHWAKARMA Vs THE STATE OF MADHYA PRADESH</x:v>
      </x:c>
      <x:c r="C116" s="18" t="str">
        <x:v>2026-08-21</x:v>
      </x:c>
      <x:c r="D116" s="18" t="str">
        <x:v>High Court of Madhya Pradesh</x:v>
      </x:c>
      <x:c r="E116" s="18" t="str"/>
      <x:c r="F116" s="18" t="str">
        <x:v>Withdrawn</x:v>
      </x:c>
      <x:c r="G116" s="20" t="str">
        <x:v>https://indian-high-court-judgments.s3.ap-south-1.amazonaws.com/data/pdf/year=2026/court=23_23/bench=mphc_db_jbp/MPHC010403782022_1_2022-08-10.pdf</x:v>
      </x:c>
    </x:row>
    <x:row r="117">
      <x:c r="A117" s="19">
        <x:f>ROUND(COUNTA(A117:G117)/7*100,0)</x:f>
      </x:c>
      <x:c r="B117" s="18" t="str">
        <x:v>WP/1276/2012 of EKNATH GAWANDE Vs SECRETARY THE STATE OF MADHYA PRADESH</x:v>
      </x:c>
      <x:c r="C117" s="18" t="str">
        <x:v>2026-08-17</x:v>
      </x:c>
      <x:c r="D117" s="18" t="str">
        <x:v>High Court of Madhya Pradesh</x:v>
      </x:c>
      <x:c r="E117" s="18" t="str"/>
      <x:c r="F117" s="18" t="str">
        <x:v>Addl. Ground</x:v>
      </x:c>
      <x:c r="G117" s="20" t="str">
        <x:v>https://indian-high-court-judgments.s3.ap-south-1.amazonaws.com/data/pdf/year=2026/court=23_23/bench=mphc_db_jbp/MPHC010036322012_1_2022-11-09.pdf</x:v>
      </x:c>
    </x:row>
    <x:row r="118">
      <x:c r="A118" s="19">
        <x:f>ROUND(COUNTA(A118:G118)/7*100,0)</x:f>
      </x:c>
      <x:c r="B118" s="18" t="str">
        <x:v>WP/26911/2003 of CHANDRA PAL SHARMA (DEAD) THROUGH LRS SMT. MITHLESH DEVI @ MITHLESH SHARMA Vs THE STATE OF M.P.</x:v>
      </x:c>
      <x:c r="C118" s="18" t="str">
        <x:v>2026-08-19</x:v>
      </x:c>
      <x:c r="D118" s="18" t="str">
        <x:v>High Court of Madhya Pradesh</x:v>
      </x:c>
      <x:c r="E118" s="18" t="str"/>
      <x:c r="F118" s="18" t="str">
        <x:v>Dismiss For Default/Want of Prosecution</x:v>
      </x:c>
      <x:c r="G118" s="20" t="str">
        <x:v>https://indian-high-court-judgments.s3.ap-south-1.amazonaws.com/data/pdf/year=2026/court=23_23/bench=mphc_db_jbp/MPHC010421262003_1_2023-07-03.pdf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1ad4352d1ca4f3e"/>
  <x:tableParts count="1">
    <x:tablePart xmlns:r="http://schemas.openxmlformats.org/officeDocument/2006/relationships" r:id="R26c7ce63a6b84c53"/>
  </x:tableParts>
</x:worksheet>
</file>