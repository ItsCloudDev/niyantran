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43ac374d5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9 High Court Case Tracker — H" sheetId="1" r:id="R930ab709631243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0fbda48294548" /><Relationship Type="http://schemas.openxmlformats.org/officeDocument/2006/relationships/theme" Target="/xl/theme/theme1.xml" Id="Rbac42f2559fa46ea" /><Relationship Type="http://schemas.openxmlformats.org/officeDocument/2006/relationships/sharedStrings" Target="/xl/sharedStrings.xml" Id="R2edb6d2143ed44ee" /><Relationship Type="http://schemas.openxmlformats.org/officeDocument/2006/relationships/worksheet" Target="/xl/worksheets/sheet1.xml" Id="R930ab709631243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14744fa62347e5" /><Relationship Type="http://schemas.openxmlformats.org/officeDocument/2006/relationships/chart" Target="/xl/drawings/charts/chart2.xml" Id="Rff44911a11854495" /><Relationship Type="http://schemas.openxmlformats.org/officeDocument/2006/relationships/chart" Target="/xl/drawings/charts/chart3.xml" Id="Re086a067bd8e411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Kerala P01 records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'F39 High Court Case Tracker — H'!$AZ$3:$AZ$32</c:f>
              <c:strCache>
                <c:ptCount val="0"/>
              </c:strCache>
            </c:strRef>
          </c:cat>
          <c:val>
            <c:numRef>
              <c:f>'F39 High Court Case Tracker — H'!$BA$3:$BA$32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Kerala P01 by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'F39 High Court Case Tracker — H'!$BC$3</c:f>
              <c:strCache>
                <c:ptCount val="0"/>
              </c:strCache>
            </c:strRef>
          </c:cat>
          <c:val>
            <c:numRef>
              <c:f>'F39 High Court Case Tracker — H'!$BD$3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Kerala P01 by geography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'F39 High Court Case Tracker — H'!$BF$3</c:f>
              <c:strCache>
                <c:ptCount val="0"/>
              </c:strCache>
            </c:strRef>
          </c:cat>
          <c:val>
            <c:numRef>
              <c:f>'F39 High Court Case Tracker — H'!$BG$3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14744fa62347e5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44911a11854495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86a067bd8e411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law_39_clean_5df635" displayName="T_law_39_clean_5df635" ref="A8:G91" headerRowCount="1" totalsRowCount="0" totalsRowShown="0">
  <x:tableColumns count="7">
    <x:tableColumn id="1" name="record_id"/>
    <x:tableColumn id="2" name="record_title"/>
    <x:tableColumn id="3" name="record_date"/>
    <x:tableColumn id="4" name="court"/>
    <x:tableColumn id="5" name="judge"/>
    <x:tableColumn id="6" name="disposal_nature"/>
    <x:tableColumn id="7" name="official_pdf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4e3ad88b21a47ca" /><Relationship Type="http://schemas.openxmlformats.org/officeDocument/2006/relationships/table" Target="/xl/tables/table1.xml" Id="Rb8b9f45dc645420b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42" hidden="0" customWidth="1"/>
  </x:cols>
  <x:sheetData>
    <x:row r="1" ht="25" customHeight="1">
      <x:c r="A1" s="4" t="str">
        <x:v>High Court Case Tracker — High Court of Kerala P01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83 enrichment records • COMPLETE 2026 YTD • 25 HIGH COURTS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2026-06-01</x:v>
      </x:c>
      <x:c r="BA3" s="18" t="n">
        <x:v>1</x:v>
      </x:c>
      <x:c r="BC3" s="18" t="str">
        <x:v>Unclassified</x:v>
      </x:c>
      <x:c r="BD3" s="18" t="n">
        <x:v>83</x:v>
      </x:c>
      <x:c r="BF3" s="18" t="str">
        <x:v>Unclassified</x:v>
      </x:c>
      <x:c r="BG3" s="18" t="n">
        <x:v>83</x:v>
      </x:c>
    </x:row>
    <x:row r="4">
      <x:c r="A4" s="9" t="str">
        <x:v>Records</x:v>
      </x:c>
      <x:c r="B4" s="10" t="n">
        <x:v>83</x:v>
      </x:c>
      <x:c r="C4" s="9" t="str">
        <x:v>Dated records</x:v>
      </x:c>
      <x:c r="D4" s="10" t="n">
        <x:v>83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2026-09-07</x:v>
      </x:c>
      <x:c r="AZ4" s="18" t="str">
        <x:v>2026-06-02</x:v>
      </x:c>
      <x:c r="BA4" s="18" t="n">
        <x:v>2</x:v>
      </x:c>
    </x:row>
    <x:row r="5">
      <x:c r="AZ5" s="18" t="str">
        <x:v>2026-06-03</x:v>
      </x:c>
      <x:c r="BA5" s="18" t="n">
        <x:v>1</x:v>
      </x:c>
    </x:row>
    <x:row r="6">
      <x:c r="AZ6" s="18" t="str">
        <x:v>2026-06-04</x:v>
      </x:c>
      <x:c r="BA6" s="18" t="n">
        <x:v>1</x:v>
      </x:c>
    </x:row>
    <x:row r="7">
      <x:c r="AZ7" s="18" t="str">
        <x:v>2026-06-10</x:v>
      </x:c>
      <x:c r="BA7" s="18" t="n">
        <x:v>1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court</x:v>
      </x:c>
      <x:c r="E8" s="15" t="str">
        <x:v>judge</x:v>
      </x:c>
      <x:c r="F8" s="15" t="str">
        <x:v>disposal_nature</x:v>
      </x:c>
      <x:c r="G8" s="15" t="str">
        <x:v>official_pdf_url</x:v>
      </x:c>
      <x:c r="AZ8" s="18" t="str">
        <x:v>2026-06-11</x:v>
      </x:c>
      <x:c r="BA8" s="18" t="n">
        <x:v>2</x:v>
      </x:c>
    </x:row>
    <x:row r="9">
      <x:c r="A9" s="19">
        <x:f>ROUND(COUNTA(A9:G9)/7*100,0)</x:f>
      </x:c>
      <x:c r="B9" s="18" t="str">
        <x:v>WP(C)/8433/2019 of KANNAMBALLI JOSEPH @ SHINOJ, Vs THE SUB COLLECTOR,</x:v>
      </x:c>
      <x:c r="C9" s="18" t="str">
        <x:v>2026-01-28</x:v>
      </x:c>
      <x:c r="D9" s="18" t="str">
        <x:v>High Court of Kerala</x:v>
      </x:c>
      <x:c r="E9" s="18" t="str">
        <x:v>HONOURABLE MRS. JUSTICE SHOBA ANNAMMA EAPEN</x:v>
      </x:c>
      <x:c r="F9" s="18" t="str">
        <x:v>DISMISSED AS INFRUCTUOUS</x:v>
      </x:c>
      <x:c r="G9" s="20" t="str">
        <x:v>https://indian-high-court-judgments.s3.ap-south-1.amazonaws.com/data/pdf/year=2026/court=32_4/bench=highcourtofkerala/KLHC010212692019_1_2025-02-24.pdf</x:v>
      </x:c>
      <x:c r="AZ9" s="18" t="str">
        <x:v>2026-06-16</x:v>
      </x:c>
      <x:c r="BA9" s="18" t="n">
        <x:v>1</x:v>
      </x:c>
    </x:row>
    <x:row r="10">
      <x:c r="A10" s="19">
        <x:f>ROUND(COUNTA(A10:G10)/7*100,0)</x:f>
      </x:c>
      <x:c r="B10" s="18" t="str">
        <x:v>AR/245/2024 of M/S. INKEL LIMITED Vs M/S. MANSIONS</x:v>
      </x:c>
      <x:c r="C10" s="18" t="str">
        <x:v>2026-03-25</x:v>
      </x:c>
      <x:c r="D10" s="18" t="str">
        <x:v>High Court of Kerala</x:v>
      </x:c>
      <x:c r="E10" s="18" t="str">
        <x:v>HONOURABLE MR. JUSTICE S.MANU</x:v>
      </x:c>
      <x:c r="F10" s="18" t="str">
        <x:v>ALLOWED</x:v>
      </x:c>
      <x:c r="G10" s="20" t="str">
        <x:v>https://indian-high-court-judgments.s3.ap-south-1.amazonaws.com/data/pdf/year=2026/court=32_4/bench=highcourtofkerala/KLHC011612802024_1_2025-02-18.pdf</x:v>
      </x:c>
      <x:c r="AZ10" s="18" t="str">
        <x:v>2026-06-18</x:v>
      </x:c>
      <x:c r="BA10" s="18" t="n">
        <x:v>1</x:v>
      </x:c>
    </x:row>
    <x:row r="11">
      <x:c r="A11" s="19">
        <x:f>ROUND(COUNTA(A11:G11)/7*100,0)</x:f>
      </x:c>
      <x:c r="B11" s="18" t="str">
        <x:v>WP(C)/13390/2017 of M/S SL FORMAT ARCHITECTS PVT LTD., Vs THE STATE OF KERALA,</x:v>
      </x:c>
      <x:c r="C11" s="18" t="str">
        <x:v>2026-03-05</x:v>
      </x:c>
      <x:c r="D11" s="18" t="str">
        <x:v>High Court of Kerala</x:v>
      </x:c>
      <x:c r="E11" s="18" t="str">
        <x:v>HONOURABLE MR. JUSTICE P.M.MANOJ</x:v>
      </x:c>
      <x:c r="F11" s="18" t="str">
        <x:v>DISPOSED OF</x:v>
      </x:c>
      <x:c r="G11" s="20" t="str">
        <x:v>https://indian-high-court-judgments.s3.ap-south-1.amazonaws.com/data/pdf/year=2026/court=32_4/bench=highcourtofkerala/KLHC010613372017_1_2023-03-31.pdf</x:v>
      </x:c>
      <x:c r="AZ11" s="18" t="str">
        <x:v>2026-06-19</x:v>
      </x:c>
      <x:c r="BA11" s="18" t="n">
        <x:v>1</x:v>
      </x:c>
    </x:row>
    <x:row r="12">
      <x:c r="A12" s="19">
        <x:f>ROUND(COUNTA(A12:G12)/7*100,0)</x:f>
      </x:c>
      <x:c r="B12" s="18" t="str">
        <x:v>OP(C)/514/2023 of SANTHOSH M.K Vs MUTHOOT VEHICLE AND ASSET FINANCE LTD</x:v>
      </x:c>
      <x:c r="C12" s="18" t="str">
        <x:v>2026-03-13</x:v>
      </x:c>
      <x:c r="D12" s="18" t="str">
        <x:v>High Court of Kerala</x:v>
      </x:c>
      <x:c r="E12" s="18" t="str">
        <x:v>HONOURABLE MR. JUSTICE T.R.RAVI</x:v>
      </x:c>
      <x:c r="F12" s="18" t="str">
        <x:v>DISPOSED OF</x:v>
      </x:c>
      <x:c r="G12" s="20" t="str">
        <x:v>https://indian-high-court-judgments.s3.ap-south-1.amazonaws.com/data/pdf/year=2026/court=32_4/bench=highcourtofkerala/KLHC010140252023_1_2023-06-08.pdf</x:v>
      </x:c>
      <x:c r="AZ12" s="18" t="str">
        <x:v>2026-06-22</x:v>
      </x:c>
      <x:c r="BA12" s="18" t="n">
        <x:v>1</x:v>
      </x:c>
    </x:row>
    <x:row r="13">
      <x:c r="A13" s="19">
        <x:f>ROUND(COUNTA(A13:G13)/7*100,0)</x:f>
      </x:c>
      <x:c r="B13" s="18" t="str">
        <x:v>Mat.Appeal/245/2025 of SOMASUNDARAN Vs SUNITHA K.P</x:v>
      </x:c>
      <x:c r="C13" s="18" t="str">
        <x:v>2026-03-06</x:v>
      </x:c>
      <x:c r="D13" s="18" t="str">
        <x:v>High Court of Kerala</x:v>
      </x:c>
      <x:c r="E13" s="18" t="str">
        <x:v>HONOURABLE MR. JUSTICE DEVAN RAMACHANDRAN,HONOURABLE MRS. JUSTICE M.B. SNEHALATHA</x:v>
      </x:c>
      <x:c r="F13" s="18" t="str">
        <x:v>DISMISSED</x:v>
      </x:c>
      <x:c r="G13" s="20" t="str">
        <x:v>https://indian-high-court-judgments.s3.ap-south-1.amazonaws.com/data/pdf/year=2026/court=32_4/bench=highcourtofkerala/KLHC010222332025_1_2025-03-28.pdf</x:v>
      </x:c>
      <x:c r="AZ13" s="18" t="str">
        <x:v>2026-06-23</x:v>
      </x:c>
      <x:c r="BA13" s="18" t="n">
        <x:v>1</x:v>
      </x:c>
    </x:row>
    <x:row r="14">
      <x:c r="A14" s="19">
        <x:f>ROUND(COUNTA(A14:G14)/7*100,0)</x:f>
      </x:c>
      <x:c r="B14" s="18" t="str">
        <x:v>WP(C)/13004/2023 of AKHIL LOUIZ Vs DISTRICT COLLECTOR, ERNAKULAM</x:v>
      </x:c>
      <x:c r="C14" s="18" t="str">
        <x:v>2026-04-10</x:v>
      </x:c>
      <x:c r="D14" s="18" t="str">
        <x:v>High Court of Kerala</x:v>
      </x:c>
      <x:c r="E14" s="18" t="str">
        <x:v>HONOURABLE MR.JUSTICE VIJU ABRAHAM</x:v>
      </x:c>
      <x:c r="F14" s="18" t="str">
        <x:v>DISPOSED OF</x:v>
      </x:c>
      <x:c r="G14" s="20" t="str">
        <x:v>https://indian-high-court-judgments.s3.ap-south-1.amazonaws.com/data/pdf/year=2026/court=32_4/bench=highcourtofkerala/KLHC010285172023_1_2024-02-19.pdf</x:v>
      </x:c>
      <x:c r="AZ14" s="18" t="str">
        <x:v>2026-06-29</x:v>
      </x:c>
      <x:c r="BA14" s="18" t="n">
        <x:v>1</x:v>
      </x:c>
    </x:row>
    <x:row r="15">
      <x:c r="A15" s="19">
        <x:f>ROUND(COUNTA(A15:G15)/7*100,0)</x:f>
      </x:c>
      <x:c r="B15" s="18" t="str">
        <x:v>WP(C)/8906/2015 of DR.RAMEES T.P Vs KERALA VETERINARY &amp; ANIMAL SCIENCES UNIVERSITY</x:v>
      </x:c>
      <x:c r="C15" s="18" t="str">
        <x:v>2026-03-31</x:v>
      </x:c>
      <x:c r="D15" s="18" t="str">
        <x:v>High Court of Kerala</x:v>
      </x:c>
      <x:c r="E15" s="18" t="str">
        <x:v>HONOURABLE MR. JUSTICE M.A.ABDUL HAKHIM</x:v>
      </x:c>
      <x:c r="F15" s="18" t="str">
        <x:v>DISMISSED AS INFRUCTUOUS</x:v>
      </x:c>
      <x:c r="G15" s="20" t="str">
        <x:v>https://indian-high-court-judgments.s3.ap-south-1.amazonaws.com/data/pdf/year=2026/court=32_4/bench=highcourtofkerala/KLHC010547462015_1_2019-01-08.pdf</x:v>
      </x:c>
      <x:c r="AZ15" s="18" t="str">
        <x:v>2026-07-07</x:v>
      </x:c>
      <x:c r="BA15" s="18" t="n">
        <x:v>1</x:v>
      </x:c>
    </x:row>
    <x:row r="16">
      <x:c r="A16" s="19">
        <x:f>ROUND(COUNTA(A16:G16)/7*100,0)</x:f>
      </x:c>
      <x:c r="B16" s="18" t="str">
        <x:v>OP(C)/494/2023 of JAYASEELAN Vs SILUVARAYAR</x:v>
      </x:c>
      <x:c r="C16" s="18" t="str">
        <x:v>2026-01-21</x:v>
      </x:c>
      <x:c r="D16" s="18" t="str">
        <x:v>High Court of Kerala</x:v>
      </x:c>
      <x:c r="E16" s="18" t="str">
        <x:v>HONOURABLE MR.JUSTICE C.S.DIAS</x:v>
      </x:c>
      <x:c r="F16" s="18" t="str">
        <x:v>DISMISSED</x:v>
      </x:c>
      <x:c r="G16" s="20" t="str">
        <x:v>https://indian-high-court-judgments.s3.ap-south-1.amazonaws.com/data/pdf/year=2026/court=32_4/bench=highcourtofkerala/KLHC010153402023_1_2023-03-14.pdf</x:v>
      </x:c>
      <x:c r="AZ16" s="18" t="str">
        <x:v>2026-07-10</x:v>
      </x:c>
      <x:c r="BA16" s="18" t="n">
        <x:v>1</x:v>
      </x:c>
    </x:row>
    <x:row r="17">
      <x:c r="A17" s="19">
        <x:f>ROUND(COUNTA(A17:G17)/7*100,0)</x:f>
      </x:c>
      <x:c r="B17" s="18" t="str">
        <x:v>Mat.Appeal/645/2014 of SASIDHARAN PILLAI Vs VALSALA AMMA</x:v>
      </x:c>
      <x:c r="C17" s="18" t="str">
        <x:v>2026-03-18</x:v>
      </x:c>
      <x:c r="D17" s="18" t="str">
        <x:v>High Court of Kerala</x:v>
      </x:c>
      <x:c r="E17" s="18" t="str">
        <x:v>HONOURABLE MRS. JUSTICE J. NISHA BANU,HONOURABLE MRS. JUSTICE SHOBA ANNAMMA EAPEN</x:v>
      </x:c>
      <x:c r="F17" s="18" t="str">
        <x:v>DISMISSED FOR NON PROSECUTION</x:v>
      </x:c>
      <x:c r="G17" s="20" t="str">
        <x:v>https://indian-high-court-judgments.s3.ap-south-1.amazonaws.com/data/pdf/year=2026/court=32_4/bench=highcourtofkerala/KLHC010284152014_1_2019-08-01.pdf</x:v>
      </x:c>
      <x:c r="AZ17" s="18" t="str">
        <x:v>2026-07-13</x:v>
      </x:c>
      <x:c r="BA17" s="18" t="n">
        <x:v>1</x:v>
      </x:c>
    </x:row>
    <x:row r="18">
      <x:c r="A18" s="19">
        <x:f>ROUND(COUNTA(A18:G18)/7*100,0)</x:f>
      </x:c>
      <x:c r="B18" s="18" t="str">
        <x:v>WP(C)/21897/2022 of AKHIL LOUIZ Vs THE DISTRICT COLLECTOR, ERNAKULAM</x:v>
      </x:c>
      <x:c r="C18" s="18" t="str">
        <x:v>2026-04-10</x:v>
      </x:c>
      <x:c r="D18" s="18" t="str">
        <x:v>High Court of Kerala</x:v>
      </x:c>
      <x:c r="E18" s="18" t="str">
        <x:v>HONOURABLE MR.JUSTICE VIJU ABRAHAM</x:v>
      </x:c>
      <x:c r="F18" s="18" t="str">
        <x:v>DISPOSED OF</x:v>
      </x:c>
      <x:c r="G18" s="20" t="str">
        <x:v>https://indian-high-court-judgments.s3.ap-south-1.amazonaws.com/data/pdf/year=2026/court=32_4/bench=highcourtofkerala/KLHC010451412022_1_2024-02-19.pdf</x:v>
      </x:c>
      <x:c r="AZ18" s="18" t="str">
        <x:v>2026-07-20</x:v>
      </x:c>
      <x:c r="BA18" s="18" t="n">
        <x:v>2</x:v>
      </x:c>
    </x:row>
    <x:row r="19">
      <x:c r="A19" s="19">
        <x:f>ROUND(COUNTA(A19:G19)/7*100,0)</x:f>
      </x:c>
      <x:c r="B19" s="18" t="str">
        <x:v>Crl.MC/1175/2021 of GILFAR.K.M Vs STATE OF KERALA</x:v>
      </x:c>
      <x:c r="C19" s="18" t="str">
        <x:v>2026-01-22</x:v>
      </x:c>
      <x:c r="D19" s="18" t="str">
        <x:v>High Court of Kerala</x:v>
      </x:c>
      <x:c r="E19" s="18" t="str">
        <x:v>HONOURABLE MR. JUSTICE C.PRATHEEP KUMAR</x:v>
      </x:c>
      <x:c r="F19" s="18" t="str">
        <x:v>DISMISSED FOR NON PROSECUTION</x:v>
      </x:c>
      <x:c r="G19" s="20" t="str">
        <x:v>https://indian-high-court-judgments.s3.ap-south-1.amazonaws.com/data/pdf/year=2026/court=32_4/bench=highcourtofkerala/KLHC010133832021_1_2021-03-10.pdf</x:v>
      </x:c>
      <x:c r="AZ19" s="18" t="str">
        <x:v>2026-07-24</x:v>
      </x:c>
      <x:c r="BA19" s="18" t="n">
        <x:v>1</x:v>
      </x:c>
    </x:row>
    <x:row r="20">
      <x:c r="A20" s="19">
        <x:f>ROUND(COUNTA(A20:G20)/7*100,0)</x:f>
      </x:c>
      <x:c r="B20" s="18" t="str">
        <x:v>WP(C)/43054/2023 of MUHAMMAD A A Vs STATE OF KERALA</x:v>
      </x:c>
      <x:c r="C20" s="18" t="str">
        <x:v>2026-02-06</x:v>
      </x:c>
      <x:c r="D20" s="18" t="str">
        <x:v>High Court of Kerala</x:v>
      </x:c>
      <x:c r="E20" s="18" t="str">
        <x:v>HONOURABLE MR. JUSTICE HARISANKAR V. MENON</x:v>
      </x:c>
      <x:c r="F20" s="18" t="str">
        <x:v>CLOSED</x:v>
      </x:c>
      <x:c r="G20" s="20" t="str">
        <x:v>https://indian-high-court-judgments.s3.ap-south-1.amazonaws.com/data/pdf/year=2026/court=32_4/bench=highcourtofkerala/KLHC010961562023_1_2024-07-24.pdf</x:v>
      </x:c>
      <x:c r="AZ20" s="18" t="str">
        <x:v>2026-07-28</x:v>
      </x:c>
      <x:c r="BA20" s="18" t="n">
        <x:v>1</x:v>
      </x:c>
    </x:row>
    <x:row r="21">
      <x:c r="A21" s="19">
        <x:f>ROUND(COUNTA(A21:G21)/7*100,0)</x:f>
      </x:c>
      <x:c r="B21" s="18" t="str">
        <x:v>WP(C)/28490/2023 of MANOJ K, Vs THE OMBUDSMAN FOR LOCAL SELF GOVERNMENT INSTITUTIONS,</x:v>
      </x:c>
      <x:c r="C21" s="18" t="str">
        <x:v>2026-03-12</x:v>
      </x:c>
      <x:c r="D21" s="18" t="str">
        <x:v>High Court of Kerala</x:v>
      </x:c>
      <x:c r="E21" s="18" t="str">
        <x:v>HONOURABLE MR. JUSTICE HARISANKAR V. MENON</x:v>
      </x:c>
      <x:c r="F21" s="18" t="str">
        <x:v>ALLOWED</x:v>
      </x:c>
      <x:c r="G21" s="20" t="str">
        <x:v>https://indian-high-court-judgments.s3.ap-south-1.amazonaws.com/data/pdf/year=2026/court=32_4/bench=highcourtofkerala/KLHC010622892023_1_2025-03-27.pdf</x:v>
      </x:c>
      <x:c r="AZ21" s="18" t="str">
        <x:v>2026-07-30</x:v>
      </x:c>
      <x:c r="BA21" s="18" t="n">
        <x:v>1</x:v>
      </x:c>
    </x:row>
    <x:row r="22">
      <x:c r="A22" s="19">
        <x:f>ROUND(COUNTA(A22:G22)/7*100,0)</x:f>
      </x:c>
      <x:c r="B22" s="18" t="str">
        <x:v>Con.Case(C)/1405/2018 of DR. K. SATHEESH Vs RAJEEV SADANANDAN I.A.S.</x:v>
      </x:c>
      <x:c r="C22" s="18" t="str">
        <x:v>2026-03-10</x:v>
      </x:c>
      <x:c r="D22" s="18" t="str">
        <x:v>High Court of Kerala</x:v>
      </x:c>
      <x:c r="E22" s="18" t="str">
        <x:v>HONOURABLE MR. JUSTICE M.A.ABDUL HAKHIM</x:v>
      </x:c>
      <x:c r="F22" s="18" t="str">
        <x:v>CLOSED</x:v>
      </x:c>
      <x:c r="G22" s="20" t="str">
        <x:v>https://indian-high-court-judgments.s3.ap-south-1.amazonaws.com/data/pdf/year=2026/court=32_4/bench=highcourtofkerala/KLHC010078182018_1_2019-06-25.pdf</x:v>
      </x:c>
      <x:c r="AZ22" s="18" t="str">
        <x:v>2026-07-31</x:v>
      </x:c>
      <x:c r="BA22" s="18" t="n">
        <x:v>1</x:v>
      </x:c>
    </x:row>
    <x:row r="23">
      <x:c r="A23" s="19">
        <x:f>ROUND(COUNTA(A23:G23)/7*100,0)</x:f>
      </x:c>
      <x:c r="B23" s="18" t="str">
        <x:v>WP(C)/39002/2022 of DHANYA. V Vs CHERUVANNUR GRAMA PANCHAYAT</x:v>
      </x:c>
      <x:c r="C23" s="18" t="str">
        <x:v>2026-02-10</x:v>
      </x:c>
      <x:c r="D23" s="18" t="str">
        <x:v>High Court of Kerala</x:v>
      </x:c>
      <x:c r="E23" s="18" t="str">
        <x:v>HONOURABLE MR.JUSTICE VIJU ABRAHAM</x:v>
      </x:c>
      <x:c r="F23" s="18" t="str">
        <x:v>DISPOSED OF</x:v>
      </x:c>
      <x:c r="G23" s="20" t="str">
        <x:v>https://indian-high-court-judgments.s3.ap-south-1.amazonaws.com/data/pdf/year=2026/court=32_4/bench=highcourtofkerala/KLHC010843682022_1_2023-03-20.pdf</x:v>
      </x:c>
      <x:c r="AZ23" s="18" t="str">
        <x:v>2026-08-04</x:v>
      </x:c>
      <x:c r="BA23" s="18" t="n">
        <x:v>1</x:v>
      </x:c>
    </x:row>
    <x:row r="24">
      <x:c r="A24" s="19">
        <x:f>ROUND(COUNTA(A24:G24)/7*100,0)</x:f>
      </x:c>
      <x:c r="B24" s="18" t="str">
        <x:v>WP(C)/3964/2008 of K.K.SIDHARTHAN Vs STATE OF KERALA</x:v>
      </x:c>
      <x:c r="C24" s="18" t="str">
        <x:v>2026-04-01</x:v>
      </x:c>
      <x:c r="D24" s="18" t="str">
        <x:v>High Court of Kerala</x:v>
      </x:c>
      <x:c r="E24" s="18" t="str">
        <x:v>HONOURABLE MR.JUSTICE K. BABU</x:v>
      </x:c>
      <x:c r="F24" s="18" t="str">
        <x:v>CLOSED AS INFRUCTUOUS</x:v>
      </x:c>
      <x:c r="G24" s="20" t="str">
        <x:v>https://indian-high-court-judgments.s3.ap-south-1.amazonaws.com/data/pdf/year=2026/court=32_4/bench=highcourtofkerala/KLHC010461762008_1_2010-10-27.pdf</x:v>
      </x:c>
      <x:c r="AZ24" s="18" t="str">
        <x:v>2026-08-07</x:v>
      </x:c>
      <x:c r="BA24" s="18" t="n">
        <x:v>1</x:v>
      </x:c>
    </x:row>
    <x:row r="25">
      <x:c r="A25" s="19">
        <x:f>ROUND(COUNTA(A25:G25)/7*100,0)</x:f>
      </x:c>
      <x:c r="B25" s="18" t="str">
        <x:v>FAO (RO)/364/2013 of KAPIL NAGPAL Vs T.M.KALAM</x:v>
      </x:c>
      <x:c r="C25" s="18" t="str">
        <x:v>2026-02-10</x:v>
      </x:c>
      <x:c r="D25" s="18" t="str">
        <x:v>High Court of Kerala</x:v>
      </x:c>
      <x:c r="E25" s="18" t="str">
        <x:v>HONOURABLE MR. JUSTICE S.MANU</x:v>
      </x:c>
      <x:c r="F25" s="18" t="str">
        <x:v>DISMISSED</x:v>
      </x:c>
      <x:c r="G25" s="20" t="str">
        <x:v>https://indian-high-court-judgments.s3.ap-south-1.amazonaws.com/data/pdf/year=2026/court=32_4/bench=highcourtofkerala/KLHC010258092013_1_2014-08-19.pdf</x:v>
      </x:c>
      <x:c r="AZ25" s="18" t="str">
        <x:v>2026-08-10</x:v>
      </x:c>
      <x:c r="BA25" s="18" t="n">
        <x:v>1</x:v>
      </x:c>
    </x:row>
    <x:row r="26">
      <x:c r="A26" s="19">
        <x:f>ROUND(COUNTA(A26:G26)/7*100,0)</x:f>
      </x:c>
      <x:c r="B26" s="18" t="str">
        <x:v>CC/366/2010 of OFFICIAL LIQUIDATOR,M/S.NAGOOR KHANI RAW Vs SRI.S.V.ANILKUMAR</x:v>
      </x:c>
      <x:c r="C26" s="18" t="str">
        <x:v>2026-02-06</x:v>
      </x:c>
      <x:c r="D26" s="18" t="str">
        <x:v>High Court of Kerala</x:v>
      </x:c>
      <x:c r="E26" s="18" t="str">
        <x:v>HONOURABLE MR.JUSTICE VIJU ABRAHAM</x:v>
      </x:c>
      <x:c r="F26" s="18" t="str">
        <x:v>CLOSED</x:v>
      </x:c>
      <x:c r="G26" s="20" t="str">
        <x:v>https://indian-high-court-judgments.s3.ap-south-1.amazonaws.com/data/pdf/year=2026/court=32_4/bench=highcourtofkerala/KLHC010102062010_1_2023-11-02.pdf</x:v>
      </x:c>
      <x:c r="AZ26" s="18" t="str">
        <x:v>2026-08-13</x:v>
      </x:c>
      <x:c r="BA26" s="18" t="n">
        <x:v>1</x:v>
      </x:c>
    </x:row>
    <x:row r="27">
      <x:c r="A27" s="19">
        <x:f>ROUND(COUNTA(A27:G27)/7*100,0)</x:f>
      </x:c>
      <x:c r="B27" s="18" t="str">
        <x:v>OP(KAT)/322/2017 of BEDIMON S, Vs STATE OF KERALA,</x:v>
      </x:c>
      <x:c r="C27" s="18" t="str">
        <x:v>2026-02-10</x:v>
      </x:c>
      <x:c r="D27" s="18" t="str">
        <x:v>High Court of Kerala</x:v>
      </x:c>
      <x:c r="E27" s="18" t="str">
        <x:v>HONOURABLE MR. JUSTICE ANIL K.NARENDRAN,HONOURABLE MR.JUSTICE MURALEE KRISHNA S.</x:v>
      </x:c>
      <x:c r="F27" s="18" t="str">
        <x:v>DISMISSED</x:v>
      </x:c>
      <x:c r="G27" s="20" t="str">
        <x:v>https://indian-high-court-judgments.s3.ap-south-1.amazonaws.com/data/pdf/year=2026/court=32_4/bench=highcourtofkerala/KLHC010390452017_1_2017-10-04.pdf</x:v>
      </x:c>
      <x:c r="AZ27" s="18" t="str">
        <x:v>2026-08-14</x:v>
      </x:c>
      <x:c r="BA27" s="18" t="n">
        <x:v>3</x:v>
      </x:c>
    </x:row>
    <x:row r="28">
      <x:c r="A28" s="19">
        <x:f>ROUND(COUNTA(A28:G28)/7*100,0)</x:f>
      </x:c>
      <x:c r="B28" s="18" t="str">
        <x:v>WP(C)/25141/2022 of R.BINDU, Vs STATE BANK OF INDIA,</x:v>
      </x:c>
      <x:c r="C28" s="18" t="str">
        <x:v>2026-03-18</x:v>
      </x:c>
      <x:c r="D28" s="18" t="str">
        <x:v>High Court of Kerala</x:v>
      </x:c>
      <x:c r="E28" s="18" t="str">
        <x:v>HONOURABLE MR.JUSTICE ZIYAD RAHMAN A.A.</x:v>
      </x:c>
      <x:c r="F28" s="18" t="str">
        <x:v>DISPOSED OF</x:v>
      </x:c>
      <x:c r="G28" s="20" t="str">
        <x:v>https://indian-high-court-judgments.s3.ap-south-1.amazonaws.com/data/pdf/year=2026/court=32_4/bench=highcourtofkerala/KLHC010527512022_1_2022-10-26.pdf</x:v>
      </x:c>
      <x:c r="AZ28" s="18" t="str">
        <x:v>2026-08-17</x:v>
      </x:c>
      <x:c r="BA28" s="18" t="n">
        <x:v>1</x:v>
      </x:c>
    </x:row>
    <x:row r="29">
      <x:c r="A29" s="19">
        <x:f>ROUND(COUNTA(A29:G29)/7*100,0)</x:f>
      </x:c>
      <x:c r="B29" s="18" t="str">
        <x:v>WP(C)/20447/2010 of C.A.UNNIKRISHNAN Vs THE DIST. COLLECTOR &amp; 4 ORS.</x:v>
      </x:c>
      <x:c r="C29" s="18" t="str">
        <x:v>2026-02-23</x:v>
      </x:c>
      <x:c r="D29" s="18" t="str">
        <x:v>High Court of Kerala</x:v>
      </x:c>
      <x:c r="E29" s="18" t="str">
        <x:v>HONOURABLE MR. JUSTICE M.A.ABDUL HAKHIM</x:v>
      </x:c>
      <x:c r="F29" s="18" t="str">
        <x:v>DISMISSED AS WITHDRAWN</x:v>
      </x:c>
      <x:c r="G29" s="20" t="str">
        <x:v>https://indian-high-court-judgments.s3.ap-south-1.amazonaws.com/data/pdf/year=2026/court=32_4/bench=highcourtofkerala/KLHC010624262010_1_2016-08-22.pdf</x:v>
      </x:c>
      <x:c r="AZ29" s="18" t="str">
        <x:v>2026-08-21</x:v>
      </x:c>
      <x:c r="BA29" s="18" t="n">
        <x:v>4</x:v>
      </x:c>
    </x:row>
    <x:row r="30">
      <x:c r="A30" s="19">
        <x:f>ROUND(COUNTA(A30:G30)/7*100,0)</x:f>
      </x:c>
      <x:c r="B30" s="18" t="str">
        <x:v>Con.Case(C)/2141/2023 of SHEEJA P. KURIAN Vs MINIKUMARI V.K</x:v>
      </x:c>
      <x:c r="C30" s="18" t="str">
        <x:v>2026-02-18</x:v>
      </x:c>
      <x:c r="D30" s="18" t="str">
        <x:v>High Court of Kerala</x:v>
      </x:c>
      <x:c r="E30" s="18" t="str">
        <x:v>HONOURABLE MR.JUSTICE VIJU ABRAHAM</x:v>
      </x:c>
      <x:c r="F30" s="18" t="str">
        <x:v>CLOSED</x:v>
      </x:c>
      <x:c r="G30" s="20" t="str">
        <x:v>https://indian-high-court-judgments.s3.ap-south-1.amazonaws.com/data/pdf/year=2026/court=32_4/bench=highcourtofkerala/KLHC010694592023_1_2023-10-20.pdf</x:v>
      </x:c>
      <x:c r="AZ30" s="18" t="str">
        <x:v>2026-09-02</x:v>
      </x:c>
      <x:c r="BA30" s="18" t="n">
        <x:v>2</x:v>
      </x:c>
    </x:row>
    <x:row r="31">
      <x:c r="A31" s="19">
        <x:f>ROUND(COUNTA(A31:G31)/7*100,0)</x:f>
      </x:c>
      <x:c r="B31" s="18" t="str">
        <x:v>WP(C)/5902/2025 of PRATHEESH.K.J Vs KERALA STATE ROAD TRANSPORT CORPORATION</x:v>
      </x:c>
      <x:c r="C31" s="18" t="str">
        <x:v>2026-02-16</x:v>
      </x:c>
      <x:c r="D31" s="18" t="str">
        <x:v>High Court of Kerala</x:v>
      </x:c>
      <x:c r="E31" s="18" t="str">
        <x:v>HONOURABLE MR.JUSTICE N.NAGARESH</x:v>
      </x:c>
      <x:c r="F31" s="18" t="str">
        <x:v>DISPOSED OF</x:v>
      </x:c>
      <x:c r="G31" s="20" t="str">
        <x:v>https://indian-high-court-judgments.s3.ap-south-1.amazonaws.com/data/pdf/year=2026/court=32_4/bench=highcourtofkerala/KLHC010133462025_1_2025-04-01.pdf</x:v>
      </x:c>
      <x:c r="AZ31" s="18" t="str">
        <x:v>2026-09-03</x:v>
      </x:c>
      <x:c r="BA31" s="18" t="n">
        <x:v>1</x:v>
      </x:c>
    </x:row>
    <x:row r="32">
      <x:c r="A32" s="19">
        <x:f>ROUND(COUNTA(A32:G32)/7*100,0)</x:f>
      </x:c>
      <x:c r="B32" s="18" t="str">
        <x:v>WP(C)/32239/2022 of LEELAMMA JOSEPH, Vs STATE OF KERALA,</x:v>
      </x:c>
      <x:c r="C32" s="18" t="str">
        <x:v>2026-02-11</x:v>
      </x:c>
      <x:c r="D32" s="18" t="str">
        <x:v>High Court of Kerala</x:v>
      </x:c>
      <x:c r="E32" s="18" t="str">
        <x:v>HONOURABLE MRS. JUSTICE SHOBA ANNAMMA EAPEN</x:v>
      </x:c>
      <x:c r="F32" s="18" t="str">
        <x:v>DISPOSED OF</x:v>
      </x:c>
      <x:c r="G32" s="20" t="str">
        <x:v>https://indian-high-court-judgments.s3.ap-south-1.amazonaws.com/data/pdf/year=2026/court=32_4/bench=highcourtofkerala/KLHC010684682022_1_2023-12-13.pdf</x:v>
      </x:c>
      <x:c r="AZ32" s="18" t="str">
        <x:v>2026-09-07</x:v>
      </x:c>
      <x:c r="BA32" s="18" t="n">
        <x:v>1</x:v>
      </x:c>
    </x:row>
    <x:row r="33">
      <x:c r="A33" s="19">
        <x:f>ROUND(COUNTA(A33:G33)/7*100,0)</x:f>
      </x:c>
      <x:c r="B33" s="18" t="str">
        <x:v>LA.App./137/2017 of THE STATE OF KERALA Vs SRI.RAVINDRAN NAIR</x:v>
      </x:c>
      <x:c r="C33" s="18" t="str">
        <x:v>2026-02-20</x:v>
      </x:c>
      <x:c r="D33" s="18" t="str">
        <x:v>High Court of Kerala</x:v>
      </x:c>
      <x:c r="E33" s="18" t="str">
        <x:v>HONOURABLE MR. JUSTICE S.MANU</x:v>
      </x:c>
      <x:c r="F33" s="18" t="str">
        <x:v>DISPOSED OF</x:v>
      </x:c>
      <x:c r="G33" s="20" t="str">
        <x:v>https://indian-high-court-judgments.s3.ap-south-1.amazonaws.com/data/pdf/year=2026/court=32_4/bench=highcourtofkerala/KLHC010262892017_1_2019-07-09.pdf</x:v>
      </x:c>
    </x:row>
    <x:row r="34">
      <x:c r="A34" s="19">
        <x:f>ROUND(COUNTA(A34:G34)/7*100,0)</x:f>
      </x:c>
      <x:c r="B34" s="18" t="str">
        <x:v>RSA/295/2012 of CHELLAMMA, (DIED) (LEGAL HEIRS IMPLEADED) Vs GOPALA PILLAI BALAKRISHNA PILLAI</x:v>
      </x:c>
      <x:c r="C34" s="18" t="str">
        <x:v>2026-01-30</x:v>
      </x:c>
      <x:c r="D34" s="18" t="str">
        <x:v>High Court of Kerala</x:v>
      </x:c>
      <x:c r="E34" s="18" t="str">
        <x:v>HONOURABLE MR. JUSTICE EASWARAN S.</x:v>
      </x:c>
      <x:c r="F34" s="18" t="str">
        <x:v>DISMISSED</x:v>
      </x:c>
      <x:c r="G34" s="20" t="str">
        <x:v>https://indian-high-court-judgments.s3.ap-south-1.amazonaws.com/data/pdf/year=2026/court=32_4/bench=highcourtofkerala/KLHC010377242012_1_2024-01-18.pdf</x:v>
      </x:c>
    </x:row>
    <x:row r="35">
      <x:c r="A35" s="19">
        <x:f>ROUND(COUNTA(A35:G35)/7*100,0)</x:f>
      </x:c>
      <x:c r="B35" s="18" t="str">
        <x:v>WP(C)/8670/2023 of SREENA. S Vs STATE OF KERALA</x:v>
      </x:c>
      <x:c r="C35" s="18" t="str">
        <x:v>2026-03-16</x:v>
      </x:c>
      <x:c r="D35" s="18" t="str">
        <x:v>High Court of Kerala</x:v>
      </x:c>
      <x:c r="E35" s="18" t="str">
        <x:v>HONOURABLE MR.JUSTICE N.NAGARESH</x:v>
      </x:c>
      <x:c r="F35" s="18" t="str">
        <x:v>DISMISSED</x:v>
      </x:c>
      <x:c r="G35" s="20" t="str">
        <x:v>https://indian-high-court-judgments.s3.ap-south-1.amazonaws.com/data/pdf/year=2026/court=32_4/bench=highcourtofkerala/KLHC010199832023_1_2024-02-09.pdf</x:v>
      </x:c>
    </x:row>
    <x:row r="36">
      <x:c r="A36" s="19">
        <x:f>ROUND(COUNTA(A36:G36)/7*100,0)</x:f>
      </x:c>
      <x:c r="B36" s="18" t="str">
        <x:v>WP(C)/40183/2023 of BINEESH BABU, Vs STATE OF KERALA,</x:v>
      </x:c>
      <x:c r="C36" s="18" t="str">
        <x:v>2026-02-06</x:v>
      </x:c>
      <x:c r="D36" s="18" t="str">
        <x:v>High Court of Kerala</x:v>
      </x:c>
      <x:c r="E36" s="18" t="str">
        <x:v>HONOURABLE MR. JUSTICE HARISANKAR V. MENON</x:v>
      </x:c>
      <x:c r="F36" s="18" t="str">
        <x:v>CLOSED</x:v>
      </x:c>
      <x:c r="G36" s="20" t="str">
        <x:v>https://indian-high-court-judgments.s3.ap-south-1.amazonaws.com/data/pdf/year=2026/court=32_4/bench=highcourtofkerala/KLHC010889202023_1_2024-07-24.pdf</x:v>
      </x:c>
    </x:row>
    <x:row r="37">
      <x:c r="A37" s="19">
        <x:f>ROUND(COUNTA(A37:G37)/7*100,0)</x:f>
      </x:c>
      <x:c r="B37" s="18" t="str">
        <x:v>RFA/42/2018 of K.V.XAVIER Vs PETER AUGUSTINE</x:v>
      </x:c>
      <x:c r="C37" s="18" t="str">
        <x:v>2026-03-26</x:v>
      </x:c>
      <x:c r="D37" s="18" t="str">
        <x:v>High Court of Kerala</x:v>
      </x:c>
      <x:c r="E37" s="18" t="str">
        <x:v>HONOURABLE MR.JUSTICE MOHAMMED NIAS C.P.</x:v>
      </x:c>
      <x:c r="F37" s="18" t="str">
        <x:v>DISMISSED FOR DEFAULT</x:v>
      </x:c>
      <x:c r="G37" s="20" t="str">
        <x:v>https://indian-high-court-judgments.s3.ap-south-1.amazonaws.com/data/pdf/year=2026/court=32_4/bench=highcourtofkerala/KLHC010270062018_1_2024-01-09.pdf</x:v>
      </x:c>
    </x:row>
    <x:row r="38">
      <x:c r="A38" s="19">
        <x:f>ROUND(COUNTA(A38:G38)/7*100,0)</x:f>
      </x:c>
      <x:c r="B38" s="18" t="str">
        <x:v>WP(C)/36400/2017 of G. SUBRAMONIA WARRIER Vs PAZHAYAKUNNUMMEL GRAMA PANCHAYAT</x:v>
      </x:c>
      <x:c r="C38" s="18" t="str">
        <x:v>2026-03-03</x:v>
      </x:c>
      <x:c r="D38" s="18" t="str">
        <x:v>High Court of Kerala</x:v>
      </x:c>
      <x:c r="E38" s="18" t="str">
        <x:v>HONOURABLE MR. JUSTICE P.V.KUNHIKRISHNAN</x:v>
      </x:c>
      <x:c r="F38" s="18" t="str">
        <x:v>CLOSED</x:v>
      </x:c>
      <x:c r="G38" s="20" t="str">
        <x:v>https://indian-high-court-judgments.s3.ap-south-1.amazonaws.com/data/pdf/year=2026/court=32_4/bench=highcourtofkerala/KLHC010843442017_1_2024-04-12.pdf</x:v>
      </x:c>
    </x:row>
    <x:row r="39">
      <x:c r="A39" s="19">
        <x:f>ROUND(COUNTA(A39:G39)/7*100,0)</x:f>
      </x:c>
      <x:c r="B39" s="18" t="str">
        <x:v>AS/330/2001 of T.P. BALAKRISHNAN Vs CHINNAMMA</x:v>
      </x:c>
      <x:c r="C39" s="18" t="str">
        <x:v>2026-02-09</x:v>
      </x:c>
      <x:c r="D39" s="18" t="str">
        <x:v>High Court of Kerala</x:v>
      </x:c>
      <x:c r="E39" s="18" t="str">
        <x:v>HONOURABLE MR.JUSTICE MURALI PURUSHOTHAMAN</x:v>
      </x:c>
      <x:c r="F39" s="18" t="str">
        <x:v>DISMISSED FOR NON PROSECUTION</x:v>
      </x:c>
      <x:c r="G39" s="20" t="str">
        <x:v>https://indian-high-court-judgments.s3.ap-south-1.amazonaws.com/data/pdf/year=2026/court=32_4/bench=highcourtofkerala/KLHC010004272001_1_2017-03-01.pdf</x:v>
      </x:c>
    </x:row>
    <x:row r="40">
      <x:c r="A40" s="19">
        <x:f>ROUND(COUNTA(A40:G40)/7*100,0)</x:f>
      </x:c>
      <x:c r="B40" s="18" t="str">
        <x:v>WP(C)/19662/2021 of FORT HERITAGE (P) LTD Vs ASSISTANT PROVIDENT FUND COMMISSIONER</x:v>
      </x:c>
      <x:c r="C40" s="18" t="str">
        <x:v>2026-02-17</x:v>
      </x:c>
      <x:c r="D40" s="18" t="str">
        <x:v>High Court of Kerala</x:v>
      </x:c>
      <x:c r="E40" s="18" t="str">
        <x:v>HONOURABLE MR.JUSTICE VIJU ABRAHAM</x:v>
      </x:c>
      <x:c r="F40" s="18" t="str">
        <x:v>DISPOSED OF</x:v>
      </x:c>
      <x:c r="G40" s="20" t="str">
        <x:v>https://indian-high-court-judgments.s3.ap-south-1.amazonaws.com/data/pdf/year=2026/court=32_4/bench=highcourtofkerala/KLHC010510692021_1_2024-05-20.pdf</x:v>
      </x:c>
    </x:row>
    <x:row r="41">
      <x:c r="A41" s="19">
        <x:f>ROUND(COUNTA(A41:G41)/7*100,0)</x:f>
      </x:c>
      <x:c r="B41" s="18" t="str">
        <x:v>MACA/1409/2012 of MANOJ V.P. Vs V.V.MEHTA</x:v>
      </x:c>
      <x:c r="C41" s="18" t="str">
        <x:v>2026-01-21</x:v>
      </x:c>
      <x:c r="D41" s="18" t="str">
        <x:v>High Court of Kerala</x:v>
      </x:c>
      <x:c r="E41" s="18" t="str">
        <x:v>HONOURABLE MRS. JUSTICE SHOBA ANNAMMA EAPEN</x:v>
      </x:c>
      <x:c r="F41" s="18" t="str">
        <x:v>ALLOWED IN PART</x:v>
      </x:c>
      <x:c r="G41" s="20" t="str">
        <x:v>https://indian-high-court-judgments.s3.ap-south-1.amazonaws.com/data/pdf/year=2026/court=32_4/bench=highcourtofkerala/KLHC010272452012_1_2024-04-11.pdf</x:v>
      </x:c>
    </x:row>
    <x:row r="42">
      <x:c r="A42" s="19">
        <x:f>ROUND(COUNTA(A42:G42)/7*100,0)</x:f>
      </x:c>
      <x:c r="B42" s="18" t="str">
        <x:v>RSA/1356/2011 of E.K.CHANDRAN NAMBIAR Vs THAZHE VEETTIL RAJAN ,</x:v>
      </x:c>
      <x:c r="C42" s="18" t="str">
        <x:v>2026-01-14</x:v>
      </x:c>
      <x:c r="D42" s="18" t="str">
        <x:v>High Court of Kerala</x:v>
      </x:c>
      <x:c r="E42" s="18" t="str">
        <x:v>HONOURABLE MR. JUSTICE EASWARAN S.</x:v>
      </x:c>
      <x:c r="F42" s="18" t="str">
        <x:v>DISMISSED AS NOT PRESSED</x:v>
      </x:c>
      <x:c r="G42" s="20" t="str">
        <x:v>https://indian-high-court-judgments.s3.ap-south-1.amazonaws.com/data/pdf/year=2026/court=32_4/bench=highcourtofkerala/KLHC010400042011_1_2012-02-13.pdf</x:v>
      </x:c>
    </x:row>
    <x:row r="43">
      <x:c r="A43" s="19">
        <x:f>ROUND(COUNTA(A43:G43)/7*100,0)</x:f>
      </x:c>
      <x:c r="B43" s="18" t="str">
        <x:v>LA.App./16/2022 of BRINDA Vs STATE OF KERALA</x:v>
      </x:c>
      <x:c r="C43" s="18" t="str">
        <x:v>2026-03-30</x:v>
      </x:c>
      <x:c r="D43" s="18" t="str">
        <x:v>High Court of Kerala</x:v>
      </x:c>
      <x:c r="E43" s="18" t="str">
        <x:v>HONOURABLE MR. JUSTICE DEVAN RAMACHANDRAN,HONOURABLE MR.JUSTICE BASANT BALAJI</x:v>
      </x:c>
      <x:c r="F43" s="18" t="str">
        <x:v>ALLOWED</x:v>
      </x:c>
      <x:c r="G43" s="20" t="str">
        <x:v>https://indian-high-court-judgments.s3.ap-south-1.amazonaws.com/data/pdf/year=2026/court=32_4/bench=highcourtofkerala/KLHC010006522022_1_2025-04-09.pdf</x:v>
      </x:c>
    </x:row>
    <x:row r="44">
      <x:c r="A44" s="19">
        <x:f>ROUND(COUNTA(A44:G44)/7*100,0)</x:f>
      </x:c>
      <x:c r="B44" s="18" t="str">
        <x:v>WP(C)/9910/2024 of STERAN FELS A, Vs THIRUVANANTHAPURAM CORPORATION,</x:v>
      </x:c>
      <x:c r="C44" s="18" t="str">
        <x:v>2026-02-19</x:v>
      </x:c>
      <x:c r="D44" s="18" t="str">
        <x:v>High Court of Kerala</x:v>
      </x:c>
      <x:c r="E44" s="18" t="str">
        <x:v>HONOURABLE MR. JUSTICE P.V.KUNHIKRISHNAN</x:v>
      </x:c>
      <x:c r="F44" s="18" t="str">
        <x:v>DISPOSED OF</x:v>
      </x:c>
      <x:c r="G44" s="20" t="str">
        <x:v>https://indian-high-court-judgments.s3.ap-south-1.amazonaws.com/data/pdf/year=2026/court=32_4/bench=highcourtofkerala/KLHC010907422024_1_2024-06-06.pdf</x:v>
      </x:c>
    </x:row>
    <x:row r="45">
      <x:c r="A45" s="19">
        <x:f>ROUND(COUNTA(A45:G45)/7*100,0)</x:f>
      </x:c>
      <x:c r="B45" s="18" t="str">
        <x:v>RFA/96/2005 of VASUDEVAN Vs VIJAYAN</x:v>
      </x:c>
      <x:c r="C45" s="18" t="str">
        <x:v>2026-05-18</x:v>
      </x:c>
      <x:c r="D45" s="18" t="str">
        <x:v>High Court of Kerala</x:v>
      </x:c>
      <x:c r="E45" s="18" t="str">
        <x:v>HONOURABLE MR.JUSTICE MOHAMMED NIAS C.P.</x:v>
      </x:c>
      <x:c r="F45" s="18" t="str">
        <x:v>DISMISSED</x:v>
      </x:c>
      <x:c r="G45" s="20" t="str">
        <x:v>https://indian-high-court-judgments.s3.ap-south-1.amazonaws.com/data/pdf/year=2026/court=32_4/bench=highcourtofkerala/KLHC010287982005_1_2019-08-22.pdf</x:v>
      </x:c>
    </x:row>
    <x:row r="46">
      <x:c r="A46" s="19">
        <x:f>ROUND(COUNTA(A46:G46)/7*100,0)</x:f>
      </x:c>
      <x:c r="B46" s="18" t="str">
        <x:v>RSA/217/2015 of A.D.VARGHESE (DIED) Vs V.VGOPI</x:v>
      </x:c>
      <x:c r="C46" s="18" t="str">
        <x:v>2026-05-20</x:v>
      </x:c>
      <x:c r="D46" s="18" t="str">
        <x:v>High Court of Kerala</x:v>
      </x:c>
      <x:c r="E46" s="18" t="str">
        <x:v>HONOURABLE MR. JUSTICE EASWARAN S.</x:v>
      </x:c>
      <x:c r="F46" s="18" t="str">
        <x:v>DISMISSED FOR DEFAULT</x:v>
      </x:c>
      <x:c r="G46" s="20" t="str">
        <x:v>https://indian-high-court-judgments.s3.ap-south-1.amazonaws.com/data/pdf/year=2026/court=32_4/bench=highcourtofkerala/KLHC010409542015_1_2024-01-09.pdf</x:v>
      </x:c>
    </x:row>
    <x:row r="47">
      <x:c r="A47" s="19">
        <x:f>ROUND(COUNTA(A47:G47)/7*100,0)</x:f>
      </x:c>
      <x:c r="B47" s="18" t="str">
        <x:v>LA.App./146/2017 of K.V.BABU RAJ Vs THE STATE OF KERALA</x:v>
      </x:c>
      <x:c r="C47" s="18" t="str">
        <x:v>2026-05-22</x:v>
      </x:c>
      <x:c r="D47" s="18" t="str">
        <x:v>High Court of Kerala</x:v>
      </x:c>
      <x:c r="E47" s="18" t="str">
        <x:v>HONOURABLE MR. JUSTICE DEVAN RAMACHANDRAN,HONOURABLE MR.JUSTICE BASANT BALAJI</x:v>
      </x:c>
      <x:c r="F47" s="18" t="str">
        <x:v>ALLOWED</x:v>
      </x:c>
      <x:c r="G47" s="20" t="str">
        <x:v>https://indian-high-court-judgments.s3.ap-south-1.amazonaws.com/data/pdf/year=2026/court=32_4/bench=highcourtofkerala/KLHC010262982017_1_2025-04-09.pdf</x:v>
      </x:c>
    </x:row>
    <x:row r="48">
      <x:c r="A48" s="19">
        <x:f>ROUND(COUNTA(A48:G48)/7*100,0)</x:f>
      </x:c>
      <x:c r="B48" s="18" t="str">
        <x:v>Mat.Appeal/335/2014 of PRIYAMOL.K.M. Vs JAYAPRAKASH.K.PANICKER</x:v>
      </x:c>
      <x:c r="C48" s="18" t="str">
        <x:v>2026-05-22</x:v>
      </x:c>
      <x:c r="D48" s="18" t="str">
        <x:v>High Court of Kerala</x:v>
      </x:c>
      <x:c r="E48" s="18" t="str">
        <x:v>HONOURABLE MRS. JUSTICE J. NISHA BANU,HONOURABLE MRS. JUSTICE SHOBA ANNAMMA EAPEN</x:v>
      </x:c>
      <x:c r="F48" s="18" t="str">
        <x:v>DISMISSED</x:v>
      </x:c>
      <x:c r="G48" s="20" t="str">
        <x:v>https://indian-high-court-judgments.s3.ap-south-1.amazonaws.com/data/pdf/year=2026/court=32_4/bench=highcourtofkerala/KLHC010281062014_1_2024-07-22.pdf</x:v>
      </x:c>
    </x:row>
    <x:row r="49">
      <x:c r="A49" s="19">
        <x:f>ROUND(COUNTA(A49:G49)/7*100,0)</x:f>
      </x:c>
      <x:c r="B49" s="18" t="str">
        <x:v>WP(C)/23698/2023 of THOMAS ITTIKKURU Vs STATE OF KERALA</x:v>
      </x:c>
      <x:c r="C49" s="18" t="str">
        <x:v>2026-05-25</x:v>
      </x:c>
      <x:c r="D49" s="18" t="str">
        <x:v>High Court of Kerala</x:v>
      </x:c>
      <x:c r="E49" s="18" t="str">
        <x:v>HONOURABLE MR. JUSTICE HARISANKAR V. MENON</x:v>
      </x:c>
      <x:c r="F49" s="18" t="str">
        <x:v>DISPOSED OF</x:v>
      </x:c>
      <x:c r="G49" s="20" t="str">
        <x:v>https://indian-high-court-judgments.s3.ap-south-1.amazonaws.com/data/pdf/year=2026/court=32_4/bench=highcourtofkerala/KLHC010519292023_1_2025-04-01.pdf</x:v>
      </x:c>
    </x:row>
    <x:row r="50">
      <x:c r="A50" s="19">
        <x:f>ROUND(COUNTA(A50:G50)/7*100,0)</x:f>
      </x:c>
      <x:c r="B50" s="18" t="str">
        <x:v>Mat.Appeal/44/2012 of DR.JUSTIN MALIAKKAL Vs MRS.JISHA JUSTIN</x:v>
      </x:c>
      <x:c r="C50" s="18" t="str">
        <x:v>2026-05-25</x:v>
      </x:c>
      <x:c r="D50" s="18" t="str">
        <x:v>High Court of Kerala</x:v>
      </x:c>
      <x:c r="E50" s="18" t="str">
        <x:v>HONOURABLE MR. JUSTICE DEVAN RAMACHANDRAN,HONOURABLE MR.JUSTICE BASANT BALAJI</x:v>
      </x:c>
      <x:c r="F50" s="18" t="str">
        <x:v>DISMISSED FOR DEFAULT</x:v>
      </x:c>
      <x:c r="G50" s="20" t="str">
        <x:v>https://indian-high-court-judgments.s3.ap-south-1.amazonaws.com/data/pdf/year=2026/court=32_4/bench=highcourtofkerala/KLHC010250822012_1_2021-11-16.pdf</x:v>
      </x:c>
    </x:row>
    <x:row r="51">
      <x:c r="A51" s="19">
        <x:f>ROUND(COUNTA(A51:G51)/7*100,0)</x:f>
      </x:c>
      <x:c r="B51" s="18" t="str">
        <x:v>Mat.Appeal/43/2012 of DR.JUSTIN MALIAKKAL Vs MRS. JISHA JUSTIN</x:v>
      </x:c>
      <x:c r="C51" s="18" t="str">
        <x:v>2026-05-25</x:v>
      </x:c>
      <x:c r="D51" s="18" t="str">
        <x:v>High Court of Kerala</x:v>
      </x:c>
      <x:c r="E51" s="18" t="str">
        <x:v>HONOURABLE MR. JUSTICE DEVAN RAMACHANDRAN,HONOURABLE MR.JUSTICE BASANT BALAJI</x:v>
      </x:c>
      <x:c r="F51" s="18" t="str">
        <x:v>DISMISSED FOR DEFAULT</x:v>
      </x:c>
      <x:c r="G51" s="20" t="str">
        <x:v>https://indian-high-court-judgments.s3.ap-south-1.amazonaws.com/data/pdf/year=2026/court=32_4/bench=highcourtofkerala/KLHC010250812012_1_2021-09-30.pdf</x:v>
      </x:c>
    </x:row>
    <x:row r="52">
      <x:c r="A52" s="19">
        <x:f>ROUND(COUNTA(A52:G52)/7*100,0)</x:f>
      </x:c>
      <x:c r="B52" s="18" t="str">
        <x:v>Con.Case(C)/801/2025 of VIJAYAN. C Vs SHRI.K.A.RATHEESH</x:v>
      </x:c>
      <x:c r="C52" s="18" t="str">
        <x:v>2026-05-29</x:v>
      </x:c>
      <x:c r="D52" s="18" t="str">
        <x:v>High Court of Kerala</x:v>
      </x:c>
      <x:c r="E52" s="18" t="str">
        <x:v>HONOURABLE MR.JUSTICE VIJU ABRAHAM</x:v>
      </x:c>
      <x:c r="F52" s="18" t="str">
        <x:v>CLOSED</x:v>
      </x:c>
      <x:c r="G52" s="20" t="str">
        <x:v>https://indian-high-court-judgments.s3.ap-south-1.amazonaws.com/data/pdf/year=2026/court=32_4/bench=highcourtofkerala/KLHC010270622025_1_2025-04-10.pdf</x:v>
      </x:c>
    </x:row>
    <x:row r="53">
      <x:c r="A53" s="19">
        <x:f>ROUND(COUNTA(A53:G53)/7*100,0)</x:f>
      </x:c>
      <x:c r="B53" s="18" t="str">
        <x:v>WP(C)/40720/2017 of M. RAVINDRAN NAIR Vs STATE OF KERALA</x:v>
      </x:c>
      <x:c r="C53" s="18" t="str">
        <x:v>2026-06-01</x:v>
      </x:c>
      <x:c r="D53" s="18" t="str">
        <x:v>High Court of Kerala</x:v>
      </x:c>
      <x:c r="E53" s="18" t="str">
        <x:v>HONOURABLE MR. JUSTICE P.M.MANOJ</x:v>
      </x:c>
      <x:c r="F53" s="18" t="str">
        <x:v>ALLOWED</x:v>
      </x:c>
      <x:c r="G53" s="20" t="str">
        <x:v>https://indian-high-court-judgments.s3.ap-south-1.amazonaws.com/data/pdf/year=2026/court=32_4/bench=highcourtofkerala/KLHC010886632017_1_2021-03-18.pdf</x:v>
      </x:c>
    </x:row>
    <x:row r="54">
      <x:c r="A54" s="19">
        <x:f>ROUND(COUNTA(A54:G54)/7*100,0)</x:f>
      </x:c>
      <x:c r="B54" s="18" t="str">
        <x:v>RFA/448/2010 of TESSY THOMAS AND ANOTHER Vs SMT.DOLLYKUTTY GEORGE AND OTHERS</x:v>
      </x:c>
      <x:c r="C54" s="18" t="str">
        <x:v>2026-06-02</x:v>
      </x:c>
      <x:c r="D54" s="18" t="str">
        <x:v>High Court of Kerala</x:v>
      </x:c>
      <x:c r="E54" s="18" t="str">
        <x:v>HONOURABLE MR. JUSTICE SATHISH NINAN,HONOURABLE MR.JUSTICE P. KRISHNA KUMAR</x:v>
      </x:c>
      <x:c r="F54" s="18" t="str">
        <x:v>ALLOWED</x:v>
      </x:c>
      <x:c r="G54" s="20" t="str">
        <x:v>https://indian-high-court-judgments.s3.ap-south-1.amazonaws.com/data/pdf/year=2026/court=32_4/bench=highcourtofkerala/KLHC010354602010_1_2018-09-27.pdf</x:v>
      </x:c>
    </x:row>
    <x:row r="55">
      <x:c r="A55" s="19">
        <x:f>ROUND(COUNTA(A55:G55)/7*100,0)</x:f>
      </x:c>
      <x:c r="B55" s="18" t="str">
        <x:v>WA/545/2023 of PREMARAJ M.A., Vs UNION OF INDIA,</x:v>
      </x:c>
      <x:c r="C55" s="18" t="str">
        <x:v>2026-06-02</x:v>
      </x:c>
      <x:c r="D55" s="18" t="str">
        <x:v>High Court of Kerala</x:v>
      </x:c>
      <x:c r="E55" s="18" t="str">
        <x:v>HONOURABLE MR. JUSTICE DEVAN RAMACHANDRAN,HONOURABLE MR.JUSTICE BASANT BALAJI</x:v>
      </x:c>
      <x:c r="F55" s="18" t="str">
        <x:v>DISMISSED</x:v>
      </x:c>
      <x:c r="G55" s="20" t="str">
        <x:v>https://indian-high-court-judgments.s3.ap-south-1.amazonaws.com/data/pdf/year=2026/court=32_4/bench=highcourtofkerala/KLHC010193822023_1_2023-03-23.pdf</x:v>
      </x:c>
    </x:row>
    <x:row r="56">
      <x:c r="A56" s="19">
        <x:f>ROUND(COUNTA(A56:G56)/7*100,0)</x:f>
      </x:c>
      <x:c r="B56" s="18" t="str">
        <x:v>WP(C)/23181/2010 of R.RAMAKRISHNAN, Vs STATE OF KERALA,</x:v>
      </x:c>
      <x:c r="C56" s="18" t="str">
        <x:v>2026-06-03</x:v>
      </x:c>
      <x:c r="D56" s="18" t="str">
        <x:v>High Court of Kerala</x:v>
      </x:c>
      <x:c r="E56" s="18" t="str">
        <x:v>HONOURABLE MR. JUSTICE P.V.KUNHIKRISHNAN</x:v>
      </x:c>
      <x:c r="F56" s="18" t="str">
        <x:v>DISMISSED AS INFRUCTUOUS</x:v>
      </x:c>
      <x:c r="G56" s="20" t="str">
        <x:v>https://indian-high-court-judgments.s3.ap-south-1.amazonaws.com/data/pdf/year=2026/court=32_4/bench=highcourtofkerala/KLHC010651602010_1_2017-02-16.pdf</x:v>
      </x:c>
    </x:row>
    <x:row r="57">
      <x:c r="A57" s="19">
        <x:f>ROUND(COUNTA(A57:G57)/7*100,0)</x:f>
      </x:c>
      <x:c r="B57" s="18" t="str">
        <x:v>WP(C)/21946/2008 of JOHNY AND ANOTHER Vs PUTHUR SERVICE CO.OP.BANK LTD.</x:v>
      </x:c>
      <x:c r="C57" s="18" t="str">
        <x:v>2026-06-04</x:v>
      </x:c>
      <x:c r="D57" s="18" t="str">
        <x:v>High Court of Kerala</x:v>
      </x:c>
      <x:c r="E57" s="18" t="str">
        <x:v>HONOURABLE MR. JUSTICE GOPINATH P.</x:v>
      </x:c>
      <x:c r="F57" s="18" t="str">
        <x:v>DISMISSED AS NOT PRESSED</x:v>
      </x:c>
      <x:c r="G57" s="20" t="str">
        <x:v>https://indian-high-court-judgments.s3.ap-south-1.amazonaws.com/data/pdf/year=2026/court=32_4/bench=highcourtofkerala/KLHC010641572008_1_2008-07-22.pdf</x:v>
      </x:c>
    </x:row>
    <x:row r="58">
      <x:c r="A58" s="19">
        <x:f>ROUND(COUNTA(A58:G58)/7*100,0)</x:f>
      </x:c>
      <x:c r="B58" s="18" t="str">
        <x:v>WP(C)/13983/2020 of VENUGOPALAN V.V. Vs STATE OF KERALA,</x:v>
      </x:c>
      <x:c r="C58" s="18" t="str">
        <x:v>2026-06-10</x:v>
      </x:c>
      <x:c r="D58" s="18" t="str">
        <x:v>High Court of Kerala</x:v>
      </x:c>
      <x:c r="E58" s="18" t="str">
        <x:v>HONOURABLE MR. JUSTICE HARISANKAR V. MENON</x:v>
      </x:c>
      <x:c r="F58" s="18" t="str">
        <x:v>DISPOSED OF</x:v>
      </x:c>
      <x:c r="G58" s="20" t="str">
        <x:v>https://indian-high-court-judgments.s3.ap-south-1.amazonaws.com/data/pdf/year=2026/court=32_4/bench=highcourtofkerala/KLHC010353882020_1_2024-01-10.pdf</x:v>
      </x:c>
    </x:row>
    <x:row r="59">
      <x:c r="A59" s="19">
        <x:f>ROUND(COUNTA(A59:G59)/7*100,0)</x:f>
      </x:c>
      <x:c r="B59" s="18" t="str">
        <x:v>WP(C)/37728/2017 of THE FOOD CORPORATION OF INDIA EMPLOYEES' CO-OPERATIVE SOCIETY LTD. E-751 Vs MR. R.SHAJI NAIR</x:v>
      </x:c>
      <x:c r="C59" s="18" t="str">
        <x:v>2026-06-11</x:v>
      </x:c>
      <x:c r="D59" s="18" t="str">
        <x:v>High Court of Kerala</x:v>
      </x:c>
      <x:c r="E59" s="18" t="str">
        <x:v>HONOURABLE MR.JUSTICE BASANT BALAJI</x:v>
      </x:c>
      <x:c r="F59" s="18" t="str">
        <x:v>DISMISSED AS WITHDRAWN</x:v>
      </x:c>
      <x:c r="G59" s="20" t="str">
        <x:v>https://indian-high-court-judgments.s3.ap-south-1.amazonaws.com/data/pdf/year=2026/court=32_4/bench=highcourtofkerala/KLHC010856712017_1_2019-01-21.pdf</x:v>
      </x:c>
    </x:row>
    <x:row r="60">
      <x:c r="A60" s="19">
        <x:f>ROUND(COUNTA(A60:G60)/7*100,0)</x:f>
      </x:c>
      <x:c r="B60" s="18" t="str">
        <x:v>WP(C)/9271/2023 of MATHEW T.S. Vs The Collector,</x:v>
      </x:c>
      <x:c r="C60" s="18" t="str">
        <x:v>2026-06-11</x:v>
      </x:c>
      <x:c r="D60" s="18" t="str">
        <x:v>High Court of Kerala</x:v>
      </x:c>
      <x:c r="E60" s="18" t="str">
        <x:v>HONOURABLE MR. JUSTICE GOPINATH P.</x:v>
      </x:c>
      <x:c r="F60" s="18" t="str">
        <x:v>CLOSED</x:v>
      </x:c>
      <x:c r="G60" s="20" t="str">
        <x:v>https://indian-high-court-judgments.s3.ap-south-1.amazonaws.com/data/pdf/year=2026/court=32_4/bench=highcourtofkerala/KLHC010212252023_1_2023-07-14.pdf</x:v>
      </x:c>
    </x:row>
    <x:row r="61">
      <x:c r="A61" s="19">
        <x:f>ROUND(COUNTA(A61:G61)/7*100,0)</x:f>
      </x:c>
      <x:c r="B61" s="18" t="str">
        <x:v>RFA/540/2006 of K.S.GIRIJAMMA Vs VIKRAMAN</x:v>
      </x:c>
      <x:c r="C61" s="18" t="str">
        <x:v>2026-06-16</x:v>
      </x:c>
      <x:c r="D61" s="18" t="str">
        <x:v>High Court of Kerala</x:v>
      </x:c>
      <x:c r="E61" s="18" t="str">
        <x:v>HONOURABLE MR.JUSTICE MURALI PURUSHOTHAMAN</x:v>
      </x:c>
      <x:c r="F61" s="18" t="str">
        <x:v>DISMISSED</x:v>
      </x:c>
      <x:c r="G61" s="20" t="str">
        <x:v>https://indian-high-court-judgments.s3.ap-south-1.amazonaws.com/data/pdf/year=2026/court=32_4/bench=highcourtofkerala/KLHC010295432006_1_2024-03-11.pdf</x:v>
      </x:c>
    </x:row>
    <x:row r="62">
      <x:c r="A62" s="19">
        <x:f>ROUND(COUNTA(A62:G62)/7*100,0)</x:f>
      </x:c>
      <x:c r="B62" s="18" t="str">
        <x:v>MACA/947/2011 of SANTHOSH Vs E.A. SAINABA</x:v>
      </x:c>
      <x:c r="C62" s="18" t="str">
        <x:v>2026-06-18</x:v>
      </x:c>
      <x:c r="D62" s="18" t="str">
        <x:v>High Court of Kerala</x:v>
      </x:c>
      <x:c r="E62" s="18" t="str">
        <x:v>HONOURABLE MR. JUSTICE ANIL K.NARENDRAN</x:v>
      </x:c>
      <x:c r="F62" s="18" t="str">
        <x:v>DISPOSED OF</x:v>
      </x:c>
      <x:c r="G62" s="20" t="str">
        <x:v>https://indian-high-court-judgments.s3.ap-south-1.amazonaws.com/data/pdf/year=2026/court=32_4/bench=highcourtofkerala/KLHC010291902011_1_2024-01-11.pdf</x:v>
      </x:c>
    </x:row>
    <x:row r="63">
      <x:c r="A63" s="19">
        <x:f>ROUND(COUNTA(A63:G63)/7*100,0)</x:f>
      </x:c>
      <x:c r="B63" s="18" t="str">
        <x:v>OP(C)/215/2024 of SURENDRAN Vs SREE VIDHYA DEVASWOM TRUST</x:v>
      </x:c>
      <x:c r="C63" s="18" t="str">
        <x:v>2026-06-19</x:v>
      </x:c>
      <x:c r="D63" s="18" t="str">
        <x:v>High Court of Kerala</x:v>
      </x:c>
      <x:c r="E63" s="18" t="str">
        <x:v>HONOURABLE MR. JUSTICE EASWARAN S.</x:v>
      </x:c>
      <x:c r="F63" s="18" t="str">
        <x:v>DISPOSED OF</x:v>
      </x:c>
      <x:c r="G63" s="20" t="str">
        <x:v>https://indian-high-court-judgments.s3.ap-south-1.amazonaws.com/data/pdf/year=2026/court=32_4/bench=highcourtofkerala/KLHC010768432024_1_2024-03-05.pdf</x:v>
      </x:c>
    </x:row>
    <x:row r="64">
      <x:c r="A64" s="19">
        <x:f>ROUND(COUNTA(A64:G64)/7*100,0)</x:f>
      </x:c>
      <x:c r="B64" s="18" t="str">
        <x:v>WP(C)/17124/2021 of BIJU B.N. Vs COCHIN PORT TRUST</x:v>
      </x:c>
      <x:c r="C64" s="18" t="str">
        <x:v>2026-06-22</x:v>
      </x:c>
      <x:c r="D64" s="18" t="str">
        <x:v>High Court of Kerala</x:v>
      </x:c>
      <x:c r="E64" s="18" t="str">
        <x:v>HONOURABLE MR. JUSTICE HARISANKAR V. MENON</x:v>
      </x:c>
      <x:c r="F64" s="18" t="str">
        <x:v>ALLOWED</x:v>
      </x:c>
      <x:c r="G64" s="20" t="str">
        <x:v>https://indian-high-court-judgments.s3.ap-south-1.amazonaws.com/data/pdf/year=2026/court=32_4/bench=highcourtofkerala/KLHC010451802021_1_2024-02-21.pdf</x:v>
      </x:c>
    </x:row>
    <x:row r="65">
      <x:c r="A65" s="19">
        <x:f>ROUND(COUNTA(A65:G65)/7*100,0)</x:f>
      </x:c>
      <x:c r="B65" s="18" t="str">
        <x:v>WP(C)/30610/2004 of ABDUL SALIM Vs THE M.D. KERALA STATE CIVIL SUPPLIES CO.</x:v>
      </x:c>
      <x:c r="C65" s="18" t="str">
        <x:v>2026-06-23</x:v>
      </x:c>
      <x:c r="D65" s="18" t="str">
        <x:v>High Court of Kerala</x:v>
      </x:c>
      <x:c r="E65" s="18" t="str">
        <x:v>HONOURABLE MR. JUSTICE M.A.ABDUL HAKHIM</x:v>
      </x:c>
      <x:c r="F65" s="18" t="str">
        <x:v>DISMISSED</x:v>
      </x:c>
      <x:c r="G65" s="20" t="str">
        <x:v>https://indian-high-court-judgments.s3.ap-south-1.amazonaws.com/data/pdf/year=2026/court=32_4/bench=highcourtofkerala/KLHC010636282004_1_2016-03-28.pdf</x:v>
      </x:c>
    </x:row>
    <x:row r="66">
      <x:c r="A66" s="19">
        <x:f>ROUND(COUNTA(A66:G66)/7*100,0)</x:f>
      </x:c>
      <x:c r="B66" s="18" t="str">
        <x:v>WP(C)/18689/2023 of DR. VALSAMMA CHACKO Vs LEELAMMA JOSEPH</x:v>
      </x:c>
      <x:c r="C66" s="18" t="str">
        <x:v>2026-06-29</x:v>
      </x:c>
      <x:c r="D66" s="18" t="str">
        <x:v>High Court of Kerala</x:v>
      </x:c>
      <x:c r="E66" s="18" t="str">
        <x:v>HONOURABLE MR.JUSTICE ZIYAD RAHMAN A.A.</x:v>
      </x:c>
      <x:c r="F66" s="18" t="str">
        <x:v>DISMISSED</x:v>
      </x:c>
      <x:c r="G66" s="20" t="str">
        <x:v>https://indian-high-court-judgments.s3.ap-south-1.amazonaws.com/data/pdf/year=2026/court=32_4/bench=highcourtofkerala/KLHC010394802023_1_2024-07-31.pdf</x:v>
      </x:c>
    </x:row>
    <x:row r="67">
      <x:c r="A67" s="19">
        <x:f>ROUND(COUNTA(A67:G67)/7*100,0)</x:f>
      </x:c>
      <x:c r="B67" s="18" t="str">
        <x:v>RFA/72/2013 of REGHUNATHAN Vs KESAVANM SREEDHARAN</x:v>
      </x:c>
      <x:c r="C67" s="18" t="str">
        <x:v>2026-07-07</x:v>
      </x:c>
      <x:c r="D67" s="18" t="str">
        <x:v>High Court of Kerala</x:v>
      </x:c>
      <x:c r="E67" s="18" t="str">
        <x:v>HONOURABLE MR.JUSTICE MOHAMMED NIAS C.P.</x:v>
      </x:c>
      <x:c r="F67" s="18" t="str">
        <x:v>DISMISSED FOR NON PROSECUTION</x:v>
      </x:c>
      <x:c r="G67" s="20" t="str">
        <x:v>https://indian-high-court-judgments.s3.ap-south-1.amazonaws.com/data/pdf/year=2026/court=32_4/bench=highcourtofkerala/KLHC010365692013_1_2016-01-19.pdf</x:v>
      </x:c>
    </x:row>
    <x:row r="68">
      <x:c r="A68" s="19">
        <x:f>ROUND(COUNTA(A68:G68)/7*100,0)</x:f>
      </x:c>
      <x:c r="B68" s="18" t="str">
        <x:v>CMCP/58/2008 of VAREED *(DIED) Vs THE SPL. TAHSILDAR, L.A.(G),</x:v>
      </x:c>
      <x:c r="C68" s="18" t="str">
        <x:v>2026-07-10</x:v>
      </x:c>
      <x:c r="D68" s="18" t="str">
        <x:v>High Court of Kerala</x:v>
      </x:c>
      <x:c r="E68" s="18" t="str">
        <x:v>HONOURABLE MR. JUSTICE DEVAN RAMACHANDRAN,HONOURABLE MR.JUSTICE BASANT BALAJI</x:v>
      </x:c>
      <x:c r="F68" s="18" t="str">
        <x:v>ALLOWED</x:v>
      </x:c>
      <x:c r="G68" s="20" t="str">
        <x:v>https://indian-high-court-judgments.s3.ap-south-1.amazonaws.com/data/pdf/year=2026/court=32_4/bench=highcourtofkerala/KLHC010091252008_1_2018-08-31.pdf</x:v>
      </x:c>
    </x:row>
    <x:row r="69">
      <x:c r="A69" s="19">
        <x:f>ROUND(COUNTA(A69:G69)/7*100,0)</x:f>
      </x:c>
      <x:c r="B69" s="18" t="str">
        <x:v>Tr.P(C)/190/2013 of CHRISTY JOSE Vs O.T.MATHEWKUTTY</x:v>
      </x:c>
      <x:c r="C69" s="18" t="str">
        <x:v>2026-07-13</x:v>
      </x:c>
      <x:c r="D69" s="18" t="str">
        <x:v>High Court of Kerala</x:v>
      </x:c>
      <x:c r="E69" s="18" t="str">
        <x:v>HONOURABLE MR. JUSTICE T.R.RAVI</x:v>
      </x:c>
      <x:c r="F69" s="18" t="str">
        <x:v>DISMISSED AS INFRUCTUOUS</x:v>
      </x:c>
      <x:c r="G69" s="20" t="str">
        <x:v>https://indian-high-court-judgments.s3.ap-south-1.amazonaws.com/data/pdf/year=2026/court=32_4/bench=highcourtofkerala/KLHC010406902013_1_2013-10-03.pdf</x:v>
      </x:c>
    </x:row>
    <x:row r="70">
      <x:c r="A70" s="19">
        <x:f>ROUND(COUNTA(A70:G70)/7*100,0)</x:f>
      </x:c>
      <x:c r="B70" s="18" t="str">
        <x:v>WP(C)/8408/2015 of DILEEP KUMAR Vs STATE OF KERALA</x:v>
      </x:c>
      <x:c r="C70" s="18" t="str">
        <x:v>2026-07-20</x:v>
      </x:c>
      <x:c r="D70" s="18" t="str">
        <x:v>High Court of Kerala</x:v>
      </x:c>
      <x:c r="E70" s="18" t="str">
        <x:v>HONOURABLE MR. JUSTICE M.A.ABDUL HAKHIM</x:v>
      </x:c>
      <x:c r="F70" s="18" t="str">
        <x:v>DISMISSED</x:v>
      </x:c>
      <x:c r="G70" s="20" t="str">
        <x:v>https://indian-high-court-judgments.s3.ap-south-1.amazonaws.com/data/pdf/year=2026/court=32_4/bench=highcourtofkerala/KLHC010542482015_1_2018-06-18.pdf</x:v>
      </x:c>
    </x:row>
    <x:row r="71">
      <x:c r="A71" s="19">
        <x:f>ROUND(COUNTA(A71:G71)/7*100,0)</x:f>
      </x:c>
      <x:c r="B71" s="18" t="str">
        <x:v>WP(C)/31933/2023 of UNION BANK OF INDIA Vs THE SUB REGISTRAR</x:v>
      </x:c>
      <x:c r="C71" s="18" t="str">
        <x:v>2026-07-20</x:v>
      </x:c>
      <x:c r="D71" s="18" t="str">
        <x:v>High Court of Kerala</x:v>
      </x:c>
      <x:c r="E71" s="18" t="str">
        <x:v>HONOURABLE MR.JUSTICE P. V. BALAKRISHNAN</x:v>
      </x:c>
      <x:c r="F71" s="18" t="str">
        <x:v>CLOSED</x:v>
      </x:c>
      <x:c r="G71" s="20" t="str">
        <x:v>https://indian-high-court-judgments.s3.ap-south-1.amazonaws.com/data/pdf/year=2026/court=32_4/bench=highcourtofkerala/KLHC010708172023_1_2024-01-12.pdf</x:v>
      </x:c>
    </x:row>
    <x:row r="72">
      <x:c r="A72" s="19">
        <x:f>ROUND(COUNTA(A72:G72)/7*100,0)</x:f>
      </x:c>
      <x:c r="B72" s="18" t="str">
        <x:v>OP(C)/412/2019 of RAMAN *[DIED]* Vs NOOR MUHAMMED,</x:v>
      </x:c>
      <x:c r="C72" s="18" t="str">
        <x:v>2026-07-28</x:v>
      </x:c>
      <x:c r="D72" s="18" t="str">
        <x:v>High Court of Kerala</x:v>
      </x:c>
      <x:c r="E72" s="18" t="str">
        <x:v>HONOURABLE MR. JUSTICE SYAM KUMAR V.M.</x:v>
      </x:c>
      <x:c r="F72" s="18" t="str">
        <x:v>DISMISSED</x:v>
      </x:c>
      <x:c r="G72" s="20" t="str">
        <x:v>https://indian-high-court-judgments.s3.ap-south-1.amazonaws.com/data/pdf/year=2026/court=32_4/bench=highcourtofkerala/KLHC010096872019_1_2024-01-23.pdf</x:v>
      </x:c>
    </x:row>
    <x:row r="73">
      <x:c r="A73" s="19">
        <x:f>ROUND(COUNTA(A73:G73)/7*100,0)</x:f>
      </x:c>
      <x:c r="B73" s="18" t="str">
        <x:v>RFA/436/2006 of SATHYARAJAN Vs THANKAMANI</x:v>
      </x:c>
      <x:c r="C73" s="18" t="str">
        <x:v>2026-07-31</x:v>
      </x:c>
      <x:c r="D73" s="18" t="str">
        <x:v>High Court of Kerala</x:v>
      </x:c>
      <x:c r="E73" s="18" t="str">
        <x:v>HONOURABLE MR. JUSTICE T.R.RAVI</x:v>
      </x:c>
      <x:c r="F73" s="18" t="str">
        <x:v>DISPOSED OF</x:v>
      </x:c>
      <x:c r="G73" s="20" t="str">
        <x:v>https://indian-high-court-judgments.s3.ap-south-1.amazonaws.com/data/pdf/year=2026/court=32_4/bench=highcourtofkerala/KLHC010294392006_1_2023-02-23.pdf</x:v>
      </x:c>
    </x:row>
    <x:row r="74">
      <x:c r="A74" s="19">
        <x:f>ROUND(COUNTA(A74:G74)/7*100,0)</x:f>
      </x:c>
      <x:c r="B74" s="18" t="str">
        <x:v>WP(C)/35785/2023 of K. PRASAD KINI, Vs STATE TAX OFFICER,</x:v>
      </x:c>
      <x:c r="C74" s="18" t="str">
        <x:v>2026-07-24</x:v>
      </x:c>
      <x:c r="D74" s="18" t="str">
        <x:v>High Court of Kerala</x:v>
      </x:c>
      <x:c r="E74" s="18" t="str">
        <x:v>HONOURABLE MR. JUSTICE HARISANKAR V. MENON</x:v>
      </x:c>
      <x:c r="F74" s="18" t="str">
        <x:v>DISPOSED OF</x:v>
      </x:c>
      <x:c r="G74" s="20" t="str">
        <x:v>https://indian-high-court-judgments.s3.ap-south-1.amazonaws.com/data/pdf/year=2026/court=32_4/bench=highcourtofkerala/KLHC010808722023_1_2024-06-28.pdf</x:v>
      </x:c>
    </x:row>
    <x:row r="75">
      <x:c r="A75" s="19">
        <x:f>ROUND(COUNTA(A75:G75)/7*100,0)</x:f>
      </x:c>
      <x:c r="B75" s="18" t="str">
        <x:v>RSA/587/2023 of N.K.MITHRAN Vs N.K. RAJALAKSHMI</x:v>
      </x:c>
      <x:c r="C75" s="18" t="str">
        <x:v>2026-07-30</x:v>
      </x:c>
      <x:c r="D75" s="18" t="str">
        <x:v>High Court of Kerala</x:v>
      </x:c>
      <x:c r="E75" s="18" t="str">
        <x:v>HONOURABLE MR. JUSTICE EASWARAN S.</x:v>
      </x:c>
      <x:c r="F75" s="18" t="str">
        <x:v>ALLOWED</x:v>
      </x:c>
      <x:c r="G75" s="20" t="str">
        <x:v>https://indian-high-court-judgments.s3.ap-south-1.amazonaws.com/data/pdf/year=2026/court=32_4/bench=highcourtofkerala/KLHC010650302023_1_2023-11-13.pdf</x:v>
      </x:c>
    </x:row>
    <x:row r="76">
      <x:c r="A76" s="19">
        <x:f>ROUND(COUNTA(A76:G76)/7*100,0)</x:f>
      </x:c>
      <x:c r="B76" s="18" t="str">
        <x:v>CRP/837/2004 of P.M.DAVIS Vs V.I.KURUVILLA</x:v>
      </x:c>
      <x:c r="C76" s="18" t="str">
        <x:v>2026-08-04</x:v>
      </x:c>
      <x:c r="D76" s="18" t="str">
        <x:v>High Court of Kerala</x:v>
      </x:c>
      <x:c r="E76" s="18" t="str">
        <x:v>HONOURABLE MR. JUSTICE T.R.RAVI</x:v>
      </x:c>
      <x:c r="F76" s="18" t="str">
        <x:v>DISPOSED OF</x:v>
      </x:c>
      <x:c r="G76" s="20" t="str">
        <x:v>https://indian-high-court-judgments.s3.ap-south-1.amazonaws.com/data/pdf/year=2026/court=32_4/bench=highcourtofkerala/KLHC010177582004_1_2023-05-25.pdf</x:v>
      </x:c>
    </x:row>
    <x:row r="77">
      <x:c r="A77" s="19">
        <x:f>ROUND(COUNTA(A77:G77)/7*100,0)</x:f>
      </x:c>
      <x:c r="B77" s="18" t="str">
        <x:v>WP(C)/28421/2016 of ERNAKULAM THIRUMALA DEVASWOM Vs THE STATE OF KERALA</x:v>
      </x:c>
      <x:c r="C77" s="18" t="str">
        <x:v>2026-08-10</x:v>
      </x:c>
      <x:c r="D77" s="18" t="str">
        <x:v>High Court of Kerala</x:v>
      </x:c>
      <x:c r="E77" s="18" t="str">
        <x:v>HONOURABLE MR. JUSTICE RAJA VIJAYARAGHAVAN V,HONOURABLE MR.JUSTICE K. V. JAYAKUMAR</x:v>
      </x:c>
      <x:c r="F77" s="18" t="str">
        <x:v>DISMISSED</x:v>
      </x:c>
      <x:c r="G77" s="20" t="str">
        <x:v>https://indian-high-court-judgments.s3.ap-south-1.amazonaws.com/data/pdf/year=2026/court=32_4/bench=highcourtofkerala/KLHC010758452016_1_2023-10-31.pdf</x:v>
      </x:c>
    </x:row>
    <x:row r="78">
      <x:c r="A78" s="19">
        <x:f>ROUND(COUNTA(A78:G78)/7*100,0)</x:f>
      </x:c>
      <x:c r="B78" s="18" t="str">
        <x:v>WA/2018/2023 of T.K.PRADEEP KUMAR Vs BALARAMA PANICKER</x:v>
      </x:c>
      <x:c r="C78" s="18" t="str">
        <x:v>2026-08-14</x:v>
      </x:c>
      <x:c r="D78" s="18" t="str">
        <x:v>High Court of Kerala</x:v>
      </x:c>
      <x:c r="E78" s="18" t="str">
        <x:v>HONOURABLE MR. JUSTICE DEVAN RAMACHANDRAN,HONOURABLE MR.JUSTICE BASANT BALAJI</x:v>
      </x:c>
      <x:c r="F78" s="18" t="str">
        <x:v>DISMISSED</x:v>
      </x:c>
      <x:c r="G78" s="20" t="str">
        <x:v>https://indian-high-court-judgments.s3.ap-south-1.amazonaws.com/data/pdf/year=2026/court=32_4/bench=highcourtofkerala/KLHC010860112023_1_2025-04-08.pdf</x:v>
      </x:c>
    </x:row>
    <x:row r="79">
      <x:c r="A79" s="19">
        <x:f>ROUND(COUNTA(A79:G79)/7*100,0)</x:f>
      </x:c>
      <x:c r="B79" s="18" t="str">
        <x:v>Crl.Rev.Pet/1247/2023 of Sherly Saji Vs STATE OF KERALA</x:v>
      </x:c>
      <x:c r="C79" s="18" t="str">
        <x:v>2026-08-14</x:v>
      </x:c>
      <x:c r="D79" s="18" t="str">
        <x:v>High Court of Kerala</x:v>
      </x:c>
      <x:c r="E79" s="18" t="str">
        <x:v>HONOURABLE MR. JUSTICE G.GIRISH</x:v>
      </x:c>
      <x:c r="F79" s="18" t="str">
        <x:v>DISPOSED OF</x:v>
      </x:c>
      <x:c r="G79" s="20" t="str">
        <x:v>https://indian-high-court-judgments.s3.ap-south-1.amazonaws.com/data/pdf/year=2026/court=32_4/bench=highcourtofkerala/KLHC010913672023_1_2024-01-31.pdf</x:v>
      </x:c>
    </x:row>
    <x:row r="80">
      <x:c r="A80" s="19">
        <x:f>ROUND(COUNTA(A80:G80)/7*100,0)</x:f>
      </x:c>
      <x:c r="B80" s="18" t="str">
        <x:v>Ex.FA/54/2012 of DASAN PILLAI Vs CHONAPPALLIL ENTERPRISES</x:v>
      </x:c>
      <x:c r="C80" s="18" t="str">
        <x:v>2026-08-07</x:v>
      </x:c>
      <x:c r="D80" s="18" t="str">
        <x:v>High Court of Kerala</x:v>
      </x:c>
      <x:c r="E80" s="18" t="str">
        <x:v>HONOURABLE MR. JUSTICE S.MANU</x:v>
      </x:c>
      <x:c r="F80" s="18" t="str">
        <x:v>DISMISSED AS ABATED</x:v>
      </x:c>
      <x:c r="G80" s="20" t="str">
        <x:v>https://indian-high-court-judgments.s3.ap-south-1.amazonaws.com/data/pdf/year=2026/court=32_4/bench=highcourtofkerala/KLHC010233412012_1_2022-08-22.pdf</x:v>
      </x:c>
    </x:row>
    <x:row r="81">
      <x:c r="A81" s="19">
        <x:f>ROUND(COUNTA(A81:G81)/7*100,0)</x:f>
      </x:c>
      <x:c r="B81" s="18" t="str">
        <x:v>MACA/2388/2008 of KARUMBAYI @ SELVI Vs BASHEER</x:v>
      </x:c>
      <x:c r="C81" s="18" t="str">
        <x:v>2026-08-13</x:v>
      </x:c>
      <x:c r="D81" s="18" t="str">
        <x:v>High Court of Kerala</x:v>
      </x:c>
      <x:c r="E81" s="18" t="str">
        <x:v>HONOURABLE MR. JUSTICE P.M.MANOJ</x:v>
      </x:c>
      <x:c r="F81" s="18" t="str">
        <x:v>ALLOWED IN PART</x:v>
      </x:c>
      <x:c r="G81" s="20" t="str">
        <x:v>https://indian-high-court-judgments.s3.ap-south-1.amazonaws.com/data/pdf/year=2026/court=32_4/bench=highcourtofkerala/KLHC010328782008_1_2023-07-25.pdf</x:v>
      </x:c>
    </x:row>
    <x:row r="82">
      <x:c r="A82" s="19">
        <x:f>ROUND(COUNTA(A82:G82)/7*100,0)</x:f>
      </x:c>
      <x:c r="B82" s="18" t="str">
        <x:v>WP(Crl.)/483/2023 of MAMITHA Vs STATE OF KERALA</x:v>
      </x:c>
      <x:c r="C82" s="18" t="str">
        <x:v>2026-08-14</x:v>
      </x:c>
      <x:c r="D82" s="18" t="str">
        <x:v>High Court of Kerala</x:v>
      </x:c>
      <x:c r="E82" s="18" t="str">
        <x:v>HONOURABLE MR. JUSTICE G.GIRISH</x:v>
      </x:c>
      <x:c r="F82" s="18" t="str">
        <x:v>DISMISSED</x:v>
      </x:c>
      <x:c r="G82" s="20" t="str">
        <x:v>https://indian-high-court-judgments.s3.ap-south-1.amazonaws.com/data/pdf/year=2026/court=32_4/bench=highcourtofkerala/KLHC010359042023_1_2023-11-01.pdf</x:v>
      </x:c>
    </x:row>
    <x:row r="83">
      <x:c r="A83" s="19">
        <x:f>ROUND(COUNTA(A83:G83)/7*100,0)</x:f>
      </x:c>
      <x:c r="B83" s="18" t="str">
        <x:v>OP(LC)/2430/2013 of THE PAYANGADI URBAN CO-OPERATIVE BANK LTD Vs V.K.PRASHOB</x:v>
      </x:c>
      <x:c r="C83" s="18" t="str">
        <x:v>2026-08-17</x:v>
      </x:c>
      <x:c r="D83" s="18" t="str">
        <x:v>High Court of Kerala</x:v>
      </x:c>
      <x:c r="E83" s="18" t="str">
        <x:v>HONOURABLE MR. JUSTICE GOPINATH P.</x:v>
      </x:c>
      <x:c r="F83" s="18" t="str">
        <x:v>ALLOWED</x:v>
      </x:c>
      <x:c r="G83" s="20" t="str">
        <x:v>https://indian-high-court-judgments.s3.ap-south-1.amazonaws.com/data/pdf/year=2026/court=32_4/bench=highcourtofkerala/KLHC010355842013_1_2017-03-16.pdf</x:v>
      </x:c>
    </x:row>
    <x:row r="84">
      <x:c r="A84" s="19">
        <x:f>ROUND(COUNTA(A84:G84)/7*100,0)</x:f>
      </x:c>
      <x:c r="B84" s="18" t="str">
        <x:v>Mat.Appeal/43/2012 of DR.JUSTIN MALIAKKAL Vs MRS. JISHA JUSTIN</x:v>
      </x:c>
      <x:c r="C84" s="18" t="str">
        <x:v>2026-08-21</x:v>
      </x:c>
      <x:c r="D84" s="18" t="str">
        <x:v>High Court of Kerala</x:v>
      </x:c>
      <x:c r="E84" s="18" t="str">
        <x:v>HONOURABLE MR. JUSTICE DEVAN RAMACHANDRAN,HONOURABLE MR.JUSTICE BASANT BALAJI</x:v>
      </x:c>
      <x:c r="F84" s="18" t="str">
        <x:v>DISPOSED OF</x:v>
      </x:c>
      <x:c r="G84" s="20" t="str">
        <x:v>https://indian-high-court-judgments.s3.ap-south-1.amazonaws.com/data/pdf/year=2026/court=32_4/bench=highcourtofkerala/KLHC010250812012_1_2021-09-30.pdf</x:v>
      </x:c>
    </x:row>
    <x:row r="85">
      <x:c r="A85" s="19">
        <x:f>ROUND(COUNTA(A85:G85)/7*100,0)</x:f>
      </x:c>
      <x:c r="B85" s="18" t="str">
        <x:v>Mat.Appeal/44/2012 of DR.JUSTIN MALIAKKAL Vs MRS.JISHA JUSTIN</x:v>
      </x:c>
      <x:c r="C85" s="18" t="str">
        <x:v>2026-08-21</x:v>
      </x:c>
      <x:c r="D85" s="18" t="str">
        <x:v>High Court of Kerala</x:v>
      </x:c>
      <x:c r="E85" s="18" t="str">
        <x:v>HONOURABLE MR. JUSTICE DEVAN RAMACHANDRAN,HONOURABLE MR.JUSTICE BASANT BALAJI</x:v>
      </x:c>
      <x:c r="F85" s="18" t="str">
        <x:v>DISPOSED OF</x:v>
      </x:c>
      <x:c r="G85" s="20" t="str">
        <x:v>https://indian-high-court-judgments.s3.ap-south-1.amazonaws.com/data/pdf/year=2026/court=32_4/bench=highcourtofkerala/KLHC010250822012_1_2021-11-16.pdf</x:v>
      </x:c>
    </x:row>
    <x:row r="86">
      <x:c r="A86" s="19">
        <x:f>ROUND(COUNTA(A86:G86)/7*100,0)</x:f>
      </x:c>
      <x:c r="B86" s="18" t="str">
        <x:v>OP(Crl.)/608/2022 of MOHAMMED NAZER M.P Vs UNION TERRITORY OF LAKSHADWEEP</x:v>
      </x:c>
      <x:c r="C86" s="18" t="str">
        <x:v>2026-08-21</x:v>
      </x:c>
      <x:c r="D86" s="18" t="str">
        <x:v>High Court of Kerala</x:v>
      </x:c>
      <x:c r="E86" s="18" t="str">
        <x:v>HONOURABLE MR. JUSTICE G.GIRISH</x:v>
      </x:c>
      <x:c r="F86" s="18" t="str">
        <x:v>CLOSED</x:v>
      </x:c>
      <x:c r="G86" s="20" t="str">
        <x:v>https://indian-high-court-judgments.s3.ap-south-1.amazonaws.com/data/pdf/year=2026/court=32_4/bench=highcourtofkerala/KLHC010791592022_1_2022-12-23.pdf</x:v>
      </x:c>
    </x:row>
    <x:row r="87">
      <x:c r="A87" s="19">
        <x:f>ROUND(COUNTA(A87:G87)/7*100,0)</x:f>
      </x:c>
      <x:c r="B87" s="18" t="str">
        <x:v>OP(Crl.)/609/2022 of MOHAMMED NAZER M.P Vs UNION TERRITORY OF LAKSHADWEEP</x:v>
      </x:c>
      <x:c r="C87" s="18" t="str">
        <x:v>2026-08-21</x:v>
      </x:c>
      <x:c r="D87" s="18" t="str">
        <x:v>High Court of Kerala</x:v>
      </x:c>
      <x:c r="E87" s="18" t="str">
        <x:v>HONOURABLE MR. JUSTICE G.GIRISH</x:v>
      </x:c>
      <x:c r="F87" s="18" t="str">
        <x:v>CLOSED</x:v>
      </x:c>
      <x:c r="G87" s="20" t="str">
        <x:v>https://indian-high-court-judgments.s3.ap-south-1.amazonaws.com/data/pdf/year=2026/court=32_4/bench=highcourtofkerala/KLHC010787442022_1_2022-12-23.pdf</x:v>
      </x:c>
    </x:row>
    <x:row r="88">
      <x:c r="A88" s="19">
        <x:f>ROUND(COUNTA(A88:G88)/7*100,0)</x:f>
      </x:c>
      <x:c r="B88" s="18" t="str">
        <x:v>WP(C)/3644/2024 of MUNJAVILAYIL SAMS NIDHI LIMITED , Vs UNION OF INDIA,</x:v>
      </x:c>
      <x:c r="C88" s="18" t="str">
        <x:v>2026-09-07</x:v>
      </x:c>
      <x:c r="D88" s="18" t="str">
        <x:v>High Court of Kerala</x:v>
      </x:c>
      <x:c r="E88" s="18" t="str">
        <x:v>HONOURABLE MR. JUSTICE HARISANKAR V. MENON</x:v>
      </x:c>
      <x:c r="F88" s="18" t="str">
        <x:v>DISPOSED OF</x:v>
      </x:c>
      <x:c r="G88" s="20" t="str">
        <x:v>https://indian-high-court-judgments.s3.ap-south-1.amazonaws.com/data/pdf/year=2026/court=32_4/bench=highcourtofkerala/KLHC010776582024_1_2024-03-19.pdf</x:v>
      </x:c>
    </x:row>
    <x:row r="89">
      <x:c r="A89" s="19">
        <x:f>ROUND(COUNTA(A89:G89)/7*100,0)</x:f>
      </x:c>
      <x:c r="B89" s="18" t="str">
        <x:v>RSA/538/2022 of KALLIYIL HAMZAKOYA Vs KALLIYIL NABEESA</x:v>
      </x:c>
      <x:c r="C89" s="18" t="str">
        <x:v>2026-09-02</x:v>
      </x:c>
      <x:c r="D89" s="18" t="str">
        <x:v>High Court of Kerala</x:v>
      </x:c>
      <x:c r="E89" s="18" t="str">
        <x:v>HONOURABLE MR. JUSTICE EASWARAN S.</x:v>
      </x:c>
      <x:c r="F89" s="18" t="str">
        <x:v>DISMISSED</x:v>
      </x:c>
      <x:c r="G89" s="20" t="str">
        <x:v>https://indian-high-court-judgments.s3.ap-south-1.amazonaws.com/data/pdf/year=2026/court=32_4/bench=highcourtofkerala/KLHC010028062020_1_2023-12-18.pdf</x:v>
      </x:c>
    </x:row>
    <x:row r="90">
      <x:c r="A90" s="19">
        <x:f>ROUND(COUNTA(A90:G90)/7*100,0)</x:f>
      </x:c>
      <x:c r="B90" s="18" t="str">
        <x:v>MACA/440/2011 of K.BALAN, S/O.KUTTAN Vs E.THANGAPANDIYAN, S/O.ERILANDI</x:v>
      </x:c>
      <x:c r="C90" s="18" t="str">
        <x:v>2026-09-03</x:v>
      </x:c>
      <x:c r="D90" s="18" t="str">
        <x:v>High Court of Kerala</x:v>
      </x:c>
      <x:c r="E90" s="18" t="str">
        <x:v>HONOURABLE MR. JUSTICE ANIL K.NARENDRAN</x:v>
      </x:c>
      <x:c r="F90" s="18" t="str">
        <x:v>DISPOSED OF</x:v>
      </x:c>
      <x:c r="G90" s="20" t="str">
        <x:v>https://indian-high-court-judgments.s3.ap-south-1.amazonaws.com/data/pdf/year=2026/court=32_4/bench=highcourtofkerala/KLHC010286832011_1_2022-01-24.pdf</x:v>
      </x:c>
    </x:row>
    <x:row r="91">
      <x:c r="A91" s="19">
        <x:f>ROUND(COUNTA(A91:G91)/7*100,0)</x:f>
      </x:c>
      <x:c r="B91" s="18" t="str">
        <x:v>RSA/496/2022 of HAMZAKOYA Vs KALLIYIL NABEESA</x:v>
      </x:c>
      <x:c r="C91" s="18" t="str">
        <x:v>2026-09-02</x:v>
      </x:c>
      <x:c r="D91" s="18" t="str">
        <x:v>High Court of Kerala</x:v>
      </x:c>
      <x:c r="E91" s="18" t="str">
        <x:v>HONOURABLE MR. JUSTICE EASWARAN S.</x:v>
      </x:c>
      <x:c r="F91" s="18" t="str">
        <x:v>DISMISSED</x:v>
      </x:c>
      <x:c r="G91" s="20" t="str">
        <x:v>https://indian-high-court-judgments.s3.ap-south-1.amazonaws.com/data/pdf/year=2026/court=32_4/bench=highcourtofkerala/KLHC010028022020_1_2023-12-18.pdf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4e3ad88b21a47ca"/>
  <x:tableParts count="1">
    <x:tablePart xmlns:r="http://schemas.openxmlformats.org/officeDocument/2006/relationships" r:id="Rb8b9f45dc645420b"/>
  </x:tableParts>
</x:worksheet>
</file>