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9628e7b55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47 NCLT NCLAT (Insolvency)" sheetId="1" r:id="R050216821adb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5924f7f904d56" /><Relationship Type="http://schemas.openxmlformats.org/officeDocument/2006/relationships/theme" Target="/xl/theme/theme1.xml" Id="R02203be9df24497d" /><Relationship Type="http://schemas.openxmlformats.org/officeDocument/2006/relationships/sharedStrings" Target="/xl/sharedStrings.xml" Id="R6173cc61f0dd4aa2" /><Relationship Type="http://schemas.openxmlformats.org/officeDocument/2006/relationships/worksheet" Target="/xl/worksheets/sheet1.xml" Id="R050216821adb4b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e6d0e4a8874bc0" /><Relationship Type="http://schemas.openxmlformats.org/officeDocument/2006/relationships/chart" Target="/xl/drawings/charts/chart2.xml" Id="Re2ae5b39dd384a2f" /><Relationship Type="http://schemas.openxmlformats.org/officeDocument/2006/relationships/chart" Target="/xl/drawings/charts/chart3.xml" Id="Rb83c4d94d96d48e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Orders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'F47 NCLT NCLAT (Insolvency)'!$AZ$3:$AZ$32</c:f>
              <c:strCache>
                <c:ptCount val="0"/>
              </c:strCache>
            </c:strRef>
          </c:cat>
          <c:val>
            <c:numRef>
              <c:f>'F47 NCLT NCLAT (Insolvency)'!$BA$3:$BA$32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Cases by bench and stage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'F47 NCLT NCLAT (Insolvency)'!$BC$3:$BC$6</c:f>
              <c:strCache>
                <c:ptCount val="0"/>
              </c:strCache>
            </c:strRef>
          </c:cat>
          <c:val>
            <c:numRef>
              <c:f>'F47 NCLT NCLAT (Insolvency)'!$BD$3:$BD$6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Admission-to-resolution duration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'F47 NCLT NCLAT (Insolvency)'!$BF$3:$BF$14</c:f>
              <c:strCache>
                <c:ptCount val="0"/>
              </c:strCache>
            </c:strRef>
          </c:cat>
          <c:val>
            <c:numRef>
              <c:f>'F47 NCLT NCLAT (Insolvency)'!$BG$3:$BG$14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e6d0e4a8874bc0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ae5b39dd384a2f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3c4d94d96d48e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law_47_clean_cbe3cd" displayName="T_law_47_clean_cbe3cd" ref="A8:AH442" headerRowCount="1" totalsRowCount="0" totalsRowShown="0">
  <x:tableColumns count="34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subject"/>
    <x:tableColumn id="13" name="date"/>
    <x:tableColumn id="14" name="entity"/>
    <x:tableColumn id="15" name="id"/>
    <x:tableColumn id="16" name="applicant"/>
    <x:tableColumn id="17" name="corporate_debtor"/>
    <x:tableColumn id="18" name="insolvency_professional"/>
    <x:tableColumn id="19" name="last_submission_date"/>
    <x:tableColumn id="20" name="type"/>
    <x:tableColumn id="21" name="remarks"/>
    <x:tableColumn id="22" name="coverage_status"/>
    <x:tableColumn id="23" name="coverage_scope"/>
    <x:tableColumn id="24" name="coverage_start"/>
    <x:tableColumn id="25" name="coverage_end"/>
    <x:tableColumn id="26" name="universe_count"/>
    <x:tableColumn id="27" name="record_age_days"/>
    <x:tableColumn id="28" name="record_completeness_pct"/>
    <x:tableColumn id="29" name="source_provider"/>
    <x:tableColumn id="30" name="source_url"/>
    <x:tableColumn id="31" name="source_published_at"/>
    <x:tableColumn id="32" name="source_retrieved_at"/>
    <x:tableColumn id="33" name="provenance"/>
    <x:tableColumn id="34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695b057ae04ef5" /><Relationship Type="http://schemas.openxmlformats.org/officeDocument/2006/relationships/table" Target="/xl/tables/table1.xml" Id="R1f05ccd26e1842b7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32" hidden="0" customWidth="1"/>
    <x:col min="13" max="13" width="16" hidden="0" customWidth="1"/>
    <x:col min="14" max="14" width="15" hidden="0" customWidth="1"/>
    <x:col min="15" max="15" width="18" hidden="0" customWidth="1"/>
    <x:col min="16" max="16" width="15" hidden="0" customWidth="1"/>
    <x:col min="17" max="17" width="15" hidden="0" customWidth="1"/>
    <x:col min="18" max="18" width="15" hidden="0" customWidth="1"/>
    <x:col min="19" max="19" width="16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8" hidden="0" customWidth="1"/>
    <x:col min="30" max="30" width="42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</x:cols>
  <x:sheetData>
    <x:row r="1" ht="25" customHeight="1">
      <x:c r="A1" s="4" t="str">
        <x:v>NCLT / NCLAT (Insolvency)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434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2026-07-10</x:v>
      </x:c>
      <x:c r="BA3" s="18" t="n">
        <x:v>23</x:v>
      </x:c>
      <x:c r="BC3" s="18" t="str">
        <x:v>Public Announcement of Corporate Insolvency R</x:v>
      </x:c>
      <x:c r="BD3" s="18" t="n">
        <x:v>193</x:v>
      </x:c>
      <x:c r="BF3" s="18" t="str">
        <x:v>Unclassified</x:v>
      </x:c>
      <x:c r="BG3" s="18" t="n">
        <x:v>293</x:v>
      </x:c>
    </x:row>
    <x:row r="4">
      <x:c r="A4" s="9" t="str">
        <x:v>Records</x:v>
      </x:c>
      <x:c r="B4" s="10" t="n">
        <x:v>434</x:v>
      </x:c>
      <x:c r="C4" s="9" t="str">
        <x:v>Dated records</x:v>
      </x:c>
      <x:c r="D4" s="10" t="n">
        <x:v>434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2026-08-08</x:v>
      </x:c>
      <x:c r="AZ4" s="18" t="str">
        <x:v>2026-07-11</x:v>
      </x:c>
      <x:c r="BA4" s="18" t="n">
        <x:v>10</x:v>
      </x:c>
      <x:c r="BC4" s="18" t="str">
        <x:v>Unclassified</x:v>
      </x:c>
      <x:c r="BD4" s="18" t="n">
        <x:v>148</x:v>
      </x:c>
      <x:c r="BF4" s="18" t="str">
        <x:v>Vikram Structures Private Limited</x:v>
      </x:c>
      <x:c r="BG4" s="18" t="n">
        <x:v>2</x:v>
      </x:c>
    </x:row>
    <x:row r="5">
      <x:c r="AZ5" s="18" t="str">
        <x:v>2026-07-12</x:v>
      </x:c>
      <x:c r="BA5" s="18" t="n">
        <x:v>2</x:v>
      </x:c>
      <x:c r="BC5" s="18" t="str">
        <x:v>Public Announcement of Voluntary Liquidation </x:v>
      </x:c>
      <x:c r="BD5" s="18" t="n">
        <x:v>53</x:v>
      </x:c>
      <x:c r="BF5" s="18" t="str">
        <x:v>Jet Airways (India) Ltd.</x:v>
      </x:c>
      <x:c r="BG5" s="18" t="n">
        <x:v>2</x:v>
      </x:c>
    </x:row>
    <x:row r="6">
      <x:c r="AZ6" s="18" t="str">
        <x:v>2026-07-13</x:v>
      </x:c>
      <x:c r="BA6" s="18" t="n">
        <x:v>7</x:v>
      </x:c>
      <x:c r="BC6" s="18" t="str">
        <x:v>Public Announcement of Liquidation Process</x:v>
      </x:c>
      <x:c r="BD6" s="18" t="n">
        <x:v>40</x:v>
      </x:c>
      <x:c r="BF6" s="18" t="str">
        <x:v>CMP EURO TECHNOPLAST PVT. LTD.</x:v>
      </x:c>
      <x:c r="BG6" s="18" t="n">
        <x:v>1</x:v>
      </x:c>
    </x:row>
    <x:row r="7">
      <x:c r="AZ7" s="18" t="str">
        <x:v>2026-07-14</x:v>
      </x:c>
      <x:c r="BA7" s="18" t="n">
        <x:v>3</x:v>
      </x:c>
      <x:c r="BF7" s="18" t="str">
        <x:v>M. I. BUILDTECH PRIVATE LIMITED</x:v>
      </x:c>
      <x:c r="BG7" s="18" t="n">
        <x:v>1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subject</x:v>
      </x:c>
      <x:c r="M8" s="15" t="str">
        <x:v>date</x:v>
      </x:c>
      <x:c r="N8" s="15" t="str">
        <x:v>entity</x:v>
      </x:c>
      <x:c r="O8" s="15" t="str">
        <x:v>id</x:v>
      </x:c>
      <x:c r="P8" s="15" t="str">
        <x:v>applicant</x:v>
      </x:c>
      <x:c r="Q8" s="15" t="str">
        <x:v>corporate_debtor</x:v>
      </x:c>
      <x:c r="R8" s="15" t="str">
        <x:v>insolvency_professional</x:v>
      </x:c>
      <x:c r="S8" s="15" t="str">
        <x:v>last_submission_date</x:v>
      </x:c>
      <x:c r="T8" s="15" t="str">
        <x:v>type</x:v>
      </x:c>
      <x:c r="U8" s="15" t="str">
        <x:v>remarks</x:v>
      </x:c>
      <x:c r="V8" s="15" t="str">
        <x:v>coverage_status</x:v>
      </x:c>
      <x:c r="W8" s="15" t="str">
        <x:v>coverage_scope</x:v>
      </x:c>
      <x:c r="X8" s="15" t="str">
        <x:v>coverage_start</x:v>
      </x:c>
      <x:c r="Y8" s="15" t="str">
        <x:v>coverage_end</x:v>
      </x:c>
      <x:c r="Z8" s="15" t="str">
        <x:v>universe_count</x:v>
      </x:c>
      <x:c r="AA8" s="15" t="str">
        <x:v>record_age_days</x:v>
      </x:c>
      <x:c r="AB8" s="15" t="str">
        <x:v>record_completeness_pct</x:v>
      </x:c>
      <x:c r="AC8" s="15" t="str">
        <x:v>source_provider</x:v>
      </x:c>
      <x:c r="AD8" s="15" t="str">
        <x:v>source_url</x:v>
      </x:c>
      <x:c r="AE8" s="15" t="str">
        <x:v>source_published_at</x:v>
      </x:c>
      <x:c r="AF8" s="15" t="str">
        <x:v>source_retrieved_at</x:v>
      </x:c>
      <x:c r="AG8" s="15" t="str">
        <x:v>provenance</x:v>
      </x:c>
      <x:c r="AH8" s="15" t="str">
        <x:v>quality_status</x:v>
      </x:c>
      <x:c r="AZ8" s="18" t="str">
        <x:v>2026-07-15</x:v>
      </x:c>
      <x:c r="BA8" s="18" t="n">
        <x:v>11</x:v>
      </x:c>
      <x:c r="BF8" s="18" t="str">
        <x:v>SUN GRANITE EXPORT LIMITED</x:v>
      </x:c>
      <x:c r="BG8" s="18" t="n">
        <x:v>1</x:v>
      </x:c>
    </x:row>
    <x:row r="9">
      <x:c r="A9" s="18" t="str">
        <x:v>NYT-47-4624cdbe956cbbca</x:v>
      </x:c>
      <x:c r="B9" s="18" t="str">
        <x:v>In the matter of CMP EURO TECHNOPLAST PVT. LTD. [C.P. (IB)/1231(MB)2025]</x:v>
      </x:c>
      <x:c r="C9" s="18" t="str">
        <x:v>2026-08-06</x:v>
      </x:c>
      <x:c r="D9" s="18" t="n">
        <x:v>2026</x:v>
      </x:c>
      <x:c r="E9" s="18" t="str">
        <x:v>2026-08</x:v>
      </x:c>
      <x:c r="F9" s="18" t="str"/>
      <x:c r="G9" s="18" t="str"/>
      <x:c r="H9" s="18" t="str"/>
      <x:c r="I9" s="18" t="str">
        <x:v>CMP EURO TECHNOPLAST PVT. LTD.</x:v>
      </x:c>
      <x:c r="J9" s="20" t="str"/>
      <x:c r="K9" s="18" t="str"/>
      <x:c r="L9" s="18" t="str">
        <x:v>In the matter of CMP EURO TECHNOPLAST PVT. LTD. [C.P. (IB)/1231(MB)2025]</x:v>
      </x:c>
      <x:c r="M9" s="18" t="str">
        <x:v>2026-08-06</x:v>
      </x:c>
      <x:c r="N9" s="18" t="str">
        <x:v>CMP EURO TECHNOPLAST PVT. LTD.</x:v>
      </x:c>
      <x:c r="O9" s="18" t="str">
        <x:v>nclt_g7ubbv</x:v>
      </x:c>
      <x:c r="P9" s="18" t="str"/>
      <x:c r="Q9" s="18" t="str"/>
      <x:c r="R9" s="18" t="str"/>
      <x:c r="S9" s="18" t="str"/>
      <x:c r="T9" s="18" t="str"/>
      <x:c r="U9" s="18" t="str">
        <x:v>Admission - Final Order</x:v>
      </x:c>
      <x:c r="V9" s="18" t="str">
        <x:v>DEFINED_TERMINAL_OR_FEED_SCOPE</x:v>
      </x:c>
      <x:c r="W9" s="18" t="str">
        <x:v>judiciary_nclt_orders.json — published records loaded</x:v>
      </x:c>
      <x:c r="X9" s="18" t="str"/>
      <x:c r="Y9" s="18" t="str"/>
      <x:c r="Z9" s="20" t="n">
        <x:v>434</x:v>
      </x:c>
      <x:c r="AA9" s="19" t="n">
        <x:f>IFERROR(TODAY()-DATEVALUE(C9),"")</x:f>
        <x:v>35</x:v>
      </x:c>
      <x:c r="AB9" s="21" t="n">
        <x:f>ROUND(COUNTA(A9:K9)/11*100,0)</x:f>
        <x:v>100</x:v>
      </x:c>
      <x:c r="AC9" s="18" t="str">
        <x:v>National Company Law Tribunal</x:v>
      </x:c>
      <x:c r="AD9" s="22" t="str">
        <x:v>https://ibbi.gov.in/uploads/order/20d61d2381547cbe169cd942379a5fee.pdf</x:v>
      </x:c>
      <x:c r="AE9" s="18" t="str">
        <x:v>2026-08-06</x:v>
      </x:c>
      <x:c r="AF9" s="18" t="n">
        <x:v>46275.114583333336</x:v>
      </x:c>
      <x:c r="AG9" s="18" t="str">
        <x:v>retained_terminal</x:v>
      </x:c>
      <x:c r="AH9" s="18" t="str">
        <x:v>READY</x:v>
      </x:c>
      <x:c r="AZ9" s="18" t="str">
        <x:v>2026-07-16</x:v>
      </x:c>
      <x:c r="BA9" s="18" t="n">
        <x:v>12</x:v>
      </x:c>
      <x:c r="BF9" s="18" t="str">
        <x:v>Shree Nagai Devi Sugar Private Limited</x:v>
      </x:c>
      <x:c r="BG9" s="18" t="n">
        <x:v>1</x:v>
      </x:c>
    </x:row>
    <x:row r="10">
      <x:c r="A10" s="18" t="str">
        <x:v>NYT-47-436accb33751c6eb</x:v>
      </x:c>
      <x:c r="B10" s="18" t="str">
        <x:v>In the matter of M. I. BUILDTECH PRIVATE LIMITED [IA No. 51/ND/2024 in CP (IB) No. 300/ND/2021]</x:v>
      </x:c>
      <x:c r="C10" s="18" t="str">
        <x:v>2026-08-06</x:v>
      </x:c>
      <x:c r="D10" s="18" t="n">
        <x:v>2026</x:v>
      </x:c>
      <x:c r="E10" s="18" t="str">
        <x:v>2026-08</x:v>
      </x:c>
      <x:c r="F10" s="18" t="str"/>
      <x:c r="G10" s="18" t="str"/>
      <x:c r="H10" s="18" t="str"/>
      <x:c r="I10" s="18" t="str">
        <x:v>M. I. BUILDTECH PRIVATE LIMITED</x:v>
      </x:c>
      <x:c r="J10" s="20" t="str"/>
      <x:c r="K10" s="18" t="str"/>
      <x:c r="L10" s="18" t="str">
        <x:v>In the matter of M. I. BUILDTECH PRIVATE LIMITED [IA No. 51/ND/2024 in CP (IB) No. 300/ND/2021]</x:v>
      </x:c>
      <x:c r="M10" s="18" t="str">
        <x:v>2026-08-06</x:v>
      </x:c>
      <x:c r="N10" s="18" t="str">
        <x:v>M. I. BUILDTECH PRIVATE LIMITED</x:v>
      </x:c>
      <x:c r="O10" s="18" t="str">
        <x:v>nclt_u25i0v</x:v>
      </x:c>
      <x:c r="P10" s="18" t="str"/>
      <x:c r="Q10" s="18" t="str"/>
      <x:c r="R10" s="18" t="str"/>
      <x:c r="S10" s="18" t="str"/>
      <x:c r="T10" s="18" t="str"/>
      <x:c r="U10" s="18" t="str">
        <x:v>Appointment - Appointment of Liquidator</x:v>
      </x:c>
      <x:c r="V10" s="18" t="str">
        <x:v>DEFINED_TERMINAL_OR_FEED_SCOPE</x:v>
      </x:c>
      <x:c r="W10" s="18" t="str">
        <x:v>judiciary_nclt_orders.json — published records loaded</x:v>
      </x:c>
      <x:c r="X10" s="18" t="str"/>
      <x:c r="Y10" s="18" t="str"/>
      <x:c r="Z10" s="20" t="n">
        <x:v>434</x:v>
      </x:c>
      <x:c r="AA10" s="19" t="n">
        <x:f>IFERROR(TODAY()-DATEVALUE(C10),"")</x:f>
        <x:v>35</x:v>
      </x:c>
      <x:c r="AB10" s="21" t="n">
        <x:f>ROUND(COUNTA(A10:K10)/11*100,0)</x:f>
        <x:v>100</x:v>
      </x:c>
      <x:c r="AC10" s="18" t="str">
        <x:v>National Company Law Tribunal</x:v>
      </x:c>
      <x:c r="AD10" s="22" t="str">
        <x:v>https://ibbi.gov.in/uploads/order/b149881386e7453d46c756ed418d69e9.pdf</x:v>
      </x:c>
      <x:c r="AE10" s="18" t="str">
        <x:v>2026-08-06</x:v>
      </x:c>
      <x:c r="AF10" s="18" t="n">
        <x:v>46275.114583333336</x:v>
      </x:c>
      <x:c r="AG10" s="18" t="str">
        <x:v>retained_terminal</x:v>
      </x:c>
      <x:c r="AH10" s="18" t="str">
        <x:v>READY</x:v>
      </x:c>
      <x:c r="AZ10" s="18" t="str">
        <x:v>2026-07-17</x:v>
      </x:c>
      <x:c r="BA10" s="18" t="n">
        <x:v>8</x:v>
      </x:c>
      <x:c r="BF10" s="18" t="str">
        <x:v>TULSI SPICES AND FOODS PRIVATE LIMITED</x:v>
      </x:c>
      <x:c r="BG10" s="18" t="n">
        <x:v>1</x:v>
      </x:c>
    </x:row>
    <x:row r="11">
      <x:c r="A11" s="18" t="str">
        <x:v>NYT-47-2ea5b7dc1ff3bfa1</x:v>
      </x:c>
      <x:c r="B11" s="18" t="str">
        <x:v>In the matter of SUN GRANITE EXPORT LIMITED [CP (IB) No. 14/C8/2026]</x:v>
      </x:c>
      <x:c r="C11" s="18" t="str">
        <x:v>2026-08-05</x:v>
      </x:c>
      <x:c r="D11" s="18" t="n">
        <x:v>2026</x:v>
      </x:c>
      <x:c r="E11" s="18" t="str">
        <x:v>2026-08</x:v>
      </x:c>
      <x:c r="F11" s="18" t="str"/>
      <x:c r="G11" s="18" t="str"/>
      <x:c r="H11" s="18" t="str"/>
      <x:c r="I11" s="18" t="str">
        <x:v>SUN GRANITE EXPORT LIMITED</x:v>
      </x:c>
      <x:c r="J11" s="20" t="str"/>
      <x:c r="K11" s="18" t="str"/>
      <x:c r="L11" s="18" t="str">
        <x:v>In the matter of SUN GRANITE EXPORT LIMITED [CP (IB) No. 14/C8/2026]</x:v>
      </x:c>
      <x:c r="M11" s="18" t="str">
        <x:v>2026-08-05</x:v>
      </x:c>
      <x:c r="N11" s="18" t="str">
        <x:v>SUN GRANITE EXPORT LIMITED</x:v>
      </x:c>
      <x:c r="O11" s="18" t="str">
        <x:v>nclt_1346zlu</x:v>
      </x:c>
      <x:c r="P11" s="18" t="str"/>
      <x:c r="Q11" s="18" t="str"/>
      <x:c r="R11" s="18" t="str"/>
      <x:c r="S11" s="18" t="str"/>
      <x:c r="T11" s="18" t="str"/>
      <x:c r="U11" s="18" t="str">
        <x:v>Admission - Final Order</x:v>
      </x:c>
      <x:c r="V11" s="18" t="str">
        <x:v>DEFINED_TERMINAL_OR_FEED_SCOPE</x:v>
      </x:c>
      <x:c r="W11" s="18" t="str">
        <x:v>judiciary_nclt_orders.json — published records loaded</x:v>
      </x:c>
      <x:c r="X11" s="18" t="str"/>
      <x:c r="Y11" s="18" t="str"/>
      <x:c r="Z11" s="20" t="n">
        <x:v>434</x:v>
      </x:c>
      <x:c r="AA11" s="19" t="n">
        <x:f>IFERROR(TODAY()-DATEVALUE(C11),"")</x:f>
        <x:v>36</x:v>
      </x:c>
      <x:c r="AB11" s="21" t="n">
        <x:f>ROUND(COUNTA(A11:K11)/11*100,0)</x:f>
        <x:v>100</x:v>
      </x:c>
      <x:c r="AC11" s="18" t="str">
        <x:v>National Company Law Tribunal</x:v>
      </x:c>
      <x:c r="AD11" s="22" t="str">
        <x:v>https://ibbi.gov.in/uploads/order/ff5a8e8011b8100350764ea0635505f2.pdf</x:v>
      </x:c>
      <x:c r="AE11" s="18" t="str">
        <x:v>2026-08-05</x:v>
      </x:c>
      <x:c r="AF11" s="18" t="n">
        <x:v>46275.114583333336</x:v>
      </x:c>
      <x:c r="AG11" s="18" t="str">
        <x:v>retained_terminal</x:v>
      </x:c>
      <x:c r="AH11" s="18" t="str">
        <x:v>READY</x:v>
      </x:c>
      <x:c r="AZ11" s="18" t="str">
        <x:v>2026-07-18</x:v>
      </x:c>
      <x:c r="BA11" s="18" t="n">
        <x:v>4</x:v>
      </x:c>
      <x:c r="BF11" s="18" t="str">
        <x:v>KVK NILACHAL POWER PRIVATE LIMITED</x:v>
      </x:c>
      <x:c r="BG11" s="18" t="n">
        <x:v>1</x:v>
      </x:c>
    </x:row>
    <x:row r="12">
      <x:c r="A12" s="18" t="str">
        <x:v>NYT-47-bf11fa69918107fe</x:v>
      </x:c>
      <x:c r="B12" s="18" t="str">
        <x:v>In the matter of Shree Nagai Devi Sugar Private Limited [C.P. (IB)/917/MB/2025]</x:v>
      </x:c>
      <x:c r="C12" s="18" t="str">
        <x:v>2026-08-05</x:v>
      </x:c>
      <x:c r="D12" s="18" t="n">
        <x:v>2026</x:v>
      </x:c>
      <x:c r="E12" s="18" t="str">
        <x:v>2026-08</x:v>
      </x:c>
      <x:c r="F12" s="18" t="str"/>
      <x:c r="G12" s="18" t="str"/>
      <x:c r="H12" s="18" t="str"/>
      <x:c r="I12" s="18" t="str">
        <x:v>Shree Nagai Devi Sugar Private Limited</x:v>
      </x:c>
      <x:c r="J12" s="20" t="str"/>
      <x:c r="K12" s="18" t="str"/>
      <x:c r="L12" s="18" t="str">
        <x:v>In the matter of Shree Nagai Devi Sugar Private Limited [C.P. (IB)/917/MB/2025]</x:v>
      </x:c>
      <x:c r="M12" s="18" t="str">
        <x:v>2026-08-05</x:v>
      </x:c>
      <x:c r="N12" s="18" t="str">
        <x:v>Shree Nagai Devi Sugar Private Limited</x:v>
      </x:c>
      <x:c r="O12" s="18" t="str">
        <x:v>nclt_5mxp5k</x:v>
      </x:c>
      <x:c r="P12" s="18" t="str"/>
      <x:c r="Q12" s="18" t="str"/>
      <x:c r="R12" s="18" t="str"/>
      <x:c r="S12" s="18" t="str"/>
      <x:c r="T12" s="18" t="str"/>
      <x:c r="U12" s="18" t="str">
        <x:v>Admission - Final Order</x:v>
      </x:c>
      <x:c r="V12" s="18" t="str">
        <x:v>DEFINED_TERMINAL_OR_FEED_SCOPE</x:v>
      </x:c>
      <x:c r="W12" s="18" t="str">
        <x:v>judiciary_nclt_orders.json — published records loaded</x:v>
      </x:c>
      <x:c r="X12" s="18" t="str"/>
      <x:c r="Y12" s="18" t="str"/>
      <x:c r="Z12" s="20" t="n">
        <x:v>434</x:v>
      </x:c>
      <x:c r="AA12" s="19" t="n">
        <x:f>IFERROR(TODAY()-DATEVALUE(C12),"")</x:f>
        <x:v>36</x:v>
      </x:c>
      <x:c r="AB12" s="21" t="n">
        <x:f>ROUND(COUNTA(A12:K12)/11*100,0)</x:f>
        <x:v>100</x:v>
      </x:c>
      <x:c r="AC12" s="18" t="str">
        <x:v>National Company Law Tribunal</x:v>
      </x:c>
      <x:c r="AD12" s="22" t="str">
        <x:v>https://ibbi.gov.in/uploads/order/6cca8819a643f5c92158eebe97720cf0.pdf</x:v>
      </x:c>
      <x:c r="AE12" s="18" t="str">
        <x:v>2026-08-05</x:v>
      </x:c>
      <x:c r="AF12" s="18" t="n">
        <x:v>46275.114583333336</x:v>
      </x:c>
      <x:c r="AG12" s="18" t="str">
        <x:v>retained_terminal</x:v>
      </x:c>
      <x:c r="AH12" s="18" t="str">
        <x:v>READY</x:v>
      </x:c>
      <x:c r="AZ12" s="18" t="str">
        <x:v>2026-07-19</x:v>
      </x:c>
      <x:c r="BA12" s="18" t="n">
        <x:v>2</x:v>
      </x:c>
      <x:c r="BF12" s="18" t="str">
        <x:v>MAA DURGA RICE PROCESSING AND EXPORTS PRIVATE</x:v>
      </x:c>
      <x:c r="BG12" s="18" t="n">
        <x:v>1</x:v>
      </x:c>
    </x:row>
    <x:row r="13">
      <x:c r="A13" s="18" t="str">
        <x:v>NYT-47-fe1eb67eeae5f95d</x:v>
      </x:c>
      <x:c r="B13" s="18" t="str">
        <x:v>In the matter of TULSI SPICES AND FOODS PRIVATE LIMITED [CP/IB(IBC)/20/CB/2026]</x:v>
      </x:c>
      <x:c r="C13" s="18" t="str">
        <x:v>2026-08-05</x:v>
      </x:c>
      <x:c r="D13" s="18" t="n">
        <x:v>2026</x:v>
      </x:c>
      <x:c r="E13" s="18" t="str">
        <x:v>2026-08</x:v>
      </x:c>
      <x:c r="F13" s="18" t="str"/>
      <x:c r="G13" s="18" t="str"/>
      <x:c r="H13" s="18" t="str"/>
      <x:c r="I13" s="18" t="str">
        <x:v>TULSI SPICES AND FOODS PRIVATE LIMITED</x:v>
      </x:c>
      <x:c r="J13" s="20" t="str"/>
      <x:c r="K13" s="18" t="str"/>
      <x:c r="L13" s="18" t="str">
        <x:v>In the matter of TULSI SPICES AND FOODS PRIVATE LIMITED [CP/IB(IBC)/20/CB/2026]</x:v>
      </x:c>
      <x:c r="M13" s="18" t="str">
        <x:v>2026-08-05</x:v>
      </x:c>
      <x:c r="N13" s="18" t="str">
        <x:v>TULSI SPICES AND FOODS PRIVATE LIMITED</x:v>
      </x:c>
      <x:c r="O13" s="18" t="str">
        <x:v>nclt_17hywj5</x:v>
      </x:c>
      <x:c r="P13" s="18" t="str"/>
      <x:c r="Q13" s="18" t="str"/>
      <x:c r="R13" s="18" t="str"/>
      <x:c r="S13" s="18" t="str"/>
      <x:c r="T13" s="18" t="str"/>
      <x:c r="U13" s="18" t="str">
        <x:v>Admission - Final Order</x:v>
      </x:c>
      <x:c r="V13" s="18" t="str">
        <x:v>DEFINED_TERMINAL_OR_FEED_SCOPE</x:v>
      </x:c>
      <x:c r="W13" s="18" t="str">
        <x:v>judiciary_nclt_orders.json — published records loaded</x:v>
      </x:c>
      <x:c r="X13" s="18" t="str"/>
      <x:c r="Y13" s="18" t="str"/>
      <x:c r="Z13" s="20" t="n">
        <x:v>434</x:v>
      </x:c>
      <x:c r="AA13" s="19" t="n">
        <x:f>IFERROR(TODAY()-DATEVALUE(C13),"")</x:f>
        <x:v>36</x:v>
      </x:c>
      <x:c r="AB13" s="21" t="n">
        <x:f>ROUND(COUNTA(A13:K13)/11*100,0)</x:f>
        <x:v>100</x:v>
      </x:c>
      <x:c r="AC13" s="18" t="str">
        <x:v>National Company Law Tribunal</x:v>
      </x:c>
      <x:c r="AD13" s="22" t="str">
        <x:v>https://ibbi.gov.in/uploads/order/5d966f655b5f938a513625b1e52f730c.pdf</x:v>
      </x:c>
      <x:c r="AE13" s="18" t="str">
        <x:v>2026-08-05</x:v>
      </x:c>
      <x:c r="AF13" s="18" t="n">
        <x:v>46275.114583333336</x:v>
      </x:c>
      <x:c r="AG13" s="18" t="str">
        <x:v>retained_terminal</x:v>
      </x:c>
      <x:c r="AH13" s="18" t="str">
        <x:v>READY</x:v>
      </x:c>
      <x:c r="AZ13" s="18" t="str">
        <x:v>2026-07-20</x:v>
      </x:c>
      <x:c r="BA13" s="18" t="n">
        <x:v>8</x:v>
      </x:c>
      <x:c r="BF13" s="18" t="str">
        <x:v>Matoshree Infrastructure Private Limited</x:v>
      </x:c>
      <x:c r="BG13" s="18" t="n">
        <x:v>1</x:v>
      </x:c>
    </x:row>
    <x:row r="14">
      <x:c r="A14" s="18" t="str">
        <x:v>NYT-47-12b1d2a6bccad1e6</x:v>
      </x:c>
      <x:c r="B14" s="18" t="str">
        <x:v>In the matter of KVK NILACHAL POWER PRIVATE LIMITED [IA (IBC) 1146/2026 ]</x:v>
      </x:c>
      <x:c r="C14" s="18" t="str">
        <x:v>2026-08-05</x:v>
      </x:c>
      <x:c r="D14" s="18" t="n">
        <x:v>2026</x:v>
      </x:c>
      <x:c r="E14" s="18" t="str">
        <x:v>2026-08</x:v>
      </x:c>
      <x:c r="F14" s="18" t="str"/>
      <x:c r="G14" s="18" t="str"/>
      <x:c r="H14" s="18" t="str"/>
      <x:c r="I14" s="18" t="str">
        <x:v>KVK NILACHAL POWER PRIVATE LIMITED</x:v>
      </x:c>
      <x:c r="J14" s="20" t="str"/>
      <x:c r="K14" s="18" t="str"/>
      <x:c r="L14" s="18" t="str">
        <x:v>In the matter of KVK NILACHAL POWER PRIVATE LIMITED [IA (IBC) 1146/2026 ]</x:v>
      </x:c>
      <x:c r="M14" s="18" t="str">
        <x:v>2026-08-05</x:v>
      </x:c>
      <x:c r="N14" s="18" t="str">
        <x:v>KVK NILACHAL POWER PRIVATE LIMITED</x:v>
      </x:c>
      <x:c r="O14" s="18" t="str">
        <x:v>nclt_1ka0frp</x:v>
      </x:c>
      <x:c r="P14" s="18" t="str"/>
      <x:c r="Q14" s="18" t="str"/>
      <x:c r="R14" s="18" t="str"/>
      <x:c r="S14" s="18" t="str"/>
      <x:c r="T14" s="18" t="str"/>
      <x:c r="U14" s="18" t="str">
        <x:v>Admission - Final Order</x:v>
      </x:c>
      <x:c r="V14" s="18" t="str">
        <x:v>DEFINED_TERMINAL_OR_FEED_SCOPE</x:v>
      </x:c>
      <x:c r="W14" s="18" t="str">
        <x:v>judiciary_nclt_orders.json — published records loaded</x:v>
      </x:c>
      <x:c r="X14" s="18" t="str"/>
      <x:c r="Y14" s="18" t="str"/>
      <x:c r="Z14" s="20" t="n">
        <x:v>434</x:v>
      </x:c>
      <x:c r="AA14" s="19" t="n">
        <x:f>IFERROR(TODAY()-DATEVALUE(C14),"")</x:f>
        <x:v>36</x:v>
      </x:c>
      <x:c r="AB14" s="21" t="n">
        <x:f>ROUND(COUNTA(A14:K14)/11*100,0)</x:f>
        <x:v>100</x:v>
      </x:c>
      <x:c r="AC14" s="18" t="str">
        <x:v>National Company Law Tribunal</x:v>
      </x:c>
      <x:c r="AD14" s="22" t="str">
        <x:v>https://ibbi.gov.in/uploads/order/d667dfee7200b59d7439928c038e0340.pdf</x:v>
      </x:c>
      <x:c r="AE14" s="18" t="str">
        <x:v>2026-08-05</x:v>
      </x:c>
      <x:c r="AF14" s="18" t="n">
        <x:v>46275.114583333336</x:v>
      </x:c>
      <x:c r="AG14" s="18" t="str">
        <x:v>retained_terminal</x:v>
      </x:c>
      <x:c r="AH14" s="18" t="str">
        <x:v>READY</x:v>
      </x:c>
      <x:c r="AZ14" s="18" t="str">
        <x:v>2026-07-21</x:v>
      </x:c>
      <x:c r="BA14" s="18" t="n">
        <x:v>14</x:v>
      </x:c>
      <x:c r="BF14" s="18" t="str">
        <x:v>PREMIUM LAMINATORS PRIVATE LIMITED</x:v>
      </x:c>
      <x:c r="BG14" s="18" t="n">
        <x:v>1</x:v>
      </x:c>
    </x:row>
    <x:row r="15">
      <x:c r="A15" s="18" t="str">
        <x:v>NYT-47-73b128382834ccc2</x:v>
      </x:c>
      <x:c r="B15" s="18" t="str">
        <x:v>In the matter of MAA DURGA RICE PROCESSING AND EXPORTS PRIVATE LIMITED [IA(IB) No.244 / CB / 2023,IA(IB) No"42/CB/2022]</x:v>
      </x:c>
      <x:c r="C15" s="18" t="str">
        <x:v>2026-08-05</x:v>
      </x:c>
      <x:c r="D15" s="18" t="n">
        <x:v>2026</x:v>
      </x:c>
      <x:c r="E15" s="18" t="str">
        <x:v>2026-08</x:v>
      </x:c>
      <x:c r="F15" s="18" t="str"/>
      <x:c r="G15" s="18" t="str"/>
      <x:c r="H15" s="18" t="str"/>
      <x:c r="I15" s="18" t="str">
        <x:v>MAA DURGA RICE PROCESSING AND EXPORTS PRIVATE LIMITED</x:v>
      </x:c>
      <x:c r="J15" s="20" t="str"/>
      <x:c r="K15" s="18" t="str"/>
      <x:c r="L15" s="18" t="str">
        <x:v>In the matter of MAA DURGA RICE PROCESSING AND EXPORTS PRIVATE LIMITED [IA(IB) No.244 / CB / 2023,IA(IB) No"42/CB/2022]</x:v>
      </x:c>
      <x:c r="M15" s="18" t="str">
        <x:v>2026-08-05</x:v>
      </x:c>
      <x:c r="N15" s="18" t="str">
        <x:v>MAA DURGA RICE PROCESSING AND EXPORTS PRIVATE LIMITED</x:v>
      </x:c>
      <x:c r="O15" s="18" t="str">
        <x:v>nclt_1mkgx0r</x:v>
      </x:c>
      <x:c r="P15" s="18" t="str"/>
      <x:c r="Q15" s="18" t="str"/>
      <x:c r="R15" s="18" t="str"/>
      <x:c r="S15" s="18" t="str"/>
      <x:c r="T15" s="18" t="str"/>
      <x:c r="U15" s="18" t="str">
        <x:v>Admission - Final Order</x:v>
      </x:c>
      <x:c r="V15" s="18" t="str">
        <x:v>DEFINED_TERMINAL_OR_FEED_SCOPE</x:v>
      </x:c>
      <x:c r="W15" s="18" t="str">
        <x:v>judiciary_nclt_orders.json — published records loaded</x:v>
      </x:c>
      <x:c r="X15" s="18" t="str"/>
      <x:c r="Y15" s="18" t="str"/>
      <x:c r="Z15" s="20" t="n">
        <x:v>434</x:v>
      </x:c>
      <x:c r="AA15" s="19" t="n">
        <x:f>IFERROR(TODAY()-DATEVALUE(C15),"")</x:f>
        <x:v>36</x:v>
      </x:c>
      <x:c r="AB15" s="21" t="n">
        <x:f>ROUND(COUNTA(A15:K15)/11*100,0)</x:f>
        <x:v>100</x:v>
      </x:c>
      <x:c r="AC15" s="18" t="str">
        <x:v>National Company Law Tribunal</x:v>
      </x:c>
      <x:c r="AD15" s="22" t="str">
        <x:v>https://ibbi.gov.in/uploads/order/2026-08-10-163150-wdc7a-c944e8d57793af0f5c0ade1fd0189015.pdf</x:v>
      </x:c>
      <x:c r="AE15" s="18" t="str">
        <x:v>2026-08-05</x:v>
      </x:c>
      <x:c r="AF15" s="18" t="n">
        <x:v>46275.114583333336</x:v>
      </x:c>
      <x:c r="AG15" s="18" t="str">
        <x:v>retained_terminal</x:v>
      </x:c>
      <x:c r="AH15" s="18" t="str">
        <x:v>READY</x:v>
      </x:c>
      <x:c r="AZ15" s="18" t="str">
        <x:v>2026-07-22</x:v>
      </x:c>
      <x:c r="BA15" s="18" t="n">
        <x:v>9</x:v>
      </x:c>
    </x:row>
    <x:row r="16">
      <x:c r="A16" s="18" t="str">
        <x:v>NYT-47-d531d66f26affb88</x:v>
      </x:c>
      <x:c r="B16" s="18" t="str">
        <x:v>In the matter of Matoshree Infrastructure Private Limited [C.P. (IB)/824/MB/2025]</x:v>
      </x:c>
      <x:c r="C16" s="18" t="str">
        <x:v>2026-08-05</x:v>
      </x:c>
      <x:c r="D16" s="18" t="n">
        <x:v>2026</x:v>
      </x:c>
      <x:c r="E16" s="18" t="str">
        <x:v>2026-08</x:v>
      </x:c>
      <x:c r="F16" s="18" t="str"/>
      <x:c r="G16" s="18" t="str"/>
      <x:c r="H16" s="18" t="str"/>
      <x:c r="I16" s="18" t="str">
        <x:v>Matoshree Infrastructure Private Limited</x:v>
      </x:c>
      <x:c r="J16" s="20" t="str"/>
      <x:c r="K16" s="18" t="str"/>
      <x:c r="L16" s="18" t="str">
        <x:v>In the matter of Matoshree Infrastructure Private Limited [C.P. (IB)/824/MB/2025]</x:v>
      </x:c>
      <x:c r="M16" s="18" t="str">
        <x:v>2026-08-05</x:v>
      </x:c>
      <x:c r="N16" s="18" t="str">
        <x:v>Matoshree Infrastructure Private Limited</x:v>
      </x:c>
      <x:c r="O16" s="18" t="str">
        <x:v>nclt_ziqkqh</x:v>
      </x:c>
      <x:c r="P16" s="18" t="str"/>
      <x:c r="Q16" s="18" t="str"/>
      <x:c r="R16" s="18" t="str"/>
      <x:c r="S16" s="18" t="str"/>
      <x:c r="T16" s="18" t="str"/>
      <x:c r="U16" s="18" t="str">
        <x:v>Admission - Final Order</x:v>
      </x:c>
      <x:c r="V16" s="18" t="str">
        <x:v>DEFINED_TERMINAL_OR_FEED_SCOPE</x:v>
      </x:c>
      <x:c r="W16" s="18" t="str">
        <x:v>judiciary_nclt_orders.json — published records loaded</x:v>
      </x:c>
      <x:c r="X16" s="18" t="str"/>
      <x:c r="Y16" s="18" t="str"/>
      <x:c r="Z16" s="20" t="n">
        <x:v>434</x:v>
      </x:c>
      <x:c r="AA16" s="19" t="n">
        <x:f>IFERROR(TODAY()-DATEVALUE(C16),"")</x:f>
        <x:v>36</x:v>
      </x:c>
      <x:c r="AB16" s="21" t="n">
        <x:f>ROUND(COUNTA(A16:K16)/11*100,0)</x:f>
        <x:v>100</x:v>
      </x:c>
      <x:c r="AC16" s="18" t="str">
        <x:v>National Company Law Tribunal</x:v>
      </x:c>
      <x:c r="AD16" s="22" t="str">
        <x:v>https://ibbi.gov.in/uploads/order/821ef54d0266f01319ce6c4a7e183dad.pdf</x:v>
      </x:c>
      <x:c r="AE16" s="18" t="str">
        <x:v>2026-08-05</x:v>
      </x:c>
      <x:c r="AF16" s="18" t="n">
        <x:v>46275.114583333336</x:v>
      </x:c>
      <x:c r="AG16" s="18" t="str">
        <x:v>retained_terminal</x:v>
      </x:c>
      <x:c r="AH16" s="18" t="str">
        <x:v>READY</x:v>
      </x:c>
      <x:c r="AZ16" s="18" t="str">
        <x:v>2026-07-23</x:v>
      </x:c>
      <x:c r="BA16" s="18" t="n">
        <x:v>10</x:v>
      </x:c>
    </x:row>
    <x:row r="17">
      <x:c r="A17" s="18" t="str">
        <x:v>NYT-47-527dd42cfe515e71</x:v>
      </x:c>
      <x:c r="B17" s="18" t="str">
        <x:v>In the matter of PREMIUM LAMINATORS PRIVATE LIMITED [C.P. (IB)/176/ND/2026]</x:v>
      </x:c>
      <x:c r="C17" s="18" t="str">
        <x:v>2026-08-05</x:v>
      </x:c>
      <x:c r="D17" s="18" t="n">
        <x:v>2026</x:v>
      </x:c>
      <x:c r="E17" s="18" t="str">
        <x:v>2026-08</x:v>
      </x:c>
      <x:c r="F17" s="18" t="str"/>
      <x:c r="G17" s="18" t="str"/>
      <x:c r="H17" s="18" t="str"/>
      <x:c r="I17" s="18" t="str">
        <x:v>PREMIUM LAMINATORS PRIVATE LIMITED</x:v>
      </x:c>
      <x:c r="J17" s="20" t="str"/>
      <x:c r="K17" s="18" t="str"/>
      <x:c r="L17" s="18" t="str">
        <x:v>In the matter of PREMIUM LAMINATORS PRIVATE LIMITED [C.P. (IB)/176/ND/2026]</x:v>
      </x:c>
      <x:c r="M17" s="18" t="str">
        <x:v>2026-08-05</x:v>
      </x:c>
      <x:c r="N17" s="18" t="str">
        <x:v>PREMIUM LAMINATORS PRIVATE LIMITED</x:v>
      </x:c>
      <x:c r="O17" s="18" t="str">
        <x:v>nclt_1fshnhy</x:v>
      </x:c>
      <x:c r="P17" s="18" t="str"/>
      <x:c r="Q17" s="18" t="str"/>
      <x:c r="R17" s="18" t="str"/>
      <x:c r="S17" s="18" t="str"/>
      <x:c r="T17" s="18" t="str"/>
      <x:c r="U17" s="18" t="str">
        <x:v>Admission - Final Order</x:v>
      </x:c>
      <x:c r="V17" s="18" t="str">
        <x:v>DEFINED_TERMINAL_OR_FEED_SCOPE</x:v>
      </x:c>
      <x:c r="W17" s="18" t="str">
        <x:v>judiciary_nclt_orders.json — published records loaded</x:v>
      </x:c>
      <x:c r="X17" s="18" t="str"/>
      <x:c r="Y17" s="18" t="str"/>
      <x:c r="Z17" s="20" t="n">
        <x:v>434</x:v>
      </x:c>
      <x:c r="AA17" s="19" t="n">
        <x:f>IFERROR(TODAY()-DATEVALUE(C17),"")</x:f>
        <x:v>36</x:v>
      </x:c>
      <x:c r="AB17" s="21" t="n">
        <x:f>ROUND(COUNTA(A17:K17)/11*100,0)</x:f>
        <x:v>100</x:v>
      </x:c>
      <x:c r="AC17" s="18" t="str">
        <x:v>National Company Law Tribunal</x:v>
      </x:c>
      <x:c r="AD17" s="22" t="str">
        <x:v>https://ibbi.gov.in/uploads/order/b8325e09e45e87892c77f4c9e97075a9.pdf</x:v>
      </x:c>
      <x:c r="AE17" s="18" t="str">
        <x:v>2026-08-05</x:v>
      </x:c>
      <x:c r="AF17" s="18" t="n">
        <x:v>46275.114583333336</x:v>
      </x:c>
      <x:c r="AG17" s="18" t="str">
        <x:v>retained_terminal</x:v>
      </x:c>
      <x:c r="AH17" s="18" t="str">
        <x:v>READY</x:v>
      </x:c>
      <x:c r="AZ17" s="18" t="str">
        <x:v>2026-07-24</x:v>
      </x:c>
      <x:c r="BA17" s="18" t="n">
        <x:v>8</x:v>
      </x:c>
    </x:row>
    <x:row r="18">
      <x:c r="A18" s="18" t="str">
        <x:v>NYT-47-a0731e6840a78489</x:v>
      </x:c>
      <x:c r="B18" s="18" t="str">
        <x:v>In the matter of KRRIYAN KONTAINERS PRIVATE LIMITED [CP (IB) No.61/BB/2026]</x:v>
      </x:c>
      <x:c r="C18" s="18" t="str">
        <x:v>2026-08-04</x:v>
      </x:c>
      <x:c r="D18" s="18" t="n">
        <x:v>2026</x:v>
      </x:c>
      <x:c r="E18" s="18" t="str">
        <x:v>2026-08</x:v>
      </x:c>
      <x:c r="F18" s="18" t="str"/>
      <x:c r="G18" s="18" t="str"/>
      <x:c r="H18" s="18" t="str"/>
      <x:c r="I18" s="18" t="str">
        <x:v>KRRIYAN KONTAINERS PRIVATE LIMITED</x:v>
      </x:c>
      <x:c r="J18" s="20" t="str"/>
      <x:c r="K18" s="18" t="str"/>
      <x:c r="L18" s="18" t="str">
        <x:v>In the matter of KRRIYAN KONTAINERS PRIVATE LIMITED [CP (IB) No.61/BB/2026]</x:v>
      </x:c>
      <x:c r="M18" s="18" t="str">
        <x:v>2026-08-04</x:v>
      </x:c>
      <x:c r="N18" s="18" t="str">
        <x:v>KRRIYAN KONTAINERS PRIVATE LIMITED</x:v>
      </x:c>
      <x:c r="O18" s="18" t="str">
        <x:v>nclt_1k87bkb</x:v>
      </x:c>
      <x:c r="P18" s="18" t="str"/>
      <x:c r="Q18" s="18" t="str"/>
      <x:c r="R18" s="18" t="str"/>
      <x:c r="S18" s="18" t="str"/>
      <x:c r="T18" s="18" t="str"/>
      <x:c r="U18" s="18" t="str">
        <x:v>Admission - Final Order</x:v>
      </x:c>
      <x:c r="V18" s="18" t="str">
        <x:v>DEFINED_TERMINAL_OR_FEED_SCOPE</x:v>
      </x:c>
      <x:c r="W18" s="18" t="str">
        <x:v>judiciary_nclt_orders.json — published records loaded</x:v>
      </x:c>
      <x:c r="X18" s="18" t="str"/>
      <x:c r="Y18" s="18" t="str"/>
      <x:c r="Z18" s="20" t="n">
        <x:v>434</x:v>
      </x:c>
      <x:c r="AA18" s="19" t="n">
        <x:f>IFERROR(TODAY()-DATEVALUE(C18),"")</x:f>
        <x:v>37</x:v>
      </x:c>
      <x:c r="AB18" s="21" t="n">
        <x:f>ROUND(COUNTA(A18:K18)/11*100,0)</x:f>
        <x:v>100</x:v>
      </x:c>
      <x:c r="AC18" s="18" t="str">
        <x:v>National Company Law Tribunal</x:v>
      </x:c>
      <x:c r="AD18" s="22" t="str">
        <x:v>https://ibbi.gov.in/uploads/order/3550e81e27d4629867df4d37e85e20b0.pdf</x:v>
      </x:c>
      <x:c r="AE18" s="18" t="str">
        <x:v>2026-08-04</x:v>
      </x:c>
      <x:c r="AF18" s="18" t="n">
        <x:v>46275.114583333336</x:v>
      </x:c>
      <x:c r="AG18" s="18" t="str">
        <x:v>retained_terminal</x:v>
      </x:c>
      <x:c r="AH18" s="18" t="str">
        <x:v>READY</x:v>
      </x:c>
      <x:c r="AZ18" s="18" t="str">
        <x:v>2026-07-25</x:v>
      </x:c>
      <x:c r="BA18" s="18" t="n">
        <x:v>5</x:v>
      </x:c>
    </x:row>
    <x:row r="19">
      <x:c r="A19" s="18" t="str">
        <x:v>NYT-47-bcbbb27425e51032</x:v>
      </x:c>
      <x:c r="B19" s="18" t="str">
        <x:v>In the matter of G &amp; L PROFILE AND EQUIPMENTS PRIVATE LIMITED [C.P. (IB)/22/AHM/2026]</x:v>
      </x:c>
      <x:c r="C19" s="18" t="str">
        <x:v>2026-08-04</x:v>
      </x:c>
      <x:c r="D19" s="18" t="n">
        <x:v>2026</x:v>
      </x:c>
      <x:c r="E19" s="18" t="str">
        <x:v>2026-08</x:v>
      </x:c>
      <x:c r="F19" s="18" t="str"/>
      <x:c r="G19" s="18" t="str"/>
      <x:c r="H19" s="18" t="str"/>
      <x:c r="I19" s="18" t="str">
        <x:v>G &amp; L PROFILE AND EQUIPMENTS PRIVATE LIMITED</x:v>
      </x:c>
      <x:c r="J19" s="20" t="str"/>
      <x:c r="K19" s="18" t="str"/>
      <x:c r="L19" s="18" t="str">
        <x:v>In the matter of G &amp; L PROFILE AND EQUIPMENTS PRIVATE LIMITED [C.P. (IB)/22/AHM/2026]</x:v>
      </x:c>
      <x:c r="M19" s="18" t="str">
        <x:v>2026-08-04</x:v>
      </x:c>
      <x:c r="N19" s="18" t="str">
        <x:v>G &amp; L PROFILE AND EQUIPMENTS PRIVATE LIMITED</x:v>
      </x:c>
      <x:c r="O19" s="18" t="str">
        <x:v>nclt_2uuv9p</x:v>
      </x:c>
      <x:c r="P19" s="18" t="str"/>
      <x:c r="Q19" s="18" t="str"/>
      <x:c r="R19" s="18" t="str"/>
      <x:c r="S19" s="18" t="str"/>
      <x:c r="T19" s="18" t="str"/>
      <x:c r="U19" s="18" t="str">
        <x:v>Admission - Final Order</x:v>
      </x:c>
      <x:c r="V19" s="18" t="str">
        <x:v>DEFINED_TERMINAL_OR_FEED_SCOPE</x:v>
      </x:c>
      <x:c r="W19" s="18" t="str">
        <x:v>judiciary_nclt_orders.json — published records loaded</x:v>
      </x:c>
      <x:c r="X19" s="18" t="str"/>
      <x:c r="Y19" s="18" t="str"/>
      <x:c r="Z19" s="20" t="n">
        <x:v>434</x:v>
      </x:c>
      <x:c r="AA19" s="19" t="n">
        <x:f>IFERROR(TODAY()-DATEVALUE(C19),"")</x:f>
        <x:v>37</x:v>
      </x:c>
      <x:c r="AB19" s="21" t="n">
        <x:f>ROUND(COUNTA(A19:K19)/11*100,0)</x:f>
        <x:v>100</x:v>
      </x:c>
      <x:c r="AC19" s="18" t="str">
        <x:v>National Company Law Tribunal</x:v>
      </x:c>
      <x:c r="AD19" s="22" t="str">
        <x:v>https://ibbi.gov.in/uploads/order/2026-08-06-170825-m05a6-d1e58e9f794ee0728fab250d53c5de99.pdf</x:v>
      </x:c>
      <x:c r="AE19" s="18" t="str">
        <x:v>2026-08-04</x:v>
      </x:c>
      <x:c r="AF19" s="18" t="n">
        <x:v>46275.114583333336</x:v>
      </x:c>
      <x:c r="AG19" s="18" t="str">
        <x:v>retained_terminal</x:v>
      </x:c>
      <x:c r="AH19" s="18" t="str">
        <x:v>READY</x:v>
      </x:c>
      <x:c r="AZ19" s="18" t="str">
        <x:v>2026-07-26</x:v>
      </x:c>
      <x:c r="BA19" s="18" t="n">
        <x:v>1</x:v>
      </x:c>
    </x:row>
    <x:row r="20">
      <x:c r="A20" s="18" t="str">
        <x:v>NYT-47-d24773a10bcc5d49</x:v>
      </x:c>
      <x:c r="B20" s="18" t="str">
        <x:v>In the matter of SOCRUS PHARMACEUTICALS LIMITED [CP(IB)/47(MP)2026]</x:v>
      </x:c>
      <x:c r="C20" s="18" t="str">
        <x:v>2026-08-04</x:v>
      </x:c>
      <x:c r="D20" s="18" t="n">
        <x:v>2026</x:v>
      </x:c>
      <x:c r="E20" s="18" t="str">
        <x:v>2026-08</x:v>
      </x:c>
      <x:c r="F20" s="18" t="str"/>
      <x:c r="G20" s="18" t="str"/>
      <x:c r="H20" s="18" t="str"/>
      <x:c r="I20" s="18" t="str">
        <x:v>SOCRUS PHARMACEUTICALS LIMITED</x:v>
      </x:c>
      <x:c r="J20" s="20" t="str"/>
      <x:c r="K20" s="18" t="str"/>
      <x:c r="L20" s="18" t="str">
        <x:v>In the matter of SOCRUS PHARMACEUTICALS LIMITED [CP(IB)/47(MP)2026]</x:v>
      </x:c>
      <x:c r="M20" s="18" t="str">
        <x:v>2026-08-04</x:v>
      </x:c>
      <x:c r="N20" s="18" t="str">
        <x:v>SOCRUS PHARMACEUTICALS LIMITED</x:v>
      </x:c>
      <x:c r="O20" s="18" t="str">
        <x:v>nclt_t9a00</x:v>
      </x:c>
      <x:c r="P20" s="18" t="str"/>
      <x:c r="Q20" s="18" t="str"/>
      <x:c r="R20" s="18" t="str"/>
      <x:c r="S20" s="18" t="str"/>
      <x:c r="T20" s="18" t="str"/>
      <x:c r="U20" s="18" t="str">
        <x:v>Admission - Final Order</x:v>
      </x:c>
      <x:c r="V20" s="18" t="str">
        <x:v>DEFINED_TERMINAL_OR_FEED_SCOPE</x:v>
      </x:c>
      <x:c r="W20" s="18" t="str">
        <x:v>judiciary_nclt_orders.json — published records loaded</x:v>
      </x:c>
      <x:c r="X20" s="18" t="str"/>
      <x:c r="Y20" s="18" t="str"/>
      <x:c r="Z20" s="20" t="n">
        <x:v>434</x:v>
      </x:c>
      <x:c r="AA20" s="19" t="n">
        <x:f>IFERROR(TODAY()-DATEVALUE(C20),"")</x:f>
        <x:v>37</x:v>
      </x:c>
      <x:c r="AB20" s="21" t="n">
        <x:f>ROUND(COUNTA(A20:K20)/11*100,0)</x:f>
        <x:v>100</x:v>
      </x:c>
      <x:c r="AC20" s="18" t="str">
        <x:v>National Company Law Tribunal</x:v>
      </x:c>
      <x:c r="AD20" s="22" t="str">
        <x:v>https://ibbi.gov.in/uploads/order/f59c503cb3187e8a5defde3b4ce7cb40.pdf</x:v>
      </x:c>
      <x:c r="AE20" s="18" t="str">
        <x:v>2026-08-04</x:v>
      </x:c>
      <x:c r="AF20" s="18" t="n">
        <x:v>46275.114583333336</x:v>
      </x:c>
      <x:c r="AG20" s="18" t="str">
        <x:v>retained_terminal</x:v>
      </x:c>
      <x:c r="AH20" s="18" t="str">
        <x:v>READY</x:v>
      </x:c>
      <x:c r="AZ20" s="18" t="str">
        <x:v>2026-07-27</x:v>
      </x:c>
      <x:c r="BA20" s="18" t="n">
        <x:v>4</x:v>
      </x:c>
    </x:row>
    <x:row r="21">
      <x:c r="A21" s="18" t="str">
        <x:v>NYT-47-586b0de348577baf</x:v>
      </x:c>
      <x:c r="B21" s="18" t="str">
        <x:v>In the matter of ARTHUR TURNKEY PROJECTS LIMITED [CP IB (IBC) 123/KB/2026]</x:v>
      </x:c>
      <x:c r="C21" s="18" t="str">
        <x:v>2026-08-04</x:v>
      </x:c>
      <x:c r="D21" s="18" t="n">
        <x:v>2026</x:v>
      </x:c>
      <x:c r="E21" s="18" t="str">
        <x:v>2026-08</x:v>
      </x:c>
      <x:c r="F21" s="18" t="str"/>
      <x:c r="G21" s="18" t="str"/>
      <x:c r="H21" s="18" t="str"/>
      <x:c r="I21" s="18" t="str">
        <x:v>ARTHUR TURNKEY PROJECTS LIMITED</x:v>
      </x:c>
      <x:c r="J21" s="20" t="str"/>
      <x:c r="K21" s="18" t="str"/>
      <x:c r="L21" s="18" t="str">
        <x:v>In the matter of ARTHUR TURNKEY PROJECTS LIMITED [CP IB (IBC) 123/KB/2026]</x:v>
      </x:c>
      <x:c r="M21" s="18" t="str">
        <x:v>2026-08-04</x:v>
      </x:c>
      <x:c r="N21" s="18" t="str">
        <x:v>ARTHUR TURNKEY PROJECTS LIMITED</x:v>
      </x:c>
      <x:c r="O21" s="18" t="str">
        <x:v>nclt_2n1r6q</x:v>
      </x:c>
      <x:c r="P21" s="18" t="str"/>
      <x:c r="Q21" s="18" t="str"/>
      <x:c r="R21" s="18" t="str"/>
      <x:c r="S21" s="18" t="str"/>
      <x:c r="T21" s="18" t="str"/>
      <x:c r="U21" s="18" t="str">
        <x:v>Admission - Final Order</x:v>
      </x:c>
      <x:c r="V21" s="18" t="str">
        <x:v>DEFINED_TERMINAL_OR_FEED_SCOPE</x:v>
      </x:c>
      <x:c r="W21" s="18" t="str">
        <x:v>judiciary_nclt_orders.json — published records loaded</x:v>
      </x:c>
      <x:c r="X21" s="18" t="str"/>
      <x:c r="Y21" s="18" t="str"/>
      <x:c r="Z21" s="20" t="n">
        <x:v>434</x:v>
      </x:c>
      <x:c r="AA21" s="19" t="n">
        <x:f>IFERROR(TODAY()-DATEVALUE(C21),"")</x:f>
        <x:v>37</x:v>
      </x:c>
      <x:c r="AB21" s="21" t="n">
        <x:f>ROUND(COUNTA(A21:K21)/11*100,0)</x:f>
        <x:v>100</x:v>
      </x:c>
      <x:c r="AC21" s="18" t="str">
        <x:v>National Company Law Tribunal</x:v>
      </x:c>
      <x:c r="AD21" s="22" t="str">
        <x:v>https://ibbi.gov.in/uploads/order/2026-08-08-124109-k1dmr-70a17ffa722a3985b86d30b034ad06d7.pdf</x:v>
      </x:c>
      <x:c r="AE21" s="18" t="str">
        <x:v>2026-08-04</x:v>
      </x:c>
      <x:c r="AF21" s="18" t="n">
        <x:v>46275.114583333336</x:v>
      </x:c>
      <x:c r="AG21" s="18" t="str">
        <x:v>retained_terminal</x:v>
      </x:c>
      <x:c r="AH21" s="18" t="str">
        <x:v>READY</x:v>
      </x:c>
      <x:c r="AZ21" s="18" t="str">
        <x:v>2026-07-28</x:v>
      </x:c>
      <x:c r="BA21" s="18" t="n">
        <x:v>8</x:v>
      </x:c>
    </x:row>
    <x:row r="22">
      <x:c r="A22" s="18" t="str">
        <x:v>NYT-47-44a1826a9bd2f4c8</x:v>
      </x:c>
      <x:c r="B22" s="18" t="str">
        <x:v>In the matter of ORGANIC WORLD PRIVATE LIMITED [C.P. (IB)/60/MP/2024]</x:v>
      </x:c>
      <x:c r="C22" s="18" t="str">
        <x:v>2026-08-03</x:v>
      </x:c>
      <x:c r="D22" s="18" t="n">
        <x:v>2026</x:v>
      </x:c>
      <x:c r="E22" s="18" t="str">
        <x:v>2026-08</x:v>
      </x:c>
      <x:c r="F22" s="18" t="str"/>
      <x:c r="G22" s="18" t="str"/>
      <x:c r="H22" s="18" t="str"/>
      <x:c r="I22" s="18" t="str">
        <x:v>ORGANIC WORLD PRIVATE LIMITED</x:v>
      </x:c>
      <x:c r="J22" s="20" t="str"/>
      <x:c r="K22" s="18" t="str"/>
      <x:c r="L22" s="18" t="str">
        <x:v>In the matter of ORGANIC WORLD PRIVATE LIMITED [C.P. (IB)/60/MP/2024]</x:v>
      </x:c>
      <x:c r="M22" s="18" t="str">
        <x:v>2026-08-03</x:v>
      </x:c>
      <x:c r="N22" s="18" t="str">
        <x:v>ORGANIC WORLD PRIVATE LIMITED</x:v>
      </x:c>
      <x:c r="O22" s="18" t="str">
        <x:v>nclt_1vw0djo</x:v>
      </x:c>
      <x:c r="P22" s="18" t="str"/>
      <x:c r="Q22" s="18" t="str"/>
      <x:c r="R22" s="18" t="str"/>
      <x:c r="S22" s="18" t="str"/>
      <x:c r="T22" s="18" t="str"/>
      <x:c r="U22" s="18" t="str">
        <x:v>Admission - Final Order</x:v>
      </x:c>
      <x:c r="V22" s="18" t="str">
        <x:v>DEFINED_TERMINAL_OR_FEED_SCOPE</x:v>
      </x:c>
      <x:c r="W22" s="18" t="str">
        <x:v>judiciary_nclt_orders.json — published records loaded</x:v>
      </x:c>
      <x:c r="X22" s="18" t="str"/>
      <x:c r="Y22" s="18" t="str"/>
      <x:c r="Z22" s="20" t="n">
        <x:v>434</x:v>
      </x:c>
      <x:c r="AA22" s="19" t="n">
        <x:f>IFERROR(TODAY()-DATEVALUE(C22),"")</x:f>
        <x:v>38</x:v>
      </x:c>
      <x:c r="AB22" s="21" t="n">
        <x:f>ROUND(COUNTA(A22:K22)/11*100,0)</x:f>
        <x:v>100</x:v>
      </x:c>
      <x:c r="AC22" s="18" t="str">
        <x:v>National Company Law Tribunal</x:v>
      </x:c>
      <x:c r="AD22" s="22" t="str">
        <x:v>https://ibbi.gov.in/uploads/order/0e3b071dec06f768fd3f2e9ccab2b7da.pdf</x:v>
      </x:c>
      <x:c r="AE22" s="18" t="str">
        <x:v>2026-08-03</x:v>
      </x:c>
      <x:c r="AF22" s="18" t="n">
        <x:v>46275.114583333336</x:v>
      </x:c>
      <x:c r="AG22" s="18" t="str">
        <x:v>retained_terminal</x:v>
      </x:c>
      <x:c r="AH22" s="18" t="str">
        <x:v>READY</x:v>
      </x:c>
      <x:c r="AZ22" s="18" t="str">
        <x:v>2026-07-29</x:v>
      </x:c>
      <x:c r="BA22" s="18" t="n">
        <x:v>8</x:v>
      </x:c>
    </x:row>
    <x:row r="23">
      <x:c r="A23" s="18" t="str">
        <x:v>NYT-47-d7864e2faf5da601</x:v>
      </x:c>
      <x:c r="B23" s="18" t="str">
        <x:v>In the matter of VIRGO REALTORS PRIVATE LIMITED [CP(IB)/71(CHE)2022]</x:v>
      </x:c>
      <x:c r="C23" s="18" t="str">
        <x:v>2026-07-31</x:v>
      </x:c>
      <x:c r="D23" s="18" t="n">
        <x:v>2026</x:v>
      </x:c>
      <x:c r="E23" s="18" t="str">
        <x:v>2026-07</x:v>
      </x:c>
      <x:c r="F23" s="18" t="str"/>
      <x:c r="G23" s="18" t="str"/>
      <x:c r="H23" s="18" t="str"/>
      <x:c r="I23" s="18" t="str">
        <x:v>VIRGO REALTORS PRIVATE LIMITED</x:v>
      </x:c>
      <x:c r="J23" s="20" t="str"/>
      <x:c r="K23" s="18" t="str"/>
      <x:c r="L23" s="18" t="str">
        <x:v>In the matter of VIRGO REALTORS PRIVATE LIMITED [CP(IB)/71(CHE)2022]</x:v>
      </x:c>
      <x:c r="M23" s="18" t="str">
        <x:v>2026-07-31</x:v>
      </x:c>
      <x:c r="N23" s="18" t="str">
        <x:v>VIRGO REALTORS PRIVATE LIMITED</x:v>
      </x:c>
      <x:c r="O23" s="18" t="str">
        <x:v>nclt_1lof6gy</x:v>
      </x:c>
      <x:c r="P23" s="18" t="str"/>
      <x:c r="Q23" s="18" t="str"/>
      <x:c r="R23" s="18" t="str"/>
      <x:c r="S23" s="18" t="str"/>
      <x:c r="T23" s="18" t="str"/>
      <x:c r="U23" s="18" t="str">
        <x:v>Admission - Final Order</x:v>
      </x:c>
      <x:c r="V23" s="18" t="str">
        <x:v>DEFINED_TERMINAL_OR_FEED_SCOPE</x:v>
      </x:c>
      <x:c r="W23" s="18" t="str">
        <x:v>judiciary_nclt_orders.json — published records loaded</x:v>
      </x:c>
      <x:c r="X23" s="18" t="str"/>
      <x:c r="Y23" s="18" t="str"/>
      <x:c r="Z23" s="20" t="n">
        <x:v>434</x:v>
      </x:c>
      <x:c r="AA23" s="19" t="n">
        <x:f>IFERROR(TODAY()-DATEVALUE(C23),"")</x:f>
        <x:v>41</x:v>
      </x:c>
      <x:c r="AB23" s="21" t="n">
        <x:f>ROUND(COUNTA(A23:K23)/11*100,0)</x:f>
        <x:v>100</x:v>
      </x:c>
      <x:c r="AC23" s="18" t="str">
        <x:v>National Company Law Tribunal</x:v>
      </x:c>
      <x:c r="AD23" s="22" t="str">
        <x:v>https://ibbi.gov.in/uploads/order/2026-08-05-110538-hkj14-8a7e78bf13bbaec672ce19ef19b3f281.pdf</x:v>
      </x:c>
      <x:c r="AE23" s="18" t="str">
        <x:v>2026-07-31</x:v>
      </x:c>
      <x:c r="AF23" s="18" t="n">
        <x:v>46275.114583333336</x:v>
      </x:c>
      <x:c r="AG23" s="18" t="str">
        <x:v>retained_terminal</x:v>
      </x:c>
      <x:c r="AH23" s="18" t="str">
        <x:v>READY</x:v>
      </x:c>
      <x:c r="AZ23" s="18" t="str">
        <x:v>2026-07-30</x:v>
      </x:c>
      <x:c r="BA23" s="18" t="n">
        <x:v>11</x:v>
      </x:c>
    </x:row>
    <x:row r="24">
      <x:c r="A24" s="18" t="str">
        <x:v>NYT-47-d5ba05a05b9289cf</x:v>
      </x:c>
      <x:c r="B24" s="18" t="str">
        <x:v>In the matter of SAPPHIRE LAND DEVELOPMENT PRIVATE LIMITED [IA(IBC)(Liq)/87/MB/2024]</x:v>
      </x:c>
      <x:c r="C24" s="18" t="str">
        <x:v>2026-07-31</x:v>
      </x:c>
      <x:c r="D24" s="18" t="n">
        <x:v>2026</x:v>
      </x:c>
      <x:c r="E24" s="18" t="str">
        <x:v>2026-07</x:v>
      </x:c>
      <x:c r="F24" s="18" t="str"/>
      <x:c r="G24" s="18" t="str"/>
      <x:c r="H24" s="18" t="str"/>
      <x:c r="I24" s="18" t="str">
        <x:v>SAPPHIRE LAND DEVELOPMENT PRIVATE LIMITED</x:v>
      </x:c>
      <x:c r="J24" s="20" t="str"/>
      <x:c r="K24" s="18" t="str"/>
      <x:c r="L24" s="18" t="str">
        <x:v>In the matter of SAPPHIRE LAND DEVELOPMENT PRIVATE LIMITED [IA(IBC)(Liq)/87/MB/2024]</x:v>
      </x:c>
      <x:c r="M24" s="18" t="str">
        <x:v>2026-07-31</x:v>
      </x:c>
      <x:c r="N24" s="18" t="str">
        <x:v>SAPPHIRE LAND DEVELOPMENT PRIVATE LIMITED</x:v>
      </x:c>
      <x:c r="O24" s="18" t="str">
        <x:v>nclt_1k40atn</x:v>
      </x:c>
      <x:c r="P24" s="18" t="str"/>
      <x:c r="Q24" s="18" t="str"/>
      <x:c r="R24" s="18" t="str"/>
      <x:c r="S24" s="18" t="str"/>
      <x:c r="T24" s="18" t="str"/>
      <x:c r="U24" s="18" t="str">
        <x:v>Appointment - Appointment of Liquidator</x:v>
      </x:c>
      <x:c r="V24" s="18" t="str">
        <x:v>DEFINED_TERMINAL_OR_FEED_SCOPE</x:v>
      </x:c>
      <x:c r="W24" s="18" t="str">
        <x:v>judiciary_nclt_orders.json — published records loaded</x:v>
      </x:c>
      <x:c r="X24" s="18" t="str"/>
      <x:c r="Y24" s="18" t="str"/>
      <x:c r="Z24" s="20" t="n">
        <x:v>434</x:v>
      </x:c>
      <x:c r="AA24" s="19" t="n">
        <x:f>IFERROR(TODAY()-DATEVALUE(C24),"")</x:f>
        <x:v>41</x:v>
      </x:c>
      <x:c r="AB24" s="21" t="n">
        <x:f>ROUND(COUNTA(A24:K24)/11*100,0)</x:f>
        <x:v>100</x:v>
      </x:c>
      <x:c r="AC24" s="18" t="str">
        <x:v>National Company Law Tribunal</x:v>
      </x:c>
      <x:c r="AD24" s="22" t="str">
        <x:v>https://ibbi.gov.in/uploads/order/2e69b6533490d6899c04e6d135595181.pdf</x:v>
      </x:c>
      <x:c r="AE24" s="18" t="str">
        <x:v>2026-07-31</x:v>
      </x:c>
      <x:c r="AF24" s="18" t="n">
        <x:v>46275.114583333336</x:v>
      </x:c>
      <x:c r="AG24" s="18" t="str">
        <x:v>retained_terminal</x:v>
      </x:c>
      <x:c r="AH24" s="18" t="str">
        <x:v>READY</x:v>
      </x:c>
      <x:c r="AZ24" s="18" t="str">
        <x:v>2026-07-31</x:v>
      </x:c>
      <x:c r="BA24" s="18" t="n">
        <x:v>8</x:v>
      </x:c>
    </x:row>
    <x:row r="25">
      <x:c r="A25" s="18" t="str">
        <x:v>NYT-47-db8fafadc8c3e31b</x:v>
      </x:c>
      <x:c r="B25" s="18" t="str">
        <x:v>In the matter of KALLAM BROTHERS COTTONS PRIVATE LIMITED [C.P.(IB)/2/AM/2025]</x:v>
      </x:c>
      <x:c r="C25" s="18" t="str">
        <x:v>2026-07-31</x:v>
      </x:c>
      <x:c r="D25" s="18" t="n">
        <x:v>2026</x:v>
      </x:c>
      <x:c r="E25" s="18" t="str">
        <x:v>2026-07</x:v>
      </x:c>
      <x:c r="F25" s="18" t="str"/>
      <x:c r="G25" s="18" t="str"/>
      <x:c r="H25" s="18" t="str"/>
      <x:c r="I25" s="18" t="str">
        <x:v>KALLAM BROTHERS COTTONS PRIVATE LIMITED</x:v>
      </x:c>
      <x:c r="J25" s="20" t="str"/>
      <x:c r="K25" s="18" t="str"/>
      <x:c r="L25" s="18" t="str">
        <x:v>In the matter of KALLAM BROTHERS COTTONS PRIVATE LIMITED [C.P.(IB)/2/AM/2025]</x:v>
      </x:c>
      <x:c r="M25" s="18" t="str">
        <x:v>2026-07-31</x:v>
      </x:c>
      <x:c r="N25" s="18" t="str">
        <x:v>KALLAM BROTHERS COTTONS PRIVATE LIMITED</x:v>
      </x:c>
      <x:c r="O25" s="18" t="str">
        <x:v>nclt_f8kcc6</x:v>
      </x:c>
      <x:c r="P25" s="18" t="str"/>
      <x:c r="Q25" s="18" t="str"/>
      <x:c r="R25" s="18" t="str"/>
      <x:c r="S25" s="18" t="str"/>
      <x:c r="T25" s="18" t="str"/>
      <x:c r="U25" s="18" t="str">
        <x:v>Appointment - Appointment of Liquidator</x:v>
      </x:c>
      <x:c r="V25" s="18" t="str">
        <x:v>DEFINED_TERMINAL_OR_FEED_SCOPE</x:v>
      </x:c>
      <x:c r="W25" s="18" t="str">
        <x:v>judiciary_nclt_orders.json — published records loaded</x:v>
      </x:c>
      <x:c r="X25" s="18" t="str"/>
      <x:c r="Y25" s="18" t="str"/>
      <x:c r="Z25" s="20" t="n">
        <x:v>434</x:v>
      </x:c>
      <x:c r="AA25" s="19" t="n">
        <x:f>IFERROR(TODAY()-DATEVALUE(C25),"")</x:f>
        <x:v>41</x:v>
      </x:c>
      <x:c r="AB25" s="21" t="n">
        <x:f>ROUND(COUNTA(A25:K25)/11*100,0)</x:f>
        <x:v>100</x:v>
      </x:c>
      <x:c r="AC25" s="18" t="str">
        <x:v>National Company Law Tribunal</x:v>
      </x:c>
      <x:c r="AD25" s="22" t="str">
        <x:v>https://ibbi.gov.in/uploads/order/5239df8df3f01c129d624dd6ee8a591e.pdf</x:v>
      </x:c>
      <x:c r="AE25" s="18" t="str">
        <x:v>2026-07-31</x:v>
      </x:c>
      <x:c r="AF25" s="18" t="n">
        <x:v>46275.114583333336</x:v>
      </x:c>
      <x:c r="AG25" s="18" t="str">
        <x:v>retained_terminal</x:v>
      </x:c>
      <x:c r="AH25" s="18" t="str">
        <x:v>READY</x:v>
      </x:c>
      <x:c r="AZ25" s="18" t="str">
        <x:v>2026-08-01</x:v>
      </x:c>
      <x:c r="BA25" s="18" t="n">
        <x:v>12</x:v>
      </x:c>
    </x:row>
    <x:row r="26">
      <x:c r="A26" s="18" t="str">
        <x:v>NYT-47-81a2f1684d79652a</x:v>
      </x:c>
      <x:c r="B26" s="18" t="str">
        <x:v>In the matter of MAHAKALI FOODS PRIVATE LIMITED [CP(IB)/72(MP)2024]</x:v>
      </x:c>
      <x:c r="C26" s="18" t="str">
        <x:v>2026-07-31</x:v>
      </x:c>
      <x:c r="D26" s="18" t="n">
        <x:v>2026</x:v>
      </x:c>
      <x:c r="E26" s="18" t="str">
        <x:v>2026-07</x:v>
      </x:c>
      <x:c r="F26" s="18" t="str"/>
      <x:c r="G26" s="18" t="str"/>
      <x:c r="H26" s="18" t="str"/>
      <x:c r="I26" s="18" t="str">
        <x:v>MAHAKALI FOODS PRIVATE LIMITED</x:v>
      </x:c>
      <x:c r="J26" s="20" t="str"/>
      <x:c r="K26" s="18" t="str"/>
      <x:c r="L26" s="18" t="str">
        <x:v>In the matter of MAHAKALI FOODS PRIVATE LIMITED [CP(IB)/72(MP)2024]</x:v>
      </x:c>
      <x:c r="M26" s="18" t="str">
        <x:v>2026-07-31</x:v>
      </x:c>
      <x:c r="N26" s="18" t="str">
        <x:v>MAHAKALI FOODS PRIVATE LIMITED</x:v>
      </x:c>
      <x:c r="O26" s="18" t="str">
        <x:v>nclt_12deis9</x:v>
      </x:c>
      <x:c r="P26" s="18" t="str"/>
      <x:c r="Q26" s="18" t="str"/>
      <x:c r="R26" s="18" t="str"/>
      <x:c r="S26" s="18" t="str"/>
      <x:c r="T26" s="18" t="str"/>
      <x:c r="U26" s="18" t="str">
        <x:v>Admission - Final Order</x:v>
      </x:c>
      <x:c r="V26" s="18" t="str">
        <x:v>DEFINED_TERMINAL_OR_FEED_SCOPE</x:v>
      </x:c>
      <x:c r="W26" s="18" t="str">
        <x:v>judiciary_nclt_orders.json — published records loaded</x:v>
      </x:c>
      <x:c r="X26" s="18" t="str"/>
      <x:c r="Y26" s="18" t="str"/>
      <x:c r="Z26" s="20" t="n">
        <x:v>434</x:v>
      </x:c>
      <x:c r="AA26" s="19" t="n">
        <x:f>IFERROR(TODAY()-DATEVALUE(C26),"")</x:f>
        <x:v>41</x:v>
      </x:c>
      <x:c r="AB26" s="21" t="n">
        <x:f>ROUND(COUNTA(A26:K26)/11*100,0)</x:f>
        <x:v>100</x:v>
      </x:c>
      <x:c r="AC26" s="18" t="str">
        <x:v>National Company Law Tribunal</x:v>
      </x:c>
      <x:c r="AD26" s="22" t="str">
        <x:v>https://ibbi.gov.in/uploads/order/2026-08-04-185907-07rgu-f53dd26908f18a8a6620903037615c0c.pdf</x:v>
      </x:c>
      <x:c r="AE26" s="18" t="str">
        <x:v>2026-07-31</x:v>
      </x:c>
      <x:c r="AF26" s="18" t="n">
        <x:v>46275.114583333336</x:v>
      </x:c>
      <x:c r="AG26" s="18" t="str">
        <x:v>retained_terminal</x:v>
      </x:c>
      <x:c r="AH26" s="18" t="str">
        <x:v>READY</x:v>
      </x:c>
      <x:c r="AZ26" s="18" t="str">
        <x:v>2026-08-02</x:v>
      </x:c>
      <x:c r="BA26" s="18" t="n">
        <x:v>1</x:v>
      </x:c>
    </x:row>
    <x:row r="27">
      <x:c r="A27" s="18" t="str">
        <x:v>NYT-47-232c1ad67e15cfd7</x:v>
      </x:c>
      <x:c r="B27" s="18" t="str">
        <x:v>In the matter of SHRI GAJANAN MAHARAJ SUGAR LIMITED [C.P. (IB)/22(MB)2026 ]</x:v>
      </x:c>
      <x:c r="C27" s="18" t="str">
        <x:v>2026-07-31</x:v>
      </x:c>
      <x:c r="D27" s="18" t="n">
        <x:v>2026</x:v>
      </x:c>
      <x:c r="E27" s="18" t="str">
        <x:v>2026-07</x:v>
      </x:c>
      <x:c r="F27" s="18" t="str"/>
      <x:c r="G27" s="18" t="str"/>
      <x:c r="H27" s="18" t="str"/>
      <x:c r="I27" s="18" t="str">
        <x:v>SHRI GAJANAN MAHARAJ SUGAR LIMITED</x:v>
      </x:c>
      <x:c r="J27" s="20" t="str"/>
      <x:c r="K27" s="18" t="str"/>
      <x:c r="L27" s="18" t="str">
        <x:v>In the matter of SHRI GAJANAN MAHARAJ SUGAR LIMITED [C.P. (IB)/22(MB)2026 ]</x:v>
      </x:c>
      <x:c r="M27" s="18" t="str">
        <x:v>2026-07-31</x:v>
      </x:c>
      <x:c r="N27" s="18" t="str">
        <x:v>SHRI GAJANAN MAHARAJ SUGAR LIMITED</x:v>
      </x:c>
      <x:c r="O27" s="18" t="str">
        <x:v>nclt_qg9o17</x:v>
      </x:c>
      <x:c r="P27" s="18" t="str"/>
      <x:c r="Q27" s="18" t="str"/>
      <x:c r="R27" s="18" t="str"/>
      <x:c r="S27" s="18" t="str"/>
      <x:c r="T27" s="18" t="str"/>
      <x:c r="U27" s="18" t="str">
        <x:v>Admission - Final Order</x:v>
      </x:c>
      <x:c r="V27" s="18" t="str">
        <x:v>DEFINED_TERMINAL_OR_FEED_SCOPE</x:v>
      </x:c>
      <x:c r="W27" s="18" t="str">
        <x:v>judiciary_nclt_orders.json — published records loaded</x:v>
      </x:c>
      <x:c r="X27" s="18" t="str"/>
      <x:c r="Y27" s="18" t="str"/>
      <x:c r="Z27" s="20" t="n">
        <x:v>434</x:v>
      </x:c>
      <x:c r="AA27" s="19" t="n">
        <x:f>IFERROR(TODAY()-DATEVALUE(C27),"")</x:f>
        <x:v>41</x:v>
      </x:c>
      <x:c r="AB27" s="21" t="n">
        <x:f>ROUND(COUNTA(A27:K27)/11*100,0)</x:f>
        <x:v>100</x:v>
      </x:c>
      <x:c r="AC27" s="18" t="str">
        <x:v>National Company Law Tribunal</x:v>
      </x:c>
      <x:c r="AD27" s="22" t="str">
        <x:v>https://ibbi.gov.in/uploads/order/8bd96603c47b514b11288f071b58f93c.pdf</x:v>
      </x:c>
      <x:c r="AE27" s="18" t="str">
        <x:v>2026-07-31</x:v>
      </x:c>
      <x:c r="AF27" s="18" t="n">
        <x:v>46275.114583333336</x:v>
      </x:c>
      <x:c r="AG27" s="18" t="str">
        <x:v>retained_terminal</x:v>
      </x:c>
      <x:c r="AH27" s="18" t="str">
        <x:v>READY</x:v>
      </x:c>
      <x:c r="AZ27" s="18" t="str">
        <x:v>2026-08-03</x:v>
      </x:c>
      <x:c r="BA27" s="18" t="n">
        <x:v>2</x:v>
      </x:c>
    </x:row>
    <x:row r="28">
      <x:c r="A28" s="18" t="str">
        <x:v>NYT-47-c83bba9e39d31a08</x:v>
      </x:c>
      <x:c r="B28" s="18" t="str">
        <x:v>In the matter of Sapphire Land Development Private Limited [I.A(Liq.)/87/2024 in C.P. (IB)/987/MB/2020]</x:v>
      </x:c>
      <x:c r="C28" s="18" t="str">
        <x:v>2026-07-31</x:v>
      </x:c>
      <x:c r="D28" s="18" t="n">
        <x:v>2026</x:v>
      </x:c>
      <x:c r="E28" s="18" t="str">
        <x:v>2026-07</x:v>
      </x:c>
      <x:c r="F28" s="18" t="str"/>
      <x:c r="G28" s="18" t="str"/>
      <x:c r="H28" s="18" t="str"/>
      <x:c r="I28" s="18" t="str">
        <x:v>Sapphire Land Development Private Limited</x:v>
      </x:c>
      <x:c r="J28" s="20" t="str"/>
      <x:c r="K28" s="18" t="str"/>
      <x:c r="L28" s="18" t="str">
        <x:v>In the matter of Sapphire Land Development Private Limited [I.A(Liq.)/87/2024 in C.P. (IB)/987/MB/2020]</x:v>
      </x:c>
      <x:c r="M28" s="18" t="str">
        <x:v>2026-07-31</x:v>
      </x:c>
      <x:c r="N28" s="18" t="str">
        <x:v>Sapphire Land Development Private Limited</x:v>
      </x:c>
      <x:c r="O28" s="18" t="str">
        <x:v>nclt_hl3tzf</x:v>
      </x:c>
      <x:c r="P28" s="18" t="str"/>
      <x:c r="Q28" s="18" t="str"/>
      <x:c r="R28" s="18" t="str"/>
      <x:c r="S28" s="18" t="str"/>
      <x:c r="T28" s="18" t="str"/>
      <x:c r="U28" s="18" t="str">
        <x:v>Liquidation</x:v>
      </x:c>
      <x:c r="V28" s="18" t="str">
        <x:v>DEFINED_TERMINAL_OR_FEED_SCOPE</x:v>
      </x:c>
      <x:c r="W28" s="18" t="str">
        <x:v>judiciary_nclt_orders.json — published records loaded</x:v>
      </x:c>
      <x:c r="X28" s="18" t="str"/>
      <x:c r="Y28" s="18" t="str"/>
      <x:c r="Z28" s="20" t="n">
        <x:v>434</x:v>
      </x:c>
      <x:c r="AA28" s="19" t="n">
        <x:f>IFERROR(TODAY()-DATEVALUE(C28),"")</x:f>
        <x:v>41</x:v>
      </x:c>
      <x:c r="AB28" s="21" t="n">
        <x:f>ROUND(COUNTA(A28:K28)/11*100,0)</x:f>
        <x:v>100</x:v>
      </x:c>
      <x:c r="AC28" s="18" t="str">
        <x:v>National Company Law Tribunal</x:v>
      </x:c>
      <x:c r="AD28" s="22" t="str">
        <x:v>https://ibbi.gov.in/uploads/order/fcf469cdcb330d5388167d3330376a95.pdf</x:v>
      </x:c>
      <x:c r="AE28" s="18" t="str">
        <x:v>2026-07-31</x:v>
      </x:c>
      <x:c r="AF28" s="18" t="n">
        <x:v>46275.114583333336</x:v>
      </x:c>
      <x:c r="AG28" s="18" t="str">
        <x:v>retained_terminal</x:v>
      </x:c>
      <x:c r="AH28" s="18" t="str">
        <x:v>READY</x:v>
      </x:c>
      <x:c r="AZ28" s="18" t="str">
        <x:v>2026-08-04</x:v>
      </x:c>
      <x:c r="BA28" s="18" t="n">
        <x:v>6</x:v>
      </x:c>
    </x:row>
    <x:row r="29">
      <x:c r="A29" s="18" t="str">
        <x:v>NYT-47-17220b79e5a45341</x:v>
      </x:c>
      <x:c r="B29" s="18" t="str">
        <x:v>In the matter of BHARAT CAPITAL AND HOLDINGS LIMITED [CP (IB) NO. 747/MB/2023 ]</x:v>
      </x:c>
      <x:c r="C29" s="18" t="str">
        <x:v>2026-07-31</x:v>
      </x:c>
      <x:c r="D29" s="18" t="n">
        <x:v>2026</x:v>
      </x:c>
      <x:c r="E29" s="18" t="str">
        <x:v>2026-07</x:v>
      </x:c>
      <x:c r="F29" s="18" t="str"/>
      <x:c r="G29" s="18" t="str"/>
      <x:c r="H29" s="18" t="str"/>
      <x:c r="I29" s="18" t="str">
        <x:v>BHARAT CAPITAL AND HOLDINGS LIMITED</x:v>
      </x:c>
      <x:c r="J29" s="20" t="str"/>
      <x:c r="K29" s="18" t="str"/>
      <x:c r="L29" s="18" t="str">
        <x:v>In the matter of BHARAT CAPITAL AND HOLDINGS LIMITED [CP (IB) NO. 747/MB/2023 ]</x:v>
      </x:c>
      <x:c r="M29" s="18" t="str">
        <x:v>2026-07-31</x:v>
      </x:c>
      <x:c r="N29" s="18" t="str">
        <x:v>BHARAT CAPITAL AND HOLDINGS LIMITED</x:v>
      </x:c>
      <x:c r="O29" s="18" t="str">
        <x:v>nclt_17zl1qm</x:v>
      </x:c>
      <x:c r="P29" s="18" t="str"/>
      <x:c r="Q29" s="18" t="str"/>
      <x:c r="R29" s="18" t="str"/>
      <x:c r="S29" s="18" t="str"/>
      <x:c r="T29" s="18" t="str"/>
      <x:c r="U29" s="18" t="str">
        <x:v>Admission - Final Order</x:v>
      </x:c>
      <x:c r="V29" s="18" t="str">
        <x:v>DEFINED_TERMINAL_OR_FEED_SCOPE</x:v>
      </x:c>
      <x:c r="W29" s="18" t="str">
        <x:v>judiciary_nclt_orders.json — published records loaded</x:v>
      </x:c>
      <x:c r="X29" s="18" t="str"/>
      <x:c r="Y29" s="18" t="str"/>
      <x:c r="Z29" s="20" t="n">
        <x:v>434</x:v>
      </x:c>
      <x:c r="AA29" s="19" t="n">
        <x:f>IFERROR(TODAY()-DATEVALUE(C29),"")</x:f>
        <x:v>41</x:v>
      </x:c>
      <x:c r="AB29" s="21" t="n">
        <x:f>ROUND(COUNTA(A29:K29)/11*100,0)</x:f>
        <x:v>100</x:v>
      </x:c>
      <x:c r="AC29" s="18" t="str">
        <x:v>National Company Law Tribunal</x:v>
      </x:c>
      <x:c r="AD29" s="22" t="str">
        <x:v>https://ibbi.gov.in/uploads/order/2026-08-03-151359-yns5h-a240fa27925a635b08dc28c9e4f9216d.pdf</x:v>
      </x:c>
      <x:c r="AE29" s="18" t="str">
        <x:v>2026-07-31</x:v>
      </x:c>
      <x:c r="AF29" s="18" t="n">
        <x:v>46275.114583333336</x:v>
      </x:c>
      <x:c r="AG29" s="18" t="str">
        <x:v>retained_terminal</x:v>
      </x:c>
      <x:c r="AH29" s="18" t="str">
        <x:v>READY</x:v>
      </x:c>
      <x:c r="AZ29" s="18" t="str">
        <x:v>2026-08-05</x:v>
      </x:c>
      <x:c r="BA29" s="18" t="n">
        <x:v>9</x:v>
      </x:c>
    </x:row>
    <x:row r="30">
      <x:c r="A30" s="18" t="str">
        <x:v>NYT-47-329c78266e81e5a3</x:v>
      </x:c>
      <x:c r="B30" s="18" t="str">
        <x:v>In the matter of VIRGO PROPERTIES PRIVATE LIMITED [CP(IB)/28(CHE)2022]</x:v>
      </x:c>
      <x:c r="C30" s="18" t="str">
        <x:v>2026-07-31</x:v>
      </x:c>
      <x:c r="D30" s="18" t="n">
        <x:v>2026</x:v>
      </x:c>
      <x:c r="E30" s="18" t="str">
        <x:v>2026-07</x:v>
      </x:c>
      <x:c r="F30" s="18" t="str"/>
      <x:c r="G30" s="18" t="str"/>
      <x:c r="H30" s="18" t="str"/>
      <x:c r="I30" s="18" t="str">
        <x:v>VIRGO PROPERTIES PRIVATE LIMITED</x:v>
      </x:c>
      <x:c r="J30" s="20" t="str"/>
      <x:c r="K30" s="18" t="str"/>
      <x:c r="L30" s="18" t="str">
        <x:v>In the matter of VIRGO PROPERTIES PRIVATE LIMITED [CP(IB)/28(CHE)2022]</x:v>
      </x:c>
      <x:c r="M30" s="18" t="str">
        <x:v>2026-07-31</x:v>
      </x:c>
      <x:c r="N30" s="18" t="str">
        <x:v>VIRGO PROPERTIES PRIVATE LIMITED</x:v>
      </x:c>
      <x:c r="O30" s="18" t="str">
        <x:v>nclt_1ve7voe</x:v>
      </x:c>
      <x:c r="P30" s="18" t="str"/>
      <x:c r="Q30" s="18" t="str"/>
      <x:c r="R30" s="18" t="str"/>
      <x:c r="S30" s="18" t="str"/>
      <x:c r="T30" s="18" t="str"/>
      <x:c r="U30" s="18" t="str">
        <x:v>Admission - Final Order</x:v>
      </x:c>
      <x:c r="V30" s="18" t="str">
        <x:v>DEFINED_TERMINAL_OR_FEED_SCOPE</x:v>
      </x:c>
      <x:c r="W30" s="18" t="str">
        <x:v>judiciary_nclt_orders.json — published records loaded</x:v>
      </x:c>
      <x:c r="X30" s="18" t="str"/>
      <x:c r="Y30" s="18" t="str"/>
      <x:c r="Z30" s="20" t="n">
        <x:v>434</x:v>
      </x:c>
      <x:c r="AA30" s="19" t="n">
        <x:f>IFERROR(TODAY()-DATEVALUE(C30),"")</x:f>
        <x:v>41</x:v>
      </x:c>
      <x:c r="AB30" s="21" t="n">
        <x:f>ROUND(COUNTA(A30:K30)/11*100,0)</x:f>
        <x:v>100</x:v>
      </x:c>
      <x:c r="AC30" s="18" t="str">
        <x:v>National Company Law Tribunal</x:v>
      </x:c>
      <x:c r="AD30" s="22" t="str">
        <x:v>https://ibbi.gov.in/uploads/order/2026-08-05-110351-cr60b-8a7e78bf13bbaec672ce19ef19b3f281.pdf</x:v>
      </x:c>
      <x:c r="AE30" s="18" t="str">
        <x:v>2026-07-31</x:v>
      </x:c>
      <x:c r="AF30" s="18" t="n">
        <x:v>46275.114583333336</x:v>
      </x:c>
      <x:c r="AG30" s="18" t="str">
        <x:v>retained_terminal</x:v>
      </x:c>
      <x:c r="AH30" s="18" t="str">
        <x:v>READY</x:v>
      </x:c>
      <x:c r="AZ30" s="18" t="str">
        <x:v>2026-08-06</x:v>
      </x:c>
      <x:c r="BA30" s="18" t="n">
        <x:v>6</x:v>
      </x:c>
    </x:row>
    <x:row r="31">
      <x:c r="A31" s="18" t="str">
        <x:v>NYT-47-fca1be084ece853e</x:v>
      </x:c>
      <x:c r="B31" s="18" t="str">
        <x:v>In the matter of SHRENIK LIMITED [CP(IB)200/AHM/2023]</x:v>
      </x:c>
      <x:c r="C31" s="18" t="str">
        <x:v>2026-07-30</x:v>
      </x:c>
      <x:c r="D31" s="18" t="n">
        <x:v>2026</x:v>
      </x:c>
      <x:c r="E31" s="18" t="str">
        <x:v>2026-07</x:v>
      </x:c>
      <x:c r="F31" s="18" t="str"/>
      <x:c r="G31" s="18" t="str"/>
      <x:c r="H31" s="18" t="str"/>
      <x:c r="I31" s="18" t="str">
        <x:v>SHRENIK LIMITED</x:v>
      </x:c>
      <x:c r="J31" s="20" t="str"/>
      <x:c r="K31" s="18" t="str"/>
      <x:c r="L31" s="18" t="str">
        <x:v>In the matter of SHRENIK LIMITED [CP(IB)200/AHM/2023]</x:v>
      </x:c>
      <x:c r="M31" s="18" t="str">
        <x:v>2026-07-30</x:v>
      </x:c>
      <x:c r="N31" s="18" t="str">
        <x:v>SHRENIK LIMITED</x:v>
      </x:c>
      <x:c r="O31" s="18" t="str">
        <x:v>nclt_in6zuc</x:v>
      </x:c>
      <x:c r="P31" s="18" t="str"/>
      <x:c r="Q31" s="18" t="str"/>
      <x:c r="R31" s="18" t="str"/>
      <x:c r="S31" s="18" t="str"/>
      <x:c r="T31" s="18" t="str"/>
      <x:c r="U31" s="18" t="str">
        <x:v>Admission - Final Order</x:v>
      </x:c>
      <x:c r="V31" s="18" t="str">
        <x:v>DEFINED_TERMINAL_OR_FEED_SCOPE</x:v>
      </x:c>
      <x:c r="W31" s="18" t="str">
        <x:v>judiciary_nclt_orders.json — published records loaded</x:v>
      </x:c>
      <x:c r="X31" s="18" t="str"/>
      <x:c r="Y31" s="18" t="str"/>
      <x:c r="Z31" s="20" t="n">
        <x:v>434</x:v>
      </x:c>
      <x:c r="AA31" s="19" t="n">
        <x:f>IFERROR(TODAY()-DATEVALUE(C31),"")</x:f>
        <x:v>42</x:v>
      </x:c>
      <x:c r="AB31" s="21" t="n">
        <x:f>ROUND(COUNTA(A31:K31)/11*100,0)</x:f>
        <x:v>100</x:v>
      </x:c>
      <x:c r="AC31" s="18" t="str">
        <x:v>National Company Law Tribunal</x:v>
      </x:c>
      <x:c r="AD31" s="22" t="str">
        <x:v>https://ibbi.gov.in/uploads/order/484d12f24cc8835c47460528c0db70ab.pdf</x:v>
      </x:c>
      <x:c r="AE31" s="18" t="str">
        <x:v>2026-07-30</x:v>
      </x:c>
      <x:c r="AF31" s="18" t="n">
        <x:v>46275.114583333336</x:v>
      </x:c>
      <x:c r="AG31" s="18" t="str">
        <x:v>retained_terminal</x:v>
      </x:c>
      <x:c r="AH31" s="18" t="str">
        <x:v>READY</x:v>
      </x:c>
      <x:c r="AZ31" s="18" t="str">
        <x:v>2026-08-07</x:v>
      </x:c>
      <x:c r="BA31" s="18" t="n">
        <x:v>6</x:v>
      </x:c>
    </x:row>
    <x:row r="32">
      <x:c r="A32" s="18" t="str">
        <x:v>NYT-47-f231290539f86107</x:v>
      </x:c>
      <x:c r="B32" s="18" t="str">
        <x:v>In the matter of CAPBRIDGE VENTURE LLP [CP (IB)/225/AHM/2026]</x:v>
      </x:c>
      <x:c r="C32" s="18" t="str">
        <x:v>2026-07-30</x:v>
      </x:c>
      <x:c r="D32" s="18" t="n">
        <x:v>2026</x:v>
      </x:c>
      <x:c r="E32" s="18" t="str">
        <x:v>2026-07</x:v>
      </x:c>
      <x:c r="F32" s="18" t="str"/>
      <x:c r="G32" s="18" t="str"/>
      <x:c r="H32" s="18" t="str"/>
      <x:c r="I32" s="18" t="str">
        <x:v>CAPBRIDGE VENTURE LLP</x:v>
      </x:c>
      <x:c r="J32" s="20" t="str"/>
      <x:c r="K32" s="18" t="str"/>
      <x:c r="L32" s="18" t="str">
        <x:v>In the matter of CAPBRIDGE VENTURE LLP [CP (IB)/225/AHM/2026]</x:v>
      </x:c>
      <x:c r="M32" s="18" t="str">
        <x:v>2026-07-30</x:v>
      </x:c>
      <x:c r="N32" s="18" t="str">
        <x:v>CAPBRIDGE VENTURE LLP</x:v>
      </x:c>
      <x:c r="O32" s="18" t="str">
        <x:v>nclt_qa543n</x:v>
      </x:c>
      <x:c r="P32" s="18" t="str"/>
      <x:c r="Q32" s="18" t="str"/>
      <x:c r="R32" s="18" t="str"/>
      <x:c r="S32" s="18" t="str"/>
      <x:c r="T32" s="18" t="str"/>
      <x:c r="U32" s="18" t="str">
        <x:v>Admission - Final Order</x:v>
      </x:c>
      <x:c r="V32" s="18" t="str">
        <x:v>DEFINED_TERMINAL_OR_FEED_SCOPE</x:v>
      </x:c>
      <x:c r="W32" s="18" t="str">
        <x:v>judiciary_nclt_orders.json — published records loaded</x:v>
      </x:c>
      <x:c r="X32" s="18" t="str"/>
      <x:c r="Y32" s="18" t="str"/>
      <x:c r="Z32" s="20" t="n">
        <x:v>434</x:v>
      </x:c>
      <x:c r="AA32" s="19" t="n">
        <x:f>IFERROR(TODAY()-DATEVALUE(C32),"")</x:f>
        <x:v>42</x:v>
      </x:c>
      <x:c r="AB32" s="21" t="n">
        <x:f>ROUND(COUNTA(A32:K32)/11*100,0)</x:f>
        <x:v>100</x:v>
      </x:c>
      <x:c r="AC32" s="18" t="str">
        <x:v>National Company Law Tribunal</x:v>
      </x:c>
      <x:c r="AD32" s="22" t="str">
        <x:v>https://ibbi.gov.in/uploads/order/6e735138e78b3c7f558b4188a68e2b0b.pdf</x:v>
      </x:c>
      <x:c r="AE32" s="18" t="str">
        <x:v>2026-07-30</x:v>
      </x:c>
      <x:c r="AF32" s="18" t="n">
        <x:v>46275.114583333336</x:v>
      </x:c>
      <x:c r="AG32" s="18" t="str">
        <x:v>retained_terminal</x:v>
      </x:c>
      <x:c r="AH32" s="18" t="str">
        <x:v>READY</x:v>
      </x:c>
      <x:c r="AZ32" s="18" t="str">
        <x:v>2026-08-08</x:v>
      </x:c>
      <x:c r="BA32" s="18" t="n">
        <x:v>4</x:v>
      </x:c>
    </x:row>
    <x:row r="33">
      <x:c r="A33" s="18" t="str">
        <x:v>NYT-47-2b444e676bd7f9f5</x:v>
      </x:c>
      <x:c r="B33" s="18" t="str">
        <x:v>In the matter of SOURA NATURAL ENERGY SOLUTIONS INDIA PRIVATE LIMITED [CP(IBC)17/KOB/2026]</x:v>
      </x:c>
      <x:c r="C33" s="18" t="str">
        <x:v>2026-07-30</x:v>
      </x:c>
      <x:c r="D33" s="18" t="n">
        <x:v>2026</x:v>
      </x:c>
      <x:c r="E33" s="18" t="str">
        <x:v>2026-07</x:v>
      </x:c>
      <x:c r="F33" s="18" t="str"/>
      <x:c r="G33" s="18" t="str"/>
      <x:c r="H33" s="18" t="str"/>
      <x:c r="I33" s="18" t="str">
        <x:v>SOURA NATURAL ENERGY SOLUTIONS INDIA PRIVATE LIMITED</x:v>
      </x:c>
      <x:c r="J33" s="20" t="str"/>
      <x:c r="K33" s="18" t="str"/>
      <x:c r="L33" s="18" t="str">
        <x:v>In the matter of SOURA NATURAL ENERGY SOLUTIONS INDIA PRIVATE LIMITED [CP(IBC)17/KOB/2026]</x:v>
      </x:c>
      <x:c r="M33" s="18" t="str">
        <x:v>2026-07-30</x:v>
      </x:c>
      <x:c r="N33" s="18" t="str">
        <x:v>SOURA NATURAL ENERGY SOLUTIONS INDIA PRIVATE LIMITED</x:v>
      </x:c>
      <x:c r="O33" s="18" t="str">
        <x:v>nclt_1c58ep4</x:v>
      </x:c>
      <x:c r="P33" s="18" t="str"/>
      <x:c r="Q33" s="18" t="str"/>
      <x:c r="R33" s="18" t="str"/>
      <x:c r="S33" s="18" t="str"/>
      <x:c r="T33" s="18" t="str"/>
      <x:c r="U33" s="18" t="str">
        <x:v>Admission - Final Order</x:v>
      </x:c>
      <x:c r="V33" s="18" t="str">
        <x:v>DEFINED_TERMINAL_OR_FEED_SCOPE</x:v>
      </x:c>
      <x:c r="W33" s="18" t="str">
        <x:v>judiciary_nclt_orders.json — published records loaded</x:v>
      </x:c>
      <x:c r="X33" s="18" t="str"/>
      <x:c r="Y33" s="18" t="str"/>
      <x:c r="Z33" s="20" t="n">
        <x:v>434</x:v>
      </x:c>
      <x:c r="AA33" s="19" t="n">
        <x:f>IFERROR(TODAY()-DATEVALUE(C33),"")</x:f>
        <x:v>42</x:v>
      </x:c>
      <x:c r="AB33" s="21" t="n">
        <x:f>ROUND(COUNTA(A33:K33)/11*100,0)</x:f>
        <x:v>100</x:v>
      </x:c>
      <x:c r="AC33" s="18" t="str">
        <x:v>National Company Law Tribunal</x:v>
      </x:c>
      <x:c r="AD33" s="22" t="str">
        <x:v>https://ibbi.gov.in/uploads/order/2026-08-03-193412-061bu-eabe113eb7af708c5844ca161daa669f.pdf</x:v>
      </x:c>
      <x:c r="AE33" s="18" t="str">
        <x:v>2026-07-30</x:v>
      </x:c>
      <x:c r="AF33" s="18" t="n">
        <x:v>46275.114583333336</x:v>
      </x:c>
      <x:c r="AG33" s="18" t="str">
        <x:v>retained_terminal</x:v>
      </x:c>
      <x:c r="AH33" s="18" t="str">
        <x:v>READY</x:v>
      </x:c>
    </x:row>
    <x:row r="34">
      <x:c r="A34" s="18" t="str">
        <x:v>NYT-47-9777dd8444375a24</x:v>
      </x:c>
      <x:c r="B34" s="18" t="str">
        <x:v>In the matter of ANMOL NIRYAT PVT.LTD. [61/KB/2026]</x:v>
      </x:c>
      <x:c r="C34" s="18" t="str">
        <x:v>2026-07-30</x:v>
      </x:c>
      <x:c r="D34" s="18" t="n">
        <x:v>2026</x:v>
      </x:c>
      <x:c r="E34" s="18" t="str">
        <x:v>2026-07</x:v>
      </x:c>
      <x:c r="F34" s="18" t="str"/>
      <x:c r="G34" s="18" t="str"/>
      <x:c r="H34" s="18" t="str"/>
      <x:c r="I34" s="18" t="str">
        <x:v>ANMOL NIRYAT PVT.LTD.</x:v>
      </x:c>
      <x:c r="J34" s="20" t="str"/>
      <x:c r="K34" s="18" t="str"/>
      <x:c r="L34" s="18" t="str">
        <x:v>In the matter of ANMOL NIRYAT PVT.LTD. [61/KB/2026]</x:v>
      </x:c>
      <x:c r="M34" s="18" t="str">
        <x:v>2026-07-30</x:v>
      </x:c>
      <x:c r="N34" s="18" t="str">
        <x:v>ANMOL NIRYAT PVT.LTD.</x:v>
      </x:c>
      <x:c r="O34" s="18" t="str">
        <x:v>nclt_1vu1hdq</x:v>
      </x:c>
      <x:c r="P34" s="18" t="str"/>
      <x:c r="Q34" s="18" t="str"/>
      <x:c r="R34" s="18" t="str"/>
      <x:c r="S34" s="18" t="str"/>
      <x:c r="T34" s="18" t="str"/>
      <x:c r="U34" s="18" t="str">
        <x:v>Admission - Final Order</x:v>
      </x:c>
      <x:c r="V34" s="18" t="str">
        <x:v>DEFINED_TERMINAL_OR_FEED_SCOPE</x:v>
      </x:c>
      <x:c r="W34" s="18" t="str">
        <x:v>judiciary_nclt_orders.json — published records loaded</x:v>
      </x:c>
      <x:c r="X34" s="18" t="str"/>
      <x:c r="Y34" s="18" t="str"/>
      <x:c r="Z34" s="20" t="n">
        <x:v>434</x:v>
      </x:c>
      <x:c r="AA34" s="19" t="n">
        <x:f>IFERROR(TODAY()-DATEVALUE(C34),"")</x:f>
        <x:v>42</x:v>
      </x:c>
      <x:c r="AB34" s="21" t="n">
        <x:f>ROUND(COUNTA(A34:K34)/11*100,0)</x:f>
        <x:v>100</x:v>
      </x:c>
      <x:c r="AC34" s="18" t="str">
        <x:v>National Company Law Tribunal</x:v>
      </x:c>
      <x:c r="AD34" s="22" t="str">
        <x:v>https://ibbi.gov.in/uploads/order/2026-08-04-170227-k48gq-f53dd26908f18a8a6620903037615c0c.pdf</x:v>
      </x:c>
      <x:c r="AE34" s="18" t="str">
        <x:v>2026-07-30</x:v>
      </x:c>
      <x:c r="AF34" s="18" t="n">
        <x:v>46275.114583333336</x:v>
      </x:c>
      <x:c r="AG34" s="18" t="str">
        <x:v>retained_terminal</x:v>
      </x:c>
      <x:c r="AH34" s="18" t="str">
        <x:v>READY</x:v>
      </x:c>
    </x:row>
    <x:row r="35">
      <x:c r="A35" s="18" t="str">
        <x:v>NYT-47-3dc6a0796747af1b</x:v>
      </x:c>
      <x:c r="B35" s="18" t="str">
        <x:v>In the matter of INDO PACIFIC PROJECTS LIMITED [C.P. (IB)150/(MB)2026]</x:v>
      </x:c>
      <x:c r="C35" s="18" t="str">
        <x:v>2026-07-30</x:v>
      </x:c>
      <x:c r="D35" s="18" t="n">
        <x:v>2026</x:v>
      </x:c>
      <x:c r="E35" s="18" t="str">
        <x:v>2026-07</x:v>
      </x:c>
      <x:c r="F35" s="18" t="str"/>
      <x:c r="G35" s="18" t="str"/>
      <x:c r="H35" s="18" t="str"/>
      <x:c r="I35" s="18" t="str">
        <x:v>INDO PACIFIC PROJECTS LIMITED</x:v>
      </x:c>
      <x:c r="J35" s="20" t="str"/>
      <x:c r="K35" s="18" t="str"/>
      <x:c r="L35" s="18" t="str">
        <x:v>In the matter of INDO PACIFIC PROJECTS LIMITED [C.P. (IB)150/(MB)2026]</x:v>
      </x:c>
      <x:c r="M35" s="18" t="str">
        <x:v>2026-07-30</x:v>
      </x:c>
      <x:c r="N35" s="18" t="str">
        <x:v>INDO PACIFIC PROJECTS LIMITED</x:v>
      </x:c>
      <x:c r="O35" s="18" t="str">
        <x:v>nclt_1ipowty</x:v>
      </x:c>
      <x:c r="P35" s="18" t="str"/>
      <x:c r="Q35" s="18" t="str"/>
      <x:c r="R35" s="18" t="str"/>
      <x:c r="S35" s="18" t="str"/>
      <x:c r="T35" s="18" t="str"/>
      <x:c r="U35" s="18" t="str">
        <x:v>Admission - Final Order</x:v>
      </x:c>
      <x:c r="V35" s="18" t="str">
        <x:v>DEFINED_TERMINAL_OR_FEED_SCOPE</x:v>
      </x:c>
      <x:c r="W35" s="18" t="str">
        <x:v>judiciary_nclt_orders.json — published records loaded</x:v>
      </x:c>
      <x:c r="X35" s="18" t="str"/>
      <x:c r="Y35" s="18" t="str"/>
      <x:c r="Z35" s="20" t="n">
        <x:v>434</x:v>
      </x:c>
      <x:c r="AA35" s="19" t="n">
        <x:f>IFERROR(TODAY()-DATEVALUE(C35),"")</x:f>
        <x:v>42</x:v>
      </x:c>
      <x:c r="AB35" s="21" t="n">
        <x:f>ROUND(COUNTA(A35:K35)/11*100,0)</x:f>
        <x:v>100</x:v>
      </x:c>
      <x:c r="AC35" s="18" t="str">
        <x:v>National Company Law Tribunal</x:v>
      </x:c>
      <x:c r="AD35" s="22" t="str">
        <x:v>https://ibbi.gov.in/uploads/order/918b8c4ef6d8c8ef8bcdc660fea5b98c.pdf</x:v>
      </x:c>
      <x:c r="AE35" s="18" t="str">
        <x:v>2026-07-30</x:v>
      </x:c>
      <x:c r="AF35" s="18" t="n">
        <x:v>46275.114583333336</x:v>
      </x:c>
      <x:c r="AG35" s="18" t="str">
        <x:v>retained_terminal</x:v>
      </x:c>
      <x:c r="AH35" s="18" t="str">
        <x:v>READY</x:v>
      </x:c>
    </x:row>
    <x:row r="36">
      <x:c r="A36" s="18" t="str">
        <x:v>NYT-47-bf42ade4727398df</x:v>
      </x:c>
      <x:c r="B36" s="18" t="str">
        <x:v>In the matter of TV VISION LIMITED [C.P.(IB)/143/MB/2026]</x:v>
      </x:c>
      <x:c r="C36" s="18" t="str">
        <x:v>2026-07-30</x:v>
      </x:c>
      <x:c r="D36" s="18" t="n">
        <x:v>2026</x:v>
      </x:c>
      <x:c r="E36" s="18" t="str">
        <x:v>2026-07</x:v>
      </x:c>
      <x:c r="F36" s="18" t="str"/>
      <x:c r="G36" s="18" t="str"/>
      <x:c r="H36" s="18" t="str"/>
      <x:c r="I36" s="18" t="str">
        <x:v>TV VISION LIMITED</x:v>
      </x:c>
      <x:c r="J36" s="20" t="str"/>
      <x:c r="K36" s="18" t="str"/>
      <x:c r="L36" s="18" t="str">
        <x:v>In the matter of TV VISION LIMITED [C.P.(IB)/143/MB/2026]</x:v>
      </x:c>
      <x:c r="M36" s="18" t="str">
        <x:v>2026-07-30</x:v>
      </x:c>
      <x:c r="N36" s="18" t="str">
        <x:v>TV VISION LIMITED</x:v>
      </x:c>
      <x:c r="O36" s="18" t="str">
        <x:v>nclt_18ihwzk</x:v>
      </x:c>
      <x:c r="P36" s="18" t="str"/>
      <x:c r="Q36" s="18" t="str"/>
      <x:c r="R36" s="18" t="str"/>
      <x:c r="S36" s="18" t="str"/>
      <x:c r="T36" s="18" t="str"/>
      <x:c r="U36" s="18" t="str">
        <x:v>Admission - Final Order</x:v>
      </x:c>
      <x:c r="V36" s="18" t="str">
        <x:v>DEFINED_TERMINAL_OR_FEED_SCOPE</x:v>
      </x:c>
      <x:c r="W36" s="18" t="str">
        <x:v>judiciary_nclt_orders.json — published records loaded</x:v>
      </x:c>
      <x:c r="X36" s="18" t="str"/>
      <x:c r="Y36" s="18" t="str"/>
      <x:c r="Z36" s="20" t="n">
        <x:v>434</x:v>
      </x:c>
      <x:c r="AA36" s="19" t="n">
        <x:f>IFERROR(TODAY()-DATEVALUE(C36),"")</x:f>
        <x:v>42</x:v>
      </x:c>
      <x:c r="AB36" s="21" t="n">
        <x:f>ROUND(COUNTA(A36:K36)/11*100,0)</x:f>
        <x:v>100</x:v>
      </x:c>
      <x:c r="AC36" s="18" t="str">
        <x:v>National Company Law Tribunal</x:v>
      </x:c>
      <x:c r="AD36" s="22" t="str">
        <x:v>https://ibbi.gov.in/uploads/order/e5096085ab18891b431b00540d8c06c4.pdf</x:v>
      </x:c>
      <x:c r="AE36" s="18" t="str">
        <x:v>2026-07-30</x:v>
      </x:c>
      <x:c r="AF36" s="18" t="n">
        <x:v>46275.114583333336</x:v>
      </x:c>
      <x:c r="AG36" s="18" t="str">
        <x:v>retained_terminal</x:v>
      </x:c>
      <x:c r="AH36" s="18" t="str">
        <x:v>READY</x:v>
      </x:c>
    </x:row>
    <x:row r="37">
      <x:c r="A37" s="18" t="str">
        <x:v>NYT-47-71aa0d07eaa171cd</x:v>
      </x:c>
      <x:c r="B37" s="18" t="str">
        <x:v>In the matter of KSHIPRA MOTORS PRIVATE LIMITED [CP(IB)/72(MP)2025]</x:v>
      </x:c>
      <x:c r="C37" s="18" t="str">
        <x:v>2026-07-29</x:v>
      </x:c>
      <x:c r="D37" s="18" t="n">
        <x:v>2026</x:v>
      </x:c>
      <x:c r="E37" s="18" t="str">
        <x:v>2026-07</x:v>
      </x:c>
      <x:c r="F37" s="18" t="str"/>
      <x:c r="G37" s="18" t="str"/>
      <x:c r="H37" s="18" t="str"/>
      <x:c r="I37" s="18" t="str">
        <x:v>KSHIPRA MOTORS PRIVATE LIMITED</x:v>
      </x:c>
      <x:c r="J37" s="20" t="str"/>
      <x:c r="K37" s="18" t="str"/>
      <x:c r="L37" s="18" t="str">
        <x:v>In the matter of KSHIPRA MOTORS PRIVATE LIMITED [CP(IB)/72(MP)2025]</x:v>
      </x:c>
      <x:c r="M37" s="18" t="str">
        <x:v>2026-07-29</x:v>
      </x:c>
      <x:c r="N37" s="18" t="str">
        <x:v>KSHIPRA MOTORS PRIVATE LIMITED</x:v>
      </x:c>
      <x:c r="O37" s="18" t="str">
        <x:v>nclt_1h7448f</x:v>
      </x:c>
      <x:c r="P37" s="18" t="str"/>
      <x:c r="Q37" s="18" t="str"/>
      <x:c r="R37" s="18" t="str"/>
      <x:c r="S37" s="18" t="str"/>
      <x:c r="T37" s="18" t="str"/>
      <x:c r="U37" s="18" t="str">
        <x:v>Admission - Final Order</x:v>
      </x:c>
      <x:c r="V37" s="18" t="str">
        <x:v>DEFINED_TERMINAL_OR_FEED_SCOPE</x:v>
      </x:c>
      <x:c r="W37" s="18" t="str">
        <x:v>judiciary_nclt_orders.json — published records loaded</x:v>
      </x:c>
      <x:c r="X37" s="18" t="str"/>
      <x:c r="Y37" s="18" t="str"/>
      <x:c r="Z37" s="20" t="n">
        <x:v>434</x:v>
      </x:c>
      <x:c r="AA37" s="19" t="n">
        <x:f>IFERROR(TODAY()-DATEVALUE(C37),"")</x:f>
        <x:v>43</x:v>
      </x:c>
      <x:c r="AB37" s="21" t="n">
        <x:f>ROUND(COUNTA(A37:K37)/11*100,0)</x:f>
        <x:v>100</x:v>
      </x:c>
      <x:c r="AC37" s="18" t="str">
        <x:v>National Company Law Tribunal</x:v>
      </x:c>
      <x:c r="AD37" s="22" t="str">
        <x:v>https://ibbi.gov.in/uploads/order/22c28db9d7fe40a631f129c261fcc247.pdf</x:v>
      </x:c>
      <x:c r="AE37" s="18" t="str">
        <x:v>2026-07-29</x:v>
      </x:c>
      <x:c r="AF37" s="18" t="n">
        <x:v>46275.114583333336</x:v>
      </x:c>
      <x:c r="AG37" s="18" t="str">
        <x:v>retained_terminal</x:v>
      </x:c>
      <x:c r="AH37" s="18" t="str">
        <x:v>READY</x:v>
      </x:c>
    </x:row>
    <x:row r="38">
      <x:c r="A38" s="18" t="str">
        <x:v>NYT-47-ea1693dfc2ef4ca7</x:v>
      </x:c>
      <x:c r="B38" s="18" t="str">
        <x:v>In the matter of GIRIVAR HOTEL AND RESORT PRIVATE LIMITED [6/JPR/2026]</x:v>
      </x:c>
      <x:c r="C38" s="18" t="str">
        <x:v>2026-07-29</x:v>
      </x:c>
      <x:c r="D38" s="18" t="n">
        <x:v>2026</x:v>
      </x:c>
      <x:c r="E38" s="18" t="str">
        <x:v>2026-07</x:v>
      </x:c>
      <x:c r="F38" s="18" t="str"/>
      <x:c r="G38" s="18" t="str"/>
      <x:c r="H38" s="18" t="str"/>
      <x:c r="I38" s="18" t="str">
        <x:v>GIRIVAR HOTEL AND RESORT PRIVATE LIMITED</x:v>
      </x:c>
      <x:c r="J38" s="20" t="str"/>
      <x:c r="K38" s="18" t="str"/>
      <x:c r="L38" s="18" t="str">
        <x:v>In the matter of GIRIVAR HOTEL AND RESORT PRIVATE LIMITED [6/JPR/2026]</x:v>
      </x:c>
      <x:c r="M38" s="18" t="str">
        <x:v>2026-07-29</x:v>
      </x:c>
      <x:c r="N38" s="18" t="str">
        <x:v>GIRIVAR HOTEL AND RESORT PRIVATE LIMITED</x:v>
      </x:c>
      <x:c r="O38" s="18" t="str">
        <x:v>nclt_1tay0tx</x:v>
      </x:c>
      <x:c r="P38" s="18" t="str"/>
      <x:c r="Q38" s="18" t="str"/>
      <x:c r="R38" s="18" t="str"/>
      <x:c r="S38" s="18" t="str"/>
      <x:c r="T38" s="18" t="str"/>
      <x:c r="U38" s="18" t="str">
        <x:v>Admission - Final Order</x:v>
      </x:c>
      <x:c r="V38" s="18" t="str">
        <x:v>DEFINED_TERMINAL_OR_FEED_SCOPE</x:v>
      </x:c>
      <x:c r="W38" s="18" t="str">
        <x:v>judiciary_nclt_orders.json — published records loaded</x:v>
      </x:c>
      <x:c r="X38" s="18" t="str"/>
      <x:c r="Y38" s="18" t="str"/>
      <x:c r="Z38" s="20" t="n">
        <x:v>434</x:v>
      </x:c>
      <x:c r="AA38" s="19" t="n">
        <x:f>IFERROR(TODAY()-DATEVALUE(C38),"")</x:f>
        <x:v>43</x:v>
      </x:c>
      <x:c r="AB38" s="21" t="n">
        <x:f>ROUND(COUNTA(A38:K38)/11*100,0)</x:f>
        <x:v>100</x:v>
      </x:c>
      <x:c r="AC38" s="18" t="str">
        <x:v>National Company Law Tribunal</x:v>
      </x:c>
      <x:c r="AD38" s="22" t="str">
        <x:v>https://ibbi.gov.in/uploads/order/2026-07-30-120342-jy96l-86587447cc7af68a429e21c3f464481e.pdf</x:v>
      </x:c>
      <x:c r="AE38" s="18" t="str">
        <x:v>2026-07-29</x:v>
      </x:c>
      <x:c r="AF38" s="18" t="n">
        <x:v>46275.114583333336</x:v>
      </x:c>
      <x:c r="AG38" s="18" t="str">
        <x:v>retained_terminal</x:v>
      </x:c>
      <x:c r="AH38" s="18" t="str">
        <x:v>READY</x:v>
      </x:c>
    </x:row>
    <x:row r="39">
      <x:c r="A39" s="18" t="str">
        <x:v>NYT-47-e96527041b0d75fa</x:v>
      </x:c>
      <x:c r="B39" s="18" t="str">
        <x:v>In the matter of BYINDIA CREATIONS PRIVATE LIMITED [IA(Liq.)/7(AHM)2025 in CP(IB)/258(AHM)2022]</x:v>
      </x:c>
      <x:c r="C39" s="18" t="str">
        <x:v>2026-07-29</x:v>
      </x:c>
      <x:c r="D39" s="18" t="n">
        <x:v>2026</x:v>
      </x:c>
      <x:c r="E39" s="18" t="str">
        <x:v>2026-07</x:v>
      </x:c>
      <x:c r="F39" s="18" t="str"/>
      <x:c r="G39" s="18" t="str"/>
      <x:c r="H39" s="18" t="str"/>
      <x:c r="I39" s="18" t="str">
        <x:v>BYINDIA CREATIONS PRIVATE LIMITED</x:v>
      </x:c>
      <x:c r="J39" s="20" t="str"/>
      <x:c r="K39" s="18" t="str"/>
      <x:c r="L39" s="18" t="str">
        <x:v>In the matter of BYINDIA CREATIONS PRIVATE LIMITED [IA(Liq.)/7(AHM)2025 in CP(IB)/258(AHM)2022]</x:v>
      </x:c>
      <x:c r="M39" s="18" t="str">
        <x:v>2026-07-29</x:v>
      </x:c>
      <x:c r="N39" s="18" t="str">
        <x:v>BYINDIA CREATIONS PRIVATE LIMITED</x:v>
      </x:c>
      <x:c r="O39" s="18" t="str">
        <x:v>nclt_9ukcjk</x:v>
      </x:c>
      <x:c r="P39" s="18" t="str"/>
      <x:c r="Q39" s="18" t="str"/>
      <x:c r="R39" s="18" t="str"/>
      <x:c r="S39" s="18" t="str"/>
      <x:c r="T39" s="18" t="str"/>
      <x:c r="U39" s="18" t="str">
        <x:v>Appointment - Appointment of Liquidator</x:v>
      </x:c>
      <x:c r="V39" s="18" t="str">
        <x:v>DEFINED_TERMINAL_OR_FEED_SCOPE</x:v>
      </x:c>
      <x:c r="W39" s="18" t="str">
        <x:v>judiciary_nclt_orders.json — published records loaded</x:v>
      </x:c>
      <x:c r="X39" s="18" t="str"/>
      <x:c r="Y39" s="18" t="str"/>
      <x:c r="Z39" s="20" t="n">
        <x:v>434</x:v>
      </x:c>
      <x:c r="AA39" s="19" t="n">
        <x:f>IFERROR(TODAY()-DATEVALUE(C39),"")</x:f>
        <x:v>43</x:v>
      </x:c>
      <x:c r="AB39" s="21" t="n">
        <x:f>ROUND(COUNTA(A39:K39)/11*100,0)</x:f>
        <x:v>100</x:v>
      </x:c>
      <x:c r="AC39" s="18" t="str">
        <x:v>National Company Law Tribunal</x:v>
      </x:c>
      <x:c r="AD39" s="22" t="str">
        <x:v>https://ibbi.gov.in/uploads/order/afcce7ddcd82a1cd5a4ed46f7d452553.pdf</x:v>
      </x:c>
      <x:c r="AE39" s="18" t="str">
        <x:v>2026-07-29</x:v>
      </x:c>
      <x:c r="AF39" s="18" t="n">
        <x:v>46275.114583333336</x:v>
      </x:c>
      <x:c r="AG39" s="18" t="str">
        <x:v>retained_terminal</x:v>
      </x:c>
      <x:c r="AH39" s="18" t="str">
        <x:v>READY</x:v>
      </x:c>
    </x:row>
    <x:row r="40">
      <x:c r="A40" s="18" t="str">
        <x:v>NYT-47-f07ff95a444352c3</x:v>
      </x:c>
      <x:c r="B40" s="18" t="str">
        <x:v>In the matter of SERVEALL CONSTRUCTIONS PRIVATE LIMITED [C.P. (IB)/761/ND/2023]</x:v>
      </x:c>
      <x:c r="C40" s="18" t="str">
        <x:v>2026-07-29</x:v>
      </x:c>
      <x:c r="D40" s="18" t="n">
        <x:v>2026</x:v>
      </x:c>
      <x:c r="E40" s="18" t="str">
        <x:v>2026-07</x:v>
      </x:c>
      <x:c r="F40" s="18" t="str"/>
      <x:c r="G40" s="18" t="str"/>
      <x:c r="H40" s="18" t="str"/>
      <x:c r="I40" s="18" t="str">
        <x:v>SERVEALL CONSTRUCTIONS PRIVATE LIMITED</x:v>
      </x:c>
      <x:c r="J40" s="20" t="str"/>
      <x:c r="K40" s="18" t="str"/>
      <x:c r="L40" s="18" t="str">
        <x:v>In the matter of SERVEALL CONSTRUCTIONS PRIVATE LIMITED [C.P. (IB)/761/ND/2023]</x:v>
      </x:c>
      <x:c r="M40" s="18" t="str">
        <x:v>2026-07-29</x:v>
      </x:c>
      <x:c r="N40" s="18" t="str">
        <x:v>SERVEALL CONSTRUCTIONS PRIVATE LIMITED</x:v>
      </x:c>
      <x:c r="O40" s="18" t="str">
        <x:v>nclt_1wg4as9</x:v>
      </x:c>
      <x:c r="P40" s="18" t="str"/>
      <x:c r="Q40" s="18" t="str"/>
      <x:c r="R40" s="18" t="str"/>
      <x:c r="S40" s="18" t="str"/>
      <x:c r="T40" s="18" t="str"/>
      <x:c r="U40" s="18" t="str">
        <x:v>Admission - Final Order</x:v>
      </x:c>
      <x:c r="V40" s="18" t="str">
        <x:v>DEFINED_TERMINAL_OR_FEED_SCOPE</x:v>
      </x:c>
      <x:c r="W40" s="18" t="str">
        <x:v>judiciary_nclt_orders.json — published records loaded</x:v>
      </x:c>
      <x:c r="X40" s="18" t="str"/>
      <x:c r="Y40" s="18" t="str"/>
      <x:c r="Z40" s="20" t="n">
        <x:v>434</x:v>
      </x:c>
      <x:c r="AA40" s="19" t="n">
        <x:f>IFERROR(TODAY()-DATEVALUE(C40),"")</x:f>
        <x:v>43</x:v>
      </x:c>
      <x:c r="AB40" s="21" t="n">
        <x:f>ROUND(COUNTA(A40:K40)/11*100,0)</x:f>
        <x:v>100</x:v>
      </x:c>
      <x:c r="AC40" s="18" t="str">
        <x:v>National Company Law Tribunal</x:v>
      </x:c>
      <x:c r="AD40" s="22" t="str">
        <x:v>https://ibbi.gov.in/uploads/order/2026-08-10-103920-658ot-d7b320923ba0910f0114aac7517cef61.pdf</x:v>
      </x:c>
      <x:c r="AE40" s="18" t="str">
        <x:v>2026-07-29</x:v>
      </x:c>
      <x:c r="AF40" s="18" t="n">
        <x:v>46275.114583333336</x:v>
      </x:c>
      <x:c r="AG40" s="18" t="str">
        <x:v>retained_terminal</x:v>
      </x:c>
      <x:c r="AH40" s="18" t="str">
        <x:v>READY</x:v>
      </x:c>
    </x:row>
    <x:row r="41">
      <x:c r="A41" s="18" t="str">
        <x:v>NYT-47-550fe08faacb31a3</x:v>
      </x:c>
      <x:c r="B41" s="18" t="str">
        <x:v>In the matter of SURYA FOUNDRY PRIVATE LIMITED [CP (IB) 41 (ND) 2026]</x:v>
      </x:c>
      <x:c r="C41" s="18" t="str">
        <x:v>2026-07-29</x:v>
      </x:c>
      <x:c r="D41" s="18" t="n">
        <x:v>2026</x:v>
      </x:c>
      <x:c r="E41" s="18" t="str">
        <x:v>2026-07</x:v>
      </x:c>
      <x:c r="F41" s="18" t="str"/>
      <x:c r="G41" s="18" t="str"/>
      <x:c r="H41" s="18" t="str"/>
      <x:c r="I41" s="18" t="str">
        <x:v>SURYA FOUNDRY PRIVATE LIMITED</x:v>
      </x:c>
      <x:c r="J41" s="20" t="str"/>
      <x:c r="K41" s="18" t="str"/>
      <x:c r="L41" s="18" t="str">
        <x:v>In the matter of SURYA FOUNDRY PRIVATE LIMITED [CP (IB) 41 (ND) 2026]</x:v>
      </x:c>
      <x:c r="M41" s="18" t="str">
        <x:v>2026-07-29</x:v>
      </x:c>
      <x:c r="N41" s="18" t="str">
        <x:v>SURYA FOUNDRY PRIVATE LIMITED</x:v>
      </x:c>
      <x:c r="O41" s="18" t="str">
        <x:v>nclt_1xqyirf</x:v>
      </x:c>
      <x:c r="P41" s="18" t="str"/>
      <x:c r="Q41" s="18" t="str"/>
      <x:c r="R41" s="18" t="str"/>
      <x:c r="S41" s="18" t="str"/>
      <x:c r="T41" s="18" t="str"/>
      <x:c r="U41" s="18" t="str">
        <x:v>Admission - Final Order</x:v>
      </x:c>
      <x:c r="V41" s="18" t="str">
        <x:v>DEFINED_TERMINAL_OR_FEED_SCOPE</x:v>
      </x:c>
      <x:c r="W41" s="18" t="str">
        <x:v>judiciary_nclt_orders.json — published records loaded</x:v>
      </x:c>
      <x:c r="X41" s="18" t="str"/>
      <x:c r="Y41" s="18" t="str"/>
      <x:c r="Z41" s="20" t="n">
        <x:v>434</x:v>
      </x:c>
      <x:c r="AA41" s="19" t="n">
        <x:f>IFERROR(TODAY()-DATEVALUE(C41),"")</x:f>
        <x:v>43</x:v>
      </x:c>
      <x:c r="AB41" s="21" t="n">
        <x:f>ROUND(COUNTA(A41:K41)/11*100,0)</x:f>
        <x:v>100</x:v>
      </x:c>
      <x:c r="AC41" s="18" t="str">
        <x:v>National Company Law Tribunal</x:v>
      </x:c>
      <x:c r="AD41" s="22" t="str">
        <x:v>https://ibbi.gov.in/uploads/order/dee6131c4cd418db0237453cc029d988.pdf</x:v>
      </x:c>
      <x:c r="AE41" s="18" t="str">
        <x:v>2026-07-29</x:v>
      </x:c>
      <x:c r="AF41" s="18" t="n">
        <x:v>46275.114583333336</x:v>
      </x:c>
      <x:c r="AG41" s="18" t="str">
        <x:v>retained_terminal</x:v>
      </x:c>
      <x:c r="AH41" s="18" t="str">
        <x:v>READY</x:v>
      </x:c>
    </x:row>
    <x:row r="42">
      <x:c r="A42" s="18" t="str">
        <x:v>NYT-47-6114e652aecb13b7</x:v>
      </x:c>
      <x:c r="B42" s="18" t="str">
        <x:v>In the matter of COMET GRANITO PRIVATE LIMITED [CP. (IB)/466(AHM)2025]</x:v>
      </x:c>
      <x:c r="C42" s="18" t="str">
        <x:v>2026-07-29</x:v>
      </x:c>
      <x:c r="D42" s="18" t="n">
        <x:v>2026</x:v>
      </x:c>
      <x:c r="E42" s="18" t="str">
        <x:v>2026-07</x:v>
      </x:c>
      <x:c r="F42" s="18" t="str"/>
      <x:c r="G42" s="18" t="str"/>
      <x:c r="H42" s="18" t="str"/>
      <x:c r="I42" s="18" t="str">
        <x:v>COMET GRANITO PRIVATE LIMITED</x:v>
      </x:c>
      <x:c r="J42" s="20" t="str"/>
      <x:c r="K42" s="18" t="str"/>
      <x:c r="L42" s="18" t="str">
        <x:v>In the matter of COMET GRANITO PRIVATE LIMITED [CP. (IB)/466(AHM)2025]</x:v>
      </x:c>
      <x:c r="M42" s="18" t="str">
        <x:v>2026-07-29</x:v>
      </x:c>
      <x:c r="N42" s="18" t="str">
        <x:v>COMET GRANITO PRIVATE LIMITED</x:v>
      </x:c>
      <x:c r="O42" s="18" t="str">
        <x:v>nclt_n0ox76</x:v>
      </x:c>
      <x:c r="P42" s="18" t="str"/>
      <x:c r="Q42" s="18" t="str"/>
      <x:c r="R42" s="18" t="str"/>
      <x:c r="S42" s="18" t="str"/>
      <x:c r="T42" s="18" t="str"/>
      <x:c r="U42" s="18" t="str">
        <x:v>Admission - Final Order</x:v>
      </x:c>
      <x:c r="V42" s="18" t="str">
        <x:v>DEFINED_TERMINAL_OR_FEED_SCOPE</x:v>
      </x:c>
      <x:c r="W42" s="18" t="str">
        <x:v>judiciary_nclt_orders.json — published records loaded</x:v>
      </x:c>
      <x:c r="X42" s="18" t="str"/>
      <x:c r="Y42" s="18" t="str"/>
      <x:c r="Z42" s="20" t="n">
        <x:v>434</x:v>
      </x:c>
      <x:c r="AA42" s="19" t="n">
        <x:f>IFERROR(TODAY()-DATEVALUE(C42),"")</x:f>
        <x:v>43</x:v>
      </x:c>
      <x:c r="AB42" s="21" t="n">
        <x:f>ROUND(COUNTA(A42:K42)/11*100,0)</x:f>
        <x:v>100</x:v>
      </x:c>
      <x:c r="AC42" s="18" t="str">
        <x:v>National Company Law Tribunal</x:v>
      </x:c>
      <x:c r="AD42" s="22" t="str">
        <x:v>https://ibbi.gov.in/uploads/order/2026-07-31-134731-izps1-55350b763f5b679bfd1d9974056abe63.pdf</x:v>
      </x:c>
      <x:c r="AE42" s="18" t="str">
        <x:v>2026-07-29</x:v>
      </x:c>
      <x:c r="AF42" s="18" t="n">
        <x:v>46275.114583333336</x:v>
      </x:c>
      <x:c r="AG42" s="18" t="str">
        <x:v>retained_terminal</x:v>
      </x:c>
      <x:c r="AH42" s="18" t="str">
        <x:v>READY</x:v>
      </x:c>
    </x:row>
    <x:row r="43">
      <x:c r="A43" s="18" t="str">
        <x:v>NYT-47-0019ddba1c42277b</x:v>
      </x:c>
      <x:c r="B43" s="18" t="str">
        <x:v>In the matter of DRISHAN INDUSTRIES PRIVATE LIMITED [C.P.(IB)/226(AHM)2025]</x:v>
      </x:c>
      <x:c r="C43" s="18" t="str">
        <x:v>2026-07-29</x:v>
      </x:c>
      <x:c r="D43" s="18" t="n">
        <x:v>2026</x:v>
      </x:c>
      <x:c r="E43" s="18" t="str">
        <x:v>2026-07</x:v>
      </x:c>
      <x:c r="F43" s="18" t="str"/>
      <x:c r="G43" s="18" t="str"/>
      <x:c r="H43" s="18" t="str"/>
      <x:c r="I43" s="18" t="str">
        <x:v>DRISHAN INDUSTRIES PRIVATE LIMITED</x:v>
      </x:c>
      <x:c r="J43" s="20" t="str"/>
      <x:c r="K43" s="18" t="str"/>
      <x:c r="L43" s="18" t="str">
        <x:v>In the matter of DRISHAN INDUSTRIES PRIVATE LIMITED [C.P.(IB)/226(AHM)2025]</x:v>
      </x:c>
      <x:c r="M43" s="18" t="str">
        <x:v>2026-07-29</x:v>
      </x:c>
      <x:c r="N43" s="18" t="str">
        <x:v>DRISHAN INDUSTRIES PRIVATE LIMITED</x:v>
      </x:c>
      <x:c r="O43" s="18" t="str">
        <x:v>nclt_1knabtl</x:v>
      </x:c>
      <x:c r="P43" s="18" t="str"/>
      <x:c r="Q43" s="18" t="str"/>
      <x:c r="R43" s="18" t="str"/>
      <x:c r="S43" s="18" t="str"/>
      <x:c r="T43" s="18" t="str"/>
      <x:c r="U43" s="18" t="str">
        <x:v>Admission - Final Order</x:v>
      </x:c>
      <x:c r="V43" s="18" t="str">
        <x:v>DEFINED_TERMINAL_OR_FEED_SCOPE</x:v>
      </x:c>
      <x:c r="W43" s="18" t="str">
        <x:v>judiciary_nclt_orders.json — published records loaded</x:v>
      </x:c>
      <x:c r="X43" s="18" t="str"/>
      <x:c r="Y43" s="18" t="str"/>
      <x:c r="Z43" s="20" t="n">
        <x:v>434</x:v>
      </x:c>
      <x:c r="AA43" s="19" t="n">
        <x:f>IFERROR(TODAY()-DATEVALUE(C43),"")</x:f>
        <x:v>43</x:v>
      </x:c>
      <x:c r="AB43" s="21" t="n">
        <x:f>ROUND(COUNTA(A43:K43)/11*100,0)</x:f>
        <x:v>100</x:v>
      </x:c>
      <x:c r="AC43" s="18" t="str">
        <x:v>National Company Law Tribunal</x:v>
      </x:c>
      <x:c r="AD43" s="22" t="str">
        <x:v>https://ibbi.gov.in/uploads/order/ba390a498997911a354e6c3b23ab495e.pdf</x:v>
      </x:c>
      <x:c r="AE43" s="18" t="str">
        <x:v>2026-07-29</x:v>
      </x:c>
      <x:c r="AF43" s="18" t="n">
        <x:v>46275.114583333336</x:v>
      </x:c>
      <x:c r="AG43" s="18" t="str">
        <x:v>retained_terminal</x:v>
      </x:c>
      <x:c r="AH43" s="18" t="str">
        <x:v>READY</x:v>
      </x:c>
    </x:row>
    <x:row r="44">
      <x:c r="A44" s="18" t="str">
        <x:v>NYT-47-bb6388fa0c020121</x:v>
      </x:c>
      <x:c r="B44" s="18" t="str">
        <x:v>In the matter of HEIMDAL MINERALS PRIVATE LIMITED [C.P. (IB)/202/CHE/2025]</x:v>
      </x:c>
      <x:c r="C44" s="18" t="str">
        <x:v>2026-07-28</x:v>
      </x:c>
      <x:c r="D44" s="18" t="n">
        <x:v>2026</x:v>
      </x:c>
      <x:c r="E44" s="18" t="str">
        <x:v>2026-07</x:v>
      </x:c>
      <x:c r="F44" s="18" t="str"/>
      <x:c r="G44" s="18" t="str"/>
      <x:c r="H44" s="18" t="str"/>
      <x:c r="I44" s="18" t="str">
        <x:v>HEIMDAL MINERALS PRIVATE LIMITED</x:v>
      </x:c>
      <x:c r="J44" s="20" t="str"/>
      <x:c r="K44" s="18" t="str"/>
      <x:c r="L44" s="18" t="str">
        <x:v>In the matter of HEIMDAL MINERALS PRIVATE LIMITED [C.P. (IB)/202/CHE/2025]</x:v>
      </x:c>
      <x:c r="M44" s="18" t="str">
        <x:v>2026-07-28</x:v>
      </x:c>
      <x:c r="N44" s="18" t="str">
        <x:v>HEIMDAL MINERALS PRIVATE LIMITED</x:v>
      </x:c>
      <x:c r="O44" s="18" t="str">
        <x:v>nclt_xmczqb</x:v>
      </x:c>
      <x:c r="P44" s="18" t="str"/>
      <x:c r="Q44" s="18" t="str"/>
      <x:c r="R44" s="18" t="str"/>
      <x:c r="S44" s="18" t="str"/>
      <x:c r="T44" s="18" t="str"/>
      <x:c r="U44" s="18" t="str">
        <x:v>Admission - Final Order</x:v>
      </x:c>
      <x:c r="V44" s="18" t="str">
        <x:v>DEFINED_TERMINAL_OR_FEED_SCOPE</x:v>
      </x:c>
      <x:c r="W44" s="18" t="str">
        <x:v>judiciary_nclt_orders.json — published records loaded</x:v>
      </x:c>
      <x:c r="X44" s="18" t="str"/>
      <x:c r="Y44" s="18" t="str"/>
      <x:c r="Z44" s="20" t="n">
        <x:v>434</x:v>
      </x:c>
      <x:c r="AA44" s="19" t="n">
        <x:f>IFERROR(TODAY()-DATEVALUE(C44),"")</x:f>
        <x:v>44</x:v>
      </x:c>
      <x:c r="AB44" s="21" t="n">
        <x:f>ROUND(COUNTA(A44:K44)/11*100,0)</x:f>
        <x:v>100</x:v>
      </x:c>
      <x:c r="AC44" s="18" t="str">
        <x:v>National Company Law Tribunal</x:v>
      </x:c>
      <x:c r="AD44" s="22" t="str">
        <x:v>https://ibbi.gov.in/uploads/order/4ae5176c6ff69f2b271b8c74084d5eed.pdf</x:v>
      </x:c>
      <x:c r="AE44" s="18" t="str">
        <x:v>2026-07-28</x:v>
      </x:c>
      <x:c r="AF44" s="18" t="n">
        <x:v>46275.114583333336</x:v>
      </x:c>
      <x:c r="AG44" s="18" t="str">
        <x:v>retained_terminal</x:v>
      </x:c>
      <x:c r="AH44" s="18" t="str">
        <x:v>READY</x:v>
      </x:c>
    </x:row>
    <x:row r="45">
      <x:c r="A45" s="18" t="str">
        <x:v>NYT-47-be8b46d51e95a413</x:v>
      </x:c>
      <x:c r="B45" s="18" t="str">
        <x:v>In the matter of INDITRADE BUSINESS CONSULTANTS LIMITED [IA(IBC) (Liq.)/7/KOB/2026]</x:v>
      </x:c>
      <x:c r="C45" s="18" t="str">
        <x:v>2026-07-28</x:v>
      </x:c>
      <x:c r="D45" s="18" t="n">
        <x:v>2026</x:v>
      </x:c>
      <x:c r="E45" s="18" t="str">
        <x:v>2026-07</x:v>
      </x:c>
      <x:c r="F45" s="18" t="str"/>
      <x:c r="G45" s="18" t="str"/>
      <x:c r="H45" s="18" t="str"/>
      <x:c r="I45" s="18" t="str">
        <x:v>INDITRADE BUSINESS CONSULTANTS LIMITED</x:v>
      </x:c>
      <x:c r="J45" s="20" t="str"/>
      <x:c r="K45" s="18" t="str"/>
      <x:c r="L45" s="18" t="str">
        <x:v>In the matter of INDITRADE BUSINESS CONSULTANTS LIMITED [IA(IBC) (Liq.)/7/KOB/2026]</x:v>
      </x:c>
      <x:c r="M45" s="18" t="str">
        <x:v>2026-07-28</x:v>
      </x:c>
      <x:c r="N45" s="18" t="str">
        <x:v>INDITRADE BUSINESS CONSULTANTS LIMITED</x:v>
      </x:c>
      <x:c r="O45" s="18" t="str">
        <x:v>nclt_1sgfhlb</x:v>
      </x:c>
      <x:c r="P45" s="18" t="str"/>
      <x:c r="Q45" s="18" t="str"/>
      <x:c r="R45" s="18" t="str"/>
      <x:c r="S45" s="18" t="str"/>
      <x:c r="T45" s="18" t="str"/>
      <x:c r="U45" s="18" t="str">
        <x:v>Appointment - Appointment of Liquidator</x:v>
      </x:c>
      <x:c r="V45" s="18" t="str">
        <x:v>DEFINED_TERMINAL_OR_FEED_SCOPE</x:v>
      </x:c>
      <x:c r="W45" s="18" t="str">
        <x:v>judiciary_nclt_orders.json — published records loaded</x:v>
      </x:c>
      <x:c r="X45" s="18" t="str"/>
      <x:c r="Y45" s="18" t="str"/>
      <x:c r="Z45" s="20" t="n">
        <x:v>434</x:v>
      </x:c>
      <x:c r="AA45" s="19" t="n">
        <x:f>IFERROR(TODAY()-DATEVALUE(C45),"")</x:f>
        <x:v>44</x:v>
      </x:c>
      <x:c r="AB45" s="21" t="n">
        <x:f>ROUND(COUNTA(A45:K45)/11*100,0)</x:f>
        <x:v>100</x:v>
      </x:c>
      <x:c r="AC45" s="18" t="str">
        <x:v>National Company Law Tribunal</x:v>
      </x:c>
      <x:c r="AD45" s="22" t="str">
        <x:v>https://ibbi.gov.in/uploads/order/d9508d89197bd7f0f30d0e5692d23cad.pdf</x:v>
      </x:c>
      <x:c r="AE45" s="18" t="str">
        <x:v>2026-07-28</x:v>
      </x:c>
      <x:c r="AF45" s="18" t="n">
        <x:v>46275.114583333336</x:v>
      </x:c>
      <x:c r="AG45" s="18" t="str">
        <x:v>retained_terminal</x:v>
      </x:c>
      <x:c r="AH45" s="18" t="str">
        <x:v>READY</x:v>
      </x:c>
    </x:row>
    <x:row r="46">
      <x:c r="A46" s="18" t="str">
        <x:v>NYT-47-96471f635e313e46</x:v>
      </x:c>
      <x:c r="B46" s="18" t="str">
        <x:v>In the matter of GOODWILL IRON &amp; STEEL TRADERS PRIVATE LIMITED [CP(IB) NO.39/ALD/2024]</x:v>
      </x:c>
      <x:c r="C46" s="18" t="str">
        <x:v>2026-07-28</x:v>
      </x:c>
      <x:c r="D46" s="18" t="n">
        <x:v>2026</x:v>
      </x:c>
      <x:c r="E46" s="18" t="str">
        <x:v>2026-07</x:v>
      </x:c>
      <x:c r="F46" s="18" t="str"/>
      <x:c r="G46" s="18" t="str"/>
      <x:c r="H46" s="18" t="str"/>
      <x:c r="I46" s="18" t="str">
        <x:v>GOODWILL IRON &amp; STEEL TRADERS PRIVATE LIMITED</x:v>
      </x:c>
      <x:c r="J46" s="20" t="str"/>
      <x:c r="K46" s="18" t="str"/>
      <x:c r="L46" s="18" t="str">
        <x:v>In the matter of GOODWILL IRON &amp; STEEL TRADERS PRIVATE LIMITED [CP(IB) NO.39/ALD/2024]</x:v>
      </x:c>
      <x:c r="M46" s="18" t="str">
        <x:v>2026-07-28</x:v>
      </x:c>
      <x:c r="N46" s="18" t="str">
        <x:v>GOODWILL IRON &amp; STEEL TRADERS PRIVATE LIMITED</x:v>
      </x:c>
      <x:c r="O46" s="18" t="str">
        <x:v>nclt_j23p97</x:v>
      </x:c>
      <x:c r="P46" s="18" t="str"/>
      <x:c r="Q46" s="18" t="str"/>
      <x:c r="R46" s="18" t="str"/>
      <x:c r="S46" s="18" t="str"/>
      <x:c r="T46" s="18" t="str"/>
      <x:c r="U46" s="18" t="str">
        <x:v>Admission - Final Order</x:v>
      </x:c>
      <x:c r="V46" s="18" t="str">
        <x:v>DEFINED_TERMINAL_OR_FEED_SCOPE</x:v>
      </x:c>
      <x:c r="W46" s="18" t="str">
        <x:v>judiciary_nclt_orders.json — published records loaded</x:v>
      </x:c>
      <x:c r="X46" s="18" t="str"/>
      <x:c r="Y46" s="18" t="str"/>
      <x:c r="Z46" s="20" t="n">
        <x:v>434</x:v>
      </x:c>
      <x:c r="AA46" s="19" t="n">
        <x:f>IFERROR(TODAY()-DATEVALUE(C46),"")</x:f>
        <x:v>44</x:v>
      </x:c>
      <x:c r="AB46" s="21" t="n">
        <x:f>ROUND(COUNTA(A46:K46)/11*100,0)</x:f>
        <x:v>100</x:v>
      </x:c>
      <x:c r="AC46" s="18" t="str">
        <x:v>National Company Law Tribunal</x:v>
      </x:c>
      <x:c r="AD46" s="22" t="str">
        <x:v>https://ibbi.gov.in/uploads/order/27021f9b82be6d7dc8f7370ba99da461.pdf</x:v>
      </x:c>
      <x:c r="AE46" s="18" t="str">
        <x:v>2026-07-28</x:v>
      </x:c>
      <x:c r="AF46" s="18" t="n">
        <x:v>46275.114583333336</x:v>
      </x:c>
      <x:c r="AG46" s="18" t="str">
        <x:v>retained_terminal</x:v>
      </x:c>
      <x:c r="AH46" s="18" t="str">
        <x:v>READY</x:v>
      </x:c>
    </x:row>
    <x:row r="47">
      <x:c r="A47" s="18" t="str">
        <x:v>NYT-47-6247a0694d0f9f10</x:v>
      </x:c>
      <x:c r="B47" s="18" t="str">
        <x:v>In the matter of Vysali Pharmaceuticals Ltd. [A(IBC)/122/KOB/2026 in CP(IB)/29/KOB/2022]</x:v>
      </x:c>
      <x:c r="C47" s="18" t="str">
        <x:v>2026-07-28</x:v>
      </x:c>
      <x:c r="D47" s="18" t="n">
        <x:v>2026</x:v>
      </x:c>
      <x:c r="E47" s="18" t="str">
        <x:v>2026-07</x:v>
      </x:c>
      <x:c r="F47" s="18" t="str"/>
      <x:c r="G47" s="18" t="str"/>
      <x:c r="H47" s="18" t="str"/>
      <x:c r="I47" s="18" t="str">
        <x:v>Vysali Pharmaceuticals Ltd.</x:v>
      </x:c>
      <x:c r="J47" s="20" t="str"/>
      <x:c r="K47" s="18" t="str"/>
      <x:c r="L47" s="18" t="str">
        <x:v>In the matter of Vysali Pharmaceuticals Ltd. [A(IBC)/122/KOB/2026 in CP(IB)/29/KOB/2022]</x:v>
      </x:c>
      <x:c r="M47" s="18" t="str">
        <x:v>2026-07-28</x:v>
      </x:c>
      <x:c r="N47" s="18" t="str">
        <x:v>Vysali Pharmaceuticals Ltd.</x:v>
      </x:c>
      <x:c r="O47" s="18" t="str">
        <x:v>nclt_dtrkyw</x:v>
      </x:c>
      <x:c r="P47" s="18" t="str"/>
      <x:c r="Q47" s="18" t="str"/>
      <x:c r="R47" s="18" t="str"/>
      <x:c r="S47" s="18" t="str"/>
      <x:c r="T47" s="18" t="str"/>
      <x:c r="U47" s="18" t="str">
        <x:v>Others</x:v>
      </x:c>
      <x:c r="V47" s="18" t="str">
        <x:v>DEFINED_TERMINAL_OR_FEED_SCOPE</x:v>
      </x:c>
      <x:c r="W47" s="18" t="str">
        <x:v>judiciary_nclt_orders.json — published records loaded</x:v>
      </x:c>
      <x:c r="X47" s="18" t="str"/>
      <x:c r="Y47" s="18" t="str"/>
      <x:c r="Z47" s="20" t="n">
        <x:v>434</x:v>
      </x:c>
      <x:c r="AA47" s="19" t="n">
        <x:f>IFERROR(TODAY()-DATEVALUE(C47),"")</x:f>
        <x:v>44</x:v>
      </x:c>
      <x:c r="AB47" s="21" t="n">
        <x:f>ROUND(COUNTA(A47:K47)/11*100,0)</x:f>
        <x:v>100</x:v>
      </x:c>
      <x:c r="AC47" s="18" t="str">
        <x:v>National Company Law Tribunal</x:v>
      </x:c>
      <x:c r="AD47" s="22" t="str">
        <x:v>https://ibbi.gov.in/uploads/order/dc3955ae189e45765179197a1f428583.pdf</x:v>
      </x:c>
      <x:c r="AE47" s="18" t="str">
        <x:v>2026-07-28</x:v>
      </x:c>
      <x:c r="AF47" s="18" t="n">
        <x:v>46275.114583333336</x:v>
      </x:c>
      <x:c r="AG47" s="18" t="str">
        <x:v>retained_terminal</x:v>
      </x:c>
      <x:c r="AH47" s="18" t="str">
        <x:v>READY</x:v>
      </x:c>
    </x:row>
    <x:row r="48">
      <x:c r="A48" s="18" t="str">
        <x:v>NYT-47-466373433c6cddd8</x:v>
      </x:c>
      <x:c r="B48" s="18" t="str">
        <x:v>In the matter of KRISHNA ELECTRICAL INDUSTRIES LIMITED [TP(lBC)/1(MP)2024 [CP 11 of 2015]]</x:v>
      </x:c>
      <x:c r="C48" s="18" t="str">
        <x:v>2026-07-28</x:v>
      </x:c>
      <x:c r="D48" s="18" t="n">
        <x:v>2026</x:v>
      </x:c>
      <x:c r="E48" s="18" t="str">
        <x:v>2026-07</x:v>
      </x:c>
      <x:c r="F48" s="18" t="str"/>
      <x:c r="G48" s="18" t="str"/>
      <x:c r="H48" s="18" t="str"/>
      <x:c r="I48" s="18" t="str">
        <x:v>KRISHNA ELECTRICAL INDUSTRIES LIMITED</x:v>
      </x:c>
      <x:c r="J48" s="20" t="str"/>
      <x:c r="K48" s="18" t="str"/>
      <x:c r="L48" s="18" t="str">
        <x:v>In the matter of KRISHNA ELECTRICAL INDUSTRIES LIMITED [TP(lBC)/1(MP)2024 [CP 11 of 2015]]</x:v>
      </x:c>
      <x:c r="M48" s="18" t="str">
        <x:v>2026-07-28</x:v>
      </x:c>
      <x:c r="N48" s="18" t="str">
        <x:v>KRISHNA ELECTRICAL INDUSTRIES LIMITED</x:v>
      </x:c>
      <x:c r="O48" s="18" t="str">
        <x:v>nclt_1f0l885</x:v>
      </x:c>
      <x:c r="P48" s="18" t="str"/>
      <x:c r="Q48" s="18" t="str"/>
      <x:c r="R48" s="18" t="str"/>
      <x:c r="S48" s="18" t="str"/>
      <x:c r="T48" s="18" t="str"/>
      <x:c r="U48" s="18" t="str">
        <x:v>Admission - Final Order</x:v>
      </x:c>
      <x:c r="V48" s="18" t="str">
        <x:v>DEFINED_TERMINAL_OR_FEED_SCOPE</x:v>
      </x:c>
      <x:c r="W48" s="18" t="str">
        <x:v>judiciary_nclt_orders.json — published records loaded</x:v>
      </x:c>
      <x:c r="X48" s="18" t="str"/>
      <x:c r="Y48" s="18" t="str"/>
      <x:c r="Z48" s="20" t="n">
        <x:v>434</x:v>
      </x:c>
      <x:c r="AA48" s="19" t="n">
        <x:f>IFERROR(TODAY()-DATEVALUE(C48),"")</x:f>
        <x:v>44</x:v>
      </x:c>
      <x:c r="AB48" s="21" t="n">
        <x:f>ROUND(COUNTA(A48:K48)/11*100,0)</x:f>
        <x:v>100</x:v>
      </x:c>
      <x:c r="AC48" s="18" t="str">
        <x:v>National Company Law Tribunal</x:v>
      </x:c>
      <x:c r="AD48" s="22" t="str">
        <x:v>https://ibbi.gov.in/uploads/order/2026-08-03-115940-kdce8-3590b4efe0bcfec558d58d66e443f413.pdf</x:v>
      </x:c>
      <x:c r="AE48" s="18" t="str">
        <x:v>2026-07-28</x:v>
      </x:c>
      <x:c r="AF48" s="18" t="n">
        <x:v>46275.114583333336</x:v>
      </x:c>
      <x:c r="AG48" s="18" t="str">
        <x:v>retained_terminal</x:v>
      </x:c>
      <x:c r="AH48" s="18" t="str">
        <x:v>READY</x:v>
      </x:c>
    </x:row>
    <x:row r="49">
      <x:c r="A49" s="18" t="str">
        <x:v>NYT-47-bb7d497c51430ace</x:v>
      </x:c>
      <x:c r="B49" s="18" t="str">
        <x:v>In the matter of STANDARD MOTOCORP PRIVATE LIMITED [C.P. (IB)/93/MP/2023]</x:v>
      </x:c>
      <x:c r="C49" s="18" t="str">
        <x:v>2026-07-28</x:v>
      </x:c>
      <x:c r="D49" s="18" t="n">
        <x:v>2026</x:v>
      </x:c>
      <x:c r="E49" s="18" t="str">
        <x:v>2026-07</x:v>
      </x:c>
      <x:c r="F49" s="18" t="str"/>
      <x:c r="G49" s="18" t="str"/>
      <x:c r="H49" s="18" t="str"/>
      <x:c r="I49" s="18" t="str">
        <x:v>STANDARD MOTOCORP PRIVATE LIMITED</x:v>
      </x:c>
      <x:c r="J49" s="20" t="str"/>
      <x:c r="K49" s="18" t="str"/>
      <x:c r="L49" s="18" t="str">
        <x:v>In the matter of STANDARD MOTOCORP PRIVATE LIMITED [C.P. (IB)/93/MP/2023]</x:v>
      </x:c>
      <x:c r="M49" s="18" t="str">
        <x:v>2026-07-28</x:v>
      </x:c>
      <x:c r="N49" s="18" t="str">
        <x:v>STANDARD MOTOCORP PRIVATE LIMITED</x:v>
      </x:c>
      <x:c r="O49" s="18" t="str">
        <x:v>nclt_l2d8ph</x:v>
      </x:c>
      <x:c r="P49" s="18" t="str"/>
      <x:c r="Q49" s="18" t="str"/>
      <x:c r="R49" s="18" t="str"/>
      <x:c r="S49" s="18" t="str"/>
      <x:c r="T49" s="18" t="str"/>
      <x:c r="U49" s="18" t="str">
        <x:v>Admission - Final Order</x:v>
      </x:c>
      <x:c r="V49" s="18" t="str">
        <x:v>DEFINED_TERMINAL_OR_FEED_SCOPE</x:v>
      </x:c>
      <x:c r="W49" s="18" t="str">
        <x:v>judiciary_nclt_orders.json — published records loaded</x:v>
      </x:c>
      <x:c r="X49" s="18" t="str"/>
      <x:c r="Y49" s="18" t="str"/>
      <x:c r="Z49" s="20" t="n">
        <x:v>434</x:v>
      </x:c>
      <x:c r="AA49" s="19" t="n">
        <x:f>IFERROR(TODAY()-DATEVALUE(C49),"")</x:f>
        <x:v>44</x:v>
      </x:c>
      <x:c r="AB49" s="21" t="n">
        <x:f>ROUND(COUNTA(A49:K49)/11*100,0)</x:f>
        <x:v>100</x:v>
      </x:c>
      <x:c r="AC49" s="18" t="str">
        <x:v>National Company Law Tribunal</x:v>
      </x:c>
      <x:c r="AD49" s="22" t="str">
        <x:v>https://ibbi.gov.in/uploads/order/0a75639b38a5b181cd853a3fce71d3ae.pdf</x:v>
      </x:c>
      <x:c r="AE49" s="18" t="str">
        <x:v>2026-07-28</x:v>
      </x:c>
      <x:c r="AF49" s="18" t="n">
        <x:v>46275.114583333336</x:v>
      </x:c>
      <x:c r="AG49" s="18" t="str">
        <x:v>retained_terminal</x:v>
      </x:c>
      <x:c r="AH49" s="18" t="str">
        <x:v>READY</x:v>
      </x:c>
    </x:row>
    <x:row r="50">
      <x:c r="A50" s="18" t="str">
        <x:v>NYT-47-89b9c25f62c50c05</x:v>
      </x:c>
      <x:c r="B50" s="18" t="str">
        <x:v>In the matter of VELEX LOGISTICS PRIVATE LIMITED [C.P. (IB)/99(MB)2026 ]</x:v>
      </x:c>
      <x:c r="C50" s="18" t="str">
        <x:v>2026-07-28</x:v>
      </x:c>
      <x:c r="D50" s="18" t="n">
        <x:v>2026</x:v>
      </x:c>
      <x:c r="E50" s="18" t="str">
        <x:v>2026-07</x:v>
      </x:c>
      <x:c r="F50" s="18" t="str"/>
      <x:c r="G50" s="18" t="str"/>
      <x:c r="H50" s="18" t="str"/>
      <x:c r="I50" s="18" t="str">
        <x:v>VELEX LOGISTICS PRIVATE LIMITED</x:v>
      </x:c>
      <x:c r="J50" s="20" t="str"/>
      <x:c r="K50" s="18" t="str"/>
      <x:c r="L50" s="18" t="str">
        <x:v>In the matter of VELEX LOGISTICS PRIVATE LIMITED [C.P. (IB)/99(MB)2026 ]</x:v>
      </x:c>
      <x:c r="M50" s="18" t="str">
        <x:v>2026-07-28</x:v>
      </x:c>
      <x:c r="N50" s="18" t="str">
        <x:v>VELEX LOGISTICS PRIVATE LIMITED</x:v>
      </x:c>
      <x:c r="O50" s="18" t="str">
        <x:v>nclt_9w7tz4</x:v>
      </x:c>
      <x:c r="P50" s="18" t="str"/>
      <x:c r="Q50" s="18" t="str"/>
      <x:c r="R50" s="18" t="str"/>
      <x:c r="S50" s="18" t="str"/>
      <x:c r="T50" s="18" t="str"/>
      <x:c r="U50" s="18" t="str">
        <x:v>Admission - Final Order</x:v>
      </x:c>
      <x:c r="V50" s="18" t="str">
        <x:v>DEFINED_TERMINAL_OR_FEED_SCOPE</x:v>
      </x:c>
      <x:c r="W50" s="18" t="str">
        <x:v>judiciary_nclt_orders.json — published records loaded</x:v>
      </x:c>
      <x:c r="X50" s="18" t="str"/>
      <x:c r="Y50" s="18" t="str"/>
      <x:c r="Z50" s="20" t="n">
        <x:v>434</x:v>
      </x:c>
      <x:c r="AA50" s="19" t="n">
        <x:f>IFERROR(TODAY()-DATEVALUE(C50),"")</x:f>
        <x:v>44</x:v>
      </x:c>
      <x:c r="AB50" s="21" t="n">
        <x:f>ROUND(COUNTA(A50:K50)/11*100,0)</x:f>
        <x:v>100</x:v>
      </x:c>
      <x:c r="AC50" s="18" t="str">
        <x:v>National Company Law Tribunal</x:v>
      </x:c>
      <x:c r="AD50" s="22" t="str">
        <x:v>https://ibbi.gov.in/uploads/order/74b1d03d04ff114f7964422dc4affab1.pdf</x:v>
      </x:c>
      <x:c r="AE50" s="18" t="str">
        <x:v>2026-07-28</x:v>
      </x:c>
      <x:c r="AF50" s="18" t="n">
        <x:v>46275.114583333336</x:v>
      </x:c>
      <x:c r="AG50" s="18" t="str">
        <x:v>retained_terminal</x:v>
      </x:c>
      <x:c r="AH50" s="18" t="str">
        <x:v>READY</x:v>
      </x:c>
    </x:row>
    <x:row r="51">
      <x:c r="A51" s="18" t="str">
        <x:v>NYT-47-affcfd8623b9b24f</x:v>
      </x:c>
      <x:c r="B51" s="18" t="str">
        <x:v>In the matter of SNEH EXPORTS PRIVATE LIMITED [C.P. (IB)-31/09/JPR/2026]</x:v>
      </x:c>
      <x:c r="C51" s="18" t="str">
        <x:v>2026-07-24</x:v>
      </x:c>
      <x:c r="D51" s="18" t="n">
        <x:v>2026</x:v>
      </x:c>
      <x:c r="E51" s="18" t="str">
        <x:v>2026-07</x:v>
      </x:c>
      <x:c r="F51" s="18" t="str"/>
      <x:c r="G51" s="18" t="str"/>
      <x:c r="H51" s="18" t="str"/>
      <x:c r="I51" s="18" t="str">
        <x:v>SNEH EXPORTS PRIVATE LIMITED</x:v>
      </x:c>
      <x:c r="J51" s="20" t="str"/>
      <x:c r="K51" s="18" t="str"/>
      <x:c r="L51" s="18" t="str">
        <x:v>In the matter of SNEH EXPORTS PRIVATE LIMITED [C.P. (IB)-31/09/JPR/2026]</x:v>
      </x:c>
      <x:c r="M51" s="18" t="str">
        <x:v>2026-07-24</x:v>
      </x:c>
      <x:c r="N51" s="18" t="str">
        <x:v>SNEH EXPORTS PRIVATE LIMITED</x:v>
      </x:c>
      <x:c r="O51" s="18" t="str">
        <x:v>nclt_l3cb23</x:v>
      </x:c>
      <x:c r="P51" s="18" t="str"/>
      <x:c r="Q51" s="18" t="str"/>
      <x:c r="R51" s="18" t="str"/>
      <x:c r="S51" s="18" t="str"/>
      <x:c r="T51" s="18" t="str"/>
      <x:c r="U51" s="18" t="str">
        <x:v>Admission - Final Order</x:v>
      </x:c>
      <x:c r="V51" s="18" t="str">
        <x:v>DEFINED_TERMINAL_OR_FEED_SCOPE</x:v>
      </x:c>
      <x:c r="W51" s="18" t="str">
        <x:v>judiciary_nclt_orders.json — published records loaded</x:v>
      </x:c>
      <x:c r="X51" s="18" t="str"/>
      <x:c r="Y51" s="18" t="str"/>
      <x:c r="Z51" s="20" t="n">
        <x:v>434</x:v>
      </x:c>
      <x:c r="AA51" s="19" t="n">
        <x:f>IFERROR(TODAY()-DATEVALUE(C51),"")</x:f>
        <x:v>48</x:v>
      </x:c>
      <x:c r="AB51" s="21" t="n">
        <x:f>ROUND(COUNTA(A51:K51)/11*100,0)</x:f>
        <x:v>100</x:v>
      </x:c>
      <x:c r="AC51" s="18" t="str">
        <x:v>National Company Law Tribunal</x:v>
      </x:c>
      <x:c r="AD51" s="22" t="str">
        <x:v>https://ibbi.gov.in/uploads/order/2026-07-27-110559-a32h8-1e8f9756a3d48ba467ead4b30f44e5c5.pdf</x:v>
      </x:c>
      <x:c r="AE51" s="18" t="str">
        <x:v>2026-07-24</x:v>
      </x:c>
      <x:c r="AF51" s="18" t="n">
        <x:v>46275.114583333336</x:v>
      </x:c>
      <x:c r="AG51" s="18" t="str">
        <x:v>retained_terminal</x:v>
      </x:c>
      <x:c r="AH51" s="18" t="str">
        <x:v>READY</x:v>
      </x:c>
    </x:row>
    <x:row r="52">
      <x:c r="A52" s="18" t="str">
        <x:v>NYT-47-f1eb8bab6ee48476</x:v>
      </x:c>
      <x:c r="B52" s="18" t="str">
        <x:v>In the matter of AAKRITI LANDCON PRIVATE LIMITED [C.P. (IB)/14/JPR/2026]</x:v>
      </x:c>
      <x:c r="C52" s="18" t="str">
        <x:v>2026-07-24</x:v>
      </x:c>
      <x:c r="D52" s="18" t="n">
        <x:v>2026</x:v>
      </x:c>
      <x:c r="E52" s="18" t="str">
        <x:v>2026-07</x:v>
      </x:c>
      <x:c r="F52" s="18" t="str"/>
      <x:c r="G52" s="18" t="str"/>
      <x:c r="H52" s="18" t="str"/>
      <x:c r="I52" s="18" t="str">
        <x:v>AAKRITI LANDCON PRIVATE LIMITED</x:v>
      </x:c>
      <x:c r="J52" s="20" t="str"/>
      <x:c r="K52" s="18" t="str"/>
      <x:c r="L52" s="18" t="str">
        <x:v>In the matter of AAKRITI LANDCON PRIVATE LIMITED [C.P. (IB)/14/JPR/2026]</x:v>
      </x:c>
      <x:c r="M52" s="18" t="str">
        <x:v>2026-07-24</x:v>
      </x:c>
      <x:c r="N52" s="18" t="str">
        <x:v>AAKRITI LANDCON PRIVATE LIMITED</x:v>
      </x:c>
      <x:c r="O52" s="18" t="str">
        <x:v>nclt_e53u9q</x:v>
      </x:c>
      <x:c r="P52" s="18" t="str"/>
      <x:c r="Q52" s="18" t="str"/>
      <x:c r="R52" s="18" t="str"/>
      <x:c r="S52" s="18" t="str"/>
      <x:c r="T52" s="18" t="str"/>
      <x:c r="U52" s="18" t="str">
        <x:v>Admission - Final Order</x:v>
      </x:c>
      <x:c r="V52" s="18" t="str">
        <x:v>DEFINED_TERMINAL_OR_FEED_SCOPE</x:v>
      </x:c>
      <x:c r="W52" s="18" t="str">
        <x:v>judiciary_nclt_orders.json — published records loaded</x:v>
      </x:c>
      <x:c r="X52" s="18" t="str"/>
      <x:c r="Y52" s="18" t="str"/>
      <x:c r="Z52" s="20" t="n">
        <x:v>434</x:v>
      </x:c>
      <x:c r="AA52" s="19" t="n">
        <x:f>IFERROR(TODAY()-DATEVALUE(C52),"")</x:f>
        <x:v>48</x:v>
      </x:c>
      <x:c r="AB52" s="21" t="n">
        <x:f>ROUND(COUNTA(A52:K52)/11*100,0)</x:f>
        <x:v>100</x:v>
      </x:c>
      <x:c r="AC52" s="18" t="str">
        <x:v>National Company Law Tribunal</x:v>
      </x:c>
      <x:c r="AD52" s="22" t="str">
        <x:v>https://ibbi.gov.in/uploads/order/2026-07-27-131855-4gcuo-2d4d93b3c9245cb9720088f3aa8cb767.pdf</x:v>
      </x:c>
      <x:c r="AE52" s="18" t="str">
        <x:v>2026-07-24</x:v>
      </x:c>
      <x:c r="AF52" s="18" t="n">
        <x:v>46275.114583333336</x:v>
      </x:c>
      <x:c r="AG52" s="18" t="str">
        <x:v>retained_terminal</x:v>
      </x:c>
      <x:c r="AH52" s="18" t="str">
        <x:v>READY</x:v>
      </x:c>
    </x:row>
    <x:row r="53">
      <x:c r="A53" s="18" t="str">
        <x:v>NYT-47-54cab45ea0992c04</x:v>
      </x:c>
      <x:c r="B53" s="18" t="str">
        <x:v>In the matter of NEXTGEN TEXTILE PARK PRIVATE LIMITED [IB-534/ND/2025 ]</x:v>
      </x:c>
      <x:c r="C53" s="18" t="str">
        <x:v>2026-07-23</x:v>
      </x:c>
      <x:c r="D53" s="18" t="n">
        <x:v>2026</x:v>
      </x:c>
      <x:c r="E53" s="18" t="str">
        <x:v>2026-07</x:v>
      </x:c>
      <x:c r="F53" s="18" t="str"/>
      <x:c r="G53" s="18" t="str"/>
      <x:c r="H53" s="18" t="str"/>
      <x:c r="I53" s="18" t="str">
        <x:v>NEXTGEN TEXTILE PARK PRIVATE LIMITED</x:v>
      </x:c>
      <x:c r="J53" s="20" t="str"/>
      <x:c r="K53" s="18" t="str"/>
      <x:c r="L53" s="18" t="str">
        <x:v>In the matter of NEXTGEN TEXTILE PARK PRIVATE LIMITED [IB-534/ND/2025 ]</x:v>
      </x:c>
      <x:c r="M53" s="18" t="str">
        <x:v>2026-07-23</x:v>
      </x:c>
      <x:c r="N53" s="18" t="str">
        <x:v>NEXTGEN TEXTILE PARK PRIVATE LIMITED</x:v>
      </x:c>
      <x:c r="O53" s="18" t="str">
        <x:v>nclt_y1c64t</x:v>
      </x:c>
      <x:c r="P53" s="18" t="str"/>
      <x:c r="Q53" s="18" t="str"/>
      <x:c r="R53" s="18" t="str"/>
      <x:c r="S53" s="18" t="str"/>
      <x:c r="T53" s="18" t="str"/>
      <x:c r="U53" s="18" t="str">
        <x:v>Admission - Final Order</x:v>
      </x:c>
      <x:c r="V53" s="18" t="str">
        <x:v>DEFINED_TERMINAL_OR_FEED_SCOPE</x:v>
      </x:c>
      <x:c r="W53" s="18" t="str">
        <x:v>judiciary_nclt_orders.json — published records loaded</x:v>
      </x:c>
      <x:c r="X53" s="18" t="str"/>
      <x:c r="Y53" s="18" t="str"/>
      <x:c r="Z53" s="20" t="n">
        <x:v>434</x:v>
      </x:c>
      <x:c r="AA53" s="19" t="n">
        <x:f>IFERROR(TODAY()-DATEVALUE(C53),"")</x:f>
        <x:v>49</x:v>
      </x:c>
      <x:c r="AB53" s="21" t="n">
        <x:f>ROUND(COUNTA(A53:K53)/11*100,0)</x:f>
        <x:v>100</x:v>
      </x:c>
      <x:c r="AC53" s="18" t="str">
        <x:v>National Company Law Tribunal</x:v>
      </x:c>
      <x:c r="AD53" s="22" t="str">
        <x:v>https://ibbi.gov.in/uploads/order/009c4bc7ed60c0ece3663835fb536cd4.pdf</x:v>
      </x:c>
      <x:c r="AE53" s="18" t="str">
        <x:v>2026-07-23</x:v>
      </x:c>
      <x:c r="AF53" s="18" t="n">
        <x:v>46275.114583333336</x:v>
      </x:c>
      <x:c r="AG53" s="18" t="str">
        <x:v>retained_terminal</x:v>
      </x:c>
      <x:c r="AH53" s="18" t="str">
        <x:v>READY</x:v>
      </x:c>
    </x:row>
    <x:row r="54">
      <x:c r="A54" s="18" t="str">
        <x:v>NYT-47-63df4ed5138cda6a</x:v>
      </x:c>
      <x:c r="B54" s="18" t="str">
        <x:v>In the matter of AMARJYOTIUNIVERSE NIDHI LIMITED [C.P. (IB)/67/ALD/2025]</x:v>
      </x:c>
      <x:c r="C54" s="18" t="str">
        <x:v>2026-07-23</x:v>
      </x:c>
      <x:c r="D54" s="18" t="n">
        <x:v>2026</x:v>
      </x:c>
      <x:c r="E54" s="18" t="str">
        <x:v>2026-07</x:v>
      </x:c>
      <x:c r="F54" s="18" t="str"/>
      <x:c r="G54" s="18" t="str"/>
      <x:c r="H54" s="18" t="str"/>
      <x:c r="I54" s="18" t="str">
        <x:v>AMARJYOTIUNIVERSE NIDHI LIMITED</x:v>
      </x:c>
      <x:c r="J54" s="20" t="str"/>
      <x:c r="K54" s="18" t="str"/>
      <x:c r="L54" s="18" t="str">
        <x:v>In the matter of AMARJYOTIUNIVERSE NIDHI LIMITED [C.P. (IB)/67/ALD/2025]</x:v>
      </x:c>
      <x:c r="M54" s="18" t="str">
        <x:v>2026-07-23</x:v>
      </x:c>
      <x:c r="N54" s="18" t="str">
        <x:v>AMARJYOTIUNIVERSE NIDHI LIMITED</x:v>
      </x:c>
      <x:c r="O54" s="18" t="str">
        <x:v>nclt_blyjs1</x:v>
      </x:c>
      <x:c r="P54" s="18" t="str"/>
      <x:c r="Q54" s="18" t="str"/>
      <x:c r="R54" s="18" t="str"/>
      <x:c r="S54" s="18" t="str"/>
      <x:c r="T54" s="18" t="str"/>
      <x:c r="U54" s="18" t="str">
        <x:v>Admission - Final Order</x:v>
      </x:c>
      <x:c r="V54" s="18" t="str">
        <x:v>DEFINED_TERMINAL_OR_FEED_SCOPE</x:v>
      </x:c>
      <x:c r="W54" s="18" t="str">
        <x:v>judiciary_nclt_orders.json — published records loaded</x:v>
      </x:c>
      <x:c r="X54" s="18" t="str"/>
      <x:c r="Y54" s="18" t="str"/>
      <x:c r="Z54" s="20" t="n">
        <x:v>434</x:v>
      </x:c>
      <x:c r="AA54" s="19" t="n">
        <x:f>IFERROR(TODAY()-DATEVALUE(C54),"")</x:f>
        <x:v>49</x:v>
      </x:c>
      <x:c r="AB54" s="21" t="n">
        <x:f>ROUND(COUNTA(A54:K54)/11*100,0)</x:f>
        <x:v>100</x:v>
      </x:c>
      <x:c r="AC54" s="18" t="str">
        <x:v>National Company Law Tribunal</x:v>
      </x:c>
      <x:c r="AD54" s="22" t="str">
        <x:v>https://ibbi.gov.in/uploads/order/2026-08-06-135740-0yti3-391a9df39b41d87f02ba99c1ff8b0e2e.pdf</x:v>
      </x:c>
      <x:c r="AE54" s="18" t="str">
        <x:v>2026-07-23</x:v>
      </x:c>
      <x:c r="AF54" s="18" t="n">
        <x:v>46275.114583333336</x:v>
      </x:c>
      <x:c r="AG54" s="18" t="str">
        <x:v>retained_terminal</x:v>
      </x:c>
      <x:c r="AH54" s="18" t="str">
        <x:v>READY</x:v>
      </x:c>
    </x:row>
    <x:row r="55">
      <x:c r="A55" s="18" t="str">
        <x:v>NYT-47-551a65ba94768b41</x:v>
      </x:c>
      <x:c r="B55" s="18" t="str">
        <x:v>In the matter of NOEL PHARMA (INDIA) PRIVATE LIMITED [Company Petition IB/12/7/HDB/2025]</x:v>
      </x:c>
      <x:c r="C55" s="18" t="str">
        <x:v>2026-07-23</x:v>
      </x:c>
      <x:c r="D55" s="18" t="n">
        <x:v>2026</x:v>
      </x:c>
      <x:c r="E55" s="18" t="str">
        <x:v>2026-07</x:v>
      </x:c>
      <x:c r="F55" s="18" t="str"/>
      <x:c r="G55" s="18" t="str"/>
      <x:c r="H55" s="18" t="str"/>
      <x:c r="I55" s="18" t="str">
        <x:v>NOEL PHARMA (INDIA) PRIVATE LIMITED</x:v>
      </x:c>
      <x:c r="J55" s="20" t="str"/>
      <x:c r="K55" s="18" t="str"/>
      <x:c r="L55" s="18" t="str">
        <x:v>In the matter of NOEL PHARMA (INDIA) PRIVATE LIMITED [Company Petition IB/12/7/HDB/2025]</x:v>
      </x:c>
      <x:c r="M55" s="18" t="str">
        <x:v>2026-07-23</x:v>
      </x:c>
      <x:c r="N55" s="18" t="str">
        <x:v>NOEL PHARMA (INDIA) PRIVATE LIMITED</x:v>
      </x:c>
      <x:c r="O55" s="18" t="str">
        <x:v>nclt_1t1ygjz</x:v>
      </x:c>
      <x:c r="P55" s="18" t="str"/>
      <x:c r="Q55" s="18" t="str"/>
      <x:c r="R55" s="18" t="str"/>
      <x:c r="S55" s="18" t="str"/>
      <x:c r="T55" s="18" t="str"/>
      <x:c r="U55" s="18" t="str">
        <x:v>Admission - Final Order</x:v>
      </x:c>
      <x:c r="V55" s="18" t="str">
        <x:v>DEFINED_TERMINAL_OR_FEED_SCOPE</x:v>
      </x:c>
      <x:c r="W55" s="18" t="str">
        <x:v>judiciary_nclt_orders.json — published records loaded</x:v>
      </x:c>
      <x:c r="X55" s="18" t="str"/>
      <x:c r="Y55" s="18" t="str"/>
      <x:c r="Z55" s="20" t="n">
        <x:v>434</x:v>
      </x:c>
      <x:c r="AA55" s="19" t="n">
        <x:f>IFERROR(TODAY()-DATEVALUE(C55),"")</x:f>
        <x:v>49</x:v>
      </x:c>
      <x:c r="AB55" s="21" t="n">
        <x:f>ROUND(COUNTA(A55:K55)/11*100,0)</x:f>
        <x:v>100</x:v>
      </x:c>
      <x:c r="AC55" s="18" t="str">
        <x:v>National Company Law Tribunal</x:v>
      </x:c>
      <x:c r="AD55" s="22" t="str">
        <x:v>https://ibbi.gov.in/uploads/order/79bccc60213dcb058bcfd7c2db1eb086.pdf</x:v>
      </x:c>
      <x:c r="AE55" s="18" t="str">
        <x:v>2026-07-23</x:v>
      </x:c>
      <x:c r="AF55" s="18" t="n">
        <x:v>46275.114583333336</x:v>
      </x:c>
      <x:c r="AG55" s="18" t="str">
        <x:v>retained_terminal</x:v>
      </x:c>
      <x:c r="AH55" s="18" t="str">
        <x:v>READY</x:v>
      </x:c>
    </x:row>
    <x:row r="56">
      <x:c r="A56" s="18" t="str">
        <x:v>NYT-47-f0936e129bbe7cf9</x:v>
      </x:c>
      <x:c r="B56" s="18" t="str">
        <x:v>In the matter of KASHYAPI INFRASTRUCTURE PRIVATE LIMITED [Company Petition (IB) No. 375 of 2025]</x:v>
      </x:c>
      <x:c r="C56" s="18" t="str">
        <x:v>2026-07-23</x:v>
      </x:c>
      <x:c r="D56" s="18" t="n">
        <x:v>2026</x:v>
      </x:c>
      <x:c r="E56" s="18" t="str">
        <x:v>2026-07</x:v>
      </x:c>
      <x:c r="F56" s="18" t="str"/>
      <x:c r="G56" s="18" t="str"/>
      <x:c r="H56" s="18" t="str"/>
      <x:c r="I56" s="18" t="str">
        <x:v>KASHYAPI INFRASTRUCTURE PRIVATE LIMITED</x:v>
      </x:c>
      <x:c r="J56" s="20" t="str"/>
      <x:c r="K56" s="18" t="str"/>
      <x:c r="L56" s="18" t="str">
        <x:v>In the matter of KASHYAPI INFRASTRUCTURE PRIVATE LIMITED [Company Petition (IB) No. 375 of 2025]</x:v>
      </x:c>
      <x:c r="M56" s="18" t="str">
        <x:v>2026-07-23</x:v>
      </x:c>
      <x:c r="N56" s="18" t="str">
        <x:v>KASHYAPI INFRASTRUCTURE PRIVATE LIMITED</x:v>
      </x:c>
      <x:c r="O56" s="18" t="str">
        <x:v>nclt_19cd3sa</x:v>
      </x:c>
      <x:c r="P56" s="18" t="str"/>
      <x:c r="Q56" s="18" t="str"/>
      <x:c r="R56" s="18" t="str"/>
      <x:c r="S56" s="18" t="str"/>
      <x:c r="T56" s="18" t="str"/>
      <x:c r="U56" s="18" t="str">
        <x:v>Admission - Final Order</x:v>
      </x:c>
      <x:c r="V56" s="18" t="str">
        <x:v>DEFINED_TERMINAL_OR_FEED_SCOPE</x:v>
      </x:c>
      <x:c r="W56" s="18" t="str">
        <x:v>judiciary_nclt_orders.json — published records loaded</x:v>
      </x:c>
      <x:c r="X56" s="18" t="str"/>
      <x:c r="Y56" s="18" t="str"/>
      <x:c r="Z56" s="20" t="n">
        <x:v>434</x:v>
      </x:c>
      <x:c r="AA56" s="19" t="n">
        <x:f>IFERROR(TODAY()-DATEVALUE(C56),"")</x:f>
        <x:v>49</x:v>
      </x:c>
      <x:c r="AB56" s="21" t="n">
        <x:f>ROUND(COUNTA(A56:K56)/11*100,0)</x:f>
        <x:v>100</x:v>
      </x:c>
      <x:c r="AC56" s="18" t="str">
        <x:v>National Company Law Tribunal</x:v>
      </x:c>
      <x:c r="AD56" s="22" t="str">
        <x:v>https://ibbi.gov.in/uploads/order/9bba01ba52d253ce98dbad9e48fdfbfb.pdf</x:v>
      </x:c>
      <x:c r="AE56" s="18" t="str">
        <x:v>2026-07-23</x:v>
      </x:c>
      <x:c r="AF56" s="18" t="n">
        <x:v>46275.114583333336</x:v>
      </x:c>
      <x:c r="AG56" s="18" t="str">
        <x:v>retained_terminal</x:v>
      </x:c>
      <x:c r="AH56" s="18" t="str">
        <x:v>READY</x:v>
      </x:c>
    </x:row>
    <x:row r="57">
      <x:c r="A57" s="18" t="str">
        <x:v>NYT-47-f890db528ca58dcb</x:v>
      </x:c>
      <x:c r="B57" s="18" t="str">
        <x:v>In the matter of ALLFLEX PLASTIC LLP [C.P. (IB) NO. 26/KB/2026]</x:v>
      </x:c>
      <x:c r="C57" s="18" t="str">
        <x:v>2026-07-23</x:v>
      </x:c>
      <x:c r="D57" s="18" t="n">
        <x:v>2026</x:v>
      </x:c>
      <x:c r="E57" s="18" t="str">
        <x:v>2026-07</x:v>
      </x:c>
      <x:c r="F57" s="18" t="str"/>
      <x:c r="G57" s="18" t="str"/>
      <x:c r="H57" s="18" t="str"/>
      <x:c r="I57" s="18" t="str">
        <x:v>ALLFLEX PLASTIC LLP</x:v>
      </x:c>
      <x:c r="J57" s="20" t="str"/>
      <x:c r="K57" s="18" t="str"/>
      <x:c r="L57" s="18" t="str">
        <x:v>In the matter of ALLFLEX PLASTIC LLP [C.P. (IB) NO. 26/KB/2026]</x:v>
      </x:c>
      <x:c r="M57" s="18" t="str">
        <x:v>2026-07-23</x:v>
      </x:c>
      <x:c r="N57" s="18" t="str">
        <x:v>ALLFLEX PLASTIC LLP</x:v>
      </x:c>
      <x:c r="O57" s="18" t="str">
        <x:v>nclt_1kzdhen</x:v>
      </x:c>
      <x:c r="P57" s="18" t="str"/>
      <x:c r="Q57" s="18" t="str"/>
      <x:c r="R57" s="18" t="str"/>
      <x:c r="S57" s="18" t="str"/>
      <x:c r="T57" s="18" t="str"/>
      <x:c r="U57" s="18" t="str">
        <x:v>Admission - Final Order</x:v>
      </x:c>
      <x:c r="V57" s="18" t="str">
        <x:v>DEFINED_TERMINAL_OR_FEED_SCOPE</x:v>
      </x:c>
      <x:c r="W57" s="18" t="str">
        <x:v>judiciary_nclt_orders.json — published records loaded</x:v>
      </x:c>
      <x:c r="X57" s="18" t="str"/>
      <x:c r="Y57" s="18" t="str"/>
      <x:c r="Z57" s="20" t="n">
        <x:v>434</x:v>
      </x:c>
      <x:c r="AA57" s="19" t="n">
        <x:f>IFERROR(TODAY()-DATEVALUE(C57),"")</x:f>
        <x:v>49</x:v>
      </x:c>
      <x:c r="AB57" s="21" t="n">
        <x:f>ROUND(COUNTA(A57:K57)/11*100,0)</x:f>
        <x:v>100</x:v>
      </x:c>
      <x:c r="AC57" s="18" t="str">
        <x:v>National Company Law Tribunal</x:v>
      </x:c>
      <x:c r="AD57" s="22" t="str">
        <x:v>https://ibbi.gov.in/uploads/order/2026-07-30-170741-gmx24-d1e58e9f794ee0728fab250d53c5de99.pdf</x:v>
      </x:c>
      <x:c r="AE57" s="18" t="str">
        <x:v>2026-07-23</x:v>
      </x:c>
      <x:c r="AF57" s="18" t="n">
        <x:v>46275.114583333336</x:v>
      </x:c>
      <x:c r="AG57" s="18" t="str">
        <x:v>retained_terminal</x:v>
      </x:c>
      <x:c r="AH57" s="18" t="str">
        <x:v>READY</x:v>
      </x:c>
    </x:row>
    <x:row r="58">
      <x:c r="A58" s="18" t="str">
        <x:v>NYT-47-0a5ca51be0570e3c</x:v>
      </x:c>
      <x:c r="B58" s="18" t="str">
        <x:v>In the matter of EPIC YARNS PRIVATE LIMITED [C.P. (IB)/898/MB/2025]</x:v>
      </x:c>
      <x:c r="C58" s="18" t="str">
        <x:v>2026-07-23</x:v>
      </x:c>
      <x:c r="D58" s="18" t="n">
        <x:v>2026</x:v>
      </x:c>
      <x:c r="E58" s="18" t="str">
        <x:v>2026-07</x:v>
      </x:c>
      <x:c r="F58" s="18" t="str"/>
      <x:c r="G58" s="18" t="str"/>
      <x:c r="H58" s="18" t="str"/>
      <x:c r="I58" s="18" t="str">
        <x:v>EPIC YARNS PRIVATE LIMITED</x:v>
      </x:c>
      <x:c r="J58" s="20" t="str"/>
      <x:c r="K58" s="18" t="str"/>
      <x:c r="L58" s="18" t="str">
        <x:v>In the matter of EPIC YARNS PRIVATE LIMITED [C.P. (IB)/898/MB/2025]</x:v>
      </x:c>
      <x:c r="M58" s="18" t="str">
        <x:v>2026-07-23</x:v>
      </x:c>
      <x:c r="N58" s="18" t="str">
        <x:v>EPIC YARNS PRIVATE LIMITED</x:v>
      </x:c>
      <x:c r="O58" s="18" t="str">
        <x:v>nclt_vy48so</x:v>
      </x:c>
      <x:c r="P58" s="18" t="str"/>
      <x:c r="Q58" s="18" t="str"/>
      <x:c r="R58" s="18" t="str"/>
      <x:c r="S58" s="18" t="str"/>
      <x:c r="T58" s="18" t="str"/>
      <x:c r="U58" s="18" t="str">
        <x:v>Admission - Final Order</x:v>
      </x:c>
      <x:c r="V58" s="18" t="str">
        <x:v>DEFINED_TERMINAL_OR_FEED_SCOPE</x:v>
      </x:c>
      <x:c r="W58" s="18" t="str">
        <x:v>judiciary_nclt_orders.json — published records loaded</x:v>
      </x:c>
      <x:c r="X58" s="18" t="str"/>
      <x:c r="Y58" s="18" t="str"/>
      <x:c r="Z58" s="20" t="n">
        <x:v>434</x:v>
      </x:c>
      <x:c r="AA58" s="19" t="n">
        <x:f>IFERROR(TODAY()-DATEVALUE(C58),"")</x:f>
        <x:v>49</x:v>
      </x:c>
      <x:c r="AB58" s="21" t="n">
        <x:f>ROUND(COUNTA(A58:K58)/11*100,0)</x:f>
        <x:v>100</x:v>
      </x:c>
      <x:c r="AC58" s="18" t="str">
        <x:v>National Company Law Tribunal</x:v>
      </x:c>
      <x:c r="AD58" s="22" t="str">
        <x:v>https://ibbi.gov.in/uploads/order/a5ba341aafc5fe4e65e7d60b6f796836.pdf</x:v>
      </x:c>
      <x:c r="AE58" s="18" t="str">
        <x:v>2026-07-23</x:v>
      </x:c>
      <x:c r="AF58" s="18" t="n">
        <x:v>46275.114583333336</x:v>
      </x:c>
      <x:c r="AG58" s="18" t="str">
        <x:v>retained_terminal</x:v>
      </x:c>
      <x:c r="AH58" s="18" t="str">
        <x:v>READY</x:v>
      </x:c>
    </x:row>
    <x:row r="59">
      <x:c r="A59" s="18" t="str">
        <x:v>NYT-47-2623b2c12dc0f130</x:v>
      </x:c>
      <x:c r="B59" s="18" t="str">
        <x:v>In the matter of SUPREME BEST VALUE KOLHAPUR(SHIROLI) SANGLI TOLLWAYS PRIVATE LIMITED [IA(I.B.C)/3054/MB/2026]</x:v>
      </x:c>
      <x:c r="C59" s="18" t="str">
        <x:v>2026-07-23</x:v>
      </x:c>
      <x:c r="D59" s="18" t="n">
        <x:v>2026</x:v>
      </x:c>
      <x:c r="E59" s="18" t="str">
        <x:v>2026-07</x:v>
      </x:c>
      <x:c r="F59" s="18" t="str"/>
      <x:c r="G59" s="18" t="str"/>
      <x:c r="H59" s="18" t="str"/>
      <x:c r="I59" s="18" t="str">
        <x:v>SUPREME BEST VALUE KOLHAPUR(SHIROLI) SANGLI TOLLWAYS PRIVATE LIMITED</x:v>
      </x:c>
      <x:c r="J59" s="20" t="str"/>
      <x:c r="K59" s="18" t="str"/>
      <x:c r="L59" s="18" t="str">
        <x:v>In the matter of SUPREME BEST VALUE KOLHAPUR(SHIROLI) SANGLI TOLLWAYS PRIVATE LIMITED [IA(I.B.C)/3054/MB/2026]</x:v>
      </x:c>
      <x:c r="M59" s="18" t="str">
        <x:v>2026-07-23</x:v>
      </x:c>
      <x:c r="N59" s="18" t="str">
        <x:v>SUPREME BEST VALUE KOLHAPUR(SHIROLI) SANGLI TOLLWAYS PRIVATE LIMITED</x:v>
      </x:c>
      <x:c r="O59" s="18" t="str">
        <x:v>nclt_15g7vin</x:v>
      </x:c>
      <x:c r="P59" s="18" t="str"/>
      <x:c r="Q59" s="18" t="str"/>
      <x:c r="R59" s="18" t="str"/>
      <x:c r="S59" s="18" t="str"/>
      <x:c r="T59" s="18" t="str"/>
      <x:c r="U59" s="18" t="str">
        <x:v>Appointment - Appointment of Liquidator</x:v>
      </x:c>
      <x:c r="V59" s="18" t="str">
        <x:v>DEFINED_TERMINAL_OR_FEED_SCOPE</x:v>
      </x:c>
      <x:c r="W59" s="18" t="str">
        <x:v>judiciary_nclt_orders.json — published records loaded</x:v>
      </x:c>
      <x:c r="X59" s="18" t="str"/>
      <x:c r="Y59" s="18" t="str"/>
      <x:c r="Z59" s="20" t="n">
        <x:v>434</x:v>
      </x:c>
      <x:c r="AA59" s="19" t="n">
        <x:f>IFERROR(TODAY()-DATEVALUE(C59),"")</x:f>
        <x:v>49</x:v>
      </x:c>
      <x:c r="AB59" s="21" t="n">
        <x:f>ROUND(COUNTA(A59:K59)/11*100,0)</x:f>
        <x:v>100</x:v>
      </x:c>
      <x:c r="AC59" s="18" t="str">
        <x:v>National Company Law Tribunal</x:v>
      </x:c>
      <x:c r="AD59" s="22" t="str">
        <x:v>https://ibbi.gov.in/uploads/order/2026-07-31-182831-xdlnr-60e7d8a50e086d714471c5af53375374.pdf</x:v>
      </x:c>
      <x:c r="AE59" s="18" t="str">
        <x:v>2026-07-23</x:v>
      </x:c>
      <x:c r="AF59" s="18" t="n">
        <x:v>46275.114583333336</x:v>
      </x:c>
      <x:c r="AG59" s="18" t="str">
        <x:v>retained_terminal</x:v>
      </x:c>
      <x:c r="AH59" s="18" t="str">
        <x:v>READY</x:v>
      </x:c>
    </x:row>
    <x:row r="60">
      <x:c r="A60" s="18" t="str">
        <x:v>NYT-47-692db082c8610289</x:v>
      </x:c>
      <x:c r="B60" s="18" t="str">
        <x:v>In the matter of ASSOCIATED MACHINERY CORPORATION LIMITED [CP (IB) NO 101/ALD/2022]</x:v>
      </x:c>
      <x:c r="C60" s="18" t="str">
        <x:v>2026-07-22</x:v>
      </x:c>
      <x:c r="D60" s="18" t="n">
        <x:v>2026</x:v>
      </x:c>
      <x:c r="E60" s="18" t="str">
        <x:v>2026-07</x:v>
      </x:c>
      <x:c r="F60" s="18" t="str"/>
      <x:c r="G60" s="18" t="str"/>
      <x:c r="H60" s="18" t="str"/>
      <x:c r="I60" s="18" t="str">
        <x:v>ASSOCIATED MACHINERY CORPORATION LIMITED</x:v>
      </x:c>
      <x:c r="J60" s="20" t="str"/>
      <x:c r="K60" s="18" t="str"/>
      <x:c r="L60" s="18" t="str">
        <x:v>In the matter of ASSOCIATED MACHINERY CORPORATION LIMITED [CP (IB) NO 101/ALD/2022]</x:v>
      </x:c>
      <x:c r="M60" s="18" t="str">
        <x:v>2026-07-22</x:v>
      </x:c>
      <x:c r="N60" s="18" t="str">
        <x:v>ASSOCIATED MACHINERY CORPORATION LIMITED</x:v>
      </x:c>
      <x:c r="O60" s="18" t="str">
        <x:v>nclt_7yve0</x:v>
      </x:c>
      <x:c r="P60" s="18" t="str"/>
      <x:c r="Q60" s="18" t="str"/>
      <x:c r="R60" s="18" t="str"/>
      <x:c r="S60" s="18" t="str"/>
      <x:c r="T60" s="18" t="str"/>
      <x:c r="U60" s="18" t="str">
        <x:v>Admission - Final Order</x:v>
      </x:c>
      <x:c r="V60" s="18" t="str">
        <x:v>DEFINED_TERMINAL_OR_FEED_SCOPE</x:v>
      </x:c>
      <x:c r="W60" s="18" t="str">
        <x:v>judiciary_nclt_orders.json — published records loaded</x:v>
      </x:c>
      <x:c r="X60" s="18" t="str"/>
      <x:c r="Y60" s="18" t="str"/>
      <x:c r="Z60" s="20" t="n">
        <x:v>434</x:v>
      </x:c>
      <x:c r="AA60" s="19" t="n">
        <x:f>IFERROR(TODAY()-DATEVALUE(C60),"")</x:f>
        <x:v>50</x:v>
      </x:c>
      <x:c r="AB60" s="21" t="n">
        <x:f>ROUND(COUNTA(A60:K60)/11*100,0)</x:f>
        <x:v>100</x:v>
      </x:c>
      <x:c r="AC60" s="18" t="str">
        <x:v>National Company Law Tribunal</x:v>
      </x:c>
      <x:c r="AD60" s="22" t="str">
        <x:v>https://ibbi.gov.in/uploads/order/a95b97d3e4870ca9cd01fbd393dc2239.pdf</x:v>
      </x:c>
      <x:c r="AE60" s="18" t="str">
        <x:v>2026-07-22</x:v>
      </x:c>
      <x:c r="AF60" s="18" t="n">
        <x:v>46275.114583333336</x:v>
      </x:c>
      <x:c r="AG60" s="18" t="str">
        <x:v>retained_terminal</x:v>
      </x:c>
      <x:c r="AH60" s="18" t="str">
        <x:v>READY</x:v>
      </x:c>
    </x:row>
    <x:row r="61">
      <x:c r="A61" s="18" t="str">
        <x:v>NYT-47-a50456fa7d906635</x:v>
      </x:c>
      <x:c r="B61" s="18" t="str">
        <x:v>In the matter of KM TOLL ROAD PRIVATE LIMITED [C.P.(IB)-597(MB)/C-III/2024 ]</x:v>
      </x:c>
      <x:c r="C61" s="18" t="str">
        <x:v>2026-07-22</x:v>
      </x:c>
      <x:c r="D61" s="18" t="n">
        <x:v>2026</x:v>
      </x:c>
      <x:c r="E61" s="18" t="str">
        <x:v>2026-07</x:v>
      </x:c>
      <x:c r="F61" s="18" t="str"/>
      <x:c r="G61" s="18" t="str"/>
      <x:c r="H61" s="18" t="str"/>
      <x:c r="I61" s="18" t="str">
        <x:v>KM TOLL ROAD PRIVATE LIMITED</x:v>
      </x:c>
      <x:c r="J61" s="20" t="str"/>
      <x:c r="K61" s="18" t="str"/>
      <x:c r="L61" s="18" t="str">
        <x:v>In the matter of KM TOLL ROAD PRIVATE LIMITED [C.P.(IB)-597(MB)/C-III/2024 ]</x:v>
      </x:c>
      <x:c r="M61" s="18" t="str">
        <x:v>2026-07-22</x:v>
      </x:c>
      <x:c r="N61" s="18" t="str">
        <x:v>KM TOLL ROAD PRIVATE LIMITED</x:v>
      </x:c>
      <x:c r="O61" s="18" t="str">
        <x:v>nclt_1lwlqfh</x:v>
      </x:c>
      <x:c r="P61" s="18" t="str"/>
      <x:c r="Q61" s="18" t="str"/>
      <x:c r="R61" s="18" t="str"/>
      <x:c r="S61" s="18" t="str"/>
      <x:c r="T61" s="18" t="str"/>
      <x:c r="U61" s="18" t="str">
        <x:v>Admission - Final Order</x:v>
      </x:c>
      <x:c r="V61" s="18" t="str">
        <x:v>DEFINED_TERMINAL_OR_FEED_SCOPE</x:v>
      </x:c>
      <x:c r="W61" s="18" t="str">
        <x:v>judiciary_nclt_orders.json — published records loaded</x:v>
      </x:c>
      <x:c r="X61" s="18" t="str"/>
      <x:c r="Y61" s="18" t="str"/>
      <x:c r="Z61" s="20" t="n">
        <x:v>434</x:v>
      </x:c>
      <x:c r="AA61" s="19" t="n">
        <x:f>IFERROR(TODAY()-DATEVALUE(C61),"")</x:f>
        <x:v>50</x:v>
      </x:c>
      <x:c r="AB61" s="21" t="n">
        <x:f>ROUND(COUNTA(A61:K61)/11*100,0)</x:f>
        <x:v>100</x:v>
      </x:c>
      <x:c r="AC61" s="18" t="str">
        <x:v>National Company Law Tribunal</x:v>
      </x:c>
      <x:c r="AD61" s="22" t="str">
        <x:v>https://ibbi.gov.in/uploads/order/3f34b6ce76c8e9a5339032466caf5a66.pdf</x:v>
      </x:c>
      <x:c r="AE61" s="18" t="str">
        <x:v>2026-07-22</x:v>
      </x:c>
      <x:c r="AF61" s="18" t="n">
        <x:v>46275.114583333336</x:v>
      </x:c>
      <x:c r="AG61" s="18" t="str">
        <x:v>retained_terminal</x:v>
      </x:c>
      <x:c r="AH61" s="18" t="str">
        <x:v>READY</x:v>
      </x:c>
    </x:row>
    <x:row r="62">
      <x:c r="A62" s="18" t="str">
        <x:v>NYT-47-7ee9480e8a3ce9ae</x:v>
      </x:c>
      <x:c r="B62" s="18" t="str">
        <x:v>In the matter of SUPREME &amp; COMPANY PRIVATE LIMITED [C.P. (IB) NO. 70/KB/2023 ]</x:v>
      </x:c>
      <x:c r="C62" s="18" t="str">
        <x:v>2026-07-22</x:v>
      </x:c>
      <x:c r="D62" s="18" t="n">
        <x:v>2026</x:v>
      </x:c>
      <x:c r="E62" s="18" t="str">
        <x:v>2026-07</x:v>
      </x:c>
      <x:c r="F62" s="18" t="str"/>
      <x:c r="G62" s="18" t="str"/>
      <x:c r="H62" s="18" t="str"/>
      <x:c r="I62" s="18" t="str">
        <x:v>SUPREME &amp; COMPANY PRIVATE LIMITED</x:v>
      </x:c>
      <x:c r="J62" s="20" t="str"/>
      <x:c r="K62" s="18" t="str"/>
      <x:c r="L62" s="18" t="str">
        <x:v>In the matter of SUPREME &amp; COMPANY PRIVATE LIMITED [C.P. (IB) NO. 70/KB/2023 ]</x:v>
      </x:c>
      <x:c r="M62" s="18" t="str">
        <x:v>2026-07-22</x:v>
      </x:c>
      <x:c r="N62" s="18" t="str">
        <x:v>SUPREME &amp; COMPANY PRIVATE LIMITED</x:v>
      </x:c>
      <x:c r="O62" s="18" t="str">
        <x:v>nclt_1i2anz7</x:v>
      </x:c>
      <x:c r="P62" s="18" t="str"/>
      <x:c r="Q62" s="18" t="str"/>
      <x:c r="R62" s="18" t="str"/>
      <x:c r="S62" s="18" t="str"/>
      <x:c r="T62" s="18" t="str"/>
      <x:c r="U62" s="18" t="str">
        <x:v>Appointment - Appointment of Liquidator</x:v>
      </x:c>
      <x:c r="V62" s="18" t="str">
        <x:v>DEFINED_TERMINAL_OR_FEED_SCOPE</x:v>
      </x:c>
      <x:c r="W62" s="18" t="str">
        <x:v>judiciary_nclt_orders.json — published records loaded</x:v>
      </x:c>
      <x:c r="X62" s="18" t="str"/>
      <x:c r="Y62" s="18" t="str"/>
      <x:c r="Z62" s="20" t="n">
        <x:v>434</x:v>
      </x:c>
      <x:c r="AA62" s="19" t="n">
        <x:f>IFERROR(TODAY()-DATEVALUE(C62),"")</x:f>
        <x:v>50</x:v>
      </x:c>
      <x:c r="AB62" s="21" t="n">
        <x:f>ROUND(COUNTA(A62:K62)/11*100,0)</x:f>
        <x:v>100</x:v>
      </x:c>
      <x:c r="AC62" s="18" t="str">
        <x:v>National Company Law Tribunal</x:v>
      </x:c>
      <x:c r="AD62" s="22" t="str">
        <x:v>https://ibbi.gov.in/uploads/order/21bb348fbf2c5d38970a5dfc76307946.pdf</x:v>
      </x:c>
      <x:c r="AE62" s="18" t="str">
        <x:v>2026-07-22</x:v>
      </x:c>
      <x:c r="AF62" s="18" t="n">
        <x:v>46275.114583333336</x:v>
      </x:c>
      <x:c r="AG62" s="18" t="str">
        <x:v>retained_terminal</x:v>
      </x:c>
      <x:c r="AH62" s="18" t="str">
        <x:v>READY</x:v>
      </x:c>
    </x:row>
    <x:row r="63">
      <x:c r="A63" s="18" t="str">
        <x:v>NYT-47-8988c37e718cdc6f</x:v>
      </x:c>
      <x:c r="B63" s="18" t="str">
        <x:v>In the matter of JUMBO SAMRIDDHI (INDIA) LIMITED [CP No. (IB) – 101/07/JPR/2025 ]</x:v>
      </x:c>
      <x:c r="C63" s="18" t="str">
        <x:v>2026-07-22</x:v>
      </x:c>
      <x:c r="D63" s="18" t="n">
        <x:v>2026</x:v>
      </x:c>
      <x:c r="E63" s="18" t="str">
        <x:v>2026-07</x:v>
      </x:c>
      <x:c r="F63" s="18" t="str"/>
      <x:c r="G63" s="18" t="str"/>
      <x:c r="H63" s="18" t="str"/>
      <x:c r="I63" s="18" t="str">
        <x:v>JUMBO SAMRIDDHI (INDIA) LIMITED</x:v>
      </x:c>
      <x:c r="J63" s="20" t="str"/>
      <x:c r="K63" s="18" t="str"/>
      <x:c r="L63" s="18" t="str">
        <x:v>In the matter of JUMBO SAMRIDDHI (INDIA) LIMITED [CP No. (IB) – 101/07/JPR/2025 ]</x:v>
      </x:c>
      <x:c r="M63" s="18" t="str">
        <x:v>2026-07-22</x:v>
      </x:c>
      <x:c r="N63" s="18" t="str">
        <x:v>JUMBO SAMRIDDHI (INDIA) LIMITED</x:v>
      </x:c>
      <x:c r="O63" s="18" t="str">
        <x:v>nclt_1psmvhh</x:v>
      </x:c>
      <x:c r="P63" s="18" t="str"/>
      <x:c r="Q63" s="18" t="str"/>
      <x:c r="R63" s="18" t="str"/>
      <x:c r="S63" s="18" t="str"/>
      <x:c r="T63" s="18" t="str"/>
      <x:c r="U63" s="18" t="str">
        <x:v>Admission - Final Order</x:v>
      </x:c>
      <x:c r="V63" s="18" t="str">
        <x:v>DEFINED_TERMINAL_OR_FEED_SCOPE</x:v>
      </x:c>
      <x:c r="W63" s="18" t="str">
        <x:v>judiciary_nclt_orders.json — published records loaded</x:v>
      </x:c>
      <x:c r="X63" s="18" t="str"/>
      <x:c r="Y63" s="18" t="str"/>
      <x:c r="Z63" s="20" t="n">
        <x:v>434</x:v>
      </x:c>
      <x:c r="AA63" s="19" t="n">
        <x:f>IFERROR(TODAY()-DATEVALUE(C63),"")</x:f>
        <x:v>50</x:v>
      </x:c>
      <x:c r="AB63" s="21" t="n">
        <x:f>ROUND(COUNTA(A63:K63)/11*100,0)</x:f>
        <x:v>100</x:v>
      </x:c>
      <x:c r="AC63" s="18" t="str">
        <x:v>National Company Law Tribunal</x:v>
      </x:c>
      <x:c r="AD63" s="22" t="str">
        <x:v>https://ibbi.gov.in/uploads/order/843ed8d18c1291f09ebb3b922cf9dd54.pdf</x:v>
      </x:c>
      <x:c r="AE63" s="18" t="str">
        <x:v>2026-07-22</x:v>
      </x:c>
      <x:c r="AF63" s="18" t="n">
        <x:v>46275.114583333336</x:v>
      </x:c>
      <x:c r="AG63" s="18" t="str">
        <x:v>retained_terminal</x:v>
      </x:c>
      <x:c r="AH63" s="18" t="str">
        <x:v>READY</x:v>
      </x:c>
    </x:row>
    <x:row r="64">
      <x:c r="A64" s="18" t="str">
        <x:v>NYT-47-9a680f9bc0ff7e96</x:v>
      </x:c>
      <x:c r="B64" s="18" t="str">
        <x:v>In the matter of SHAH LAXMICHAND VERSHI MASALAWALA LLP [C.P.(IB)/1201(MB)2025]</x:v>
      </x:c>
      <x:c r="C64" s="18" t="str">
        <x:v>2026-07-22</x:v>
      </x:c>
      <x:c r="D64" s="18" t="n">
        <x:v>2026</x:v>
      </x:c>
      <x:c r="E64" s="18" t="str">
        <x:v>2026-07</x:v>
      </x:c>
      <x:c r="F64" s="18" t="str"/>
      <x:c r="G64" s="18" t="str"/>
      <x:c r="H64" s="18" t="str"/>
      <x:c r="I64" s="18" t="str">
        <x:v>SHAH LAXMICHAND VERSHI MASALAWALA LLP</x:v>
      </x:c>
      <x:c r="J64" s="20" t="str"/>
      <x:c r="K64" s="18" t="str"/>
      <x:c r="L64" s="18" t="str">
        <x:v>In the matter of SHAH LAXMICHAND VERSHI MASALAWALA LLP [C.P.(IB)/1201(MB)2025]</x:v>
      </x:c>
      <x:c r="M64" s="18" t="str">
        <x:v>2026-07-22</x:v>
      </x:c>
      <x:c r="N64" s="18" t="str">
        <x:v>SHAH LAXMICHAND VERSHI MASALAWALA LLP</x:v>
      </x:c>
      <x:c r="O64" s="18" t="str">
        <x:v>nclt_3sffq4</x:v>
      </x:c>
      <x:c r="P64" s="18" t="str"/>
      <x:c r="Q64" s="18" t="str"/>
      <x:c r="R64" s="18" t="str"/>
      <x:c r="S64" s="18" t="str"/>
      <x:c r="T64" s="18" t="str"/>
      <x:c r="U64" s="18" t="str">
        <x:v>Admission - Final Order</x:v>
      </x:c>
      <x:c r="V64" s="18" t="str">
        <x:v>DEFINED_TERMINAL_OR_FEED_SCOPE</x:v>
      </x:c>
      <x:c r="W64" s="18" t="str">
        <x:v>judiciary_nclt_orders.json — published records loaded</x:v>
      </x:c>
      <x:c r="X64" s="18" t="str"/>
      <x:c r="Y64" s="18" t="str"/>
      <x:c r="Z64" s="20" t="n">
        <x:v>434</x:v>
      </x:c>
      <x:c r="AA64" s="19" t="n">
        <x:f>IFERROR(TODAY()-DATEVALUE(C64),"")</x:f>
        <x:v>50</x:v>
      </x:c>
      <x:c r="AB64" s="21" t="n">
        <x:f>ROUND(COUNTA(A64:K64)/11*100,0)</x:f>
        <x:v>100</x:v>
      </x:c>
      <x:c r="AC64" s="18" t="str">
        <x:v>National Company Law Tribunal</x:v>
      </x:c>
      <x:c r="AD64" s="22" t="str">
        <x:v>https://ibbi.gov.in/uploads/order/a40d234b7aab6c757f0e43a58b9dbf2a.pdf</x:v>
      </x:c>
      <x:c r="AE64" s="18" t="str">
        <x:v>2026-07-22</x:v>
      </x:c>
      <x:c r="AF64" s="18" t="n">
        <x:v>46275.114583333336</x:v>
      </x:c>
      <x:c r="AG64" s="18" t="str">
        <x:v>retained_terminal</x:v>
      </x:c>
      <x:c r="AH64" s="18" t="str">
        <x:v>READY</x:v>
      </x:c>
    </x:row>
    <x:row r="65">
      <x:c r="A65" s="18" t="str">
        <x:v>NYT-47-f774096d5b47491d</x:v>
      </x:c>
      <x:c r="B65" s="18" t="str">
        <x:v>In the matter of TITLE DEVELOPERS LLP [C.P. (IB)/515(MB)2025]</x:v>
      </x:c>
      <x:c r="C65" s="18" t="str">
        <x:v>2026-07-21</x:v>
      </x:c>
      <x:c r="D65" s="18" t="n">
        <x:v>2026</x:v>
      </x:c>
      <x:c r="E65" s="18" t="str">
        <x:v>2026-07</x:v>
      </x:c>
      <x:c r="F65" s="18" t="str"/>
      <x:c r="G65" s="18" t="str"/>
      <x:c r="H65" s="18" t="str"/>
      <x:c r="I65" s="18" t="str">
        <x:v>TITLE DEVELOPERS LLP</x:v>
      </x:c>
      <x:c r="J65" s="20" t="str"/>
      <x:c r="K65" s="18" t="str"/>
      <x:c r="L65" s="18" t="str">
        <x:v>In the matter of TITLE DEVELOPERS LLP [C.P. (IB)/515(MB)2025]</x:v>
      </x:c>
      <x:c r="M65" s="18" t="str">
        <x:v>2026-07-21</x:v>
      </x:c>
      <x:c r="N65" s="18" t="str">
        <x:v>TITLE DEVELOPERS LLP</x:v>
      </x:c>
      <x:c r="O65" s="18" t="str">
        <x:v>nclt_tcdfpj</x:v>
      </x:c>
      <x:c r="P65" s="18" t="str"/>
      <x:c r="Q65" s="18" t="str"/>
      <x:c r="R65" s="18" t="str"/>
      <x:c r="S65" s="18" t="str"/>
      <x:c r="T65" s="18" t="str"/>
      <x:c r="U65" s="18" t="str">
        <x:v>Admission - Final Order</x:v>
      </x:c>
      <x:c r="V65" s="18" t="str">
        <x:v>DEFINED_TERMINAL_OR_FEED_SCOPE</x:v>
      </x:c>
      <x:c r="W65" s="18" t="str">
        <x:v>judiciary_nclt_orders.json — published records loaded</x:v>
      </x:c>
      <x:c r="X65" s="18" t="str"/>
      <x:c r="Y65" s="18" t="str"/>
      <x:c r="Z65" s="20" t="n">
        <x:v>434</x:v>
      </x:c>
      <x:c r="AA65" s="19" t="n">
        <x:f>IFERROR(TODAY()-DATEVALUE(C65),"")</x:f>
        <x:v>51</x:v>
      </x:c>
      <x:c r="AB65" s="21" t="n">
        <x:f>ROUND(COUNTA(A65:K65)/11*100,0)</x:f>
        <x:v>100</x:v>
      </x:c>
      <x:c r="AC65" s="18" t="str">
        <x:v>National Company Law Tribunal</x:v>
      </x:c>
      <x:c r="AD65" s="22" t="str">
        <x:v>https://ibbi.gov.in/uploads/order/4da06bf4373bc3d72c0de1038c32943a.pdf</x:v>
      </x:c>
      <x:c r="AE65" s="18" t="str">
        <x:v>2026-07-21</x:v>
      </x:c>
      <x:c r="AF65" s="18" t="n">
        <x:v>46275.114583333336</x:v>
      </x:c>
      <x:c r="AG65" s="18" t="str">
        <x:v>retained_terminal</x:v>
      </x:c>
      <x:c r="AH65" s="18" t="str">
        <x:v>READY</x:v>
      </x:c>
    </x:row>
    <x:row r="66">
      <x:c r="A66" s="18" t="str">
        <x:v>NYT-47-a4f89630d94a1ef9</x:v>
      </x:c>
      <x:c r="B66" s="18" t="str">
        <x:v>In the matter of Colorbar Cosmetics Private Limited [CP (IB)-228/ND/2026]</x:v>
      </x:c>
      <x:c r="C66" s="18" t="str">
        <x:v>2026-07-21</x:v>
      </x:c>
      <x:c r="D66" s="18" t="n">
        <x:v>2026</x:v>
      </x:c>
      <x:c r="E66" s="18" t="str">
        <x:v>2026-07</x:v>
      </x:c>
      <x:c r="F66" s="18" t="str"/>
      <x:c r="G66" s="18" t="str"/>
      <x:c r="H66" s="18" t="str"/>
      <x:c r="I66" s="18" t="str">
        <x:v>Colorbar Cosmetics Private Limited</x:v>
      </x:c>
      <x:c r="J66" s="20" t="str"/>
      <x:c r="K66" s="18" t="str"/>
      <x:c r="L66" s="18" t="str">
        <x:v>In the matter of Colorbar Cosmetics Private Limited [CP (IB)-228/ND/2026]</x:v>
      </x:c>
      <x:c r="M66" s="18" t="str">
        <x:v>2026-07-21</x:v>
      </x:c>
      <x:c r="N66" s="18" t="str">
        <x:v>Colorbar Cosmetics Private Limited</x:v>
      </x:c>
      <x:c r="O66" s="18" t="str">
        <x:v>nclt_1cev05w</x:v>
      </x:c>
      <x:c r="P66" s="18" t="str"/>
      <x:c r="Q66" s="18" t="str"/>
      <x:c r="R66" s="18" t="str"/>
      <x:c r="S66" s="18" t="str"/>
      <x:c r="T66" s="18" t="str"/>
      <x:c r="U66" s="18" t="str">
        <x:v>Rejected</x:v>
      </x:c>
      <x:c r="V66" s="18" t="str">
        <x:v>DEFINED_TERMINAL_OR_FEED_SCOPE</x:v>
      </x:c>
      <x:c r="W66" s="18" t="str">
        <x:v>judiciary_nclt_orders.json — published records loaded</x:v>
      </x:c>
      <x:c r="X66" s="18" t="str"/>
      <x:c r="Y66" s="18" t="str"/>
      <x:c r="Z66" s="20" t="n">
        <x:v>434</x:v>
      </x:c>
      <x:c r="AA66" s="19" t="n">
        <x:f>IFERROR(TODAY()-DATEVALUE(C66),"")</x:f>
        <x:v>51</x:v>
      </x:c>
      <x:c r="AB66" s="21" t="n">
        <x:f>ROUND(COUNTA(A66:K66)/11*100,0)</x:f>
        <x:v>100</x:v>
      </x:c>
      <x:c r="AC66" s="18" t="str">
        <x:v>National Company Law Tribunal</x:v>
      </x:c>
      <x:c r="AD66" s="22" t="str">
        <x:v>https://ibbi.gov.in/uploads/order/3a8fbe0d118615af855937bd7d686b07.pdf</x:v>
      </x:c>
      <x:c r="AE66" s="18" t="str">
        <x:v>2026-07-21</x:v>
      </x:c>
      <x:c r="AF66" s="18" t="n">
        <x:v>46275.114583333336</x:v>
      </x:c>
      <x:c r="AG66" s="18" t="str">
        <x:v>retained_terminal</x:v>
      </x:c>
      <x:c r="AH66" s="18" t="str">
        <x:v>READY</x:v>
      </x:c>
    </x:row>
    <x:row r="67">
      <x:c r="A67" s="18" t="str">
        <x:v>NYT-47-de765f16a587885f</x:v>
      </x:c>
      <x:c r="B67" s="18" t="str">
        <x:v>In the matter of MANGALAGIRI TEXTILE MILLS PRIVATE LIMITED [CP(IB) 76/7/AMR/2022]</x:v>
      </x:c>
      <x:c r="C67" s="18" t="str">
        <x:v>2026-07-21</x:v>
      </x:c>
      <x:c r="D67" s="18" t="n">
        <x:v>2026</x:v>
      </x:c>
      <x:c r="E67" s="18" t="str">
        <x:v>2026-07</x:v>
      </x:c>
      <x:c r="F67" s="18" t="str"/>
      <x:c r="G67" s="18" t="str"/>
      <x:c r="H67" s="18" t="str"/>
      <x:c r="I67" s="18" t="str">
        <x:v>MANGALAGIRI TEXTILE MILLS PRIVATE LIMITED</x:v>
      </x:c>
      <x:c r="J67" s="20" t="str"/>
      <x:c r="K67" s="18" t="str"/>
      <x:c r="L67" s="18" t="str">
        <x:v>In the matter of MANGALAGIRI TEXTILE MILLS PRIVATE LIMITED [CP(IB) 76/7/AMR/2022]</x:v>
      </x:c>
      <x:c r="M67" s="18" t="str">
        <x:v>2026-07-21</x:v>
      </x:c>
      <x:c r="N67" s="18" t="str">
        <x:v>MANGALAGIRI TEXTILE MILLS PRIVATE LIMITED</x:v>
      </x:c>
      <x:c r="O67" s="18" t="str">
        <x:v>nclt_vlr0jz</x:v>
      </x:c>
      <x:c r="P67" s="18" t="str"/>
      <x:c r="Q67" s="18" t="str"/>
      <x:c r="R67" s="18" t="str"/>
      <x:c r="S67" s="18" t="str"/>
      <x:c r="T67" s="18" t="str"/>
      <x:c r="U67" s="18" t="str">
        <x:v>Appointment - Appointment of Liquidator</x:v>
      </x:c>
      <x:c r="V67" s="18" t="str">
        <x:v>DEFINED_TERMINAL_OR_FEED_SCOPE</x:v>
      </x:c>
      <x:c r="W67" s="18" t="str">
        <x:v>judiciary_nclt_orders.json — published records loaded</x:v>
      </x:c>
      <x:c r="X67" s="18" t="str"/>
      <x:c r="Y67" s="18" t="str"/>
      <x:c r="Z67" s="20" t="n">
        <x:v>434</x:v>
      </x:c>
      <x:c r="AA67" s="19" t="n">
        <x:f>IFERROR(TODAY()-DATEVALUE(C67),"")</x:f>
        <x:v>51</x:v>
      </x:c>
      <x:c r="AB67" s="21" t="n">
        <x:f>ROUND(COUNTA(A67:K67)/11*100,0)</x:f>
        <x:v>100</x:v>
      </x:c>
      <x:c r="AC67" s="18" t="str">
        <x:v>National Company Law Tribunal</x:v>
      </x:c>
      <x:c r="AD67" s="22" t="str">
        <x:v>https://ibbi.gov.in/uploads/order/2026-07-23-122627-aqrjd-c1f16087cf703fb1812c742110b6fe0c.pdf</x:v>
      </x:c>
      <x:c r="AE67" s="18" t="str">
        <x:v>2026-07-21</x:v>
      </x:c>
      <x:c r="AF67" s="18" t="n">
        <x:v>46275.114583333336</x:v>
      </x:c>
      <x:c r="AG67" s="18" t="str">
        <x:v>retained_terminal</x:v>
      </x:c>
      <x:c r="AH67" s="18" t="str">
        <x:v>READY</x:v>
      </x:c>
    </x:row>
    <x:row r="68">
      <x:c r="A68" s="18" t="str">
        <x:v>NYT-47-0bbea93c743c54d3</x:v>
      </x:c>
      <x:c r="B68" s="18" t="str">
        <x:v>In the matter of ADHUNIK MEGHALAYA STEELS PRIVATE LIMITED [C.P.(IB)/2/GHY/2024]</x:v>
      </x:c>
      <x:c r="C68" s="18" t="str">
        <x:v>2026-07-21</x:v>
      </x:c>
      <x:c r="D68" s="18" t="n">
        <x:v>2026</x:v>
      </x:c>
      <x:c r="E68" s="18" t="str">
        <x:v>2026-07</x:v>
      </x:c>
      <x:c r="F68" s="18" t="str"/>
      <x:c r="G68" s="18" t="str"/>
      <x:c r="H68" s="18" t="str"/>
      <x:c r="I68" s="18" t="str">
        <x:v>ADHUNIK MEGHALAYA STEELS PRIVATE LIMITED</x:v>
      </x:c>
      <x:c r="J68" s="20" t="str"/>
      <x:c r="K68" s="18" t="str"/>
      <x:c r="L68" s="18" t="str">
        <x:v>In the matter of ADHUNIK MEGHALAYA STEELS PRIVATE LIMITED [C.P.(IB)/2/GHY/2024]</x:v>
      </x:c>
      <x:c r="M68" s="18" t="str">
        <x:v>2026-07-21</x:v>
      </x:c>
      <x:c r="N68" s="18" t="str">
        <x:v>ADHUNIK MEGHALAYA STEELS PRIVATE LIMITED</x:v>
      </x:c>
      <x:c r="O68" s="18" t="str">
        <x:v>nclt_nep4z5</x:v>
      </x:c>
      <x:c r="P68" s="18" t="str"/>
      <x:c r="Q68" s="18" t="str"/>
      <x:c r="R68" s="18" t="str"/>
      <x:c r="S68" s="18" t="str"/>
      <x:c r="T68" s="18" t="str"/>
      <x:c r="U68" s="18" t="str">
        <x:v>Admission - Final Order</x:v>
      </x:c>
      <x:c r="V68" s="18" t="str">
        <x:v>DEFINED_TERMINAL_OR_FEED_SCOPE</x:v>
      </x:c>
      <x:c r="W68" s="18" t="str">
        <x:v>judiciary_nclt_orders.json — published records loaded</x:v>
      </x:c>
      <x:c r="X68" s="18" t="str"/>
      <x:c r="Y68" s="18" t="str"/>
      <x:c r="Z68" s="20" t="n">
        <x:v>434</x:v>
      </x:c>
      <x:c r="AA68" s="19" t="n">
        <x:f>IFERROR(TODAY()-DATEVALUE(C68),"")</x:f>
        <x:v>51</x:v>
      </x:c>
      <x:c r="AB68" s="21" t="n">
        <x:f>ROUND(COUNTA(A68:K68)/11*100,0)</x:f>
        <x:v>100</x:v>
      </x:c>
      <x:c r="AC68" s="18" t="str">
        <x:v>National Company Law Tribunal</x:v>
      </x:c>
      <x:c r="AD68" s="22" t="str">
        <x:v>https://ibbi.gov.in/uploads/order/2026-07-23-150228-u3xbm-f53dd26908f18a8a6620903037615c0c.pdf</x:v>
      </x:c>
      <x:c r="AE68" s="18" t="str">
        <x:v>2026-07-21</x:v>
      </x:c>
      <x:c r="AF68" s="18" t="n">
        <x:v>46275.114583333336</x:v>
      </x:c>
      <x:c r="AG68" s="18" t="str">
        <x:v>retained_terminal</x:v>
      </x:c>
      <x:c r="AH68" s="18" t="str">
        <x:v>READY</x:v>
      </x:c>
    </x:row>
    <x:row r="69">
      <x:c r="A69" s="18" t="str">
        <x:v>NYT-47-f9ec4bed68d56400</x:v>
      </x:c>
      <x:c r="B69" s="18" t="str">
        <x:v>In the matter of Air Travel Enterprises India Ltd. [IA(IBC)/313/KOB/2026 in CP(IB)/33/KOB/2023]</x:v>
      </x:c>
      <x:c r="C69" s="18" t="str">
        <x:v>2026-07-21</x:v>
      </x:c>
      <x:c r="D69" s="18" t="n">
        <x:v>2026</x:v>
      </x:c>
      <x:c r="E69" s="18" t="str">
        <x:v>2026-07</x:v>
      </x:c>
      <x:c r="F69" s="18" t="str"/>
      <x:c r="G69" s="18" t="str"/>
      <x:c r="H69" s="18" t="str"/>
      <x:c r="I69" s="18" t="str">
        <x:v>Air Travel Enterprises India Ltd.</x:v>
      </x:c>
      <x:c r="J69" s="20" t="str"/>
      <x:c r="K69" s="18" t="str"/>
      <x:c r="L69" s="18" t="str">
        <x:v>In the matter of Air Travel Enterprises India Ltd. [IA(IBC)/313/KOB/2026 in CP(IB)/33/KOB/2023]</x:v>
      </x:c>
      <x:c r="M69" s="18" t="str">
        <x:v>2026-07-21</x:v>
      </x:c>
      <x:c r="N69" s="18" t="str">
        <x:v>Air Travel Enterprises India Ltd.</x:v>
      </x:c>
      <x:c r="O69" s="18" t="str">
        <x:v>nclt_1pwbf6v</x:v>
      </x:c>
      <x:c r="P69" s="18" t="str"/>
      <x:c r="Q69" s="18" t="str"/>
      <x:c r="R69" s="18" t="str"/>
      <x:c r="S69" s="18" t="str"/>
      <x:c r="T69" s="18" t="str"/>
      <x:c r="U69" s="18" t="str">
        <x:v>Others</x:v>
      </x:c>
      <x:c r="V69" s="18" t="str">
        <x:v>DEFINED_TERMINAL_OR_FEED_SCOPE</x:v>
      </x:c>
      <x:c r="W69" s="18" t="str">
        <x:v>judiciary_nclt_orders.json — published records loaded</x:v>
      </x:c>
      <x:c r="X69" s="18" t="str"/>
      <x:c r="Y69" s="18" t="str"/>
      <x:c r="Z69" s="20" t="n">
        <x:v>434</x:v>
      </x:c>
      <x:c r="AA69" s="19" t="n">
        <x:f>IFERROR(TODAY()-DATEVALUE(C69),"")</x:f>
        <x:v>51</x:v>
      </x:c>
      <x:c r="AB69" s="21" t="n">
        <x:f>ROUND(COUNTA(A69:K69)/11*100,0)</x:f>
        <x:v>100</x:v>
      </x:c>
      <x:c r="AC69" s="18" t="str">
        <x:v>National Company Law Tribunal</x:v>
      </x:c>
      <x:c r="AD69" s="22" t="str">
        <x:v>https://ibbi.gov.in/uploads/order/c81065bbabcaac863289861baee7d78d.pdf</x:v>
      </x:c>
      <x:c r="AE69" s="18" t="str">
        <x:v>2026-07-21</x:v>
      </x:c>
      <x:c r="AF69" s="18" t="n">
        <x:v>46275.114583333336</x:v>
      </x:c>
      <x:c r="AG69" s="18" t="str">
        <x:v>retained_terminal</x:v>
      </x:c>
      <x:c r="AH69" s="18" t="str">
        <x:v>READY</x:v>
      </x:c>
    </x:row>
    <x:row r="70">
      <x:c r="A70" s="18" t="str">
        <x:v>NYT-47-e8d028e7b67f3066</x:v>
      </x:c>
      <x:c r="B70" s="18" t="str">
        <x:v>In the matter of PAYTAIL COMMERCE PRIVATE LIMITED [CP/IB/32/Chd/Hry/2024]</x:v>
      </x:c>
      <x:c r="C70" s="18" t="str">
        <x:v>2026-07-21</x:v>
      </x:c>
      <x:c r="D70" s="18" t="n">
        <x:v>2026</x:v>
      </x:c>
      <x:c r="E70" s="18" t="str">
        <x:v>2026-07</x:v>
      </x:c>
      <x:c r="F70" s="18" t="str"/>
      <x:c r="G70" s="18" t="str"/>
      <x:c r="H70" s="18" t="str"/>
      <x:c r="I70" s="18" t="str">
        <x:v>PAYTAIL COMMERCE PRIVATE LIMITED</x:v>
      </x:c>
      <x:c r="J70" s="20" t="str"/>
      <x:c r="K70" s="18" t="str"/>
      <x:c r="L70" s="18" t="str">
        <x:v>In the matter of PAYTAIL COMMERCE PRIVATE LIMITED [CP/IB/32/Chd/Hry/2024]</x:v>
      </x:c>
      <x:c r="M70" s="18" t="str">
        <x:v>2026-07-21</x:v>
      </x:c>
      <x:c r="N70" s="18" t="str">
        <x:v>PAYTAIL COMMERCE PRIVATE LIMITED</x:v>
      </x:c>
      <x:c r="O70" s="18" t="str">
        <x:v>nclt_xtgbvx</x:v>
      </x:c>
      <x:c r="P70" s="18" t="str"/>
      <x:c r="Q70" s="18" t="str"/>
      <x:c r="R70" s="18" t="str"/>
      <x:c r="S70" s="18" t="str"/>
      <x:c r="T70" s="18" t="str"/>
      <x:c r="U70" s="18" t="str">
        <x:v>Appointment - Appointment of Liquidator</x:v>
      </x:c>
      <x:c r="V70" s="18" t="str">
        <x:v>DEFINED_TERMINAL_OR_FEED_SCOPE</x:v>
      </x:c>
      <x:c r="W70" s="18" t="str">
        <x:v>judiciary_nclt_orders.json — published records loaded</x:v>
      </x:c>
      <x:c r="X70" s="18" t="str"/>
      <x:c r="Y70" s="18" t="str"/>
      <x:c r="Z70" s="20" t="n">
        <x:v>434</x:v>
      </x:c>
      <x:c r="AA70" s="19" t="n">
        <x:f>IFERROR(TODAY()-DATEVALUE(C70),"")</x:f>
        <x:v>51</x:v>
      </x:c>
      <x:c r="AB70" s="21" t="n">
        <x:f>ROUND(COUNTA(A70:K70)/11*100,0)</x:f>
        <x:v>100</x:v>
      </x:c>
      <x:c r="AC70" s="18" t="str">
        <x:v>National Company Law Tribunal</x:v>
      </x:c>
      <x:c r="AD70" s="22" t="str">
        <x:v>https://ibbi.gov.in/uploads/order/2026-07-22-154740-ipmn8-60e7d8a50e086d714471c5af53375374.pdf</x:v>
      </x:c>
      <x:c r="AE70" s="18" t="str">
        <x:v>2026-07-21</x:v>
      </x:c>
      <x:c r="AF70" s="18" t="n">
        <x:v>46275.114583333336</x:v>
      </x:c>
      <x:c r="AG70" s="18" t="str">
        <x:v>retained_terminal</x:v>
      </x:c>
      <x:c r="AH70" s="18" t="str">
        <x:v>READY</x:v>
      </x:c>
    </x:row>
    <x:row r="71">
      <x:c r="A71" s="18" t="str">
        <x:v>NYT-47-acfc3496d4569825</x:v>
      </x:c>
      <x:c r="B71" s="18" t="str">
        <x:v>Approval of Resolution Plan - Dion Global Solutions Limited [I.A No. 3678 (Plan) of 2021 in C.P.(I.B.) No. 2695 (ND)/2019]</x:v>
      </x:c>
      <x:c r="C71" s="18" t="str">
        <x:v>2026-07-21</x:v>
      </x:c>
      <x:c r="D71" s="18" t="n">
        <x:v>2026</x:v>
      </x:c>
      <x:c r="E71" s="18" t="str">
        <x:v>2026-07</x:v>
      </x:c>
      <x:c r="F71" s="18" t="str"/>
      <x:c r="G71" s="18" t="str"/>
      <x:c r="H71" s="18" t="str"/>
      <x:c r="I71" s="18" t="str"/>
      <x:c r="J71" s="20" t="str"/>
      <x:c r="K71" s="18" t="str"/>
      <x:c r="L71" s="18" t="str">
        <x:v>Approval of Resolution Plan - Dion Global Solutions Limited [I.A No. 3678 (Plan) of 2021 in C.P.(I.B.) No. 2695 (ND)/2019]</x:v>
      </x:c>
      <x:c r="M71" s="18" t="str">
        <x:v>2026-07-21</x:v>
      </x:c>
      <x:c r="N71" s="18" t="str"/>
      <x:c r="O71" s="18" t="str">
        <x:v>nclt_95fdm7</x:v>
      </x:c>
      <x:c r="P71" s="18" t="str"/>
      <x:c r="Q71" s="18" t="str"/>
      <x:c r="R71" s="18" t="str"/>
      <x:c r="S71" s="18" t="str"/>
      <x:c r="T71" s="18" t="str"/>
      <x:c r="U71" s="18" t="str">
        <x:v>Approval of Resolution Plan</x:v>
      </x:c>
      <x:c r="V71" s="18" t="str">
        <x:v>DEFINED_TERMINAL_OR_FEED_SCOPE</x:v>
      </x:c>
      <x:c r="W71" s="18" t="str">
        <x:v>judiciary_nclt_orders.json — published records loaded</x:v>
      </x:c>
      <x:c r="X71" s="18" t="str"/>
      <x:c r="Y71" s="18" t="str"/>
      <x:c r="Z71" s="20" t="n">
        <x:v>434</x:v>
      </x:c>
      <x:c r="AA71" s="19" t="n">
        <x:f>IFERROR(TODAY()-DATEVALUE(C71),"")</x:f>
        <x:v>51</x:v>
      </x:c>
      <x:c r="AB71" s="21" t="n">
        <x:f>ROUND(COUNTA(A71:K71)/11*100,0)</x:f>
        <x:v>100</x:v>
      </x:c>
      <x:c r="AC71" s="18" t="str">
        <x:v>National Company Law Tribunal</x:v>
      </x:c>
      <x:c r="AD71" s="22" t="str">
        <x:v>https://ibbi.gov.in/uploads/order/f3a914c8a57cf033285b2ffdc5ca0ca0.pdf</x:v>
      </x:c>
      <x:c r="AE71" s="18" t="str">
        <x:v>2026-07-21</x:v>
      </x:c>
      <x:c r="AF71" s="18" t="n">
        <x:v>46275.114583333336</x:v>
      </x:c>
      <x:c r="AG71" s="18" t="str">
        <x:v>retained_terminal</x:v>
      </x:c>
      <x:c r="AH71" s="18" t="str">
        <x:v>READY</x:v>
      </x:c>
    </x:row>
    <x:row r="72">
      <x:c r="A72" s="18" t="str">
        <x:v>NYT-47-98b9a4d4390e2a24</x:v>
      </x:c>
      <x:c r="B72" s="18" t="str">
        <x:v>In the matter of SHIVANGI AGRO INDIA PRIVATE LIMITED [CP(IB)NO.104 of 2024]</x:v>
      </x:c>
      <x:c r="C72" s="18" t="str">
        <x:v>2026-07-21</x:v>
      </x:c>
      <x:c r="D72" s="18" t="n">
        <x:v>2026</x:v>
      </x:c>
      <x:c r="E72" s="18" t="str">
        <x:v>2026-07</x:v>
      </x:c>
      <x:c r="F72" s="18" t="str"/>
      <x:c r="G72" s="18" t="str"/>
      <x:c r="H72" s="18" t="str"/>
      <x:c r="I72" s="18" t="str">
        <x:v>SHIVANGI AGRO INDIA PRIVATE LIMITED</x:v>
      </x:c>
      <x:c r="J72" s="20" t="str"/>
      <x:c r="K72" s="18" t="str"/>
      <x:c r="L72" s="18" t="str">
        <x:v>In the matter of SHIVANGI AGRO INDIA PRIVATE LIMITED [CP(IB)NO.104 of 2024]</x:v>
      </x:c>
      <x:c r="M72" s="18" t="str">
        <x:v>2026-07-21</x:v>
      </x:c>
      <x:c r="N72" s="18" t="str">
        <x:v>SHIVANGI AGRO INDIA PRIVATE LIMITED</x:v>
      </x:c>
      <x:c r="O72" s="18" t="str">
        <x:v>nclt_30gk21</x:v>
      </x:c>
      <x:c r="P72" s="18" t="str"/>
      <x:c r="Q72" s="18" t="str"/>
      <x:c r="R72" s="18" t="str"/>
      <x:c r="S72" s="18" t="str"/>
      <x:c r="T72" s="18" t="str"/>
      <x:c r="U72" s="18" t="str">
        <x:v>Admission - Final Order</x:v>
      </x:c>
      <x:c r="V72" s="18" t="str">
        <x:v>DEFINED_TERMINAL_OR_FEED_SCOPE</x:v>
      </x:c>
      <x:c r="W72" s="18" t="str">
        <x:v>judiciary_nclt_orders.json — published records loaded</x:v>
      </x:c>
      <x:c r="X72" s="18" t="str"/>
      <x:c r="Y72" s="18" t="str"/>
      <x:c r="Z72" s="20" t="n">
        <x:v>434</x:v>
      </x:c>
      <x:c r="AA72" s="19" t="n">
        <x:f>IFERROR(TODAY()-DATEVALUE(C72),"")</x:f>
        <x:v>51</x:v>
      </x:c>
      <x:c r="AB72" s="21" t="n">
        <x:f>ROUND(COUNTA(A72:K72)/11*100,0)</x:f>
        <x:v>100</x:v>
      </x:c>
      <x:c r="AC72" s="18" t="str">
        <x:v>National Company Law Tribunal</x:v>
      </x:c>
      <x:c r="AD72" s="22" t="str">
        <x:v>https://ibbi.gov.in/uploads/order/2026-07-24-113623-sv7d0-f1a5535435eb9b382354632fcefbbd80.pdf</x:v>
      </x:c>
      <x:c r="AE72" s="18" t="str">
        <x:v>2026-07-21</x:v>
      </x:c>
      <x:c r="AF72" s="18" t="n">
        <x:v>46275.114583333336</x:v>
      </x:c>
      <x:c r="AG72" s="18" t="str">
        <x:v>retained_terminal</x:v>
      </x:c>
      <x:c r="AH72" s="18" t="str">
        <x:v>READY</x:v>
      </x:c>
    </x:row>
    <x:row r="73">
      <x:c r="A73" s="18" t="str">
        <x:v>NYT-47-c88fb38000cf5015</x:v>
      </x:c>
      <x:c r="B73" s="18" t="str">
        <x:v>Approval of Resolution Plan - Radius &amp; Deserve Land Developers Private Limited [I.A. (Plan) No. 82 of 2025 in CP (IB) No. 892 of 2022]</x:v>
      </x:c>
      <x:c r="C73" s="18" t="str">
        <x:v>2026-07-21</x:v>
      </x:c>
      <x:c r="D73" s="18" t="n">
        <x:v>2026</x:v>
      </x:c>
      <x:c r="E73" s="18" t="str">
        <x:v>2026-07</x:v>
      </x:c>
      <x:c r="F73" s="18" t="str"/>
      <x:c r="G73" s="18" t="str"/>
      <x:c r="H73" s="18" t="str"/>
      <x:c r="I73" s="18" t="str"/>
      <x:c r="J73" s="20" t="str"/>
      <x:c r="K73" s="18" t="str"/>
      <x:c r="L73" s="18" t="str">
        <x:v>Approval of Resolution Plan - Radius &amp; Deserve Land Developers Private Limited [I.A. (Plan) No. 82 of 2025 in CP (IB) No. 892 of 2022]</x:v>
      </x:c>
      <x:c r="M73" s="18" t="str">
        <x:v>2026-07-21</x:v>
      </x:c>
      <x:c r="N73" s="18" t="str"/>
      <x:c r="O73" s="18" t="str">
        <x:v>nclt_1f9ynvk</x:v>
      </x:c>
      <x:c r="P73" s="18" t="str"/>
      <x:c r="Q73" s="18" t="str"/>
      <x:c r="R73" s="18" t="str"/>
      <x:c r="S73" s="18" t="str"/>
      <x:c r="T73" s="18" t="str"/>
      <x:c r="U73" s="18" t="str">
        <x:v>Approval of Resolution Plan</x:v>
      </x:c>
      <x:c r="V73" s="18" t="str">
        <x:v>DEFINED_TERMINAL_OR_FEED_SCOPE</x:v>
      </x:c>
      <x:c r="W73" s="18" t="str">
        <x:v>judiciary_nclt_orders.json — published records loaded</x:v>
      </x:c>
      <x:c r="X73" s="18" t="str"/>
      <x:c r="Y73" s="18" t="str"/>
      <x:c r="Z73" s="20" t="n">
        <x:v>434</x:v>
      </x:c>
      <x:c r="AA73" s="19" t="n">
        <x:f>IFERROR(TODAY()-DATEVALUE(C73),"")</x:f>
        <x:v>51</x:v>
      </x:c>
      <x:c r="AB73" s="21" t="n">
        <x:f>ROUND(COUNTA(A73:K73)/11*100,0)</x:f>
        <x:v>100</x:v>
      </x:c>
      <x:c r="AC73" s="18" t="str">
        <x:v>National Company Law Tribunal</x:v>
      </x:c>
      <x:c r="AD73" s="22" t="str">
        <x:v>https://ibbi.gov.in/uploads/order/d1106ccca74e98877ed6d7890c70bb2c.pdf</x:v>
      </x:c>
      <x:c r="AE73" s="18" t="str">
        <x:v>2026-07-21</x:v>
      </x:c>
      <x:c r="AF73" s="18" t="n">
        <x:v>46275.114583333336</x:v>
      </x:c>
      <x:c r="AG73" s="18" t="str">
        <x:v>retained_terminal</x:v>
      </x:c>
      <x:c r="AH73" s="18" t="str">
        <x:v>READY</x:v>
      </x:c>
    </x:row>
    <x:row r="74">
      <x:c r="A74" s="18" t="str">
        <x:v>NYT-47-0696f5b875917b13</x:v>
      </x:c>
      <x:c r="B74" s="18" t="str">
        <x:v>In the matter of CITRON INFRAPROJECTS LIMITED [C.P. (IB)/1225/MB/2025]</x:v>
      </x:c>
      <x:c r="C74" s="18" t="str">
        <x:v>2026-07-21</x:v>
      </x:c>
      <x:c r="D74" s="18" t="n">
        <x:v>2026</x:v>
      </x:c>
      <x:c r="E74" s="18" t="str">
        <x:v>2026-07</x:v>
      </x:c>
      <x:c r="F74" s="18" t="str"/>
      <x:c r="G74" s="18" t="str"/>
      <x:c r="H74" s="18" t="str"/>
      <x:c r="I74" s="18" t="str">
        <x:v>CITRON INFRAPROJECTS LIMITED</x:v>
      </x:c>
      <x:c r="J74" s="20" t="str"/>
      <x:c r="K74" s="18" t="str"/>
      <x:c r="L74" s="18" t="str">
        <x:v>In the matter of CITRON INFRAPROJECTS LIMITED [C.P. (IB)/1225/MB/2025]</x:v>
      </x:c>
      <x:c r="M74" s="18" t="str">
        <x:v>2026-07-21</x:v>
      </x:c>
      <x:c r="N74" s="18" t="str">
        <x:v>CITRON INFRAPROJECTS LIMITED</x:v>
      </x:c>
      <x:c r="O74" s="18" t="str">
        <x:v>nclt_hi2ta8</x:v>
      </x:c>
      <x:c r="P74" s="18" t="str"/>
      <x:c r="Q74" s="18" t="str"/>
      <x:c r="R74" s="18" t="str"/>
      <x:c r="S74" s="18" t="str"/>
      <x:c r="T74" s="18" t="str"/>
      <x:c r="U74" s="18" t="str">
        <x:v>Admission - Final Order</x:v>
      </x:c>
      <x:c r="V74" s="18" t="str">
        <x:v>DEFINED_TERMINAL_OR_FEED_SCOPE</x:v>
      </x:c>
      <x:c r="W74" s="18" t="str">
        <x:v>judiciary_nclt_orders.json — published records loaded</x:v>
      </x:c>
      <x:c r="X74" s="18" t="str"/>
      <x:c r="Y74" s="18" t="str"/>
      <x:c r="Z74" s="20" t="n">
        <x:v>434</x:v>
      </x:c>
      <x:c r="AA74" s="19" t="n">
        <x:f>IFERROR(TODAY()-DATEVALUE(C74),"")</x:f>
        <x:v>51</x:v>
      </x:c>
      <x:c r="AB74" s="21" t="n">
        <x:f>ROUND(COUNTA(A74:K74)/11*100,0)</x:f>
        <x:v>100</x:v>
      </x:c>
      <x:c r="AC74" s="18" t="str">
        <x:v>National Company Law Tribunal</x:v>
      </x:c>
      <x:c r="AD74" s="22" t="str">
        <x:v>https://ibbi.gov.in/uploads/order/d73563c74d178331ffc065a25cf85ae6.pdf</x:v>
      </x:c>
      <x:c r="AE74" s="18" t="str">
        <x:v>2026-07-21</x:v>
      </x:c>
      <x:c r="AF74" s="18" t="n">
        <x:v>46275.114583333336</x:v>
      </x:c>
      <x:c r="AG74" s="18" t="str">
        <x:v>retained_terminal</x:v>
      </x:c>
      <x:c r="AH74" s="18" t="str">
        <x:v>READY</x:v>
      </x:c>
    </x:row>
    <x:row r="75">
      <x:c r="A75" s="18" t="str">
        <x:v>NYT-47-929075d2805d391d</x:v>
      </x:c>
      <x:c r="B75" s="18" t="str">
        <x:v>In the matter of Rayways Infra Projects Private Limited [IA(I.B.C)/967 &amp; 969(CH)2026 In CP (IB) No.146/Chd/Hry/2024]</x:v>
      </x:c>
      <x:c r="C75" s="18" t="str">
        <x:v>2026-07-21</x:v>
      </x:c>
      <x:c r="D75" s="18" t="n">
        <x:v>2026</x:v>
      </x:c>
      <x:c r="E75" s="18" t="str">
        <x:v>2026-07</x:v>
      </x:c>
      <x:c r="F75" s="18" t="str"/>
      <x:c r="G75" s="18" t="str"/>
      <x:c r="H75" s="18" t="str"/>
      <x:c r="I75" s="18" t="str">
        <x:v>Rayways Infra Projects Private Limited</x:v>
      </x:c>
      <x:c r="J75" s="20" t="str"/>
      <x:c r="K75" s="18" t="str"/>
      <x:c r="L75" s="18" t="str">
        <x:v>In the matter of Rayways Infra Projects Private Limited [IA(I.B.C)/967 &amp; 969(CH)2026 In CP (IB) No.146/Chd/Hry/2024]</x:v>
      </x:c>
      <x:c r="M75" s="18" t="str">
        <x:v>2026-07-21</x:v>
      </x:c>
      <x:c r="N75" s="18" t="str">
        <x:v>Rayways Infra Projects Private Limited</x:v>
      </x:c>
      <x:c r="O75" s="18" t="str">
        <x:v>nclt_1z02a3s</x:v>
      </x:c>
      <x:c r="P75" s="18" t="str"/>
      <x:c r="Q75" s="18" t="str"/>
      <x:c r="R75" s="18" t="str"/>
      <x:c r="S75" s="18" t="str"/>
      <x:c r="T75" s="18" t="str"/>
      <x:c r="U75" s="18" t="str">
        <x:v>Others</x:v>
      </x:c>
      <x:c r="V75" s="18" t="str">
        <x:v>DEFINED_TERMINAL_OR_FEED_SCOPE</x:v>
      </x:c>
      <x:c r="W75" s="18" t="str">
        <x:v>judiciary_nclt_orders.json — published records loaded</x:v>
      </x:c>
      <x:c r="X75" s="18" t="str"/>
      <x:c r="Y75" s="18" t="str"/>
      <x:c r="Z75" s="20" t="n">
        <x:v>434</x:v>
      </x:c>
      <x:c r="AA75" s="19" t="n">
        <x:f>IFERROR(TODAY()-DATEVALUE(C75),"")</x:f>
        <x:v>51</x:v>
      </x:c>
      <x:c r="AB75" s="21" t="n">
        <x:f>ROUND(COUNTA(A75:K75)/11*100,0)</x:f>
        <x:v>100</x:v>
      </x:c>
      <x:c r="AC75" s="18" t="str">
        <x:v>National Company Law Tribunal</x:v>
      </x:c>
      <x:c r="AD75" s="22" t="str">
        <x:v>https://ibbi.gov.in/uploads/order/fe3d967c652b59bd4609a5370c540d44.pdf</x:v>
      </x:c>
      <x:c r="AE75" s="18" t="str">
        <x:v>2026-07-21</x:v>
      </x:c>
      <x:c r="AF75" s="18" t="n">
        <x:v>46275.114583333336</x:v>
      </x:c>
      <x:c r="AG75" s="18" t="str">
        <x:v>retained_terminal</x:v>
      </x:c>
      <x:c r="AH75" s="18" t="str">
        <x:v>READY</x:v>
      </x:c>
    </x:row>
    <x:row r="76">
      <x:c r="A76" s="18" t="str">
        <x:v>NYT-47-7d15005fcab413fe</x:v>
      </x:c>
      <x:c r="B76" s="18" t="str">
        <x:v>Approval of Resolution Plan - Accil Corporation Private Limited [IA(IBC) (Plan) No. 06/JPR/2026 in CP No. (IB)- 108/7/JPR/2024]</x:v>
      </x:c>
      <x:c r="C76" s="18" t="str">
        <x:v>2026-07-21</x:v>
      </x:c>
      <x:c r="D76" s="18" t="n">
        <x:v>2026</x:v>
      </x:c>
      <x:c r="E76" s="18" t="str">
        <x:v>2026-07</x:v>
      </x:c>
      <x:c r="F76" s="18" t="str"/>
      <x:c r="G76" s="18" t="str"/>
      <x:c r="H76" s="18" t="str"/>
      <x:c r="I76" s="18" t="str"/>
      <x:c r="J76" s="20" t="str"/>
      <x:c r="K76" s="18" t="str"/>
      <x:c r="L76" s="18" t="str">
        <x:v>Approval of Resolution Plan - Accil Corporation Private Limited [IA(IBC) (Plan) No. 06/JPR/2026 in CP No. (IB)- 108/7/JPR/2024]</x:v>
      </x:c>
      <x:c r="M76" s="18" t="str">
        <x:v>2026-07-21</x:v>
      </x:c>
      <x:c r="N76" s="18" t="str"/>
      <x:c r="O76" s="18" t="str">
        <x:v>nclt_1i4cwtq</x:v>
      </x:c>
      <x:c r="P76" s="18" t="str"/>
      <x:c r="Q76" s="18" t="str"/>
      <x:c r="R76" s="18" t="str"/>
      <x:c r="S76" s="18" t="str"/>
      <x:c r="T76" s="18" t="str"/>
      <x:c r="U76" s="18" t="str">
        <x:v>Approval of Resolution Plan</x:v>
      </x:c>
      <x:c r="V76" s="18" t="str">
        <x:v>DEFINED_TERMINAL_OR_FEED_SCOPE</x:v>
      </x:c>
      <x:c r="W76" s="18" t="str">
        <x:v>judiciary_nclt_orders.json — published records loaded</x:v>
      </x:c>
      <x:c r="X76" s="18" t="str"/>
      <x:c r="Y76" s="18" t="str"/>
      <x:c r="Z76" s="20" t="n">
        <x:v>434</x:v>
      </x:c>
      <x:c r="AA76" s="19" t="n">
        <x:f>IFERROR(TODAY()-DATEVALUE(C76),"")</x:f>
        <x:v>51</x:v>
      </x:c>
      <x:c r="AB76" s="21" t="n">
        <x:f>ROUND(COUNTA(A76:K76)/11*100,0)</x:f>
        <x:v>100</x:v>
      </x:c>
      <x:c r="AC76" s="18" t="str">
        <x:v>National Company Law Tribunal</x:v>
      </x:c>
      <x:c r="AD76" s="22" t="str">
        <x:v>https://ibbi.gov.in/uploads/order/2026-07-24-182639-mnlsd-b4a053cb2954eb0de7984c4e292b9859.pdf</x:v>
      </x:c>
      <x:c r="AE76" s="18" t="str">
        <x:v>2026-07-21</x:v>
      </x:c>
      <x:c r="AF76" s="18" t="n">
        <x:v>46275.114583333336</x:v>
      </x:c>
      <x:c r="AG76" s="18" t="str">
        <x:v>retained_terminal</x:v>
      </x:c>
      <x:c r="AH76" s="18" t="str">
        <x:v>READY</x:v>
      </x:c>
    </x:row>
    <x:row r="77">
      <x:c r="A77" s="18" t="str">
        <x:v>NYT-47-363a32468edd9046</x:v>
      </x:c>
      <x:c r="B77" s="18" t="str">
        <x:v>In the matter of Citron Infraprojects Limited [C.P. (IB)/1225/MB/2025]</x:v>
      </x:c>
      <x:c r="C77" s="18" t="str">
        <x:v>2026-07-21</x:v>
      </x:c>
      <x:c r="D77" s="18" t="n">
        <x:v>2026</x:v>
      </x:c>
      <x:c r="E77" s="18" t="str">
        <x:v>2026-07</x:v>
      </x:c>
      <x:c r="F77" s="18" t="str"/>
      <x:c r="G77" s="18" t="str"/>
      <x:c r="H77" s="18" t="str"/>
      <x:c r="I77" s="18" t="str">
        <x:v>Citron Infraprojects Limited</x:v>
      </x:c>
      <x:c r="J77" s="20" t="str"/>
      <x:c r="K77" s="18" t="str"/>
      <x:c r="L77" s="18" t="str">
        <x:v>In the matter of Citron Infraprojects Limited [C.P. (IB)/1225/MB/2025]</x:v>
      </x:c>
      <x:c r="M77" s="18" t="str">
        <x:v>2026-07-21</x:v>
      </x:c>
      <x:c r="N77" s="18" t="str">
        <x:v>Citron Infraprojects Limited</x:v>
      </x:c>
      <x:c r="O77" s="18" t="str">
        <x:v>nclt_1x04w6c</x:v>
      </x:c>
      <x:c r="P77" s="18" t="str"/>
      <x:c r="Q77" s="18" t="str"/>
      <x:c r="R77" s="18" t="str"/>
      <x:c r="S77" s="18" t="str"/>
      <x:c r="T77" s="18" t="str"/>
      <x:c r="U77" s="18" t="str">
        <x:v>Admission - Final order</x:v>
      </x:c>
      <x:c r="V77" s="18" t="str">
        <x:v>DEFINED_TERMINAL_OR_FEED_SCOPE</x:v>
      </x:c>
      <x:c r="W77" s="18" t="str">
        <x:v>judiciary_nclt_orders.json — published records loaded</x:v>
      </x:c>
      <x:c r="X77" s="18" t="str"/>
      <x:c r="Y77" s="18" t="str"/>
      <x:c r="Z77" s="20" t="n">
        <x:v>434</x:v>
      </x:c>
      <x:c r="AA77" s="19" t="n">
        <x:f>IFERROR(TODAY()-DATEVALUE(C77),"")</x:f>
        <x:v>51</x:v>
      </x:c>
      <x:c r="AB77" s="21" t="n">
        <x:f>ROUND(COUNTA(A77:K77)/11*100,0)</x:f>
        <x:v>100</x:v>
      </x:c>
      <x:c r="AC77" s="18" t="str">
        <x:v>National Company Law Tribunal</x:v>
      </x:c>
      <x:c r="AD77" s="22" t="str">
        <x:v>https://ibbi.gov.in/uploads/order/5e7a7f32c6d11b96d06edfe9fc4f5640.pdf</x:v>
      </x:c>
      <x:c r="AE77" s="18" t="str">
        <x:v>2026-07-21</x:v>
      </x:c>
      <x:c r="AF77" s="18" t="n">
        <x:v>46275.114583333336</x:v>
      </x:c>
      <x:c r="AG77" s="18" t="str">
        <x:v>retained_terminal</x:v>
      </x:c>
      <x:c r="AH77" s="18" t="str">
        <x:v>READY</x:v>
      </x:c>
    </x:row>
    <x:row r="78">
      <x:c r="A78" s="18" t="str">
        <x:v>NYT-47-b740830df63770af</x:v>
      </x:c>
      <x:c r="B78" s="18" t="str">
        <x:v>In the matter of Truweight Wellness Private Limited [CP(IB) No.267/BB/2025]</x:v>
      </x:c>
      <x:c r="C78" s="18" t="str">
        <x:v>2026-07-20</x:v>
      </x:c>
      <x:c r="D78" s="18" t="n">
        <x:v>2026</x:v>
      </x:c>
      <x:c r="E78" s="18" t="str">
        <x:v>2026-07</x:v>
      </x:c>
      <x:c r="F78" s="18" t="str"/>
      <x:c r="G78" s="18" t="str"/>
      <x:c r="H78" s="18" t="str"/>
      <x:c r="I78" s="18" t="str">
        <x:v>Truweight Wellness Private Limited</x:v>
      </x:c>
      <x:c r="J78" s="20" t="str"/>
      <x:c r="K78" s="18" t="str"/>
      <x:c r="L78" s="18" t="str">
        <x:v>In the matter of Truweight Wellness Private Limited [CP(IB) No.267/BB/2025]</x:v>
      </x:c>
      <x:c r="M78" s="18" t="str">
        <x:v>2026-07-20</x:v>
      </x:c>
      <x:c r="N78" s="18" t="str">
        <x:v>Truweight Wellness Private Limited</x:v>
      </x:c>
      <x:c r="O78" s="18" t="str">
        <x:v>nclt_wyvb7d</x:v>
      </x:c>
      <x:c r="P78" s="18" t="str"/>
      <x:c r="Q78" s="18" t="str"/>
      <x:c r="R78" s="18" t="str"/>
      <x:c r="S78" s="18" t="str"/>
      <x:c r="T78" s="18" t="str"/>
      <x:c r="U78" s="18" t="str">
        <x:v>Admission - Final Order</x:v>
      </x:c>
      <x:c r="V78" s="18" t="str">
        <x:v>DEFINED_TERMINAL_OR_FEED_SCOPE</x:v>
      </x:c>
      <x:c r="W78" s="18" t="str">
        <x:v>judiciary_nclt_orders.json — published records loaded</x:v>
      </x:c>
      <x:c r="X78" s="18" t="str"/>
      <x:c r="Y78" s="18" t="str"/>
      <x:c r="Z78" s="20" t="n">
        <x:v>434</x:v>
      </x:c>
      <x:c r="AA78" s="19" t="n">
        <x:f>IFERROR(TODAY()-DATEVALUE(C78),"")</x:f>
        <x:v>52</x:v>
      </x:c>
      <x:c r="AB78" s="21" t="n">
        <x:f>ROUND(COUNTA(A78:K78)/11*100,0)</x:f>
        <x:v>100</x:v>
      </x:c>
      <x:c r="AC78" s="18" t="str">
        <x:v>National Company Law Tribunal</x:v>
      </x:c>
      <x:c r="AD78" s="22" t="str">
        <x:v>https://ibbi.gov.in/uploads/order/3465aaf6d4301d35f7a2566be04de045.pdf</x:v>
      </x:c>
      <x:c r="AE78" s="18" t="str">
        <x:v>2026-07-20</x:v>
      </x:c>
      <x:c r="AF78" s="18" t="n">
        <x:v>46275.114583333336</x:v>
      </x:c>
      <x:c r="AG78" s="18" t="str">
        <x:v>retained_terminal</x:v>
      </x:c>
      <x:c r="AH78" s="18" t="str">
        <x:v>READY</x:v>
      </x:c>
    </x:row>
    <x:row r="79">
      <x:c r="A79" s="18" t="str">
        <x:v>NYT-47-964963ffb51ef386</x:v>
      </x:c>
      <x:c r="B79" s="18" t="str">
        <x:v>In the matter of ALVI TECH SERVICES PVT LTD [CP (IB) No. 201/MB/2026]</x:v>
      </x:c>
      <x:c r="C79" s="18" t="str">
        <x:v>2026-07-20</x:v>
      </x:c>
      <x:c r="D79" s="18" t="n">
        <x:v>2026</x:v>
      </x:c>
      <x:c r="E79" s="18" t="str">
        <x:v>2026-07</x:v>
      </x:c>
      <x:c r="F79" s="18" t="str"/>
      <x:c r="G79" s="18" t="str"/>
      <x:c r="H79" s="18" t="str"/>
      <x:c r="I79" s="18" t="str">
        <x:v>ALVI TECH SERVICES PVT LTD</x:v>
      </x:c>
      <x:c r="J79" s="20" t="str"/>
      <x:c r="K79" s="18" t="str"/>
      <x:c r="L79" s="18" t="str">
        <x:v>In the matter of ALVI TECH SERVICES PVT LTD [CP (IB) No. 201/MB/2026]</x:v>
      </x:c>
      <x:c r="M79" s="18" t="str">
        <x:v>2026-07-20</x:v>
      </x:c>
      <x:c r="N79" s="18" t="str">
        <x:v>ALVI TECH SERVICES PVT LTD</x:v>
      </x:c>
      <x:c r="O79" s="18" t="str">
        <x:v>nclt_beyc1v</x:v>
      </x:c>
      <x:c r="P79" s="18" t="str"/>
      <x:c r="Q79" s="18" t="str"/>
      <x:c r="R79" s="18" t="str"/>
      <x:c r="S79" s="18" t="str"/>
      <x:c r="T79" s="18" t="str"/>
      <x:c r="U79" s="18" t="str">
        <x:v>Admission - Final Order</x:v>
      </x:c>
      <x:c r="V79" s="18" t="str">
        <x:v>DEFINED_TERMINAL_OR_FEED_SCOPE</x:v>
      </x:c>
      <x:c r="W79" s="18" t="str">
        <x:v>judiciary_nclt_orders.json — published records loaded</x:v>
      </x:c>
      <x:c r="X79" s="18" t="str"/>
      <x:c r="Y79" s="18" t="str"/>
      <x:c r="Z79" s="20" t="n">
        <x:v>434</x:v>
      </x:c>
      <x:c r="AA79" s="19" t="n">
        <x:f>IFERROR(TODAY()-DATEVALUE(C79),"")</x:f>
        <x:v>52</x:v>
      </x:c>
      <x:c r="AB79" s="21" t="n">
        <x:f>ROUND(COUNTA(A79:K79)/11*100,0)</x:f>
        <x:v>100</x:v>
      </x:c>
      <x:c r="AC79" s="18" t="str">
        <x:v>National Company Law Tribunal</x:v>
      </x:c>
      <x:c r="AD79" s="22" t="str">
        <x:v>https://ibbi.gov.in/uploads/order/7b81ed179546889d830e3ef73e3a515f.pdf</x:v>
      </x:c>
      <x:c r="AE79" s="18" t="str">
        <x:v>2026-07-20</x:v>
      </x:c>
      <x:c r="AF79" s="18" t="n">
        <x:v>46275.114583333336</x:v>
      </x:c>
      <x:c r="AG79" s="18" t="str">
        <x:v>retained_terminal</x:v>
      </x:c>
      <x:c r="AH79" s="18" t="str">
        <x:v>READY</x:v>
      </x:c>
    </x:row>
    <x:row r="80">
      <x:c r="A80" s="18" t="str">
        <x:v>NYT-47-483babee69f51f99</x:v>
      </x:c>
      <x:c r="B80" s="18" t="str">
        <x:v>In the matter of N Kumar Retails &amp; Properties Private Limited [CP (IB) No.1361/MB/2025]</x:v>
      </x:c>
      <x:c r="C80" s="18" t="str">
        <x:v>2026-07-20</x:v>
      </x:c>
      <x:c r="D80" s="18" t="n">
        <x:v>2026</x:v>
      </x:c>
      <x:c r="E80" s="18" t="str">
        <x:v>2026-07</x:v>
      </x:c>
      <x:c r="F80" s="18" t="str"/>
      <x:c r="G80" s="18" t="str"/>
      <x:c r="H80" s="18" t="str"/>
      <x:c r="I80" s="18" t="str">
        <x:v>N Kumar Retails &amp; Properties Private Limited</x:v>
      </x:c>
      <x:c r="J80" s="20" t="str"/>
      <x:c r="K80" s="18" t="str"/>
      <x:c r="L80" s="18" t="str">
        <x:v>In the matter of N Kumar Retails &amp; Properties Private Limited [CP (IB) No.1361/MB/2025]</x:v>
      </x:c>
      <x:c r="M80" s="18" t="str">
        <x:v>2026-07-20</x:v>
      </x:c>
      <x:c r="N80" s="18" t="str">
        <x:v>N Kumar Retails &amp; Properties Private Limited</x:v>
      </x:c>
      <x:c r="O80" s="18" t="str">
        <x:v>nclt_1enlmrl</x:v>
      </x:c>
      <x:c r="P80" s="18" t="str"/>
      <x:c r="Q80" s="18" t="str"/>
      <x:c r="R80" s="18" t="str"/>
      <x:c r="S80" s="18" t="str"/>
      <x:c r="T80" s="18" t="str"/>
      <x:c r="U80" s="18" t="str">
        <x:v>Admission - Final order</x:v>
      </x:c>
      <x:c r="V80" s="18" t="str">
        <x:v>DEFINED_TERMINAL_OR_FEED_SCOPE</x:v>
      </x:c>
      <x:c r="W80" s="18" t="str">
        <x:v>judiciary_nclt_orders.json — published records loaded</x:v>
      </x:c>
      <x:c r="X80" s="18" t="str"/>
      <x:c r="Y80" s="18" t="str"/>
      <x:c r="Z80" s="20" t="n">
        <x:v>434</x:v>
      </x:c>
      <x:c r="AA80" s="19" t="n">
        <x:f>IFERROR(TODAY()-DATEVALUE(C80),"")</x:f>
        <x:v>52</x:v>
      </x:c>
      <x:c r="AB80" s="21" t="n">
        <x:f>ROUND(COUNTA(A80:K80)/11*100,0)</x:f>
        <x:v>100</x:v>
      </x:c>
      <x:c r="AC80" s="18" t="str">
        <x:v>National Company Law Tribunal</x:v>
      </x:c>
      <x:c r="AD80" s="22" t="str">
        <x:v>https://ibbi.gov.in/uploads/order/61493cf686956e791a13a22f7fc1474b.pdf</x:v>
      </x:c>
      <x:c r="AE80" s="18" t="str">
        <x:v>2026-07-20</x:v>
      </x:c>
      <x:c r="AF80" s="18" t="n">
        <x:v>46275.114583333336</x:v>
      </x:c>
      <x:c r="AG80" s="18" t="str">
        <x:v>retained_terminal</x:v>
      </x:c>
      <x:c r="AH80" s="18" t="str">
        <x:v>READY</x:v>
      </x:c>
    </x:row>
    <x:row r="81">
      <x:c r="A81" s="18" t="str">
        <x:v>NYT-47-a98deda80e3fd00c</x:v>
      </x:c>
      <x:c r="B81" s="18" t="str">
        <x:v>In the matter of N KUMAR RETAILS &amp; PROPERTIES PRIVATE LIMITED [C.P. (IB)/1361(MB)2025]</x:v>
      </x:c>
      <x:c r="C81" s="18" t="str">
        <x:v>2026-07-20</x:v>
      </x:c>
      <x:c r="D81" s="18" t="n">
        <x:v>2026</x:v>
      </x:c>
      <x:c r="E81" s="18" t="str">
        <x:v>2026-07</x:v>
      </x:c>
      <x:c r="F81" s="18" t="str"/>
      <x:c r="G81" s="18" t="str"/>
      <x:c r="H81" s="18" t="str"/>
      <x:c r="I81" s="18" t="str">
        <x:v>N KUMAR RETAILS &amp; PROPERTIES PRIVATE LIMITED</x:v>
      </x:c>
      <x:c r="J81" s="20" t="str"/>
      <x:c r="K81" s="18" t="str"/>
      <x:c r="L81" s="18" t="str">
        <x:v>In the matter of N KUMAR RETAILS &amp; PROPERTIES PRIVATE LIMITED [C.P. (IB)/1361(MB)2025]</x:v>
      </x:c>
      <x:c r="M81" s="18" t="str">
        <x:v>2026-07-20</x:v>
      </x:c>
      <x:c r="N81" s="18" t="str">
        <x:v>N KUMAR RETAILS &amp; PROPERTIES PRIVATE LIMITED</x:v>
      </x:c>
      <x:c r="O81" s="18" t="str">
        <x:v>nclt_e7llr2</x:v>
      </x:c>
      <x:c r="P81" s="18" t="str"/>
      <x:c r="Q81" s="18" t="str"/>
      <x:c r="R81" s="18" t="str"/>
      <x:c r="S81" s="18" t="str"/>
      <x:c r="T81" s="18" t="str"/>
      <x:c r="U81" s="18" t="str">
        <x:v>Admission - Final Order</x:v>
      </x:c>
      <x:c r="V81" s="18" t="str">
        <x:v>DEFINED_TERMINAL_OR_FEED_SCOPE</x:v>
      </x:c>
      <x:c r="W81" s="18" t="str">
        <x:v>judiciary_nclt_orders.json — published records loaded</x:v>
      </x:c>
      <x:c r="X81" s="18" t="str"/>
      <x:c r="Y81" s="18" t="str"/>
      <x:c r="Z81" s="20" t="n">
        <x:v>434</x:v>
      </x:c>
      <x:c r="AA81" s="19" t="n">
        <x:f>IFERROR(TODAY()-DATEVALUE(C81),"")</x:f>
        <x:v>52</x:v>
      </x:c>
      <x:c r="AB81" s="21" t="n">
        <x:f>ROUND(COUNTA(A81:K81)/11*100,0)</x:f>
        <x:v>100</x:v>
      </x:c>
      <x:c r="AC81" s="18" t="str">
        <x:v>National Company Law Tribunal</x:v>
      </x:c>
      <x:c r="AD81" s="22" t="str">
        <x:v>https://ibbi.gov.in/uploads/order/2a0bf9706cb76402e3f00b5819cb2925.pdf</x:v>
      </x:c>
      <x:c r="AE81" s="18" t="str">
        <x:v>2026-07-20</x:v>
      </x:c>
      <x:c r="AF81" s="18" t="n">
        <x:v>46275.114583333336</x:v>
      </x:c>
      <x:c r="AG81" s="18" t="str">
        <x:v>retained_terminal</x:v>
      </x:c>
      <x:c r="AH81" s="18" t="str">
        <x:v>READY</x:v>
      </x:c>
    </x:row>
    <x:row r="82">
      <x:c r="A82" s="18" t="str">
        <x:v>NYT-47-e54968708e245e82</x:v>
      </x:c>
      <x:c r="B82" s="18" t="str">
        <x:v>In the matter of SUKRITI HOSPITAL AND RESEARCH CENTRE PRIVATE LIMITED [C.P. (IB)/224/KB/2025]</x:v>
      </x:c>
      <x:c r="C82" s="18" t="str">
        <x:v>2026-07-20</x:v>
      </x:c>
      <x:c r="D82" s="18" t="n">
        <x:v>2026</x:v>
      </x:c>
      <x:c r="E82" s="18" t="str">
        <x:v>2026-07</x:v>
      </x:c>
      <x:c r="F82" s="18" t="str"/>
      <x:c r="G82" s="18" t="str"/>
      <x:c r="H82" s="18" t="str"/>
      <x:c r="I82" s="18" t="str">
        <x:v>SUKRITI HOSPITAL AND RESEARCH CENTRE PRIVATE LIMITED</x:v>
      </x:c>
      <x:c r="J82" s="20" t="str"/>
      <x:c r="K82" s="18" t="str"/>
      <x:c r="L82" s="18" t="str">
        <x:v>In the matter of SUKRITI HOSPITAL AND RESEARCH CENTRE PRIVATE LIMITED [C.P. (IB)/224/KB/2025]</x:v>
      </x:c>
      <x:c r="M82" s="18" t="str">
        <x:v>2026-07-20</x:v>
      </x:c>
      <x:c r="N82" s="18" t="str">
        <x:v>SUKRITI HOSPITAL AND RESEARCH CENTRE PRIVATE LIMITED</x:v>
      </x:c>
      <x:c r="O82" s="18" t="str">
        <x:v>nclt_6smopy</x:v>
      </x:c>
      <x:c r="P82" s="18" t="str"/>
      <x:c r="Q82" s="18" t="str"/>
      <x:c r="R82" s="18" t="str"/>
      <x:c r="S82" s="18" t="str"/>
      <x:c r="T82" s="18" t="str"/>
      <x:c r="U82" s="18" t="str">
        <x:v>Admission - Final Order</x:v>
      </x:c>
      <x:c r="V82" s="18" t="str">
        <x:v>DEFINED_TERMINAL_OR_FEED_SCOPE</x:v>
      </x:c>
      <x:c r="W82" s="18" t="str">
        <x:v>judiciary_nclt_orders.json — published records loaded</x:v>
      </x:c>
      <x:c r="X82" s="18" t="str"/>
      <x:c r="Y82" s="18" t="str"/>
      <x:c r="Z82" s="20" t="n">
        <x:v>434</x:v>
      </x:c>
      <x:c r="AA82" s="19" t="n">
        <x:f>IFERROR(TODAY()-DATEVALUE(C82),"")</x:f>
        <x:v>52</x:v>
      </x:c>
      <x:c r="AB82" s="21" t="n">
        <x:f>ROUND(COUNTA(A82:K82)/11*100,0)</x:f>
        <x:v>100</x:v>
      </x:c>
      <x:c r="AC82" s="18" t="str">
        <x:v>National Company Law Tribunal</x:v>
      </x:c>
      <x:c r="AD82" s="22" t="str">
        <x:v>https://ibbi.gov.in/uploads/order/eee6310b75e8d1d76d26db9216627253.pdf</x:v>
      </x:c>
      <x:c r="AE82" s="18" t="str">
        <x:v>2026-07-20</x:v>
      </x:c>
      <x:c r="AF82" s="18" t="n">
        <x:v>46275.114583333336</x:v>
      </x:c>
      <x:c r="AG82" s="18" t="str">
        <x:v>retained_terminal</x:v>
      </x:c>
      <x:c r="AH82" s="18" t="str">
        <x:v>READY</x:v>
      </x:c>
    </x:row>
    <x:row r="83">
      <x:c r="A83" s="18" t="str">
        <x:v>NYT-47-bc61806a8ab65544</x:v>
      </x:c>
      <x:c r="B83" s="18" t="str">
        <x:v>In the matter of RAJA UDYOG PRIVATE LIMITED [C.P. (I.B.)/138 (KB) 2025]</x:v>
      </x:c>
      <x:c r="C83" s="18" t="str">
        <x:v>2026-07-20</x:v>
      </x:c>
      <x:c r="D83" s="18" t="n">
        <x:v>2026</x:v>
      </x:c>
      <x:c r="E83" s="18" t="str">
        <x:v>2026-07</x:v>
      </x:c>
      <x:c r="F83" s="18" t="str"/>
      <x:c r="G83" s="18" t="str"/>
      <x:c r="H83" s="18" t="str"/>
      <x:c r="I83" s="18" t="str">
        <x:v>RAJA UDYOG PRIVATE LIMITED</x:v>
      </x:c>
      <x:c r="J83" s="20" t="str"/>
      <x:c r="K83" s="18" t="str"/>
      <x:c r="L83" s="18" t="str">
        <x:v>In the matter of RAJA UDYOG PRIVATE LIMITED [C.P. (I.B.)/138 (KB) 2025]</x:v>
      </x:c>
      <x:c r="M83" s="18" t="str">
        <x:v>2026-07-20</x:v>
      </x:c>
      <x:c r="N83" s="18" t="str">
        <x:v>RAJA UDYOG PRIVATE LIMITED</x:v>
      </x:c>
      <x:c r="O83" s="18" t="str">
        <x:v>nclt_e9i5lf</x:v>
      </x:c>
      <x:c r="P83" s="18" t="str"/>
      <x:c r="Q83" s="18" t="str"/>
      <x:c r="R83" s="18" t="str"/>
      <x:c r="S83" s="18" t="str"/>
      <x:c r="T83" s="18" t="str"/>
      <x:c r="U83" s="18" t="str">
        <x:v>Admission - Final Order</x:v>
      </x:c>
      <x:c r="V83" s="18" t="str">
        <x:v>DEFINED_TERMINAL_OR_FEED_SCOPE</x:v>
      </x:c>
      <x:c r="W83" s="18" t="str">
        <x:v>judiciary_nclt_orders.json — published records loaded</x:v>
      </x:c>
      <x:c r="X83" s="18" t="str"/>
      <x:c r="Y83" s="18" t="str"/>
      <x:c r="Z83" s="20" t="n">
        <x:v>434</x:v>
      </x:c>
      <x:c r="AA83" s="19" t="n">
        <x:f>IFERROR(TODAY()-DATEVALUE(C83),"")</x:f>
        <x:v>52</x:v>
      </x:c>
      <x:c r="AB83" s="21" t="n">
        <x:f>ROUND(COUNTA(A83:K83)/11*100,0)</x:f>
        <x:v>100</x:v>
      </x:c>
      <x:c r="AC83" s="18" t="str">
        <x:v>National Company Law Tribunal</x:v>
      </x:c>
      <x:c r="AD83" s="22" t="str">
        <x:v>https://ibbi.gov.in/uploads/order/2026-07-29-155014-mz2f7-d14b6339e17eeea2a3f4c027639fbb06.pdf</x:v>
      </x:c>
      <x:c r="AE83" s="18" t="str">
        <x:v>2026-07-20</x:v>
      </x:c>
      <x:c r="AF83" s="18" t="n">
        <x:v>46275.114583333336</x:v>
      </x:c>
      <x:c r="AG83" s="18" t="str">
        <x:v>retained_terminal</x:v>
      </x:c>
      <x:c r="AH83" s="18" t="str">
        <x:v>READY</x:v>
      </x:c>
    </x:row>
    <x:row r="84">
      <x:c r="A84" s="18" t="str">
        <x:v>NYT-47-90d182fb2096960f</x:v>
      </x:c>
      <x:c r="B84" s="18" t="str">
        <x:v>In the matter of Alvi Tech Services Private Limited [C.P. (IB)/201/MB/2026]</x:v>
      </x:c>
      <x:c r="C84" s="18" t="str">
        <x:v>2026-07-20</x:v>
      </x:c>
      <x:c r="D84" s="18" t="n">
        <x:v>2026</x:v>
      </x:c>
      <x:c r="E84" s="18" t="str">
        <x:v>2026-07</x:v>
      </x:c>
      <x:c r="F84" s="18" t="str"/>
      <x:c r="G84" s="18" t="str"/>
      <x:c r="H84" s="18" t="str"/>
      <x:c r="I84" s="18" t="str">
        <x:v>Alvi Tech Services Private Limited</x:v>
      </x:c>
      <x:c r="J84" s="20" t="str"/>
      <x:c r="K84" s="18" t="str"/>
      <x:c r="L84" s="18" t="str">
        <x:v>In the matter of Alvi Tech Services Private Limited [C.P. (IB)/201/MB/2026]</x:v>
      </x:c>
      <x:c r="M84" s="18" t="str">
        <x:v>2026-07-20</x:v>
      </x:c>
      <x:c r="N84" s="18" t="str">
        <x:v>Alvi Tech Services Private Limited</x:v>
      </x:c>
      <x:c r="O84" s="18" t="str">
        <x:v>nclt_135mfg0</x:v>
      </x:c>
      <x:c r="P84" s="18" t="str"/>
      <x:c r="Q84" s="18" t="str"/>
      <x:c r="R84" s="18" t="str"/>
      <x:c r="S84" s="18" t="str"/>
      <x:c r="T84" s="18" t="str"/>
      <x:c r="U84" s="18" t="str">
        <x:v>Admission - Final order</x:v>
      </x:c>
      <x:c r="V84" s="18" t="str">
        <x:v>DEFINED_TERMINAL_OR_FEED_SCOPE</x:v>
      </x:c>
      <x:c r="W84" s="18" t="str">
        <x:v>judiciary_nclt_orders.json — published records loaded</x:v>
      </x:c>
      <x:c r="X84" s="18" t="str"/>
      <x:c r="Y84" s="18" t="str"/>
      <x:c r="Z84" s="20" t="n">
        <x:v>434</x:v>
      </x:c>
      <x:c r="AA84" s="19" t="n">
        <x:f>IFERROR(TODAY()-DATEVALUE(C84),"")</x:f>
        <x:v>52</x:v>
      </x:c>
      <x:c r="AB84" s="21" t="n">
        <x:f>ROUND(COUNTA(A84:K84)/11*100,0)</x:f>
        <x:v>100</x:v>
      </x:c>
      <x:c r="AC84" s="18" t="str">
        <x:v>National Company Law Tribunal</x:v>
      </x:c>
      <x:c r="AD84" s="22" t="str">
        <x:v>https://ibbi.gov.in/uploads/order/bd7bc4742d63215c23e1f9cc1ec315ee.pdf</x:v>
      </x:c>
      <x:c r="AE84" s="18" t="str">
        <x:v>2026-07-20</x:v>
      </x:c>
      <x:c r="AF84" s="18" t="n">
        <x:v>46275.114583333336</x:v>
      </x:c>
      <x:c r="AG84" s="18" t="str">
        <x:v>retained_terminal</x:v>
      </x:c>
      <x:c r="AH84" s="18" t="str">
        <x:v>READY</x:v>
      </x:c>
    </x:row>
    <x:row r="85">
      <x:c r="A85" s="18" t="str">
        <x:v>NYT-47-382d6f3b571fe98f</x:v>
      </x:c>
      <x:c r="B85" s="18" t="str">
        <x:v>In the matter of V&amp;RO HOSPITALITY PRIVATE LIMITED [C.P. (IB) No. 184/BB/2025]</x:v>
      </x:c>
      <x:c r="C85" s="18" t="str">
        <x:v>2026-07-17</x:v>
      </x:c>
      <x:c r="D85" s="18" t="n">
        <x:v>2026</x:v>
      </x:c>
      <x:c r="E85" s="18" t="str">
        <x:v>2026-07</x:v>
      </x:c>
      <x:c r="F85" s="18" t="str"/>
      <x:c r="G85" s="18" t="str"/>
      <x:c r="H85" s="18" t="str"/>
      <x:c r="I85" s="18" t="str">
        <x:v>V&amp;RO HOSPITALITY PRIVATE LIMITED</x:v>
      </x:c>
      <x:c r="J85" s="20" t="str"/>
      <x:c r="K85" s="18" t="str"/>
      <x:c r="L85" s="18" t="str">
        <x:v>In the matter of V&amp;RO HOSPITALITY PRIVATE LIMITED [C.P. (IB) No. 184/BB/2025]</x:v>
      </x:c>
      <x:c r="M85" s="18" t="str">
        <x:v>2026-07-17</x:v>
      </x:c>
      <x:c r="N85" s="18" t="str">
        <x:v>V&amp;RO HOSPITALITY PRIVATE LIMITED</x:v>
      </x:c>
      <x:c r="O85" s="18" t="str">
        <x:v>nclt_1ffxcnd</x:v>
      </x:c>
      <x:c r="P85" s="18" t="str"/>
      <x:c r="Q85" s="18" t="str"/>
      <x:c r="R85" s="18" t="str"/>
      <x:c r="S85" s="18" t="str"/>
      <x:c r="T85" s="18" t="str"/>
      <x:c r="U85" s="18" t="str">
        <x:v>Admission - Final Order</x:v>
      </x:c>
      <x:c r="V85" s="18" t="str">
        <x:v>DEFINED_TERMINAL_OR_FEED_SCOPE</x:v>
      </x:c>
      <x:c r="W85" s="18" t="str">
        <x:v>judiciary_nclt_orders.json — published records loaded</x:v>
      </x:c>
      <x:c r="X85" s="18" t="str"/>
      <x:c r="Y85" s="18" t="str"/>
      <x:c r="Z85" s="20" t="n">
        <x:v>434</x:v>
      </x:c>
      <x:c r="AA85" s="19" t="n">
        <x:f>IFERROR(TODAY()-DATEVALUE(C85),"")</x:f>
        <x:v>55</x:v>
      </x:c>
      <x:c r="AB85" s="21" t="n">
        <x:f>ROUND(COUNTA(A85:K85)/11*100,0)</x:f>
        <x:v>100</x:v>
      </x:c>
      <x:c r="AC85" s="18" t="str">
        <x:v>National Company Law Tribunal</x:v>
      </x:c>
      <x:c r="AD85" s="22" t="str">
        <x:v>https://ibbi.gov.in/uploads/order/9abeeae62ef71a93027fd150b8ab0ca0.pdf</x:v>
      </x:c>
      <x:c r="AE85" s="18" t="str">
        <x:v>2026-07-17</x:v>
      </x:c>
      <x:c r="AF85" s="18" t="n">
        <x:v>46275.114583333336</x:v>
      </x:c>
      <x:c r="AG85" s="18" t="str">
        <x:v>retained_terminal</x:v>
      </x:c>
      <x:c r="AH85" s="18" t="str">
        <x:v>READY</x:v>
      </x:c>
    </x:row>
    <x:row r="86">
      <x:c r="A86" s="18" t="str">
        <x:v>NYT-47-8501446d6e8300af</x:v>
      </x:c>
      <x:c r="B86" s="18" t="str">
        <x:v>In the matter of Kunal Structure (India) Private Limited [CP (IB) No. 14 of 2023]</x:v>
      </x:c>
      <x:c r="C86" s="18" t="str">
        <x:v>2026-07-17</x:v>
      </x:c>
      <x:c r="D86" s="18" t="n">
        <x:v>2026</x:v>
      </x:c>
      <x:c r="E86" s="18" t="str">
        <x:v>2026-07</x:v>
      </x:c>
      <x:c r="F86" s="18" t="str"/>
      <x:c r="G86" s="18" t="str"/>
      <x:c r="H86" s="18" t="str"/>
      <x:c r="I86" s="18" t="str">
        <x:v>Kunal Structure (India) Private Limited</x:v>
      </x:c>
      <x:c r="J86" s="20" t="str"/>
      <x:c r="K86" s="18" t="str"/>
      <x:c r="L86" s="18" t="str">
        <x:v>In the matter of Kunal Structure (India) Private Limited [CP (IB) No. 14 of 2023]</x:v>
      </x:c>
      <x:c r="M86" s="18" t="str">
        <x:v>2026-07-17</x:v>
      </x:c>
      <x:c r="N86" s="18" t="str">
        <x:v>Kunal Structure (India) Private Limited</x:v>
      </x:c>
      <x:c r="O86" s="18" t="str">
        <x:v>nclt_hfrf9v</x:v>
      </x:c>
      <x:c r="P86" s="18" t="str"/>
      <x:c r="Q86" s="18" t="str"/>
      <x:c r="R86" s="18" t="str"/>
      <x:c r="S86" s="18" t="str"/>
      <x:c r="T86" s="18" t="str"/>
      <x:c r="U86" s="18" t="str">
        <x:v>Rejected</x:v>
      </x:c>
      <x:c r="V86" s="18" t="str">
        <x:v>DEFINED_TERMINAL_OR_FEED_SCOPE</x:v>
      </x:c>
      <x:c r="W86" s="18" t="str">
        <x:v>judiciary_nclt_orders.json — published records loaded</x:v>
      </x:c>
      <x:c r="X86" s="18" t="str"/>
      <x:c r="Y86" s="18" t="str"/>
      <x:c r="Z86" s="20" t="n">
        <x:v>434</x:v>
      </x:c>
      <x:c r="AA86" s="19" t="n">
        <x:f>IFERROR(TODAY()-DATEVALUE(C86),"")</x:f>
        <x:v>55</x:v>
      </x:c>
      <x:c r="AB86" s="21" t="n">
        <x:f>ROUND(COUNTA(A86:K86)/11*100,0)</x:f>
        <x:v>100</x:v>
      </x:c>
      <x:c r="AC86" s="18" t="str">
        <x:v>National Company Law Tribunal</x:v>
      </x:c>
      <x:c r="AD86" s="22" t="str">
        <x:v>https://ibbi.gov.in/uploads/order/b14c8129a147a2351b4ae25a324782f1.pdf</x:v>
      </x:c>
      <x:c r="AE86" s="18" t="str">
        <x:v>2026-07-17</x:v>
      </x:c>
      <x:c r="AF86" s="18" t="n">
        <x:v>46275.114583333336</x:v>
      </x:c>
      <x:c r="AG86" s="18" t="str">
        <x:v>retained_terminal</x:v>
      </x:c>
      <x:c r="AH86" s="18" t="str">
        <x:v>READY</x:v>
      </x:c>
    </x:row>
    <x:row r="87">
      <x:c r="A87" s="18" t="str">
        <x:v>NYT-47-3cc0e66decaceb0d</x:v>
      </x:c>
      <x:c r="B87" s="18" t="str">
        <x:v>In the matter of VERSATILE PHARMA PRIVATE LIMITED [CP(IB)HDB/65/7/2023]</x:v>
      </x:c>
      <x:c r="C87" s="18" t="str">
        <x:v>2026-07-17</x:v>
      </x:c>
      <x:c r="D87" s="18" t="n">
        <x:v>2026</x:v>
      </x:c>
      <x:c r="E87" s="18" t="str">
        <x:v>2026-07</x:v>
      </x:c>
      <x:c r="F87" s="18" t="str"/>
      <x:c r="G87" s="18" t="str"/>
      <x:c r="H87" s="18" t="str"/>
      <x:c r="I87" s="18" t="str">
        <x:v>VERSATILE PHARMA PRIVATE LIMITED</x:v>
      </x:c>
      <x:c r="J87" s="20" t="str"/>
      <x:c r="K87" s="18" t="str"/>
      <x:c r="L87" s="18" t="str">
        <x:v>In the matter of VERSATILE PHARMA PRIVATE LIMITED [CP(IB)HDB/65/7/2023]</x:v>
      </x:c>
      <x:c r="M87" s="18" t="str">
        <x:v>2026-07-17</x:v>
      </x:c>
      <x:c r="N87" s="18" t="str">
        <x:v>VERSATILE PHARMA PRIVATE LIMITED</x:v>
      </x:c>
      <x:c r="O87" s="18" t="str">
        <x:v>nclt_ytpcj5</x:v>
      </x:c>
      <x:c r="P87" s="18" t="str"/>
      <x:c r="Q87" s="18" t="str"/>
      <x:c r="R87" s="18" t="str"/>
      <x:c r="S87" s="18" t="str"/>
      <x:c r="T87" s="18" t="str"/>
      <x:c r="U87" s="18" t="str">
        <x:v>Appointment - Appointment of Liquidator</x:v>
      </x:c>
      <x:c r="V87" s="18" t="str">
        <x:v>DEFINED_TERMINAL_OR_FEED_SCOPE</x:v>
      </x:c>
      <x:c r="W87" s="18" t="str">
        <x:v>judiciary_nclt_orders.json — published records loaded</x:v>
      </x:c>
      <x:c r="X87" s="18" t="str"/>
      <x:c r="Y87" s="18" t="str"/>
      <x:c r="Z87" s="20" t="n">
        <x:v>434</x:v>
      </x:c>
      <x:c r="AA87" s="19" t="n">
        <x:f>IFERROR(TODAY()-DATEVALUE(C87),"")</x:f>
        <x:v>55</x:v>
      </x:c>
      <x:c r="AB87" s="21" t="n">
        <x:f>ROUND(COUNTA(A87:K87)/11*100,0)</x:f>
        <x:v>100</x:v>
      </x:c>
      <x:c r="AC87" s="18" t="str">
        <x:v>National Company Law Tribunal</x:v>
      </x:c>
      <x:c r="AD87" s="22" t="str">
        <x:v>https://ibbi.gov.in/uploads/order/1d7b109213d56a82812659db65e72af9.pdf</x:v>
      </x:c>
      <x:c r="AE87" s="18" t="str">
        <x:v>2026-07-17</x:v>
      </x:c>
      <x:c r="AF87" s="18" t="n">
        <x:v>46275.114583333336</x:v>
      </x:c>
      <x:c r="AG87" s="18" t="str">
        <x:v>retained_terminal</x:v>
      </x:c>
      <x:c r="AH87" s="18" t="str">
        <x:v>READY</x:v>
      </x:c>
    </x:row>
    <x:row r="88">
      <x:c r="A88" s="18" t="str">
        <x:v>NYT-47-c9e63cc8c90bb9eb</x:v>
      </x:c>
      <x:c r="B88" s="18" t="str">
        <x:v>In the matter of HOWRAH MILLS CO LTD [CP(IBC) No.4/KB/2019 with IA.2425 &amp; 2441 of 2024 w]</x:v>
      </x:c>
      <x:c r="C88" s="18" t="str">
        <x:v>2026-07-17</x:v>
      </x:c>
      <x:c r="D88" s="18" t="n">
        <x:v>2026</x:v>
      </x:c>
      <x:c r="E88" s="18" t="str">
        <x:v>2026-07</x:v>
      </x:c>
      <x:c r="F88" s="18" t="str"/>
      <x:c r="G88" s="18" t="str"/>
      <x:c r="H88" s="18" t="str"/>
      <x:c r="I88" s="18" t="str">
        <x:v>HOWRAH MILLS CO LTD</x:v>
      </x:c>
      <x:c r="J88" s="20" t="str"/>
      <x:c r="K88" s="18" t="str"/>
      <x:c r="L88" s="18" t="str">
        <x:v>In the matter of HOWRAH MILLS CO LTD [CP(IBC) No.4/KB/2019 with IA.2425 &amp; 2441 of 2024 w]</x:v>
      </x:c>
      <x:c r="M88" s="18" t="str">
        <x:v>2026-07-17</x:v>
      </x:c>
      <x:c r="N88" s="18" t="str">
        <x:v>HOWRAH MILLS CO LTD</x:v>
      </x:c>
      <x:c r="O88" s="18" t="str">
        <x:v>nclt_1yn3bdh</x:v>
      </x:c>
      <x:c r="P88" s="18" t="str"/>
      <x:c r="Q88" s="18" t="str"/>
      <x:c r="R88" s="18" t="str"/>
      <x:c r="S88" s="18" t="str"/>
      <x:c r="T88" s="18" t="str"/>
      <x:c r="U88" s="18" t="str">
        <x:v>Admission - Final Order</x:v>
      </x:c>
      <x:c r="V88" s="18" t="str">
        <x:v>DEFINED_TERMINAL_OR_FEED_SCOPE</x:v>
      </x:c>
      <x:c r="W88" s="18" t="str">
        <x:v>judiciary_nclt_orders.json — published records loaded</x:v>
      </x:c>
      <x:c r="X88" s="18" t="str"/>
      <x:c r="Y88" s="18" t="str"/>
      <x:c r="Z88" s="20" t="n">
        <x:v>434</x:v>
      </x:c>
      <x:c r="AA88" s="19" t="n">
        <x:f>IFERROR(TODAY()-DATEVALUE(C88),"")</x:f>
        <x:v>55</x:v>
      </x:c>
      <x:c r="AB88" s="21" t="n">
        <x:f>ROUND(COUNTA(A88:K88)/11*100,0)</x:f>
        <x:v>100</x:v>
      </x:c>
      <x:c r="AC88" s="18" t="str">
        <x:v>National Company Law Tribunal</x:v>
      </x:c>
      <x:c r="AD88" s="22" t="str">
        <x:v>https://ibbi.gov.in/uploads/order/ba16fe204828a5081472940ca2d2ce1a.pdf</x:v>
      </x:c>
      <x:c r="AE88" s="18" t="str">
        <x:v>2026-07-17</x:v>
      </x:c>
      <x:c r="AF88" s="18" t="n">
        <x:v>46275.114583333336</x:v>
      </x:c>
      <x:c r="AG88" s="18" t="str">
        <x:v>retained_terminal</x:v>
      </x:c>
      <x:c r="AH88" s="18" t="str">
        <x:v>READY</x:v>
      </x:c>
    </x:row>
    <x:row r="89">
      <x:c r="A89" s="18" t="str">
        <x:v>NYT-47-6343a2274a547fc2</x:v>
      </x:c>
      <x:c r="B89" s="18" t="str">
        <x:v>In the matter of DROPBASE SOFTWARE PRIVATE LIMITED [CP NO. (IB)/253/JPR/2019]</x:v>
      </x:c>
      <x:c r="C89" s="18" t="str">
        <x:v>2026-07-17</x:v>
      </x:c>
      <x:c r="D89" s="18" t="n">
        <x:v>2026</x:v>
      </x:c>
      <x:c r="E89" s="18" t="str">
        <x:v>2026-07</x:v>
      </x:c>
      <x:c r="F89" s="18" t="str"/>
      <x:c r="G89" s="18" t="str"/>
      <x:c r="H89" s="18" t="str"/>
      <x:c r="I89" s="18" t="str">
        <x:v>DROPBASE SOFTWARE PRIVATE LIMITED</x:v>
      </x:c>
      <x:c r="J89" s="20" t="str"/>
      <x:c r="K89" s="18" t="str"/>
      <x:c r="L89" s="18" t="str">
        <x:v>In the matter of DROPBASE SOFTWARE PRIVATE LIMITED [CP NO. (IB)/253/JPR/2019]</x:v>
      </x:c>
      <x:c r="M89" s="18" t="str">
        <x:v>2026-07-17</x:v>
      </x:c>
      <x:c r="N89" s="18" t="str">
        <x:v>DROPBASE SOFTWARE PRIVATE LIMITED</x:v>
      </x:c>
      <x:c r="O89" s="18" t="str">
        <x:v>nclt_16p2rr2</x:v>
      </x:c>
      <x:c r="P89" s="18" t="str"/>
      <x:c r="Q89" s="18" t="str"/>
      <x:c r="R89" s="18" t="str"/>
      <x:c r="S89" s="18" t="str"/>
      <x:c r="T89" s="18" t="str"/>
      <x:c r="U89" s="18" t="str">
        <x:v>Appointment - Appointment of Liquidator</x:v>
      </x:c>
      <x:c r="V89" s="18" t="str">
        <x:v>DEFINED_TERMINAL_OR_FEED_SCOPE</x:v>
      </x:c>
      <x:c r="W89" s="18" t="str">
        <x:v>judiciary_nclt_orders.json — published records loaded</x:v>
      </x:c>
      <x:c r="X89" s="18" t="str"/>
      <x:c r="Y89" s="18" t="str"/>
      <x:c r="Z89" s="20" t="n">
        <x:v>434</x:v>
      </x:c>
      <x:c r="AA89" s="19" t="n">
        <x:f>IFERROR(TODAY()-DATEVALUE(C89),"")</x:f>
        <x:v>55</x:v>
      </x:c>
      <x:c r="AB89" s="21" t="n">
        <x:f>ROUND(COUNTA(A89:K89)/11*100,0)</x:f>
        <x:v>100</x:v>
      </x:c>
      <x:c r="AC89" s="18" t="str">
        <x:v>National Company Law Tribunal</x:v>
      </x:c>
      <x:c r="AD89" s="22" t="str">
        <x:v>https://ibbi.gov.in/uploads/order/125db1b3e078be7f61028d338b22eef2.pdf</x:v>
      </x:c>
      <x:c r="AE89" s="18" t="str">
        <x:v>2026-07-17</x:v>
      </x:c>
      <x:c r="AF89" s="18" t="n">
        <x:v>46275.114583333336</x:v>
      </x:c>
      <x:c r="AG89" s="18" t="str">
        <x:v>retained_terminal</x:v>
      </x:c>
      <x:c r="AH89" s="18" t="str">
        <x:v>READY</x:v>
      </x:c>
    </x:row>
    <x:row r="90">
      <x:c r="A90" s="18" t="str">
        <x:v>NYT-47-9227805736c4fc6b</x:v>
      </x:c>
      <x:c r="B90" s="18" t="str">
        <x:v>In the matter of OZONE PROJECTS PRIVATE LIMITED [IA 799 CHE 2026 in CP/IB/49/2023]</x:v>
      </x:c>
      <x:c r="C90" s="18" t="str">
        <x:v>2026-07-16</x:v>
      </x:c>
      <x:c r="D90" s="18" t="n">
        <x:v>2026</x:v>
      </x:c>
      <x:c r="E90" s="18" t="str">
        <x:v>2026-07</x:v>
      </x:c>
      <x:c r="F90" s="18" t="str"/>
      <x:c r="G90" s="18" t="str"/>
      <x:c r="H90" s="18" t="str"/>
      <x:c r="I90" s="18" t="str">
        <x:v>OZONE PROJECTS PRIVATE LIMITED</x:v>
      </x:c>
      <x:c r="J90" s="20" t="str"/>
      <x:c r="K90" s="18" t="str"/>
      <x:c r="L90" s="18" t="str">
        <x:v>In the matter of OZONE PROJECTS PRIVATE LIMITED [IA 799 CHE 2026 in CP/IB/49/2023]</x:v>
      </x:c>
      <x:c r="M90" s="18" t="str">
        <x:v>2026-07-16</x:v>
      </x:c>
      <x:c r="N90" s="18" t="str">
        <x:v>OZONE PROJECTS PRIVATE LIMITED</x:v>
      </x:c>
      <x:c r="O90" s="18" t="str">
        <x:v>nclt_13cbkou</x:v>
      </x:c>
      <x:c r="P90" s="18" t="str"/>
      <x:c r="Q90" s="18" t="str"/>
      <x:c r="R90" s="18" t="str"/>
      <x:c r="S90" s="18" t="str"/>
      <x:c r="T90" s="18" t="str"/>
      <x:c r="U90" s="18" t="str">
        <x:v>Admission - Final Order</x:v>
      </x:c>
      <x:c r="V90" s="18" t="str">
        <x:v>DEFINED_TERMINAL_OR_FEED_SCOPE</x:v>
      </x:c>
      <x:c r="W90" s="18" t="str">
        <x:v>judiciary_nclt_orders.json — published records loaded</x:v>
      </x:c>
      <x:c r="X90" s="18" t="str"/>
      <x:c r="Y90" s="18" t="str"/>
      <x:c r="Z90" s="20" t="n">
        <x:v>434</x:v>
      </x:c>
      <x:c r="AA90" s="19" t="n">
        <x:f>IFERROR(TODAY()-DATEVALUE(C90),"")</x:f>
        <x:v>56</x:v>
      </x:c>
      <x:c r="AB90" s="21" t="n">
        <x:f>ROUND(COUNTA(A90:K90)/11*100,0)</x:f>
        <x:v>100</x:v>
      </x:c>
      <x:c r="AC90" s="18" t="str">
        <x:v>National Company Law Tribunal</x:v>
      </x:c>
      <x:c r="AD90" s="22" t="str">
        <x:v>https://ibbi.gov.in/uploads/order/a3dd876aadbfcd9055ca69e9a4455c72.pdf</x:v>
      </x:c>
      <x:c r="AE90" s="18" t="str">
        <x:v>2026-07-16</x:v>
      </x:c>
      <x:c r="AF90" s="18" t="n">
        <x:v>46275.114583333336</x:v>
      </x:c>
      <x:c r="AG90" s="18" t="str">
        <x:v>retained_terminal</x:v>
      </x:c>
      <x:c r="AH90" s="18" t="str">
        <x:v>READY</x:v>
      </x:c>
    </x:row>
    <x:row r="91">
      <x:c r="A91" s="18" t="str">
        <x:v>NYT-47-acb1380a7789cc90</x:v>
      </x:c>
      <x:c r="B91" s="18" t="str">
        <x:v>In the matter of JSM Devcons India Pvt. Ltd. [IA 238 of 2025 in TP 230 of 2019 [CP (IB) 192 of 2017]</x:v>
      </x:c>
      <x:c r="C91" s="18" t="str">
        <x:v>2026-07-16</x:v>
      </x:c>
      <x:c r="D91" s="18" t="n">
        <x:v>2026</x:v>
      </x:c>
      <x:c r="E91" s="18" t="str">
        <x:v>2026-07</x:v>
      </x:c>
      <x:c r="F91" s="18" t="str"/>
      <x:c r="G91" s="18" t="str"/>
      <x:c r="H91" s="18" t="str"/>
      <x:c r="I91" s="18" t="str">
        <x:v>JSM Devcons India Pvt. Ltd.</x:v>
      </x:c>
      <x:c r="J91" s="20" t="str"/>
      <x:c r="K91" s="18" t="str"/>
      <x:c r="L91" s="18" t="str">
        <x:v>In the matter of JSM Devcons India Pvt. Ltd. [IA 238 of 2025 in TP 230 of 2019 [CP (IB) 192 of 2017]</x:v>
      </x:c>
      <x:c r="M91" s="18" t="str">
        <x:v>2026-07-16</x:v>
      </x:c>
      <x:c r="N91" s="18" t="str">
        <x:v>JSM Devcons India Pvt. Ltd.</x:v>
      </x:c>
      <x:c r="O91" s="18" t="str">
        <x:v>nclt_1odkhkf</x:v>
      </x:c>
      <x:c r="P91" s="18" t="str"/>
      <x:c r="Q91" s="18" t="str"/>
      <x:c r="R91" s="18" t="str"/>
      <x:c r="S91" s="18" t="str"/>
      <x:c r="T91" s="18" t="str"/>
      <x:c r="U91" s="18" t="str">
        <x:v>Others</x:v>
      </x:c>
      <x:c r="V91" s="18" t="str">
        <x:v>DEFINED_TERMINAL_OR_FEED_SCOPE</x:v>
      </x:c>
      <x:c r="W91" s="18" t="str">
        <x:v>judiciary_nclt_orders.json — published records loaded</x:v>
      </x:c>
      <x:c r="X91" s="18" t="str"/>
      <x:c r="Y91" s="18" t="str"/>
      <x:c r="Z91" s="20" t="n">
        <x:v>434</x:v>
      </x:c>
      <x:c r="AA91" s="19" t="n">
        <x:f>IFERROR(TODAY()-DATEVALUE(C91),"")</x:f>
        <x:v>56</x:v>
      </x:c>
      <x:c r="AB91" s="21" t="n">
        <x:f>ROUND(COUNTA(A91:K91)/11*100,0)</x:f>
        <x:v>100</x:v>
      </x:c>
      <x:c r="AC91" s="18" t="str">
        <x:v>National Company Law Tribunal</x:v>
      </x:c>
      <x:c r="AD91" s="22" t="str">
        <x:v>https://ibbi.gov.in/uploads/order/76560e7d7411f95298b5beb8607e5012.pdf</x:v>
      </x:c>
      <x:c r="AE91" s="18" t="str">
        <x:v>2026-07-16</x:v>
      </x:c>
      <x:c r="AF91" s="18" t="n">
        <x:v>46275.114583333336</x:v>
      </x:c>
      <x:c r="AG91" s="18" t="str">
        <x:v>retained_terminal</x:v>
      </x:c>
      <x:c r="AH91" s="18" t="str">
        <x:v>READY</x:v>
      </x:c>
    </x:row>
    <x:row r="92">
      <x:c r="A92" s="18" t="str">
        <x:v>NYT-47-d30fd5dad270ea95</x:v>
      </x:c>
      <x:c r="B92" s="18" t="str">
        <x:v>In the matter of Shankheshwar Properties Private Limited [I.A. No. 4475 of 2023 &amp; 4830 of 2023 in C.P. (IB) No. 1140/MB/2020]</x:v>
      </x:c>
      <x:c r="C92" s="18" t="str">
        <x:v>2026-07-16</x:v>
      </x:c>
      <x:c r="D92" s="18" t="n">
        <x:v>2026</x:v>
      </x:c>
      <x:c r="E92" s="18" t="str">
        <x:v>2026-07</x:v>
      </x:c>
      <x:c r="F92" s="18" t="str"/>
      <x:c r="G92" s="18" t="str"/>
      <x:c r="H92" s="18" t="str"/>
      <x:c r="I92" s="18" t="str">
        <x:v>Shankheshwar Properties Private Limited</x:v>
      </x:c>
      <x:c r="J92" s="20" t="str"/>
      <x:c r="K92" s="18" t="str"/>
      <x:c r="L92" s="18" t="str">
        <x:v>In the matter of Shankheshwar Properties Private Limited [I.A. No. 4475 of 2023 &amp; 4830 of 2023 in C.P. (IB) No. 1140/MB/2020]</x:v>
      </x:c>
      <x:c r="M92" s="18" t="str">
        <x:v>2026-07-16</x:v>
      </x:c>
      <x:c r="N92" s="18" t="str">
        <x:v>Shankheshwar Properties Private Limited</x:v>
      </x:c>
      <x:c r="O92" s="18" t="str">
        <x:v>nclt_y2g5vx</x:v>
      </x:c>
      <x:c r="P92" s="18" t="str"/>
      <x:c r="Q92" s="18" t="str"/>
      <x:c r="R92" s="18" t="str"/>
      <x:c r="S92" s="18" t="str"/>
      <x:c r="T92" s="18" t="str"/>
      <x:c r="U92" s="18" t="str">
        <x:v>Others</x:v>
      </x:c>
      <x:c r="V92" s="18" t="str">
        <x:v>DEFINED_TERMINAL_OR_FEED_SCOPE</x:v>
      </x:c>
      <x:c r="W92" s="18" t="str">
        <x:v>judiciary_nclt_orders.json — published records loaded</x:v>
      </x:c>
      <x:c r="X92" s="18" t="str"/>
      <x:c r="Y92" s="18" t="str"/>
      <x:c r="Z92" s="20" t="n">
        <x:v>434</x:v>
      </x:c>
      <x:c r="AA92" s="19" t="n">
        <x:f>IFERROR(TODAY()-DATEVALUE(C92),"")</x:f>
        <x:v>56</x:v>
      </x:c>
      <x:c r="AB92" s="21" t="n">
        <x:f>ROUND(COUNTA(A92:K92)/11*100,0)</x:f>
        <x:v>100</x:v>
      </x:c>
      <x:c r="AC92" s="18" t="str">
        <x:v>National Company Law Tribunal</x:v>
      </x:c>
      <x:c r="AD92" s="22" t="str">
        <x:v>https://ibbi.gov.in/uploads/order/3371a5e89dd1b39a71c56de876c37fdc.pdf</x:v>
      </x:c>
      <x:c r="AE92" s="18" t="str">
        <x:v>2026-07-16</x:v>
      </x:c>
      <x:c r="AF92" s="18" t="n">
        <x:v>46275.114583333336</x:v>
      </x:c>
      <x:c r="AG92" s="18" t="str">
        <x:v>retained_terminal</x:v>
      </x:c>
      <x:c r="AH92" s="18" t="str">
        <x:v>READY</x:v>
      </x:c>
    </x:row>
    <x:row r="93">
      <x:c r="A93" s="18" t="str">
        <x:v>NYT-47-fa590c17ac59ef56</x:v>
      </x:c>
      <x:c r="B93" s="18" t="str">
        <x:v>In the matter of Cynosure Real Estates Pvt. Ltd. [IA-05 &amp; 06/2023 in (IB) 2060 &amp; 2061 (PB)/2019]</x:v>
      </x:c>
      <x:c r="C93" s="18" t="str">
        <x:v>2026-07-16</x:v>
      </x:c>
      <x:c r="D93" s="18" t="n">
        <x:v>2026</x:v>
      </x:c>
      <x:c r="E93" s="18" t="str">
        <x:v>2026-07</x:v>
      </x:c>
      <x:c r="F93" s="18" t="str"/>
      <x:c r="G93" s="18" t="str"/>
      <x:c r="H93" s="18" t="str"/>
      <x:c r="I93" s="18" t="str">
        <x:v>Cynosure Real Estates Pvt. Ltd.</x:v>
      </x:c>
      <x:c r="J93" s="20" t="str"/>
      <x:c r="K93" s="18" t="str"/>
      <x:c r="L93" s="18" t="str">
        <x:v>In the matter of Cynosure Real Estates Pvt. Ltd. [IA-05 &amp; 06/2023 in (IB) 2060 &amp; 2061 (PB)/2019]</x:v>
      </x:c>
      <x:c r="M93" s="18" t="str">
        <x:v>2026-07-16</x:v>
      </x:c>
      <x:c r="N93" s="18" t="str">
        <x:v>Cynosure Real Estates Pvt. Ltd.</x:v>
      </x:c>
      <x:c r="O93" s="18" t="str">
        <x:v>nclt_tn9ak6</x:v>
      </x:c>
      <x:c r="P93" s="18" t="str"/>
      <x:c r="Q93" s="18" t="str"/>
      <x:c r="R93" s="18" t="str"/>
      <x:c r="S93" s="18" t="str"/>
      <x:c r="T93" s="18" t="str"/>
      <x:c r="U93" s="18" t="str">
        <x:v>Others</x:v>
      </x:c>
      <x:c r="V93" s="18" t="str">
        <x:v>DEFINED_TERMINAL_OR_FEED_SCOPE</x:v>
      </x:c>
      <x:c r="W93" s="18" t="str">
        <x:v>judiciary_nclt_orders.json — published records loaded</x:v>
      </x:c>
      <x:c r="X93" s="18" t="str"/>
      <x:c r="Y93" s="18" t="str"/>
      <x:c r="Z93" s="20" t="n">
        <x:v>434</x:v>
      </x:c>
      <x:c r="AA93" s="19" t="n">
        <x:f>IFERROR(TODAY()-DATEVALUE(C93),"")</x:f>
        <x:v>56</x:v>
      </x:c>
      <x:c r="AB93" s="21" t="n">
        <x:f>ROUND(COUNTA(A93:K93)/11*100,0)</x:f>
        <x:v>100</x:v>
      </x:c>
      <x:c r="AC93" s="18" t="str">
        <x:v>National Company Law Tribunal</x:v>
      </x:c>
      <x:c r="AD93" s="22" t="str">
        <x:v>https://ibbi.gov.in/uploads/order/37e83194a8bd24eaffbead0d751ff403.pdf</x:v>
      </x:c>
      <x:c r="AE93" s="18" t="str">
        <x:v>2026-07-16</x:v>
      </x:c>
      <x:c r="AF93" s="18" t="n">
        <x:v>46275.114583333336</x:v>
      </x:c>
      <x:c r="AG93" s="18" t="str">
        <x:v>retained_terminal</x:v>
      </x:c>
      <x:c r="AH93" s="18" t="str">
        <x:v>READY</x:v>
      </x:c>
    </x:row>
    <x:row r="94">
      <x:c r="A94" s="18" t="str">
        <x:v>NYT-47-80b0f64cb5af8a1b</x:v>
      </x:c>
      <x:c r="B94" s="18" t="str">
        <x:v>In the matter of State Bank of India vs. Vijay Latha Jain, [CP(IB) NO. 156/95/HYD/2023]</x:v>
      </x:c>
      <x:c r="C94" s="18" t="str">
        <x:v>2026-07-16</x:v>
      </x:c>
      <x:c r="D94" s="18" t="n">
        <x:v>2026</x:v>
      </x:c>
      <x:c r="E94" s="18" t="str">
        <x:v>2026-07</x:v>
      </x:c>
      <x:c r="F94" s="18" t="str"/>
      <x:c r="G94" s="18" t="str"/>
      <x:c r="H94" s="18" t="str"/>
      <x:c r="I94" s="18" t="str">
        <x:v>State Bank of India</x:v>
      </x:c>
      <x:c r="J94" s="20" t="str"/>
      <x:c r="K94" s="18" t="str"/>
      <x:c r="L94" s="18" t="str">
        <x:v>In the matter of State Bank of India vs. Vijay Latha Jain, [CP(IB) NO. 156/95/HYD/2023]</x:v>
      </x:c>
      <x:c r="M94" s="18" t="str">
        <x:v>2026-07-16</x:v>
      </x:c>
      <x:c r="N94" s="18" t="str">
        <x:v>State Bank of India</x:v>
      </x:c>
      <x:c r="O94" s="18" t="str">
        <x:v>nclt_hvdmqn</x:v>
      </x:c>
      <x:c r="P94" s="18" t="str"/>
      <x:c r="Q94" s="18" t="str"/>
      <x:c r="R94" s="18" t="str"/>
      <x:c r="S94" s="18" t="str"/>
      <x:c r="T94" s="18" t="str"/>
      <x:c r="U94" s="18" t="str">
        <x:v>Appointment of RP in PG case</x:v>
      </x:c>
      <x:c r="V94" s="18" t="str">
        <x:v>DEFINED_TERMINAL_OR_FEED_SCOPE</x:v>
      </x:c>
      <x:c r="W94" s="18" t="str">
        <x:v>judiciary_nclt_orders.json — published records loaded</x:v>
      </x:c>
      <x:c r="X94" s="18" t="str"/>
      <x:c r="Y94" s="18" t="str"/>
      <x:c r="Z94" s="20" t="n">
        <x:v>434</x:v>
      </x:c>
      <x:c r="AA94" s="19" t="n">
        <x:f>IFERROR(TODAY()-DATEVALUE(C94),"")</x:f>
        <x:v>56</x:v>
      </x:c>
      <x:c r="AB94" s="21" t="n">
        <x:f>ROUND(COUNTA(A94:K94)/11*100,0)</x:f>
        <x:v>100</x:v>
      </x:c>
      <x:c r="AC94" s="18" t="str">
        <x:v>National Company Law Tribunal</x:v>
      </x:c>
      <x:c r="AD94" s="22" t="str">
        <x:v>https://ibbi.gov.in/uploads/order/3a3aff285d0f3c30c0538db651ca04f7.pdf</x:v>
      </x:c>
      <x:c r="AE94" s="18" t="str">
        <x:v>2026-07-16</x:v>
      </x:c>
      <x:c r="AF94" s="18" t="n">
        <x:v>46275.114583333336</x:v>
      </x:c>
      <x:c r="AG94" s="18" t="str">
        <x:v>retained_terminal</x:v>
      </x:c>
      <x:c r="AH94" s="18" t="str">
        <x:v>READY</x:v>
      </x:c>
    </x:row>
    <x:row r="95">
      <x:c r="A95" s="18" t="str">
        <x:v>NYT-47-08355cb4402598eb</x:v>
      </x:c>
      <x:c r="B95" s="18" t="str">
        <x:v>In the matter of Talwar Cars Private Limited [IA (IBC) (Dis)/04 of 2026 in CP (IB) No. 242/7/HDB/2021]</x:v>
      </x:c>
      <x:c r="C95" s="18" t="str">
        <x:v>2026-07-16</x:v>
      </x:c>
      <x:c r="D95" s="18" t="n">
        <x:v>2026</x:v>
      </x:c>
      <x:c r="E95" s="18" t="str">
        <x:v>2026-07</x:v>
      </x:c>
      <x:c r="F95" s="18" t="str"/>
      <x:c r="G95" s="18" t="str"/>
      <x:c r="H95" s="18" t="str"/>
      <x:c r="I95" s="18" t="str">
        <x:v>Talwar Cars Private Limited</x:v>
      </x:c>
      <x:c r="J95" s="20" t="str"/>
      <x:c r="K95" s="18" t="str"/>
      <x:c r="L95" s="18" t="str">
        <x:v>In the matter of Talwar Cars Private Limited [IA (IBC) (Dis)/04 of 2026 in CP (IB) No. 242/7/HDB/2021]</x:v>
      </x:c>
      <x:c r="M95" s="18" t="str">
        <x:v>2026-07-16</x:v>
      </x:c>
      <x:c r="N95" s="18" t="str">
        <x:v>Talwar Cars Private Limited</x:v>
      </x:c>
      <x:c r="O95" s="18" t="str">
        <x:v>nclt_1fbzd8y</x:v>
      </x:c>
      <x:c r="P95" s="18" t="str"/>
      <x:c r="Q95" s="18" t="str"/>
      <x:c r="R95" s="18" t="str"/>
      <x:c r="S95" s="18" t="str"/>
      <x:c r="T95" s="18" t="str"/>
      <x:c r="U95" s="18" t="str">
        <x:v>Dissolution</x:v>
      </x:c>
      <x:c r="V95" s="18" t="str">
        <x:v>DEFINED_TERMINAL_OR_FEED_SCOPE</x:v>
      </x:c>
      <x:c r="W95" s="18" t="str">
        <x:v>judiciary_nclt_orders.json — published records loaded</x:v>
      </x:c>
      <x:c r="X95" s="18" t="str"/>
      <x:c r="Y95" s="18" t="str"/>
      <x:c r="Z95" s="20" t="n">
        <x:v>434</x:v>
      </x:c>
      <x:c r="AA95" s="19" t="n">
        <x:f>IFERROR(TODAY()-DATEVALUE(C95),"")</x:f>
        <x:v>56</x:v>
      </x:c>
      <x:c r="AB95" s="21" t="n">
        <x:f>ROUND(COUNTA(A95:K95)/11*100,0)</x:f>
        <x:v>100</x:v>
      </x:c>
      <x:c r="AC95" s="18" t="str">
        <x:v>National Company Law Tribunal</x:v>
      </x:c>
      <x:c r="AD95" s="22" t="str">
        <x:v>https://ibbi.gov.in/uploads/order/651a6fb7a8cb14eafc565740a045611b.pdf</x:v>
      </x:c>
      <x:c r="AE95" s="18" t="str">
        <x:v>2026-07-16</x:v>
      </x:c>
      <x:c r="AF95" s="18" t="n">
        <x:v>46275.114583333336</x:v>
      </x:c>
      <x:c r="AG95" s="18" t="str">
        <x:v>retained_terminal</x:v>
      </x:c>
      <x:c r="AH95" s="18" t="str">
        <x:v>READY</x:v>
      </x:c>
    </x:row>
    <x:row r="96">
      <x:c r="A96" s="18" t="str">
        <x:v>NYT-47-c436350c48469baf</x:v>
      </x:c>
      <x:c r="B96" s="18" t="str">
        <x:v>In the matter of Superfine Metals Private Limited [CP (IB) No. 232/MB/2023]</x:v>
      </x:c>
      <x:c r="C96" s="18" t="str">
        <x:v>2026-07-16</x:v>
      </x:c>
      <x:c r="D96" s="18" t="n">
        <x:v>2026</x:v>
      </x:c>
      <x:c r="E96" s="18" t="str">
        <x:v>2026-07</x:v>
      </x:c>
      <x:c r="F96" s="18" t="str"/>
      <x:c r="G96" s="18" t="str"/>
      <x:c r="H96" s="18" t="str"/>
      <x:c r="I96" s="18" t="str">
        <x:v>Superfine Metals Private Limited</x:v>
      </x:c>
      <x:c r="J96" s="20" t="str"/>
      <x:c r="K96" s="18" t="str"/>
      <x:c r="L96" s="18" t="str">
        <x:v>In the matter of Superfine Metals Private Limited [CP (IB) No. 232/MB/2023]</x:v>
      </x:c>
      <x:c r="M96" s="18" t="str">
        <x:v>2026-07-16</x:v>
      </x:c>
      <x:c r="N96" s="18" t="str">
        <x:v>Superfine Metals Private Limited</x:v>
      </x:c>
      <x:c r="O96" s="18" t="str">
        <x:v>nclt_1ibjhmz</x:v>
      </x:c>
      <x:c r="P96" s="18" t="str"/>
      <x:c r="Q96" s="18" t="str"/>
      <x:c r="R96" s="18" t="str"/>
      <x:c r="S96" s="18" t="str"/>
      <x:c r="T96" s="18" t="str"/>
      <x:c r="U96" s="18" t="str">
        <x:v>Admission - Final order</x:v>
      </x:c>
      <x:c r="V96" s="18" t="str">
        <x:v>DEFINED_TERMINAL_OR_FEED_SCOPE</x:v>
      </x:c>
      <x:c r="W96" s="18" t="str">
        <x:v>judiciary_nclt_orders.json — published records loaded</x:v>
      </x:c>
      <x:c r="X96" s="18" t="str"/>
      <x:c r="Y96" s="18" t="str"/>
      <x:c r="Z96" s="20" t="n">
        <x:v>434</x:v>
      </x:c>
      <x:c r="AA96" s="19" t="n">
        <x:f>IFERROR(TODAY()-DATEVALUE(C96),"")</x:f>
        <x:v>56</x:v>
      </x:c>
      <x:c r="AB96" s="21" t="n">
        <x:f>ROUND(COUNTA(A96:K96)/11*100,0)</x:f>
        <x:v>100</x:v>
      </x:c>
      <x:c r="AC96" s="18" t="str">
        <x:v>National Company Law Tribunal</x:v>
      </x:c>
      <x:c r="AD96" s="22" t="str">
        <x:v>https://ibbi.gov.in/uploads/order/38541eed2c030c9bd0513feff9b4e8fe.pdf</x:v>
      </x:c>
      <x:c r="AE96" s="18" t="str">
        <x:v>2026-07-16</x:v>
      </x:c>
      <x:c r="AF96" s="18" t="n">
        <x:v>46275.114583333336</x:v>
      </x:c>
      <x:c r="AG96" s="18" t="str">
        <x:v>retained_terminal</x:v>
      </x:c>
      <x:c r="AH96" s="18" t="str">
        <x:v>READY</x:v>
      </x:c>
    </x:row>
    <x:row r="97">
      <x:c r="A97" s="18" t="str">
        <x:v>NYT-47-33e8d45fe78f6606</x:v>
      </x:c>
      <x:c r="B97" s="18" t="str">
        <x:v>In the matter of CHHOTAGOVINDPUR AND BAGBERA DRINKING WATER SUPPLY PROJECT LIMITED [CP(IB)/63(CHE)/2025]</x:v>
      </x:c>
      <x:c r="C97" s="18" t="str">
        <x:v>2026-07-16</x:v>
      </x:c>
      <x:c r="D97" s="18" t="n">
        <x:v>2026</x:v>
      </x:c>
      <x:c r="E97" s="18" t="str">
        <x:v>2026-07</x:v>
      </x:c>
      <x:c r="F97" s="18" t="str"/>
      <x:c r="G97" s="18" t="str"/>
      <x:c r="H97" s="18" t="str"/>
      <x:c r="I97" s="18" t="str">
        <x:v>CHHOTAGOVINDPUR AND BAGBERA DRINKING WATER SUPPLY PROJECT LIMITED</x:v>
      </x:c>
      <x:c r="J97" s="20" t="str"/>
      <x:c r="K97" s="18" t="str"/>
      <x:c r="L97" s="18" t="str">
        <x:v>In the matter of CHHOTAGOVINDPUR AND BAGBERA DRINKING WATER SUPPLY PROJECT LIMITED [CP(IB)/63(CHE)/2025]</x:v>
      </x:c>
      <x:c r="M97" s="18" t="str">
        <x:v>2026-07-16</x:v>
      </x:c>
      <x:c r="N97" s="18" t="str">
        <x:v>CHHOTAGOVINDPUR AND BAGBERA DRINKING WATER SUPPLY PROJECT LIMITED</x:v>
      </x:c>
      <x:c r="O97" s="18" t="str">
        <x:v>nclt_1odeucs</x:v>
      </x:c>
      <x:c r="P97" s="18" t="str"/>
      <x:c r="Q97" s="18" t="str"/>
      <x:c r="R97" s="18" t="str"/>
      <x:c r="S97" s="18" t="str"/>
      <x:c r="T97" s="18" t="str"/>
      <x:c r="U97" s="18" t="str">
        <x:v>Appointment - Appointment of Liquidator</x:v>
      </x:c>
      <x:c r="V97" s="18" t="str">
        <x:v>DEFINED_TERMINAL_OR_FEED_SCOPE</x:v>
      </x:c>
      <x:c r="W97" s="18" t="str">
        <x:v>judiciary_nclt_orders.json — published records loaded</x:v>
      </x:c>
      <x:c r="X97" s="18" t="str"/>
      <x:c r="Y97" s="18" t="str"/>
      <x:c r="Z97" s="20" t="n">
        <x:v>434</x:v>
      </x:c>
      <x:c r="AA97" s="19" t="n">
        <x:f>IFERROR(TODAY()-DATEVALUE(C97),"")</x:f>
        <x:v>56</x:v>
      </x:c>
      <x:c r="AB97" s="21" t="n">
        <x:f>ROUND(COUNTA(A97:K97)/11*100,0)</x:f>
        <x:v>100</x:v>
      </x:c>
      <x:c r="AC97" s="18" t="str">
        <x:v>National Company Law Tribunal</x:v>
      </x:c>
      <x:c r="AD97" s="22" t="str">
        <x:v>https://ibbi.gov.in/uploads/order/2026-07-25-110847-7f5k8-b58f82e57be3279721d0b867f905cbc1.pdf</x:v>
      </x:c>
      <x:c r="AE97" s="18" t="str">
        <x:v>2026-07-16</x:v>
      </x:c>
      <x:c r="AF97" s="18" t="n">
        <x:v>46275.114583333336</x:v>
      </x:c>
      <x:c r="AG97" s="18" t="str">
        <x:v>retained_terminal</x:v>
      </x:c>
      <x:c r="AH97" s="18" t="str">
        <x:v>READY</x:v>
      </x:c>
    </x:row>
    <x:row r="98">
      <x:c r="A98" s="18" t="str">
        <x:v>NYT-47-dafecba5083cd2c5</x:v>
      </x:c>
      <x:c r="B98" s="18" t="str">
        <x:v>In the matter of SUPERFINE METALS PRIVATE LIMITED [CP (IB) No. 232/MB/2023]</x:v>
      </x:c>
      <x:c r="C98" s="18" t="str">
        <x:v>2026-07-16</x:v>
      </x:c>
      <x:c r="D98" s="18" t="n">
        <x:v>2026</x:v>
      </x:c>
      <x:c r="E98" s="18" t="str">
        <x:v>2026-07</x:v>
      </x:c>
      <x:c r="F98" s="18" t="str"/>
      <x:c r="G98" s="18" t="str"/>
      <x:c r="H98" s="18" t="str"/>
      <x:c r="I98" s="18" t="str">
        <x:v>SUPERFINE METALS PRIVATE LIMITED</x:v>
      </x:c>
      <x:c r="J98" s="20" t="str"/>
      <x:c r="K98" s="18" t="str"/>
      <x:c r="L98" s="18" t="str">
        <x:v>In the matter of SUPERFINE METALS PRIVATE LIMITED [CP (IB) No. 232/MB/2023]</x:v>
      </x:c>
      <x:c r="M98" s="18" t="str">
        <x:v>2026-07-16</x:v>
      </x:c>
      <x:c r="N98" s="18" t="str">
        <x:v>SUPERFINE METALS PRIVATE LIMITED</x:v>
      </x:c>
      <x:c r="O98" s="18" t="str">
        <x:v>nclt_1px339f</x:v>
      </x:c>
      <x:c r="P98" s="18" t="str"/>
      <x:c r="Q98" s="18" t="str"/>
      <x:c r="R98" s="18" t="str"/>
      <x:c r="S98" s="18" t="str"/>
      <x:c r="T98" s="18" t="str"/>
      <x:c r="U98" s="18" t="str">
        <x:v>Admission - Final Order</x:v>
      </x:c>
      <x:c r="V98" s="18" t="str">
        <x:v>DEFINED_TERMINAL_OR_FEED_SCOPE</x:v>
      </x:c>
      <x:c r="W98" s="18" t="str">
        <x:v>judiciary_nclt_orders.json — published records loaded</x:v>
      </x:c>
      <x:c r="X98" s="18" t="str"/>
      <x:c r="Y98" s="18" t="str"/>
      <x:c r="Z98" s="20" t="n">
        <x:v>434</x:v>
      </x:c>
      <x:c r="AA98" s="19" t="n">
        <x:f>IFERROR(TODAY()-DATEVALUE(C98),"")</x:f>
        <x:v>56</x:v>
      </x:c>
      <x:c r="AB98" s="21" t="n">
        <x:f>ROUND(COUNTA(A98:K98)/11*100,0)</x:f>
        <x:v>100</x:v>
      </x:c>
      <x:c r="AC98" s="18" t="str">
        <x:v>National Company Law Tribunal</x:v>
      </x:c>
      <x:c r="AD98" s="22" t="str">
        <x:v>https://ibbi.gov.in/uploads/order/a89a078b92bcec087f972b1819abf803.pdf</x:v>
      </x:c>
      <x:c r="AE98" s="18" t="str">
        <x:v>2026-07-16</x:v>
      </x:c>
      <x:c r="AF98" s="18" t="n">
        <x:v>46275.114583333336</x:v>
      </x:c>
      <x:c r="AG98" s="18" t="str">
        <x:v>retained_terminal</x:v>
      </x:c>
      <x:c r="AH98" s="18" t="str">
        <x:v>READY</x:v>
      </x:c>
    </x:row>
    <x:row r="99">
      <x:c r="A99" s="18" t="str">
        <x:v>NYT-47-6a3aee1ff0b61df4</x:v>
      </x:c>
      <x:c r="B99" s="18" t="str">
        <x:v>In the matter of PuR Energy Pvt. Ltd. [CP (IB) No.224/09/HDB/2024]</x:v>
      </x:c>
      <x:c r="C99" s="18" t="str">
        <x:v>2026-07-16</x:v>
      </x:c>
      <x:c r="D99" s="18" t="n">
        <x:v>2026</x:v>
      </x:c>
      <x:c r="E99" s="18" t="str">
        <x:v>2026-07</x:v>
      </x:c>
      <x:c r="F99" s="18" t="str"/>
      <x:c r="G99" s="18" t="str"/>
      <x:c r="H99" s="18" t="str"/>
      <x:c r="I99" s="18" t="str">
        <x:v>PuR Energy Pvt. Ltd.</x:v>
      </x:c>
      <x:c r="J99" s="20" t="str"/>
      <x:c r="K99" s="18" t="str"/>
      <x:c r="L99" s="18" t="str">
        <x:v>In the matter of PuR Energy Pvt. Ltd. [CP (IB) No.224/09/HDB/2024]</x:v>
      </x:c>
      <x:c r="M99" s="18" t="str">
        <x:v>2026-07-16</x:v>
      </x:c>
      <x:c r="N99" s="18" t="str">
        <x:v>PuR Energy Pvt. Ltd.</x:v>
      </x:c>
      <x:c r="O99" s="18" t="str">
        <x:v>nclt_135rbci</x:v>
      </x:c>
      <x:c r="P99" s="18" t="str"/>
      <x:c r="Q99" s="18" t="str"/>
      <x:c r="R99" s="18" t="str"/>
      <x:c r="S99" s="18" t="str"/>
      <x:c r="T99" s="18" t="str"/>
      <x:c r="U99" s="18" t="str">
        <x:v>Dismissed</x:v>
      </x:c>
      <x:c r="V99" s="18" t="str">
        <x:v>DEFINED_TERMINAL_OR_FEED_SCOPE</x:v>
      </x:c>
      <x:c r="W99" s="18" t="str">
        <x:v>judiciary_nclt_orders.json — published records loaded</x:v>
      </x:c>
      <x:c r="X99" s="18" t="str"/>
      <x:c r="Y99" s="18" t="str"/>
      <x:c r="Z99" s="20" t="n">
        <x:v>434</x:v>
      </x:c>
      <x:c r="AA99" s="19" t="n">
        <x:f>IFERROR(TODAY()-DATEVALUE(C99),"")</x:f>
        <x:v>56</x:v>
      </x:c>
      <x:c r="AB99" s="21" t="n">
        <x:f>ROUND(COUNTA(A99:K99)/11*100,0)</x:f>
        <x:v>100</x:v>
      </x:c>
      <x:c r="AC99" s="18" t="str">
        <x:v>National Company Law Tribunal</x:v>
      </x:c>
      <x:c r="AD99" s="22" t="str">
        <x:v>https://ibbi.gov.in/uploads/order/5e9660dbfadf0467121679103b7ac3f0.pdf</x:v>
      </x:c>
      <x:c r="AE99" s="18" t="str">
        <x:v>2026-07-16</x:v>
      </x:c>
      <x:c r="AF99" s="18" t="n">
        <x:v>46275.114583333336</x:v>
      </x:c>
      <x:c r="AG99" s="18" t="str">
        <x:v>retained_terminal</x:v>
      </x:c>
      <x:c r="AH99" s="18" t="str">
        <x:v>READY</x:v>
      </x:c>
    </x:row>
    <x:row r="100">
      <x:c r="A100" s="18" t="str">
        <x:v>NYT-47-2bfd4abaef0ea748</x:v>
      </x:c>
      <x:c r="B100" s="18" t="str">
        <x:v>In the matter of Dipti Narayan Mundra, [IA (I.B.C) No. 2082 of 2026 in C.P. (IB) 650/MB/2025]</x:v>
      </x:c>
      <x:c r="C100" s="18" t="str">
        <x:v>2026-07-16</x:v>
      </x:c>
      <x:c r="D100" s="18" t="n">
        <x:v>2026</x:v>
      </x:c>
      <x:c r="E100" s="18" t="str">
        <x:v>2026-07</x:v>
      </x:c>
      <x:c r="F100" s="18" t="str"/>
      <x:c r="G100" s="18" t="str"/>
      <x:c r="H100" s="18" t="str"/>
      <x:c r="I100" s="18" t="str">
        <x:v>Dipti Narayan Mundra</x:v>
      </x:c>
      <x:c r="J100" s="20" t="str"/>
      <x:c r="K100" s="18" t="str"/>
      <x:c r="L100" s="18" t="str">
        <x:v>In the matter of Dipti Narayan Mundra, [IA (I.B.C) No. 2082 of 2026 in C.P. (IB) 650/MB/2025]</x:v>
      </x:c>
      <x:c r="M100" s="18" t="str">
        <x:v>2026-07-16</x:v>
      </x:c>
      <x:c r="N100" s="18" t="str">
        <x:v>Dipti Narayan Mundra</x:v>
      </x:c>
      <x:c r="O100" s="18" t="str">
        <x:v>nclt_nwngq4</x:v>
      </x:c>
      <x:c r="P100" s="18" t="str"/>
      <x:c r="Q100" s="18" t="str"/>
      <x:c r="R100" s="18" t="str"/>
      <x:c r="S100" s="18" t="str"/>
      <x:c r="T100" s="18" t="str"/>
      <x:c r="U100" s="18" t="str">
        <x:v>Approval of Repayment Plan in PG case</x:v>
      </x:c>
      <x:c r="V100" s="18" t="str">
        <x:v>DEFINED_TERMINAL_OR_FEED_SCOPE</x:v>
      </x:c>
      <x:c r="W100" s="18" t="str">
        <x:v>judiciary_nclt_orders.json — published records loaded</x:v>
      </x:c>
      <x:c r="X100" s="18" t="str"/>
      <x:c r="Y100" s="18" t="str"/>
      <x:c r="Z100" s="20" t="n">
        <x:v>434</x:v>
      </x:c>
      <x:c r="AA100" s="19" t="n">
        <x:f>IFERROR(TODAY()-DATEVALUE(C100),"")</x:f>
        <x:v>56</x:v>
      </x:c>
      <x:c r="AB100" s="21" t="n">
        <x:f>ROUND(COUNTA(A100:K100)/11*100,0)</x:f>
        <x:v>100</x:v>
      </x:c>
      <x:c r="AC100" s="18" t="str">
        <x:v>National Company Law Tribunal</x:v>
      </x:c>
      <x:c r="AD100" s="22" t="str">
        <x:v>https://ibbi.gov.in/uploads/order/06b63f072d9660410eba09a5999bf9d8.pdf</x:v>
      </x:c>
      <x:c r="AE100" s="18" t="str">
        <x:v>2026-07-16</x:v>
      </x:c>
      <x:c r="AF100" s="18" t="n">
        <x:v>46275.114583333336</x:v>
      </x:c>
      <x:c r="AG100" s="18" t="str">
        <x:v>retained_terminal</x:v>
      </x:c>
      <x:c r="AH100" s="18" t="str">
        <x:v>READY</x:v>
      </x:c>
    </x:row>
    <x:row r="101">
      <x:c r="A101" s="18" t="str">
        <x:v>NYT-47-903fe7b5cc1d80f1</x:v>
      </x:c>
      <x:c r="B101" s="18" t="str">
        <x:v>In the matter of Ramos Ceramic Private Limited [CP (IB) No. 36 of 2026]</x:v>
      </x:c>
      <x:c r="C101" s="18" t="str">
        <x:v>2026-07-15</x:v>
      </x:c>
      <x:c r="D101" s="18" t="n">
        <x:v>2026</x:v>
      </x:c>
      <x:c r="E101" s="18" t="str">
        <x:v>2026-07</x:v>
      </x:c>
      <x:c r="F101" s="18" t="str"/>
      <x:c r="G101" s="18" t="str"/>
      <x:c r="H101" s="18" t="str"/>
      <x:c r="I101" s="18" t="str">
        <x:v>Ramos Ceramic Private Limited</x:v>
      </x:c>
      <x:c r="J101" s="20" t="str"/>
      <x:c r="K101" s="18" t="str"/>
      <x:c r="L101" s="18" t="str">
        <x:v>In the matter of Ramos Ceramic Private Limited [CP (IB) No. 36 of 2026]</x:v>
      </x:c>
      <x:c r="M101" s="18" t="str">
        <x:v>2026-07-15</x:v>
      </x:c>
      <x:c r="N101" s="18" t="str">
        <x:v>Ramos Ceramic Private Limited</x:v>
      </x:c>
      <x:c r="O101" s="18" t="str">
        <x:v>nclt_1p5hs5q</x:v>
      </x:c>
      <x:c r="P101" s="18" t="str"/>
      <x:c r="Q101" s="18" t="str"/>
      <x:c r="R101" s="18" t="str"/>
      <x:c r="S101" s="18" t="str"/>
      <x:c r="T101" s="18" t="str"/>
      <x:c r="U101" s="18" t="str">
        <x:v>Rejected</x:v>
      </x:c>
      <x:c r="V101" s="18" t="str">
        <x:v>DEFINED_TERMINAL_OR_FEED_SCOPE</x:v>
      </x:c>
      <x:c r="W101" s="18" t="str">
        <x:v>judiciary_nclt_orders.json — published records loaded</x:v>
      </x:c>
      <x:c r="X101" s="18" t="str"/>
      <x:c r="Y101" s="18" t="str"/>
      <x:c r="Z101" s="20" t="n">
        <x:v>434</x:v>
      </x:c>
      <x:c r="AA101" s="19" t="n">
        <x:f>IFERROR(TODAY()-DATEVALUE(C101),"")</x:f>
        <x:v>57</x:v>
      </x:c>
      <x:c r="AB101" s="21" t="n">
        <x:f>ROUND(COUNTA(A101:K101)/11*100,0)</x:f>
        <x:v>100</x:v>
      </x:c>
      <x:c r="AC101" s="18" t="str">
        <x:v>National Company Law Tribunal</x:v>
      </x:c>
      <x:c r="AD101" s="22" t="str">
        <x:v>https://ibbi.gov.in/uploads/order/a40e71200cf5addd638c959a7fa2898c.pdf</x:v>
      </x:c>
      <x:c r="AE101" s="18" t="str">
        <x:v>2026-07-15</x:v>
      </x:c>
      <x:c r="AF101" s="18" t="n">
        <x:v>46275.114583333336</x:v>
      </x:c>
      <x:c r="AG101" s="18" t="str">
        <x:v>retained_terminal</x:v>
      </x:c>
      <x:c r="AH101" s="18" t="str">
        <x:v>READY</x:v>
      </x:c>
    </x:row>
    <x:row r="102">
      <x:c r="A102" s="18" t="str">
        <x:v>NYT-47-a2217b99713484f7</x:v>
      </x:c>
      <x:c r="B102" s="18" t="str">
        <x:v>In the matter of UNITY INFRAPROJECTS LIMITED [IA (I.B.C)/2884 (MB)2026 IN C.P. (IB)/1058(MB)2017]</x:v>
      </x:c>
      <x:c r="C102" s="18" t="str">
        <x:v>2026-07-15</x:v>
      </x:c>
      <x:c r="D102" s="18" t="n">
        <x:v>2026</x:v>
      </x:c>
      <x:c r="E102" s="18" t="str">
        <x:v>2026-07</x:v>
      </x:c>
      <x:c r="F102" s="18" t="str"/>
      <x:c r="G102" s="18" t="str"/>
      <x:c r="H102" s="18" t="str"/>
      <x:c r="I102" s="18" t="str">
        <x:v>UNITY INFRAPROJECTS LIMITED</x:v>
      </x:c>
      <x:c r="J102" s="20" t="str"/>
      <x:c r="K102" s="18" t="str"/>
      <x:c r="L102" s="18" t="str">
        <x:v>In the matter of UNITY INFRAPROJECTS LIMITED [IA (I.B.C)/2884 (MB)2026 IN C.P. (IB)/1058(MB)2017]</x:v>
      </x:c>
      <x:c r="M102" s="18" t="str">
        <x:v>2026-07-15</x:v>
      </x:c>
      <x:c r="N102" s="18" t="str">
        <x:v>UNITY INFRAPROJECTS LIMITED</x:v>
      </x:c>
      <x:c r="O102" s="18" t="str">
        <x:v>nclt_mwz87w</x:v>
      </x:c>
      <x:c r="P102" s="18" t="str"/>
      <x:c r="Q102" s="18" t="str"/>
      <x:c r="R102" s="18" t="str"/>
      <x:c r="S102" s="18" t="str"/>
      <x:c r="T102" s="18" t="str"/>
      <x:c r="U102" s="18" t="str">
        <x:v>Admission - Final Order</x:v>
      </x:c>
      <x:c r="V102" s="18" t="str">
        <x:v>DEFINED_TERMINAL_OR_FEED_SCOPE</x:v>
      </x:c>
      <x:c r="W102" s="18" t="str">
        <x:v>judiciary_nclt_orders.json — published records loaded</x:v>
      </x:c>
      <x:c r="X102" s="18" t="str"/>
      <x:c r="Y102" s="18" t="str"/>
      <x:c r="Z102" s="20" t="n">
        <x:v>434</x:v>
      </x:c>
      <x:c r="AA102" s="19" t="n">
        <x:f>IFERROR(TODAY()-DATEVALUE(C102),"")</x:f>
        <x:v>57</x:v>
      </x:c>
      <x:c r="AB102" s="21" t="n">
        <x:f>ROUND(COUNTA(A102:K102)/11*100,0)</x:f>
        <x:v>100</x:v>
      </x:c>
      <x:c r="AC102" s="18" t="str">
        <x:v>National Company Law Tribunal</x:v>
      </x:c>
      <x:c r="AD102" s="22" t="str">
        <x:v>https://ibbi.gov.in/uploads/order/427f695a8d5c9ed2fb43ceaa56539811.pdf</x:v>
      </x:c>
      <x:c r="AE102" s="18" t="str">
        <x:v>2026-07-15</x:v>
      </x:c>
      <x:c r="AF102" s="18" t="n">
        <x:v>46275.114583333336</x:v>
      </x:c>
      <x:c r="AG102" s="18" t="str">
        <x:v>retained_terminal</x:v>
      </x:c>
      <x:c r="AH102" s="18" t="str">
        <x:v>READY</x:v>
      </x:c>
    </x:row>
    <x:row r="103">
      <x:c r="A103" s="18" t="str">
        <x:v>NYT-47-bda70ea9572aa4ca</x:v>
      </x:c>
      <x:c r="B103" s="18" t="str">
        <x:v>In the matter of Milano Papers Private Limited [C.P.(IB)/38(AHM)2026]</x:v>
      </x:c>
      <x:c r="C103" s="18" t="str">
        <x:v>2026-07-15</x:v>
      </x:c>
      <x:c r="D103" s="18" t="n">
        <x:v>2026</x:v>
      </x:c>
      <x:c r="E103" s="18" t="str">
        <x:v>2026-07</x:v>
      </x:c>
      <x:c r="F103" s="18" t="str"/>
      <x:c r="G103" s="18" t="str"/>
      <x:c r="H103" s="18" t="str"/>
      <x:c r="I103" s="18" t="str">
        <x:v>Milano Papers Private Limited</x:v>
      </x:c>
      <x:c r="J103" s="20" t="str"/>
      <x:c r="K103" s="18" t="str"/>
      <x:c r="L103" s="18" t="str">
        <x:v>In the matter of Milano Papers Private Limited [C.P.(IB)/38(AHM)2026]</x:v>
      </x:c>
      <x:c r="M103" s="18" t="str">
        <x:v>2026-07-15</x:v>
      </x:c>
      <x:c r="N103" s="18" t="str">
        <x:v>Milano Papers Private Limited</x:v>
      </x:c>
      <x:c r="O103" s="18" t="str">
        <x:v>nclt_qopxw3</x:v>
      </x:c>
      <x:c r="P103" s="18" t="str"/>
      <x:c r="Q103" s="18" t="str"/>
      <x:c r="R103" s="18" t="str"/>
      <x:c r="S103" s="18" t="str"/>
      <x:c r="T103" s="18" t="str"/>
      <x:c r="U103" s="18" t="str">
        <x:v>Rejected</x:v>
      </x:c>
      <x:c r="V103" s="18" t="str">
        <x:v>DEFINED_TERMINAL_OR_FEED_SCOPE</x:v>
      </x:c>
      <x:c r="W103" s="18" t="str">
        <x:v>judiciary_nclt_orders.json — published records loaded</x:v>
      </x:c>
      <x:c r="X103" s="18" t="str"/>
      <x:c r="Y103" s="18" t="str"/>
      <x:c r="Z103" s="20" t="n">
        <x:v>434</x:v>
      </x:c>
      <x:c r="AA103" s="19" t="n">
        <x:f>IFERROR(TODAY()-DATEVALUE(C103),"")</x:f>
        <x:v>57</x:v>
      </x:c>
      <x:c r="AB103" s="21" t="n">
        <x:f>ROUND(COUNTA(A103:K103)/11*100,0)</x:f>
        <x:v>100</x:v>
      </x:c>
      <x:c r="AC103" s="18" t="str">
        <x:v>National Company Law Tribunal</x:v>
      </x:c>
      <x:c r="AD103" s="22" t="str">
        <x:v>https://ibbi.gov.in/uploads/order/2026-08-03-182052-q26z5-0e3014c40a5ef52be6a031f4b626d8d0.pdf</x:v>
      </x:c>
      <x:c r="AE103" s="18" t="str">
        <x:v>2026-07-15</x:v>
      </x:c>
      <x:c r="AF103" s="18" t="n">
        <x:v>46275.114583333336</x:v>
      </x:c>
      <x:c r="AG103" s="18" t="str">
        <x:v>retained_terminal</x:v>
      </x:c>
      <x:c r="AH103" s="18" t="str">
        <x:v>READY</x:v>
      </x:c>
    </x:row>
    <x:row r="104">
      <x:c r="A104" s="18" t="str">
        <x:v>NYT-47-615a2e6350c3f910</x:v>
      </x:c>
      <x:c r="B104" s="18" t="str">
        <x:v>In the matter of Impact Metals Limited [IA (IBC) No. 923 of 2026 in CP (IB) No.254/07/HDB/2021]</x:v>
      </x:c>
      <x:c r="C104" s="18" t="str">
        <x:v>2026-07-15</x:v>
      </x:c>
      <x:c r="D104" s="18" t="n">
        <x:v>2026</x:v>
      </x:c>
      <x:c r="E104" s="18" t="str">
        <x:v>2026-07</x:v>
      </x:c>
      <x:c r="F104" s="18" t="str"/>
      <x:c r="G104" s="18" t="str"/>
      <x:c r="H104" s="18" t="str"/>
      <x:c r="I104" s="18" t="str">
        <x:v>Impact Metals Limited</x:v>
      </x:c>
      <x:c r="J104" s="20" t="str"/>
      <x:c r="K104" s="18" t="str"/>
      <x:c r="L104" s="18" t="str">
        <x:v>In the matter of Impact Metals Limited [IA (IBC) No. 923 of 2026 in CP (IB) No.254/07/HDB/2021]</x:v>
      </x:c>
      <x:c r="M104" s="18" t="str">
        <x:v>2026-07-15</x:v>
      </x:c>
      <x:c r="N104" s="18" t="str">
        <x:v>Impact Metals Limited</x:v>
      </x:c>
      <x:c r="O104" s="18" t="str">
        <x:v>nclt_hapgu5</x:v>
      </x:c>
      <x:c r="P104" s="18" t="str"/>
      <x:c r="Q104" s="18" t="str"/>
      <x:c r="R104" s="18" t="str"/>
      <x:c r="S104" s="18" t="str"/>
      <x:c r="T104" s="18" t="str"/>
      <x:c r="U104" s="18" t="str">
        <x:v>Closure of Liquidation</x:v>
      </x:c>
      <x:c r="V104" s="18" t="str">
        <x:v>DEFINED_TERMINAL_OR_FEED_SCOPE</x:v>
      </x:c>
      <x:c r="W104" s="18" t="str">
        <x:v>judiciary_nclt_orders.json — published records loaded</x:v>
      </x:c>
      <x:c r="X104" s="18" t="str"/>
      <x:c r="Y104" s="18" t="str"/>
      <x:c r="Z104" s="20" t="n">
        <x:v>434</x:v>
      </x:c>
      <x:c r="AA104" s="19" t="n">
        <x:f>IFERROR(TODAY()-DATEVALUE(C104),"")</x:f>
        <x:v>57</x:v>
      </x:c>
      <x:c r="AB104" s="21" t="n">
        <x:f>ROUND(COUNTA(A104:K104)/11*100,0)</x:f>
        <x:v>100</x:v>
      </x:c>
      <x:c r="AC104" s="18" t="str">
        <x:v>National Company Law Tribunal</x:v>
      </x:c>
      <x:c r="AD104" s="22" t="str">
        <x:v>https://ibbi.gov.in/uploads/order/8c93e2515b0b824193f63f6b8ee01855.pdf</x:v>
      </x:c>
      <x:c r="AE104" s="18" t="str">
        <x:v>2026-07-15</x:v>
      </x:c>
      <x:c r="AF104" s="18" t="n">
        <x:v>46275.114583333336</x:v>
      </x:c>
      <x:c r="AG104" s="18" t="str">
        <x:v>retained_terminal</x:v>
      </x:c>
      <x:c r="AH104" s="18" t="str">
        <x:v>READY</x:v>
      </x:c>
    </x:row>
    <x:row r="105">
      <x:c r="A105" s="18" t="str">
        <x:v>NYT-47-14c3979fff8d47ab</x:v>
      </x:c>
      <x:c r="B105" s="18" t="str">
        <x:v>In the matter of KEW PRECISION PARTS PRIVATE LIMITED [C.P. (IB) - 672/2019]</x:v>
      </x:c>
      <x:c r="C105" s="18" t="str">
        <x:v>2026-07-15</x:v>
      </x:c>
      <x:c r="D105" s="18" t="n">
        <x:v>2026</x:v>
      </x:c>
      <x:c r="E105" s="18" t="str">
        <x:v>2026-07</x:v>
      </x:c>
      <x:c r="F105" s="18" t="str"/>
      <x:c r="G105" s="18" t="str"/>
      <x:c r="H105" s="18" t="str"/>
      <x:c r="I105" s="18" t="str">
        <x:v>KEW PRECISION PARTS PRIVATE LIMITED</x:v>
      </x:c>
      <x:c r="J105" s="20" t="str"/>
      <x:c r="K105" s="18" t="str"/>
      <x:c r="L105" s="18" t="str">
        <x:v>In the matter of KEW PRECISION PARTS PRIVATE LIMITED [C.P. (IB) - 672/2019]</x:v>
      </x:c>
      <x:c r="M105" s="18" t="str">
        <x:v>2026-07-15</x:v>
      </x:c>
      <x:c r="N105" s="18" t="str">
        <x:v>KEW PRECISION PARTS PRIVATE LIMITED</x:v>
      </x:c>
      <x:c r="O105" s="18" t="str">
        <x:v>nclt_n7l07</x:v>
      </x:c>
      <x:c r="P105" s="18" t="str"/>
      <x:c r="Q105" s="18" t="str"/>
      <x:c r="R105" s="18" t="str"/>
      <x:c r="S105" s="18" t="str"/>
      <x:c r="T105" s="18" t="str"/>
      <x:c r="U105" s="18" t="str">
        <x:v>Admission - Final Order</x:v>
      </x:c>
      <x:c r="V105" s="18" t="str">
        <x:v>DEFINED_TERMINAL_OR_FEED_SCOPE</x:v>
      </x:c>
      <x:c r="W105" s="18" t="str">
        <x:v>judiciary_nclt_orders.json — published records loaded</x:v>
      </x:c>
      <x:c r="X105" s="18" t="str"/>
      <x:c r="Y105" s="18" t="str"/>
      <x:c r="Z105" s="20" t="n">
        <x:v>434</x:v>
      </x:c>
      <x:c r="AA105" s="19" t="n">
        <x:f>IFERROR(TODAY()-DATEVALUE(C105),"")</x:f>
        <x:v>57</x:v>
      </x:c>
      <x:c r="AB105" s="21" t="n">
        <x:f>ROUND(COUNTA(A105:K105)/11*100,0)</x:f>
        <x:v>100</x:v>
      </x:c>
      <x:c r="AC105" s="18" t="str">
        <x:v>National Company Law Tribunal</x:v>
      </x:c>
      <x:c r="AD105" s="22" t="str">
        <x:v>https://ibbi.gov.in/uploads/order/0b8d19408e870e89717e3b38efb225e7.pdf</x:v>
      </x:c>
      <x:c r="AE105" s="18" t="str">
        <x:v>2026-07-15</x:v>
      </x:c>
      <x:c r="AF105" s="18" t="n">
        <x:v>46275.114583333336</x:v>
      </x:c>
      <x:c r="AG105" s="18" t="str">
        <x:v>retained_terminal</x:v>
      </x:c>
      <x:c r="AH105" s="18" t="str">
        <x:v>READY</x:v>
      </x:c>
    </x:row>
    <x:row r="106">
      <x:c r="A106" s="18" t="str">
        <x:v>NYT-47-148bccf57641587b</x:v>
      </x:c>
      <x:c r="B106" s="18" t="str">
        <x:v>Approval of Resolution Plan - ECS Engineering Private Limited [I.A (Plan) /43/ND/2025 in CP IB- 511/ND/2023]</x:v>
      </x:c>
      <x:c r="C106" s="18" t="str">
        <x:v>2026-07-15</x:v>
      </x:c>
      <x:c r="D106" s="18" t="n">
        <x:v>2026</x:v>
      </x:c>
      <x:c r="E106" s="18" t="str">
        <x:v>2026-07</x:v>
      </x:c>
      <x:c r="F106" s="18" t="str"/>
      <x:c r="G106" s="18" t="str"/>
      <x:c r="H106" s="18" t="str"/>
      <x:c r="I106" s="18" t="str"/>
      <x:c r="J106" s="20" t="str"/>
      <x:c r="K106" s="18" t="str"/>
      <x:c r="L106" s="18" t="str">
        <x:v>Approval of Resolution Plan - ECS Engineering Private Limited [I.A (Plan) /43/ND/2025 in CP IB- 511/ND/2023]</x:v>
      </x:c>
      <x:c r="M106" s="18" t="str">
        <x:v>2026-07-15</x:v>
      </x:c>
      <x:c r="N106" s="18" t="str"/>
      <x:c r="O106" s="18" t="str">
        <x:v>nclt_1d6nx2l</x:v>
      </x:c>
      <x:c r="P106" s="18" t="str"/>
      <x:c r="Q106" s="18" t="str"/>
      <x:c r="R106" s="18" t="str"/>
      <x:c r="S106" s="18" t="str"/>
      <x:c r="T106" s="18" t="str"/>
      <x:c r="U106" s="18" t="str">
        <x:v>Approval of Resolution Plan</x:v>
      </x:c>
      <x:c r="V106" s="18" t="str">
        <x:v>DEFINED_TERMINAL_OR_FEED_SCOPE</x:v>
      </x:c>
      <x:c r="W106" s="18" t="str">
        <x:v>judiciary_nclt_orders.json — published records loaded</x:v>
      </x:c>
      <x:c r="X106" s="18" t="str"/>
      <x:c r="Y106" s="18" t="str"/>
      <x:c r="Z106" s="20" t="n">
        <x:v>434</x:v>
      </x:c>
      <x:c r="AA106" s="19" t="n">
        <x:f>IFERROR(TODAY()-DATEVALUE(C106),"")</x:f>
        <x:v>57</x:v>
      </x:c>
      <x:c r="AB106" s="21" t="n">
        <x:f>ROUND(COUNTA(A106:K106)/11*100,0)</x:f>
        <x:v>100</x:v>
      </x:c>
      <x:c r="AC106" s="18" t="str">
        <x:v>National Company Law Tribunal</x:v>
      </x:c>
      <x:c r="AD106" s="22" t="str">
        <x:v>https://ibbi.gov.in/uploads/order/70a338f65c59d51ac8fd320b9dc140c3.pdf</x:v>
      </x:c>
      <x:c r="AE106" s="18" t="str">
        <x:v>2026-07-15</x:v>
      </x:c>
      <x:c r="AF106" s="18" t="n">
        <x:v>46275.114583333336</x:v>
      </x:c>
      <x:c r="AG106" s="18" t="str">
        <x:v>retained_terminal</x:v>
      </x:c>
      <x:c r="AH106" s="18" t="str">
        <x:v>READY</x:v>
      </x:c>
    </x:row>
    <x:row r="107">
      <x:c r="A107" s="18" t="str">
        <x:v>NYT-47-1f100a4839f878ea</x:v>
      </x:c>
      <x:c r="B107" s="18" t="str">
        <x:v>In the matter of Jaybharat Textiles and Real Estate Ltd. [I.A. No. 1427 of 2025 in Company Petition (IB) No. 266 of 2019]</x:v>
      </x:c>
      <x:c r="C107" s="18" t="str">
        <x:v>2026-07-14</x:v>
      </x:c>
      <x:c r="D107" s="18" t="n">
        <x:v>2026</x:v>
      </x:c>
      <x:c r="E107" s="18" t="str">
        <x:v>2026-07</x:v>
      </x:c>
      <x:c r="F107" s="18" t="str"/>
      <x:c r="G107" s="18" t="str"/>
      <x:c r="H107" s="18" t="str"/>
      <x:c r="I107" s="18" t="str">
        <x:v>Jaybharat Textiles and Real Estate Ltd.</x:v>
      </x:c>
      <x:c r="J107" s="20" t="str"/>
      <x:c r="K107" s="18" t="str"/>
      <x:c r="L107" s="18" t="str">
        <x:v>In the matter of Jaybharat Textiles and Real Estate Ltd. [I.A. No. 1427 of 2025 in Company Petition (IB) No. 266 of 2019]</x:v>
      </x:c>
      <x:c r="M107" s="18" t="str">
        <x:v>2026-07-14</x:v>
      </x:c>
      <x:c r="N107" s="18" t="str">
        <x:v>Jaybharat Textiles and Real Estate Ltd.</x:v>
      </x:c>
      <x:c r="O107" s="18" t="str">
        <x:v>nclt_32xgej</x:v>
      </x:c>
      <x:c r="P107" s="18" t="str"/>
      <x:c r="Q107" s="18" t="str"/>
      <x:c r="R107" s="18" t="str"/>
      <x:c r="S107" s="18" t="str"/>
      <x:c r="T107" s="18" t="str"/>
      <x:c r="U107" s="18" t="str">
        <x:v>Others</x:v>
      </x:c>
      <x:c r="V107" s="18" t="str">
        <x:v>DEFINED_TERMINAL_OR_FEED_SCOPE</x:v>
      </x:c>
      <x:c r="W107" s="18" t="str">
        <x:v>judiciary_nclt_orders.json — published records loaded</x:v>
      </x:c>
      <x:c r="X107" s="18" t="str"/>
      <x:c r="Y107" s="18" t="str"/>
      <x:c r="Z107" s="20" t="n">
        <x:v>434</x:v>
      </x:c>
      <x:c r="AA107" s="19" t="n">
        <x:f>IFERROR(TODAY()-DATEVALUE(C107),"")</x:f>
        <x:v>58</x:v>
      </x:c>
      <x:c r="AB107" s="21" t="n">
        <x:f>ROUND(COUNTA(A107:K107)/11*100,0)</x:f>
        <x:v>100</x:v>
      </x:c>
      <x:c r="AC107" s="18" t="str">
        <x:v>National Company Law Tribunal</x:v>
      </x:c>
      <x:c r="AD107" s="22" t="str">
        <x:v>https://ibbi.gov.in/uploads/order/4ce60a22010cd212e5404cc4b42e6193.pdf</x:v>
      </x:c>
      <x:c r="AE107" s="18" t="str">
        <x:v>2026-07-14</x:v>
      </x:c>
      <x:c r="AF107" s="18" t="n">
        <x:v>46275.114583333336</x:v>
      </x:c>
      <x:c r="AG107" s="18" t="str">
        <x:v>retained_terminal</x:v>
      </x:c>
      <x:c r="AH107" s="18" t="str">
        <x:v>READY</x:v>
      </x:c>
    </x:row>
    <x:row r="108">
      <x:c r="A108" s="18" t="str">
        <x:v>NYT-47-b9f7eed3cb97cefb</x:v>
      </x:c>
      <x:c r="B108" s="18" t="str">
        <x:v>In the matter of Deegee Orchards Pvt. Ltd. [I.A. No.3289 of 2024 in C.P (IB) No. 3402 of 2019]</x:v>
      </x:c>
      <x:c r="C108" s="18" t="str">
        <x:v>2026-07-14</x:v>
      </x:c>
      <x:c r="D108" s="18" t="n">
        <x:v>2026</x:v>
      </x:c>
      <x:c r="E108" s="18" t="str">
        <x:v>2026-07</x:v>
      </x:c>
      <x:c r="F108" s="18" t="str"/>
      <x:c r="G108" s="18" t="str"/>
      <x:c r="H108" s="18" t="str"/>
      <x:c r="I108" s="18" t="str">
        <x:v>Deegee Orchards Pvt. Ltd.</x:v>
      </x:c>
      <x:c r="J108" s="20" t="str"/>
      <x:c r="K108" s="18" t="str"/>
      <x:c r="L108" s="18" t="str">
        <x:v>In the matter of Deegee Orchards Pvt. Ltd. [I.A. No.3289 of 2024 in C.P (IB) No. 3402 of 2019]</x:v>
      </x:c>
      <x:c r="M108" s="18" t="str">
        <x:v>2026-07-14</x:v>
      </x:c>
      <x:c r="N108" s="18" t="str">
        <x:v>Deegee Orchards Pvt. Ltd.</x:v>
      </x:c>
      <x:c r="O108" s="18" t="str">
        <x:v>nclt_1p94jcf</x:v>
      </x:c>
      <x:c r="P108" s="18" t="str"/>
      <x:c r="Q108" s="18" t="str"/>
      <x:c r="R108" s="18" t="str"/>
      <x:c r="S108" s="18" t="str"/>
      <x:c r="T108" s="18" t="str"/>
      <x:c r="U108" s="18" t="str">
        <x:v>Others</x:v>
      </x:c>
      <x:c r="V108" s="18" t="str">
        <x:v>DEFINED_TERMINAL_OR_FEED_SCOPE</x:v>
      </x:c>
      <x:c r="W108" s="18" t="str">
        <x:v>judiciary_nclt_orders.json — published records loaded</x:v>
      </x:c>
      <x:c r="X108" s="18" t="str"/>
      <x:c r="Y108" s="18" t="str"/>
      <x:c r="Z108" s="20" t="n">
        <x:v>434</x:v>
      </x:c>
      <x:c r="AA108" s="19" t="n">
        <x:f>IFERROR(TODAY()-DATEVALUE(C108),"")</x:f>
        <x:v>58</x:v>
      </x:c>
      <x:c r="AB108" s="21" t="n">
        <x:f>ROUND(COUNTA(A108:K108)/11*100,0)</x:f>
        <x:v>100</x:v>
      </x:c>
      <x:c r="AC108" s="18" t="str">
        <x:v>National Company Law Tribunal</x:v>
      </x:c>
      <x:c r="AD108" s="22" t="str">
        <x:v>https://ibbi.gov.in/uploads/order/ac676e9dc83162cdcd35c47ec727c845.pdf</x:v>
      </x:c>
      <x:c r="AE108" s="18" t="str">
        <x:v>2026-07-14</x:v>
      </x:c>
      <x:c r="AF108" s="18" t="n">
        <x:v>46275.114583333336</x:v>
      </x:c>
      <x:c r="AG108" s="18" t="str">
        <x:v>retained_terminal</x:v>
      </x:c>
      <x:c r="AH108" s="18" t="str">
        <x:v>READY</x:v>
      </x:c>
    </x:row>
    <x:row r="109">
      <x:c r="A109" s="18" t="str">
        <x:v>NYT-47-fe13a3964492ca7d</x:v>
      </x:c>
      <x:c r="B109" s="18" t="str">
        <x:v>In the matter of SVP INDUSTRIES LIMITED [CP (IB) NO.47/ALD/2025]</x:v>
      </x:c>
      <x:c r="C109" s="18" t="str">
        <x:v>2026-07-14</x:v>
      </x:c>
      <x:c r="D109" s="18" t="n">
        <x:v>2026</x:v>
      </x:c>
      <x:c r="E109" s="18" t="str">
        <x:v>2026-07</x:v>
      </x:c>
      <x:c r="F109" s="18" t="str"/>
      <x:c r="G109" s="18" t="str"/>
      <x:c r="H109" s="18" t="str"/>
      <x:c r="I109" s="18" t="str">
        <x:v>SVP INDUSTRIES LIMITED</x:v>
      </x:c>
      <x:c r="J109" s="20" t="str"/>
      <x:c r="K109" s="18" t="str"/>
      <x:c r="L109" s="18" t="str">
        <x:v>In the matter of SVP INDUSTRIES LIMITED [CP (IB) NO.47/ALD/2025]</x:v>
      </x:c>
      <x:c r="M109" s="18" t="str">
        <x:v>2026-07-14</x:v>
      </x:c>
      <x:c r="N109" s="18" t="str">
        <x:v>SVP INDUSTRIES LIMITED</x:v>
      </x:c>
      <x:c r="O109" s="18" t="str">
        <x:v>nclt_jmp90w</x:v>
      </x:c>
      <x:c r="P109" s="18" t="str"/>
      <x:c r="Q109" s="18" t="str"/>
      <x:c r="R109" s="18" t="str"/>
      <x:c r="S109" s="18" t="str"/>
      <x:c r="T109" s="18" t="str"/>
      <x:c r="U109" s="18" t="str">
        <x:v>Admission - Final Order</x:v>
      </x:c>
      <x:c r="V109" s="18" t="str">
        <x:v>DEFINED_TERMINAL_OR_FEED_SCOPE</x:v>
      </x:c>
      <x:c r="W109" s="18" t="str">
        <x:v>judiciary_nclt_orders.json — published records loaded</x:v>
      </x:c>
      <x:c r="X109" s="18" t="str"/>
      <x:c r="Y109" s="18" t="str"/>
      <x:c r="Z109" s="20" t="n">
        <x:v>434</x:v>
      </x:c>
      <x:c r="AA109" s="19" t="n">
        <x:f>IFERROR(TODAY()-DATEVALUE(C109),"")</x:f>
        <x:v>58</x:v>
      </x:c>
      <x:c r="AB109" s="21" t="n">
        <x:f>ROUND(COUNTA(A109:K109)/11*100,0)</x:f>
        <x:v>100</x:v>
      </x:c>
      <x:c r="AC109" s="18" t="str">
        <x:v>National Company Law Tribunal</x:v>
      </x:c>
      <x:c r="AD109" s="22" t="str">
        <x:v>https://ibbi.gov.in/uploads/order/2026-07-17-131557-hkc0d-6403a22f9678f790ececc257a83f9b01.pdf</x:v>
      </x:c>
      <x:c r="AE109" s="18" t="str">
        <x:v>2026-07-14</x:v>
      </x:c>
      <x:c r="AF109" s="18" t="n">
        <x:v>46275.114583333336</x:v>
      </x:c>
      <x:c r="AG109" s="18" t="str">
        <x:v>retained_terminal</x:v>
      </x:c>
      <x:c r="AH109" s="18" t="str">
        <x:v>READY</x:v>
      </x:c>
    </x:row>
    <x:row r="110">
      <x:c r="A110" s="18" t="str">
        <x:v>NYT-47-758c3b6f73d44a6e</x:v>
      </x:c>
      <x:c r="B110" s="18" t="str">
        <x:v>In the matter of Vikram Structures Private Limited [IA No. 640 of 2025 in C.P. (IB) No. 246/BB/2019]</x:v>
      </x:c>
      <x:c r="C110" s="18" t="str">
        <x:v>2026-07-13</x:v>
      </x:c>
      <x:c r="D110" s="18" t="n">
        <x:v>2026</x:v>
      </x:c>
      <x:c r="E110" s="18" t="str">
        <x:v>2026-07</x:v>
      </x:c>
      <x:c r="F110" s="18" t="str"/>
      <x:c r="G110" s="18" t="str"/>
      <x:c r="H110" s="18" t="str"/>
      <x:c r="I110" s="18" t="str">
        <x:v>Vikram Structures Private Limited</x:v>
      </x:c>
      <x:c r="J110" s="20" t="str"/>
      <x:c r="K110" s="18" t="str"/>
      <x:c r="L110" s="18" t="str">
        <x:v>In the matter of Vikram Structures Private Limited [IA No. 640 of 2025 in C.P. (IB) No. 246/BB/2019]</x:v>
      </x:c>
      <x:c r="M110" s="18" t="str">
        <x:v>2026-07-13</x:v>
      </x:c>
      <x:c r="N110" s="18" t="str">
        <x:v>Vikram Structures Private Limited</x:v>
      </x:c>
      <x:c r="O110" s="18" t="str">
        <x:v>nclt_1yaxb1a</x:v>
      </x:c>
      <x:c r="P110" s="18" t="str"/>
      <x:c r="Q110" s="18" t="str"/>
      <x:c r="R110" s="18" t="str"/>
      <x:c r="S110" s="18" t="str"/>
      <x:c r="T110" s="18" t="str"/>
      <x:c r="U110" s="18" t="str">
        <x:v>Others</x:v>
      </x:c>
      <x:c r="V110" s="18" t="str">
        <x:v>DEFINED_TERMINAL_OR_FEED_SCOPE</x:v>
      </x:c>
      <x:c r="W110" s="18" t="str">
        <x:v>judiciary_nclt_orders.json — published records loaded</x:v>
      </x:c>
      <x:c r="X110" s="18" t="str"/>
      <x:c r="Y110" s="18" t="str"/>
      <x:c r="Z110" s="20" t="n">
        <x:v>434</x:v>
      </x:c>
      <x:c r="AA110" s="19" t="n">
        <x:f>IFERROR(TODAY()-DATEVALUE(C110),"")</x:f>
        <x:v>59</x:v>
      </x:c>
      <x:c r="AB110" s="21" t="n">
        <x:f>ROUND(COUNTA(A110:K110)/11*100,0)</x:f>
        <x:v>100</x:v>
      </x:c>
      <x:c r="AC110" s="18" t="str">
        <x:v>National Company Law Tribunal</x:v>
      </x:c>
      <x:c r="AD110" s="22" t="str">
        <x:v>https://ibbi.gov.in/uploads/order/f1e8aac08450999915b66284c7277647.pdf</x:v>
      </x:c>
      <x:c r="AE110" s="18" t="str">
        <x:v>2026-07-13</x:v>
      </x:c>
      <x:c r="AF110" s="18" t="n">
        <x:v>46275.114583333336</x:v>
      </x:c>
      <x:c r="AG110" s="18" t="str">
        <x:v>retained_terminal</x:v>
      </x:c>
      <x:c r="AH110" s="18" t="str">
        <x:v>READY</x:v>
      </x:c>
    </x:row>
    <x:row r="111">
      <x:c r="A111" s="18" t="str">
        <x:v>NYT-47-1022ee82d75f8079</x:v>
      </x:c>
      <x:c r="B111" s="18" t="str">
        <x:v>Approval of Resoluiton Plan - Creatoz Builders Private Limited [IA (IBC) (Plan) No. 95 of 2024 in CP (IB) 745 of 2020]</x:v>
      </x:c>
      <x:c r="C111" s="18" t="str">
        <x:v>2026-07-13</x:v>
      </x:c>
      <x:c r="D111" s="18" t="n">
        <x:v>2026</x:v>
      </x:c>
      <x:c r="E111" s="18" t="str">
        <x:v>2026-07</x:v>
      </x:c>
      <x:c r="F111" s="18" t="str"/>
      <x:c r="G111" s="18" t="str"/>
      <x:c r="H111" s="18" t="str"/>
      <x:c r="I111" s="18" t="str"/>
      <x:c r="J111" s="20" t="str"/>
      <x:c r="K111" s="18" t="str"/>
      <x:c r="L111" s="18" t="str">
        <x:v>Approval of Resoluiton Plan - Creatoz Builders Private Limited [IA (IBC) (Plan) No. 95 of 2024 in CP (IB) 745 of 2020]</x:v>
      </x:c>
      <x:c r="M111" s="18" t="str">
        <x:v>2026-07-13</x:v>
      </x:c>
      <x:c r="N111" s="18" t="str"/>
      <x:c r="O111" s="18" t="str">
        <x:v>nclt_wrxqm8</x:v>
      </x:c>
      <x:c r="P111" s="18" t="str"/>
      <x:c r="Q111" s="18" t="str"/>
      <x:c r="R111" s="18" t="str"/>
      <x:c r="S111" s="18" t="str"/>
      <x:c r="T111" s="18" t="str"/>
      <x:c r="U111" s="18" t="str">
        <x:v>Approval of Resolution Plan</x:v>
      </x:c>
      <x:c r="V111" s="18" t="str">
        <x:v>DEFINED_TERMINAL_OR_FEED_SCOPE</x:v>
      </x:c>
      <x:c r="W111" s="18" t="str">
        <x:v>judiciary_nclt_orders.json — published records loaded</x:v>
      </x:c>
      <x:c r="X111" s="18" t="str"/>
      <x:c r="Y111" s="18" t="str"/>
      <x:c r="Z111" s="20" t="n">
        <x:v>434</x:v>
      </x:c>
      <x:c r="AA111" s="19" t="n">
        <x:f>IFERROR(TODAY()-DATEVALUE(C111),"")</x:f>
        <x:v>59</x:v>
      </x:c>
      <x:c r="AB111" s="21" t="n">
        <x:f>ROUND(COUNTA(A111:K111)/11*100,0)</x:f>
        <x:v>100</x:v>
      </x:c>
      <x:c r="AC111" s="18" t="str">
        <x:v>National Company Law Tribunal</x:v>
      </x:c>
      <x:c r="AD111" s="22" t="str">
        <x:v>https://ibbi.gov.in/uploads/order/63e98cea65f8c84abfe386aa7c55d9b5.pdf</x:v>
      </x:c>
      <x:c r="AE111" s="18" t="str">
        <x:v>2026-07-13</x:v>
      </x:c>
      <x:c r="AF111" s="18" t="n">
        <x:v>46275.114583333336</x:v>
      </x:c>
      <x:c r="AG111" s="18" t="str">
        <x:v>retained_terminal</x:v>
      </x:c>
      <x:c r="AH111" s="18" t="str">
        <x:v>READY</x:v>
      </x:c>
    </x:row>
    <x:row r="112">
      <x:c r="A112" s="18" t="str">
        <x:v>NYT-47-b679197afea4d6ab</x:v>
      </x:c>
      <x:c r="B112" s="18" t="str">
        <x:v>In the matter of JSM Devcons (India) Ltd. [IA No. 224 OF 2026 in CP(IB) 56 of 2021]</x:v>
      </x:c>
      <x:c r="C112" s="18" t="str">
        <x:v>2026-07-13</x:v>
      </x:c>
      <x:c r="D112" s="18" t="n">
        <x:v>2026</x:v>
      </x:c>
      <x:c r="E112" s="18" t="str">
        <x:v>2026-07</x:v>
      </x:c>
      <x:c r="F112" s="18" t="str"/>
      <x:c r="G112" s="18" t="str"/>
      <x:c r="H112" s="18" t="str"/>
      <x:c r="I112" s="18" t="str">
        <x:v>JSM Devcons (India) Ltd.</x:v>
      </x:c>
      <x:c r="J112" s="20" t="str"/>
      <x:c r="K112" s="18" t="str"/>
      <x:c r="L112" s="18" t="str">
        <x:v>In the matter of JSM Devcons (India) Ltd. [IA No. 224 OF 2026 in CP(IB) 56 of 2021]</x:v>
      </x:c>
      <x:c r="M112" s="18" t="str">
        <x:v>2026-07-13</x:v>
      </x:c>
      <x:c r="N112" s="18" t="str">
        <x:v>JSM Devcons (India) Ltd.</x:v>
      </x:c>
      <x:c r="O112" s="18" t="str">
        <x:v>nclt_mjj3gr</x:v>
      </x:c>
      <x:c r="P112" s="18" t="str"/>
      <x:c r="Q112" s="18" t="str"/>
      <x:c r="R112" s="18" t="str"/>
      <x:c r="S112" s="18" t="str"/>
      <x:c r="T112" s="18" t="str"/>
      <x:c r="U112" s="18" t="str">
        <x:v>Others</x:v>
      </x:c>
      <x:c r="V112" s="18" t="str">
        <x:v>DEFINED_TERMINAL_OR_FEED_SCOPE</x:v>
      </x:c>
      <x:c r="W112" s="18" t="str">
        <x:v>judiciary_nclt_orders.json — published records loaded</x:v>
      </x:c>
      <x:c r="X112" s="18" t="str"/>
      <x:c r="Y112" s="18" t="str"/>
      <x:c r="Z112" s="20" t="n">
        <x:v>434</x:v>
      </x:c>
      <x:c r="AA112" s="19" t="n">
        <x:f>IFERROR(TODAY()-DATEVALUE(C112),"")</x:f>
        <x:v>59</x:v>
      </x:c>
      <x:c r="AB112" s="21" t="n">
        <x:f>ROUND(COUNTA(A112:K112)/11*100,0)</x:f>
        <x:v>100</x:v>
      </x:c>
      <x:c r="AC112" s="18" t="str">
        <x:v>National Company Law Tribunal</x:v>
      </x:c>
      <x:c r="AD112" s="22" t="str">
        <x:v>https://ibbi.gov.in/uploads/order/2026-07-29-151528-besrd-ea153e1dbeefaf6bba2f7e27e04b4bc7.pdf</x:v>
      </x:c>
      <x:c r="AE112" s="18" t="str">
        <x:v>2026-07-13</x:v>
      </x:c>
      <x:c r="AF112" s="18" t="n">
        <x:v>46275.114583333336</x:v>
      </x:c>
      <x:c r="AG112" s="18" t="str">
        <x:v>retained_terminal</x:v>
      </x:c>
      <x:c r="AH112" s="18" t="str">
        <x:v>READY</x:v>
      </x:c>
    </x:row>
    <x:row r="113">
      <x:c r="A113" s="18" t="str">
        <x:v>NYT-47-e08cc59952e7f4bb</x:v>
      </x:c>
      <x:c r="B113" s="18" t="str">
        <x:v>In the matter of Vikram Structures Private Limited [IA No. 173 of 2025 in C.P. (IB) No. 246/BB/2019]</x:v>
      </x:c>
      <x:c r="C113" s="18" t="str">
        <x:v>2026-07-13</x:v>
      </x:c>
      <x:c r="D113" s="18" t="n">
        <x:v>2026</x:v>
      </x:c>
      <x:c r="E113" s="18" t="str">
        <x:v>2026-07</x:v>
      </x:c>
      <x:c r="F113" s="18" t="str"/>
      <x:c r="G113" s="18" t="str"/>
      <x:c r="H113" s="18" t="str"/>
      <x:c r="I113" s="18" t="str">
        <x:v>Vikram Structures Private Limited</x:v>
      </x:c>
      <x:c r="J113" s="20" t="str"/>
      <x:c r="K113" s="18" t="str"/>
      <x:c r="L113" s="18" t="str">
        <x:v>In the matter of Vikram Structures Private Limited [IA No. 173 of 2025 in C.P. (IB) No. 246/BB/2019]</x:v>
      </x:c>
      <x:c r="M113" s="18" t="str">
        <x:v>2026-07-13</x:v>
      </x:c>
      <x:c r="N113" s="18" t="str">
        <x:v>Vikram Structures Private Limited</x:v>
      </x:c>
      <x:c r="O113" s="18" t="str">
        <x:v>nclt_1rcjb4w</x:v>
      </x:c>
      <x:c r="P113" s="18" t="str"/>
      <x:c r="Q113" s="18" t="str"/>
      <x:c r="R113" s="18" t="str"/>
      <x:c r="S113" s="18" t="str"/>
      <x:c r="T113" s="18" t="str"/>
      <x:c r="U113" s="18" t="str">
        <x:v>Others</x:v>
      </x:c>
      <x:c r="V113" s="18" t="str">
        <x:v>DEFINED_TERMINAL_OR_FEED_SCOPE</x:v>
      </x:c>
      <x:c r="W113" s="18" t="str">
        <x:v>judiciary_nclt_orders.json — published records loaded</x:v>
      </x:c>
      <x:c r="X113" s="18" t="str"/>
      <x:c r="Y113" s="18" t="str"/>
      <x:c r="Z113" s="20" t="n">
        <x:v>434</x:v>
      </x:c>
      <x:c r="AA113" s="19" t="n">
        <x:f>IFERROR(TODAY()-DATEVALUE(C113),"")</x:f>
        <x:v>59</x:v>
      </x:c>
      <x:c r="AB113" s="21" t="n">
        <x:f>ROUND(COUNTA(A113:K113)/11*100,0)</x:f>
        <x:v>100</x:v>
      </x:c>
      <x:c r="AC113" s="18" t="str">
        <x:v>National Company Law Tribunal</x:v>
      </x:c>
      <x:c r="AD113" s="22" t="str">
        <x:v>https://ibbi.gov.in/uploads/order/d1cb0a52cab1d38a2bf5305a6bacdb73.pdf</x:v>
      </x:c>
      <x:c r="AE113" s="18" t="str">
        <x:v>2026-07-13</x:v>
      </x:c>
      <x:c r="AF113" s="18" t="n">
        <x:v>46275.114583333336</x:v>
      </x:c>
      <x:c r="AG113" s="18" t="str">
        <x:v>retained_terminal</x:v>
      </x:c>
      <x:c r="AH113" s="18" t="str">
        <x:v>READY</x:v>
      </x:c>
    </x:row>
    <x:row r="114">
      <x:c r="A114" s="18" t="str">
        <x:v>NYT-47-08f217f30baae816</x:v>
      </x:c>
      <x:c r="B114" s="18" t="str">
        <x:v>In the matter of SRINITHI ENTERPRISES PRIVATE LIMITED [IA(IBC)/982(CHE)/2026]</x:v>
      </x:c>
      <x:c r="C114" s="18" t="str">
        <x:v>2026-07-13</x:v>
      </x:c>
      <x:c r="D114" s="18" t="n">
        <x:v>2026</x:v>
      </x:c>
      <x:c r="E114" s="18" t="str">
        <x:v>2026-07</x:v>
      </x:c>
      <x:c r="F114" s="18" t="str"/>
      <x:c r="G114" s="18" t="str"/>
      <x:c r="H114" s="18" t="str"/>
      <x:c r="I114" s="18" t="str">
        <x:v>SRINITHI ENTERPRISES PRIVATE LIMITED</x:v>
      </x:c>
      <x:c r="J114" s="20" t="str"/>
      <x:c r="K114" s="18" t="str"/>
      <x:c r="L114" s="18" t="str">
        <x:v>In the matter of SRINITHI ENTERPRISES PRIVATE LIMITED [IA(IBC)/982(CHE)/2026]</x:v>
      </x:c>
      <x:c r="M114" s="18" t="str">
        <x:v>2026-07-13</x:v>
      </x:c>
      <x:c r="N114" s="18" t="str">
        <x:v>SRINITHI ENTERPRISES PRIVATE LIMITED</x:v>
      </x:c>
      <x:c r="O114" s="18" t="str">
        <x:v>nclt_q3ov1m</x:v>
      </x:c>
      <x:c r="P114" s="18" t="str"/>
      <x:c r="Q114" s="18" t="str"/>
      <x:c r="R114" s="18" t="str"/>
      <x:c r="S114" s="18" t="str"/>
      <x:c r="T114" s="18" t="str"/>
      <x:c r="U114" s="18" t="str">
        <x:v>Appointment - Appointment of Liquidator</x:v>
      </x:c>
      <x:c r="V114" s="18" t="str">
        <x:v>DEFINED_TERMINAL_OR_FEED_SCOPE</x:v>
      </x:c>
      <x:c r="W114" s="18" t="str">
        <x:v>judiciary_nclt_orders.json — published records loaded</x:v>
      </x:c>
      <x:c r="X114" s="18" t="str"/>
      <x:c r="Y114" s="18" t="str"/>
      <x:c r="Z114" s="20" t="n">
        <x:v>434</x:v>
      </x:c>
      <x:c r="AA114" s="19" t="n">
        <x:f>IFERROR(TODAY()-DATEVALUE(C114),"")</x:f>
        <x:v>59</x:v>
      </x:c>
      <x:c r="AB114" s="21" t="n">
        <x:f>ROUND(COUNTA(A114:K114)/11*100,0)</x:f>
        <x:v>100</x:v>
      </x:c>
      <x:c r="AC114" s="18" t="str">
        <x:v>National Company Law Tribunal</x:v>
      </x:c>
      <x:c r="AD114" s="22" t="str">
        <x:v>https://ibbi.gov.in/uploads/order/d54977234d65a0fd196a71e33a55f21b.pdf</x:v>
      </x:c>
      <x:c r="AE114" s="18" t="str">
        <x:v>2026-07-13</x:v>
      </x:c>
      <x:c r="AF114" s="18" t="n">
        <x:v>46275.114583333336</x:v>
      </x:c>
      <x:c r="AG114" s="18" t="str">
        <x:v>retained_terminal</x:v>
      </x:c>
      <x:c r="AH114" s="18" t="str">
        <x:v>READY</x:v>
      </x:c>
    </x:row>
    <x:row r="115">
      <x:c r="A115" s="18" t="str">
        <x:v>NYT-47-b526921c679dfff9</x:v>
      </x:c>
      <x:c r="B115" s="18" t="str">
        <x:v>In the matter of Omkara Assets Reconstruction Private Limited vs. Ritu Jankiprasad Shah, [CP (IB) No. 1117/(MB)/2025]</x:v>
      </x:c>
      <x:c r="C115" s="18" t="str">
        <x:v>2026-07-13</x:v>
      </x:c>
      <x:c r="D115" s="18" t="n">
        <x:v>2026</x:v>
      </x:c>
      <x:c r="E115" s="18" t="str">
        <x:v>2026-07</x:v>
      </x:c>
      <x:c r="F115" s="18" t="str"/>
      <x:c r="G115" s="18" t="str"/>
      <x:c r="H115" s="18" t="str"/>
      <x:c r="I115" s="18" t="str">
        <x:v>Omkara Assets Reconstruction Private Limited</x:v>
      </x:c>
      <x:c r="J115" s="20" t="str"/>
      <x:c r="K115" s="18" t="str"/>
      <x:c r="L115" s="18" t="str">
        <x:v>In the matter of Omkara Assets Reconstruction Private Limited vs. Ritu Jankiprasad Shah, [CP (IB) No. 1117/(MB)/2025]</x:v>
      </x:c>
      <x:c r="M115" s="18" t="str">
        <x:v>2026-07-13</x:v>
      </x:c>
      <x:c r="N115" s="18" t="str">
        <x:v>Omkara Assets Reconstruction Private Limited</x:v>
      </x:c>
      <x:c r="O115" s="18" t="str">
        <x:v>nclt_14wlafr</x:v>
      </x:c>
      <x:c r="P115" s="18" t="str"/>
      <x:c r="Q115" s="18" t="str"/>
      <x:c r="R115" s="18" t="str"/>
      <x:c r="S115" s="18" t="str"/>
      <x:c r="T115" s="18" t="str"/>
      <x:c r="U115" s="18" t="str">
        <x:v>Dismissal of Application in PG case</x:v>
      </x:c>
      <x:c r="V115" s="18" t="str">
        <x:v>DEFINED_TERMINAL_OR_FEED_SCOPE</x:v>
      </x:c>
      <x:c r="W115" s="18" t="str">
        <x:v>judiciary_nclt_orders.json — published records loaded</x:v>
      </x:c>
      <x:c r="X115" s="18" t="str"/>
      <x:c r="Y115" s="18" t="str"/>
      <x:c r="Z115" s="20" t="n">
        <x:v>434</x:v>
      </x:c>
      <x:c r="AA115" s="19" t="n">
        <x:f>IFERROR(TODAY()-DATEVALUE(C115),"")</x:f>
        <x:v>59</x:v>
      </x:c>
      <x:c r="AB115" s="21" t="n">
        <x:f>ROUND(COUNTA(A115:K115)/11*100,0)</x:f>
        <x:v>100</x:v>
      </x:c>
      <x:c r="AC115" s="18" t="str">
        <x:v>National Company Law Tribunal</x:v>
      </x:c>
      <x:c r="AD115" s="22" t="str">
        <x:v>https://ibbi.gov.in/uploads/order/ca6fdec9ca00b9c1dafb7df27e767237.pdf</x:v>
      </x:c>
      <x:c r="AE115" s="18" t="str">
        <x:v>2026-07-13</x:v>
      </x:c>
      <x:c r="AF115" s="18" t="n">
        <x:v>46275.114583333336</x:v>
      </x:c>
      <x:c r="AG115" s="18" t="str">
        <x:v>retained_terminal</x:v>
      </x:c>
      <x:c r="AH115" s="18" t="str">
        <x:v>READY</x:v>
      </x:c>
    </x:row>
    <x:row r="116">
      <x:c r="A116" s="18" t="str">
        <x:v>NYT-47-7477d7001ed9a5f7</x:v>
      </x:c>
      <x:c r="B116" s="18" t="str">
        <x:v>Approval of Resolution Plan - Peel-Works Private Limited [IA (IBC) (Plan) No. 33 of 2026 in CP (IB) 40 of 2025]</x:v>
      </x:c>
      <x:c r="C116" s="18" t="str">
        <x:v>2026-07-13</x:v>
      </x:c>
      <x:c r="D116" s="18" t="n">
        <x:v>2026</x:v>
      </x:c>
      <x:c r="E116" s="18" t="str">
        <x:v>2026-07</x:v>
      </x:c>
      <x:c r="F116" s="18" t="str"/>
      <x:c r="G116" s="18" t="str"/>
      <x:c r="H116" s="18" t="str"/>
      <x:c r="I116" s="18" t="str"/>
      <x:c r="J116" s="20" t="str"/>
      <x:c r="K116" s="18" t="str"/>
      <x:c r="L116" s="18" t="str">
        <x:v>Approval of Resolution Plan - Peel-Works Private Limited [IA (IBC) (Plan) No. 33 of 2026 in CP (IB) 40 of 2025]</x:v>
      </x:c>
      <x:c r="M116" s="18" t="str">
        <x:v>2026-07-13</x:v>
      </x:c>
      <x:c r="N116" s="18" t="str"/>
      <x:c r="O116" s="18" t="str">
        <x:v>nclt_1vsezok</x:v>
      </x:c>
      <x:c r="P116" s="18" t="str"/>
      <x:c r="Q116" s="18" t="str"/>
      <x:c r="R116" s="18" t="str"/>
      <x:c r="S116" s="18" t="str"/>
      <x:c r="T116" s="18" t="str"/>
      <x:c r="U116" s="18" t="str">
        <x:v>Approval of Resolution Plan</x:v>
      </x:c>
      <x:c r="V116" s="18" t="str">
        <x:v>DEFINED_TERMINAL_OR_FEED_SCOPE</x:v>
      </x:c>
      <x:c r="W116" s="18" t="str">
        <x:v>judiciary_nclt_orders.json — published records loaded</x:v>
      </x:c>
      <x:c r="X116" s="18" t="str"/>
      <x:c r="Y116" s="18" t="str"/>
      <x:c r="Z116" s="20" t="n">
        <x:v>434</x:v>
      </x:c>
      <x:c r="AA116" s="19" t="n">
        <x:f>IFERROR(TODAY()-DATEVALUE(C116),"")</x:f>
        <x:v>59</x:v>
      </x:c>
      <x:c r="AB116" s="21" t="n">
        <x:f>ROUND(COUNTA(A116:K116)/11*100,0)</x:f>
        <x:v>100</x:v>
      </x:c>
      <x:c r="AC116" s="18" t="str">
        <x:v>National Company Law Tribunal</x:v>
      </x:c>
      <x:c r="AD116" s="22" t="str">
        <x:v>https://ibbi.gov.in/uploads/order/355cd1e8163a8192b131859985d1d2ea.pdf</x:v>
      </x:c>
      <x:c r="AE116" s="18" t="str">
        <x:v>2026-07-13</x:v>
      </x:c>
      <x:c r="AF116" s="18" t="n">
        <x:v>46275.114583333336</x:v>
      </x:c>
      <x:c r="AG116" s="18" t="str">
        <x:v>retained_terminal</x:v>
      </x:c>
      <x:c r="AH116" s="18" t="str">
        <x:v>READY</x:v>
      </x:c>
    </x:row>
    <x:row r="117">
      <x:c r="A117" s="18" t="str">
        <x:v>NYT-47-dbfb46d3df8080f4</x:v>
      </x:c>
      <x:c r="B117" s="18" t="str">
        <x:v>In the matter of Vikas WSP Ltd. [IA(I.B.C.)/1870 (CH)2025 in CP(IB) No.315/Chd/Hry/2019]</x:v>
      </x:c>
      <x:c r="C117" s="18" t="str">
        <x:v>2026-07-10</x:v>
      </x:c>
      <x:c r="D117" s="18" t="n">
        <x:v>2026</x:v>
      </x:c>
      <x:c r="E117" s="18" t="str">
        <x:v>2026-07</x:v>
      </x:c>
      <x:c r="F117" s="18" t="str"/>
      <x:c r="G117" s="18" t="str"/>
      <x:c r="H117" s="18" t="str"/>
      <x:c r="I117" s="18" t="str">
        <x:v>Vikas WSP Ltd.</x:v>
      </x:c>
      <x:c r="J117" s="20" t="str"/>
      <x:c r="K117" s="18" t="str"/>
      <x:c r="L117" s="18" t="str">
        <x:v>In the matter of Vikas WSP Ltd. [IA(I.B.C.)/1870 (CH)2025 in CP(IB) No.315/Chd/Hry/2019]</x:v>
      </x:c>
      <x:c r="M117" s="18" t="str">
        <x:v>2026-07-10</x:v>
      </x:c>
      <x:c r="N117" s="18" t="str">
        <x:v>Vikas WSP Ltd.</x:v>
      </x:c>
      <x:c r="O117" s="18" t="str">
        <x:v>nclt_tj6bf4</x:v>
      </x:c>
      <x:c r="P117" s="18" t="str"/>
      <x:c r="Q117" s="18" t="str"/>
      <x:c r="R117" s="18" t="str"/>
      <x:c r="S117" s="18" t="str"/>
      <x:c r="T117" s="18" t="str"/>
      <x:c r="U117" s="18" t="str">
        <x:v>Others</x:v>
      </x:c>
      <x:c r="V117" s="18" t="str">
        <x:v>DEFINED_TERMINAL_OR_FEED_SCOPE</x:v>
      </x:c>
      <x:c r="W117" s="18" t="str">
        <x:v>judiciary_nclt_orders.json — published records loaded</x:v>
      </x:c>
      <x:c r="X117" s="18" t="str"/>
      <x:c r="Y117" s="18" t="str"/>
      <x:c r="Z117" s="20" t="n">
        <x:v>434</x:v>
      </x:c>
      <x:c r="AA117" s="19" t="n">
        <x:f>IFERROR(TODAY()-DATEVALUE(C117),"")</x:f>
        <x:v>62</x:v>
      </x:c>
      <x:c r="AB117" s="21" t="n">
        <x:f>ROUND(COUNTA(A117:K117)/11*100,0)</x:f>
        <x:v>100</x:v>
      </x:c>
      <x:c r="AC117" s="18" t="str">
        <x:v>National Company Law Tribunal</x:v>
      </x:c>
      <x:c r="AD117" s="22" t="str">
        <x:v>https://ibbi.gov.in/uploads/order/e6ed76c46b6129f19da987ddba5cc6bf.pdf</x:v>
      </x:c>
      <x:c r="AE117" s="18" t="str">
        <x:v>2026-07-10</x:v>
      </x:c>
      <x:c r="AF117" s="18" t="n">
        <x:v>46275.114583333336</x:v>
      </x:c>
      <x:c r="AG117" s="18" t="str">
        <x:v>retained_terminal</x:v>
      </x:c>
      <x:c r="AH117" s="18" t="str">
        <x:v>READY</x:v>
      </x:c>
    </x:row>
    <x:row r="118">
      <x:c r="A118" s="18" t="str">
        <x:v>NYT-47-6756fdec258c71df</x:v>
      </x:c>
      <x:c r="B118" s="18" t="str">
        <x:v>In the matter of SUNSTAR REALTY DEVELOPMENT LIMITED [C.P. (IB)/769(MB)2025]</x:v>
      </x:c>
      <x:c r="C118" s="18" t="str">
        <x:v>2026-07-10</x:v>
      </x:c>
      <x:c r="D118" s="18" t="n">
        <x:v>2026</x:v>
      </x:c>
      <x:c r="E118" s="18" t="str">
        <x:v>2026-07</x:v>
      </x:c>
      <x:c r="F118" s="18" t="str"/>
      <x:c r="G118" s="18" t="str"/>
      <x:c r="H118" s="18" t="str"/>
      <x:c r="I118" s="18" t="str">
        <x:v>SUNSTAR REALTY DEVELOPMENT LIMITED</x:v>
      </x:c>
      <x:c r="J118" s="20" t="str"/>
      <x:c r="K118" s="18" t="str"/>
      <x:c r="L118" s="18" t="str">
        <x:v>In the matter of SUNSTAR REALTY DEVELOPMENT LIMITED [C.P. (IB)/769(MB)2025]</x:v>
      </x:c>
      <x:c r="M118" s="18" t="str">
        <x:v>2026-07-10</x:v>
      </x:c>
      <x:c r="N118" s="18" t="str">
        <x:v>SUNSTAR REALTY DEVELOPMENT LIMITED</x:v>
      </x:c>
      <x:c r="O118" s="18" t="str">
        <x:v>nclt_122vztk</x:v>
      </x:c>
      <x:c r="P118" s="18" t="str"/>
      <x:c r="Q118" s="18" t="str"/>
      <x:c r="R118" s="18" t="str"/>
      <x:c r="S118" s="18" t="str"/>
      <x:c r="T118" s="18" t="str"/>
      <x:c r="U118" s="18" t="str">
        <x:v>Admission - Final Order</x:v>
      </x:c>
      <x:c r="V118" s="18" t="str">
        <x:v>DEFINED_TERMINAL_OR_FEED_SCOPE</x:v>
      </x:c>
      <x:c r="W118" s="18" t="str">
        <x:v>judiciary_nclt_orders.json — published records loaded</x:v>
      </x:c>
      <x:c r="X118" s="18" t="str"/>
      <x:c r="Y118" s="18" t="str"/>
      <x:c r="Z118" s="20" t="n">
        <x:v>434</x:v>
      </x:c>
      <x:c r="AA118" s="19" t="n">
        <x:f>IFERROR(TODAY()-DATEVALUE(C118),"")</x:f>
        <x:v>62</x:v>
      </x:c>
      <x:c r="AB118" s="21" t="n">
        <x:f>ROUND(COUNTA(A118:K118)/11*100,0)</x:f>
        <x:v>100</x:v>
      </x:c>
      <x:c r="AC118" s="18" t="str">
        <x:v>National Company Law Tribunal</x:v>
      </x:c>
      <x:c r="AD118" s="22" t="str">
        <x:v>https://ibbi.gov.in/uploads/order/64c6dfbf1e3afaf4085161a5f555a5d3.pdf</x:v>
      </x:c>
      <x:c r="AE118" s="18" t="str">
        <x:v>2026-07-10</x:v>
      </x:c>
      <x:c r="AF118" s="18" t="n">
        <x:v>46275.114583333336</x:v>
      </x:c>
      <x:c r="AG118" s="18" t="str">
        <x:v>retained_terminal</x:v>
      </x:c>
      <x:c r="AH118" s="18" t="str">
        <x:v>READY</x:v>
      </x:c>
    </x:row>
    <x:row r="119">
      <x:c r="A119" s="18" t="str">
        <x:v>NYT-47-6fdc3e14314f1bd8</x:v>
      </x:c>
      <x:c r="B119" s="18" t="str">
        <x:v>In the matter of Chandigarh Overseas Private Limited [I.A.(I.B.C)/1082(CH)2025 in CP (IB) No. 248/Chd/Chd/2019]</x:v>
      </x:c>
      <x:c r="C119" s="18" t="str">
        <x:v>2026-07-10</x:v>
      </x:c>
      <x:c r="D119" s="18" t="n">
        <x:v>2026</x:v>
      </x:c>
      <x:c r="E119" s="18" t="str">
        <x:v>2026-07</x:v>
      </x:c>
      <x:c r="F119" s="18" t="str"/>
      <x:c r="G119" s="18" t="str"/>
      <x:c r="H119" s="18" t="str"/>
      <x:c r="I119" s="18" t="str">
        <x:v>Chandigarh Overseas Private Limited</x:v>
      </x:c>
      <x:c r="J119" s="20" t="str"/>
      <x:c r="K119" s="18" t="str"/>
      <x:c r="L119" s="18" t="str">
        <x:v>In the matter of Chandigarh Overseas Private Limited [I.A.(I.B.C)/1082(CH)2025 in CP (IB) No. 248/Chd/Chd/2019]</x:v>
      </x:c>
      <x:c r="M119" s="18" t="str">
        <x:v>2026-07-10</x:v>
      </x:c>
      <x:c r="N119" s="18" t="str">
        <x:v>Chandigarh Overseas Private Limited</x:v>
      </x:c>
      <x:c r="O119" s="18" t="str">
        <x:v>nclt_jb9od3</x:v>
      </x:c>
      <x:c r="P119" s="18" t="str"/>
      <x:c r="Q119" s="18" t="str"/>
      <x:c r="R119" s="18" t="str"/>
      <x:c r="S119" s="18" t="str"/>
      <x:c r="T119" s="18" t="str"/>
      <x:c r="U119" s="18" t="str">
        <x:v>Others</x:v>
      </x:c>
      <x:c r="V119" s="18" t="str">
        <x:v>DEFINED_TERMINAL_OR_FEED_SCOPE</x:v>
      </x:c>
      <x:c r="W119" s="18" t="str">
        <x:v>judiciary_nclt_orders.json — published records loaded</x:v>
      </x:c>
      <x:c r="X119" s="18" t="str"/>
      <x:c r="Y119" s="18" t="str"/>
      <x:c r="Z119" s="20" t="n">
        <x:v>434</x:v>
      </x:c>
      <x:c r="AA119" s="19" t="n">
        <x:f>IFERROR(TODAY()-DATEVALUE(C119),"")</x:f>
        <x:v>62</x:v>
      </x:c>
      <x:c r="AB119" s="21" t="n">
        <x:f>ROUND(COUNTA(A119:K119)/11*100,0)</x:f>
        <x:v>100</x:v>
      </x:c>
      <x:c r="AC119" s="18" t="str">
        <x:v>National Company Law Tribunal</x:v>
      </x:c>
      <x:c r="AD119" s="22" t="str">
        <x:v>https://ibbi.gov.in/uploads/order/33d760dd178036b714669c2766cadf1b.pdf</x:v>
      </x:c>
      <x:c r="AE119" s="18" t="str">
        <x:v>2026-07-10</x:v>
      </x:c>
      <x:c r="AF119" s="18" t="n">
        <x:v>46275.114583333336</x:v>
      </x:c>
      <x:c r="AG119" s="18" t="str">
        <x:v>retained_terminal</x:v>
      </x:c>
      <x:c r="AH119" s="18" t="str">
        <x:v>READY</x:v>
      </x:c>
    </x:row>
    <x:row r="120">
      <x:c r="A120" s="18" t="str">
        <x:v>NYT-47-237101900642a1b6</x:v>
      </x:c>
      <x:c r="B120" s="18" t="str">
        <x:v>In the matter of Shree Vardhman Buildprop Private Limited [I.A. 3699 ND 2024 in C.P. IB 445 (ND) of 2023]</x:v>
      </x:c>
      <x:c r="C120" s="18" t="str">
        <x:v>2026-07-10</x:v>
      </x:c>
      <x:c r="D120" s="18" t="n">
        <x:v>2026</x:v>
      </x:c>
      <x:c r="E120" s="18" t="str">
        <x:v>2026-07</x:v>
      </x:c>
      <x:c r="F120" s="18" t="str"/>
      <x:c r="G120" s="18" t="str"/>
      <x:c r="H120" s="18" t="str"/>
      <x:c r="I120" s="18" t="str">
        <x:v>Shree Vardhman Buildprop Private Limited</x:v>
      </x:c>
      <x:c r="J120" s="20" t="str"/>
      <x:c r="K120" s="18" t="str"/>
      <x:c r="L120" s="18" t="str">
        <x:v>In the matter of Shree Vardhman Buildprop Private Limited [I.A. 3699 ND 2024 in C.P. IB 445 (ND) of 2023]</x:v>
      </x:c>
      <x:c r="M120" s="18" t="str">
        <x:v>2026-07-10</x:v>
      </x:c>
      <x:c r="N120" s="18" t="str">
        <x:v>Shree Vardhman Buildprop Private Limited</x:v>
      </x:c>
      <x:c r="O120" s="18" t="str">
        <x:v>nclt_1cvyy1u</x:v>
      </x:c>
      <x:c r="P120" s="18" t="str"/>
      <x:c r="Q120" s="18" t="str"/>
      <x:c r="R120" s="18" t="str"/>
      <x:c r="S120" s="18" t="str"/>
      <x:c r="T120" s="18" t="str"/>
      <x:c r="U120" s="18" t="str">
        <x:v>Others</x:v>
      </x:c>
      <x:c r="V120" s="18" t="str">
        <x:v>DEFINED_TERMINAL_OR_FEED_SCOPE</x:v>
      </x:c>
      <x:c r="W120" s="18" t="str">
        <x:v>judiciary_nclt_orders.json — published records loaded</x:v>
      </x:c>
      <x:c r="X120" s="18" t="str"/>
      <x:c r="Y120" s="18" t="str"/>
      <x:c r="Z120" s="20" t="n">
        <x:v>434</x:v>
      </x:c>
      <x:c r="AA120" s="19" t="n">
        <x:f>IFERROR(TODAY()-DATEVALUE(C120),"")</x:f>
        <x:v>62</x:v>
      </x:c>
      <x:c r="AB120" s="21" t="n">
        <x:f>ROUND(COUNTA(A120:K120)/11*100,0)</x:f>
        <x:v>100</x:v>
      </x:c>
      <x:c r="AC120" s="18" t="str">
        <x:v>National Company Law Tribunal</x:v>
      </x:c>
      <x:c r="AD120" s="22" t="str">
        <x:v>https://ibbi.gov.in/uploads/order/f788470029163363a8e5654ba223742c.pdf</x:v>
      </x:c>
      <x:c r="AE120" s="18" t="str">
        <x:v>2026-07-10</x:v>
      </x:c>
      <x:c r="AF120" s="18" t="n">
        <x:v>46275.114583333336</x:v>
      </x:c>
      <x:c r="AG120" s="18" t="str">
        <x:v>retained_terminal</x:v>
      </x:c>
      <x:c r="AH120" s="18" t="str">
        <x:v>READY</x:v>
      </x:c>
    </x:row>
    <x:row r="121">
      <x:c r="A121" s="18" t="str">
        <x:v>NYT-47-a2bda91fb2568fbf</x:v>
      </x:c>
      <x:c r="B121" s="18" t="str">
        <x:v>In the matter of Naman vs. Suresh Pal, [CP (IB) No. 261/Chd/Hry/2025]</x:v>
      </x:c>
      <x:c r="C121" s="18" t="str">
        <x:v>2026-07-10</x:v>
      </x:c>
      <x:c r="D121" s="18" t="n">
        <x:v>2026</x:v>
      </x:c>
      <x:c r="E121" s="18" t="str">
        <x:v>2026-07</x:v>
      </x:c>
      <x:c r="F121" s="18" t="str"/>
      <x:c r="G121" s="18" t="str"/>
      <x:c r="H121" s="18" t="str"/>
      <x:c r="I121" s="18" t="str">
        <x:v>Naman</x:v>
      </x:c>
      <x:c r="J121" s="20" t="str"/>
      <x:c r="K121" s="18" t="str"/>
      <x:c r="L121" s="18" t="str">
        <x:v>In the matter of Naman vs. Suresh Pal, [CP (IB) No. 261/Chd/Hry/2025]</x:v>
      </x:c>
      <x:c r="M121" s="18" t="str">
        <x:v>2026-07-10</x:v>
      </x:c>
      <x:c r="N121" s="18" t="str">
        <x:v>Naman</x:v>
      </x:c>
      <x:c r="O121" s="18" t="str">
        <x:v>nclt_1eoxpuf</x:v>
      </x:c>
      <x:c r="P121" s="18" t="str"/>
      <x:c r="Q121" s="18" t="str"/>
      <x:c r="R121" s="18" t="str"/>
      <x:c r="S121" s="18" t="str"/>
      <x:c r="T121" s="18" t="str"/>
      <x:c r="U121" s="18" t="str">
        <x:v>Dismissal of Application in PG case</x:v>
      </x:c>
      <x:c r="V121" s="18" t="str">
        <x:v>DEFINED_TERMINAL_OR_FEED_SCOPE</x:v>
      </x:c>
      <x:c r="W121" s="18" t="str">
        <x:v>judiciary_nclt_orders.json — published records loaded</x:v>
      </x:c>
      <x:c r="X121" s="18" t="str"/>
      <x:c r="Y121" s="18" t="str"/>
      <x:c r="Z121" s="20" t="n">
        <x:v>434</x:v>
      </x:c>
      <x:c r="AA121" s="19" t="n">
        <x:f>IFERROR(TODAY()-DATEVALUE(C121),"")</x:f>
        <x:v>62</x:v>
      </x:c>
      <x:c r="AB121" s="21" t="n">
        <x:f>ROUND(COUNTA(A121:K121)/11*100,0)</x:f>
        <x:v>100</x:v>
      </x:c>
      <x:c r="AC121" s="18" t="str">
        <x:v>National Company Law Tribunal</x:v>
      </x:c>
      <x:c r="AD121" s="22" t="str">
        <x:v>https://ibbi.gov.in/uploads/order/b90eff4e05391e9f7a3859be51de40c1.pdf</x:v>
      </x:c>
      <x:c r="AE121" s="18" t="str">
        <x:v>2026-07-10</x:v>
      </x:c>
      <x:c r="AF121" s="18" t="n">
        <x:v>46275.114583333336</x:v>
      </x:c>
      <x:c r="AG121" s="18" t="str">
        <x:v>retained_terminal</x:v>
      </x:c>
      <x:c r="AH121" s="18" t="str">
        <x:v>READY</x:v>
      </x:c>
    </x:row>
    <x:row r="122">
      <x:c r="A122" s="18" t="str">
        <x:v>NYT-47-48948911d38bca4d</x:v>
      </x:c>
      <x:c r="B122" s="18" t="str">
        <x:v>In the matter of J C T Limited [I.A. No.83 of 2026 in CP(IB) No. 325/Chd/Pb/2023]</x:v>
      </x:c>
      <x:c r="C122" s="18" t="str">
        <x:v>2026-07-10</x:v>
      </x:c>
      <x:c r="D122" s="18" t="n">
        <x:v>2026</x:v>
      </x:c>
      <x:c r="E122" s="18" t="str">
        <x:v>2026-07</x:v>
      </x:c>
      <x:c r="F122" s="18" t="str"/>
      <x:c r="G122" s="18" t="str"/>
      <x:c r="H122" s="18" t="str"/>
      <x:c r="I122" s="18" t="str">
        <x:v>J C T Limited</x:v>
      </x:c>
      <x:c r="J122" s="20" t="str"/>
      <x:c r="K122" s="18" t="str"/>
      <x:c r="L122" s="18" t="str">
        <x:v>In the matter of J C T Limited [I.A. No.83 of 2026 in CP(IB) No. 325/Chd/Pb/2023]</x:v>
      </x:c>
      <x:c r="M122" s="18" t="str">
        <x:v>2026-07-10</x:v>
      </x:c>
      <x:c r="N122" s="18" t="str">
        <x:v>J C T Limited</x:v>
      </x:c>
      <x:c r="O122" s="18" t="str">
        <x:v>nclt_1g6118l</x:v>
      </x:c>
      <x:c r="P122" s="18" t="str"/>
      <x:c r="Q122" s="18" t="str"/>
      <x:c r="R122" s="18" t="str"/>
      <x:c r="S122" s="18" t="str"/>
      <x:c r="T122" s="18" t="str"/>
      <x:c r="U122" s="18" t="str">
        <x:v>Others</x:v>
      </x:c>
      <x:c r="V122" s="18" t="str">
        <x:v>DEFINED_TERMINAL_OR_FEED_SCOPE</x:v>
      </x:c>
      <x:c r="W122" s="18" t="str">
        <x:v>judiciary_nclt_orders.json — published records loaded</x:v>
      </x:c>
      <x:c r="X122" s="18" t="str"/>
      <x:c r="Y122" s="18" t="str"/>
      <x:c r="Z122" s="20" t="n">
        <x:v>434</x:v>
      </x:c>
      <x:c r="AA122" s="19" t="n">
        <x:f>IFERROR(TODAY()-DATEVALUE(C122),"")</x:f>
        <x:v>62</x:v>
      </x:c>
      <x:c r="AB122" s="21" t="n">
        <x:f>ROUND(COUNTA(A122:K122)/11*100,0)</x:f>
        <x:v>100</x:v>
      </x:c>
      <x:c r="AC122" s="18" t="str">
        <x:v>National Company Law Tribunal</x:v>
      </x:c>
      <x:c r="AD122" s="22" t="str">
        <x:v>https://ibbi.gov.in/uploads/order/513237fafadda3039a51c2f4018da29d.pdf</x:v>
      </x:c>
      <x:c r="AE122" s="18" t="str">
        <x:v>2026-07-10</x:v>
      </x:c>
      <x:c r="AF122" s="18" t="n">
        <x:v>46275.114583333336</x:v>
      </x:c>
      <x:c r="AG122" s="18" t="str">
        <x:v>retained_terminal</x:v>
      </x:c>
      <x:c r="AH122" s="18" t="str">
        <x:v>READY</x:v>
      </x:c>
    </x:row>
    <x:row r="123">
      <x:c r="A123" s="18" t="str">
        <x:v>NYT-47-8ea163d3b7bbb8f7</x:v>
      </x:c>
      <x:c r="B123" s="18" t="str">
        <x:v>In the matter of Worlds Window Impex India Private Limited [IA 1436/ND/2023 in CP IB NO. 376/ND/2020]</x:v>
      </x:c>
      <x:c r="C123" s="18" t="str">
        <x:v>2026-07-10</x:v>
      </x:c>
      <x:c r="D123" s="18" t="n">
        <x:v>2026</x:v>
      </x:c>
      <x:c r="E123" s="18" t="str">
        <x:v>2026-07</x:v>
      </x:c>
      <x:c r="F123" s="18" t="str"/>
      <x:c r="G123" s="18" t="str"/>
      <x:c r="H123" s="18" t="str"/>
      <x:c r="I123" s="18" t="str">
        <x:v>Worlds Window Impex India Private Limited</x:v>
      </x:c>
      <x:c r="J123" s="20" t="str"/>
      <x:c r="K123" s="18" t="str"/>
      <x:c r="L123" s="18" t="str">
        <x:v>In the matter of Worlds Window Impex India Private Limited [IA 1436/ND/2023 in CP IB NO. 376/ND/2020]</x:v>
      </x:c>
      <x:c r="M123" s="18" t="str">
        <x:v>2026-07-10</x:v>
      </x:c>
      <x:c r="N123" s="18" t="str">
        <x:v>Worlds Window Impex India Private Limited</x:v>
      </x:c>
      <x:c r="O123" s="18" t="str">
        <x:v>nclt_1kafbw7</x:v>
      </x:c>
      <x:c r="P123" s="18" t="str"/>
      <x:c r="Q123" s="18" t="str"/>
      <x:c r="R123" s="18" t="str"/>
      <x:c r="S123" s="18" t="str"/>
      <x:c r="T123" s="18" t="str"/>
      <x:c r="U123" s="18" t="str">
        <x:v>Liquidation</x:v>
      </x:c>
      <x:c r="V123" s="18" t="str">
        <x:v>DEFINED_TERMINAL_OR_FEED_SCOPE</x:v>
      </x:c>
      <x:c r="W123" s="18" t="str">
        <x:v>judiciary_nclt_orders.json — published records loaded</x:v>
      </x:c>
      <x:c r="X123" s="18" t="str"/>
      <x:c r="Y123" s="18" t="str"/>
      <x:c r="Z123" s="20" t="n">
        <x:v>434</x:v>
      </x:c>
      <x:c r="AA123" s="19" t="n">
        <x:f>IFERROR(TODAY()-DATEVALUE(C123),"")</x:f>
        <x:v>62</x:v>
      </x:c>
      <x:c r="AB123" s="21" t="n">
        <x:f>ROUND(COUNTA(A123:K123)/11*100,0)</x:f>
        <x:v>100</x:v>
      </x:c>
      <x:c r="AC123" s="18" t="str">
        <x:v>National Company Law Tribunal</x:v>
      </x:c>
      <x:c r="AD123" s="22" t="str">
        <x:v>https://ibbi.gov.in/uploads/order/86cd7e3d19bc77d355c37c0f65c05f34.pdf</x:v>
      </x:c>
      <x:c r="AE123" s="18" t="str">
        <x:v>2026-07-10</x:v>
      </x:c>
      <x:c r="AF123" s="18" t="n">
        <x:v>46275.114583333336</x:v>
      </x:c>
      <x:c r="AG123" s="18" t="str">
        <x:v>retained_terminal</x:v>
      </x:c>
      <x:c r="AH123" s="18" t="str">
        <x:v>READY</x:v>
      </x:c>
    </x:row>
    <x:row r="124">
      <x:c r="A124" s="18" t="str">
        <x:v>NYT-47-ff558a185214e73a</x:v>
      </x:c>
      <x:c r="B124" s="18" t="str">
        <x:v>In the matter of GENESIS INFRATECH PRIVATE LIMITED [Company Petition No. IB/720/ND/2024]</x:v>
      </x:c>
      <x:c r="C124" s="18" t="str">
        <x:v>2026-07-10</x:v>
      </x:c>
      <x:c r="D124" s="18" t="n">
        <x:v>2026</x:v>
      </x:c>
      <x:c r="E124" s="18" t="str">
        <x:v>2026-07</x:v>
      </x:c>
      <x:c r="F124" s="18" t="str"/>
      <x:c r="G124" s="18" t="str"/>
      <x:c r="H124" s="18" t="str"/>
      <x:c r="I124" s="18" t="str">
        <x:v>GENESIS INFRATECH PRIVATE LIMITED</x:v>
      </x:c>
      <x:c r="J124" s="20" t="str"/>
      <x:c r="K124" s="18" t="str"/>
      <x:c r="L124" s="18" t="str">
        <x:v>In the matter of GENESIS INFRATECH PRIVATE LIMITED [Company Petition No. IB/720/ND/2024]</x:v>
      </x:c>
      <x:c r="M124" s="18" t="str">
        <x:v>2026-07-10</x:v>
      </x:c>
      <x:c r="N124" s="18" t="str">
        <x:v>GENESIS INFRATECH PRIVATE LIMITED</x:v>
      </x:c>
      <x:c r="O124" s="18" t="str">
        <x:v>nclt_1ow93og</x:v>
      </x:c>
      <x:c r="P124" s="18" t="str"/>
      <x:c r="Q124" s="18" t="str"/>
      <x:c r="R124" s="18" t="str"/>
      <x:c r="S124" s="18" t="str"/>
      <x:c r="T124" s="18" t="str"/>
      <x:c r="U124" s="18" t="str">
        <x:v>Admission - Final Order</x:v>
      </x:c>
      <x:c r="V124" s="18" t="str">
        <x:v>DEFINED_TERMINAL_OR_FEED_SCOPE</x:v>
      </x:c>
      <x:c r="W124" s="18" t="str">
        <x:v>judiciary_nclt_orders.json — published records loaded</x:v>
      </x:c>
      <x:c r="X124" s="18" t="str"/>
      <x:c r="Y124" s="18" t="str"/>
      <x:c r="Z124" s="20" t="n">
        <x:v>434</x:v>
      </x:c>
      <x:c r="AA124" s="19" t="n">
        <x:f>IFERROR(TODAY()-DATEVALUE(C124),"")</x:f>
        <x:v>62</x:v>
      </x:c>
      <x:c r="AB124" s="21" t="n">
        <x:f>ROUND(COUNTA(A124:K124)/11*100,0)</x:f>
        <x:v>100</x:v>
      </x:c>
      <x:c r="AC124" s="18" t="str">
        <x:v>National Company Law Tribunal</x:v>
      </x:c>
      <x:c r="AD124" s="22" t="str">
        <x:v>https://ibbi.gov.in/uploads/order/2026-07-15-152312-2pyf8-2443b87e82f33a9f691224b99d095003.pdf</x:v>
      </x:c>
      <x:c r="AE124" s="18" t="str">
        <x:v>2026-07-10</x:v>
      </x:c>
      <x:c r="AF124" s="18" t="n">
        <x:v>46275.114583333336</x:v>
      </x:c>
      <x:c r="AG124" s="18" t="str">
        <x:v>retained_terminal</x:v>
      </x:c>
      <x:c r="AH124" s="18" t="str">
        <x:v>READY</x:v>
      </x:c>
    </x:row>
    <x:row r="125">
      <x:c r="A125" s="18" t="str">
        <x:v>NYT-47-9915969754c6a8b3</x:v>
      </x:c>
      <x:c r="B125" s="18" t="str">
        <x:v>In the matter of DSS Infrastructures Private Limited [I.A. 3793 ND 2024 in C.P. IB 446 (ND) of 2023]</x:v>
      </x:c>
      <x:c r="C125" s="18" t="str">
        <x:v>2026-07-10</x:v>
      </x:c>
      <x:c r="D125" s="18" t="n">
        <x:v>2026</x:v>
      </x:c>
      <x:c r="E125" s="18" t="str">
        <x:v>2026-07</x:v>
      </x:c>
      <x:c r="F125" s="18" t="str"/>
      <x:c r="G125" s="18" t="str"/>
      <x:c r="H125" s="18" t="str"/>
      <x:c r="I125" s="18" t="str">
        <x:v>DSS Infrastructures Private Limited</x:v>
      </x:c>
      <x:c r="J125" s="20" t="str"/>
      <x:c r="K125" s="18" t="str"/>
      <x:c r="L125" s="18" t="str">
        <x:v>In the matter of DSS Infrastructures Private Limited [I.A. 3793 ND 2024 in C.P. IB 446 (ND) of 2023]</x:v>
      </x:c>
      <x:c r="M125" s="18" t="str">
        <x:v>2026-07-10</x:v>
      </x:c>
      <x:c r="N125" s="18" t="str">
        <x:v>DSS Infrastructures Private Limited</x:v>
      </x:c>
      <x:c r="O125" s="18" t="str">
        <x:v>nclt_1jfgo1a</x:v>
      </x:c>
      <x:c r="P125" s="18" t="str"/>
      <x:c r="Q125" s="18" t="str"/>
      <x:c r="R125" s="18" t="str"/>
      <x:c r="S125" s="18" t="str"/>
      <x:c r="T125" s="18" t="str"/>
      <x:c r="U125" s="18" t="str">
        <x:v>Others</x:v>
      </x:c>
      <x:c r="V125" s="18" t="str">
        <x:v>DEFINED_TERMINAL_OR_FEED_SCOPE</x:v>
      </x:c>
      <x:c r="W125" s="18" t="str">
        <x:v>judiciary_nclt_orders.json — published records loaded</x:v>
      </x:c>
      <x:c r="X125" s="18" t="str"/>
      <x:c r="Y125" s="18" t="str"/>
      <x:c r="Z125" s="20" t="n">
        <x:v>434</x:v>
      </x:c>
      <x:c r="AA125" s="19" t="n">
        <x:f>IFERROR(TODAY()-DATEVALUE(C125),"")</x:f>
        <x:v>62</x:v>
      </x:c>
      <x:c r="AB125" s="21" t="n">
        <x:f>ROUND(COUNTA(A125:K125)/11*100,0)</x:f>
        <x:v>100</x:v>
      </x:c>
      <x:c r="AC125" s="18" t="str">
        <x:v>National Company Law Tribunal</x:v>
      </x:c>
      <x:c r="AD125" s="22" t="str">
        <x:v>https://ibbi.gov.in/uploads/order/2dcd9a7cd5b63c585afea42aba6bf7b7.pdf</x:v>
      </x:c>
      <x:c r="AE125" s="18" t="str">
        <x:v>2026-07-10</x:v>
      </x:c>
      <x:c r="AF125" s="18" t="n">
        <x:v>46275.114583333336</x:v>
      </x:c>
      <x:c r="AG125" s="18" t="str">
        <x:v>retained_terminal</x:v>
      </x:c>
      <x:c r="AH125" s="18" t="str">
        <x:v>READY</x:v>
      </x:c>
    </x:row>
    <x:row r="126">
      <x:c r="A126" s="18" t="str">
        <x:v>NYT-47-8d9090d316347068</x:v>
      </x:c>
      <x:c r="B126" s="18" t="str">
        <x:v>In the matter of ISG Hospitality Services Private Limited [CP (IB) No.1188/MB/2025]</x:v>
      </x:c>
      <x:c r="C126" s="18" t="str">
        <x:v>2026-07-10</x:v>
      </x:c>
      <x:c r="D126" s="18" t="n">
        <x:v>2026</x:v>
      </x:c>
      <x:c r="E126" s="18" t="str">
        <x:v>2026-07</x:v>
      </x:c>
      <x:c r="F126" s="18" t="str"/>
      <x:c r="G126" s="18" t="str"/>
      <x:c r="H126" s="18" t="str"/>
      <x:c r="I126" s="18" t="str">
        <x:v>ISG Hospitality Services Private Limited</x:v>
      </x:c>
      <x:c r="J126" s="20" t="str"/>
      <x:c r="K126" s="18" t="str"/>
      <x:c r="L126" s="18" t="str">
        <x:v>In the matter of ISG Hospitality Services Private Limited [CP (IB) No.1188/MB/2025]</x:v>
      </x:c>
      <x:c r="M126" s="18" t="str">
        <x:v>2026-07-10</x:v>
      </x:c>
      <x:c r="N126" s="18" t="str">
        <x:v>ISG Hospitality Services Private Limited</x:v>
      </x:c>
      <x:c r="O126" s="18" t="str">
        <x:v>nclt_1d748k5</x:v>
      </x:c>
      <x:c r="P126" s="18" t="str"/>
      <x:c r="Q126" s="18" t="str"/>
      <x:c r="R126" s="18" t="str"/>
      <x:c r="S126" s="18" t="str"/>
      <x:c r="T126" s="18" t="str"/>
      <x:c r="U126" s="18" t="str">
        <x:v>Admission - Final order</x:v>
      </x:c>
      <x:c r="V126" s="18" t="str">
        <x:v>DEFINED_TERMINAL_OR_FEED_SCOPE</x:v>
      </x:c>
      <x:c r="W126" s="18" t="str">
        <x:v>judiciary_nclt_orders.json — published records loaded</x:v>
      </x:c>
      <x:c r="X126" s="18" t="str"/>
      <x:c r="Y126" s="18" t="str"/>
      <x:c r="Z126" s="20" t="n">
        <x:v>434</x:v>
      </x:c>
      <x:c r="AA126" s="19" t="n">
        <x:f>IFERROR(TODAY()-DATEVALUE(C126),"")</x:f>
        <x:v>62</x:v>
      </x:c>
      <x:c r="AB126" s="21" t="n">
        <x:f>ROUND(COUNTA(A126:K126)/11*100,0)</x:f>
        <x:v>100</x:v>
      </x:c>
      <x:c r="AC126" s="18" t="str">
        <x:v>National Company Law Tribunal</x:v>
      </x:c>
      <x:c r="AD126" s="22" t="str">
        <x:v>https://ibbi.gov.in/uploads/order/cabc032bf0219af057eddddd0cfa6c94.pdf</x:v>
      </x:c>
      <x:c r="AE126" s="18" t="str">
        <x:v>2026-07-10</x:v>
      </x:c>
      <x:c r="AF126" s="18" t="n">
        <x:v>46275.114583333336</x:v>
      </x:c>
      <x:c r="AG126" s="18" t="str">
        <x:v>retained_terminal</x:v>
      </x:c>
      <x:c r="AH126" s="18" t="str">
        <x:v>READY</x:v>
      </x:c>
    </x:row>
    <x:row r="127">
      <x:c r="A127" s="18" t="str">
        <x:v>NYT-47-34d89f402bdbb52f</x:v>
      </x:c>
      <x:c r="B127" s="18" t="str">
        <x:v>In the matter of Shapoorji Pallonji and Company Private Limited [C.P. (IB)/639/MB/2025]</x:v>
      </x:c>
      <x:c r="C127" s="18" t="str">
        <x:v>2026-07-10</x:v>
      </x:c>
      <x:c r="D127" s="18" t="n">
        <x:v>2026</x:v>
      </x:c>
      <x:c r="E127" s="18" t="str">
        <x:v>2026-07</x:v>
      </x:c>
      <x:c r="F127" s="18" t="str"/>
      <x:c r="G127" s="18" t="str"/>
      <x:c r="H127" s="18" t="str"/>
      <x:c r="I127" s="18" t="str">
        <x:v>Shapoorji Pallonji and Company Private Limited</x:v>
      </x:c>
      <x:c r="J127" s="20" t="str"/>
      <x:c r="K127" s="18" t="str"/>
      <x:c r="L127" s="18" t="str">
        <x:v>In the matter of Shapoorji Pallonji and Company Private Limited [C.P. (IB)/639/MB/2025]</x:v>
      </x:c>
      <x:c r="M127" s="18" t="str">
        <x:v>2026-07-10</x:v>
      </x:c>
      <x:c r="N127" s="18" t="str">
        <x:v>Shapoorji Pallonji and Company Private Limited</x:v>
      </x:c>
      <x:c r="O127" s="18" t="str">
        <x:v>nclt_1dgrxu9</x:v>
      </x:c>
      <x:c r="P127" s="18" t="str"/>
      <x:c r="Q127" s="18" t="str"/>
      <x:c r="R127" s="18" t="str"/>
      <x:c r="S127" s="18" t="str"/>
      <x:c r="T127" s="18" t="str"/>
      <x:c r="U127" s="18" t="str">
        <x:v>Rejected</x:v>
      </x:c>
      <x:c r="V127" s="18" t="str">
        <x:v>DEFINED_TERMINAL_OR_FEED_SCOPE</x:v>
      </x:c>
      <x:c r="W127" s="18" t="str">
        <x:v>judiciary_nclt_orders.json — published records loaded</x:v>
      </x:c>
      <x:c r="X127" s="18" t="str"/>
      <x:c r="Y127" s="18" t="str"/>
      <x:c r="Z127" s="20" t="n">
        <x:v>434</x:v>
      </x:c>
      <x:c r="AA127" s="19" t="n">
        <x:f>IFERROR(TODAY()-DATEVALUE(C127),"")</x:f>
        <x:v>62</x:v>
      </x:c>
      <x:c r="AB127" s="21" t="n">
        <x:f>ROUND(COUNTA(A127:K127)/11*100,0)</x:f>
        <x:v>100</x:v>
      </x:c>
      <x:c r="AC127" s="18" t="str">
        <x:v>National Company Law Tribunal</x:v>
      </x:c>
      <x:c r="AD127" s="22" t="str">
        <x:v>https://ibbi.gov.in/uploads/order/bd0559ae5352a84945f4a52c413a7a1b.pdf</x:v>
      </x:c>
      <x:c r="AE127" s="18" t="str">
        <x:v>2026-07-10</x:v>
      </x:c>
      <x:c r="AF127" s="18" t="n">
        <x:v>46275.114583333336</x:v>
      </x:c>
      <x:c r="AG127" s="18" t="str">
        <x:v>retained_terminal</x:v>
      </x:c>
      <x:c r="AH127" s="18" t="str">
        <x:v>READY</x:v>
      </x:c>
    </x:row>
    <x:row r="128">
      <x:c r="A128" s="18" t="str">
        <x:v>NYT-47-29e07475853dc61c</x:v>
      </x:c>
      <x:c r="B128" s="18" t="str">
        <x:v>In the matter of JOHNSON WATCH COMPANY PRIVATE LIMITED [IA(IBC)(LIQ.)/1 (PB)2026 In CP (IB) – 294(PB]</x:v>
      </x:c>
      <x:c r="C128" s="18" t="str">
        <x:v>2026-07-10</x:v>
      </x:c>
      <x:c r="D128" s="18" t="n">
        <x:v>2026</x:v>
      </x:c>
      <x:c r="E128" s="18" t="str">
        <x:v>2026-07</x:v>
      </x:c>
      <x:c r="F128" s="18" t="str"/>
      <x:c r="G128" s="18" t="str"/>
      <x:c r="H128" s="18" t="str"/>
      <x:c r="I128" s="18" t="str">
        <x:v>JOHNSON WATCH COMPANY PRIVATE LIMITED</x:v>
      </x:c>
      <x:c r="J128" s="20" t="str"/>
      <x:c r="K128" s="18" t="str"/>
      <x:c r="L128" s="18" t="str">
        <x:v>In the matter of JOHNSON WATCH COMPANY PRIVATE LIMITED [IA(IBC)(LIQ.)/1 (PB)2026 In CP (IB) – 294(PB]</x:v>
      </x:c>
      <x:c r="M128" s="18" t="str">
        <x:v>2026-07-10</x:v>
      </x:c>
      <x:c r="N128" s="18" t="str">
        <x:v>JOHNSON WATCH COMPANY PRIVATE LIMITED</x:v>
      </x:c>
      <x:c r="O128" s="18" t="str">
        <x:v>nclt_4vscsr</x:v>
      </x:c>
      <x:c r="P128" s="18" t="str"/>
      <x:c r="Q128" s="18" t="str"/>
      <x:c r="R128" s="18" t="str"/>
      <x:c r="S128" s="18" t="str"/>
      <x:c r="T128" s="18" t="str"/>
      <x:c r="U128" s="18" t="str">
        <x:v>Appointment - Appointment of Liquidator</x:v>
      </x:c>
      <x:c r="V128" s="18" t="str">
        <x:v>DEFINED_TERMINAL_OR_FEED_SCOPE</x:v>
      </x:c>
      <x:c r="W128" s="18" t="str">
        <x:v>judiciary_nclt_orders.json — published records loaded</x:v>
      </x:c>
      <x:c r="X128" s="18" t="str"/>
      <x:c r="Y128" s="18" t="str"/>
      <x:c r="Z128" s="20" t="n">
        <x:v>434</x:v>
      </x:c>
      <x:c r="AA128" s="19" t="n">
        <x:f>IFERROR(TODAY()-DATEVALUE(C128),"")</x:f>
        <x:v>62</x:v>
      </x:c>
      <x:c r="AB128" s="21" t="n">
        <x:f>ROUND(COUNTA(A128:K128)/11*100,0)</x:f>
        <x:v>100</x:v>
      </x:c>
      <x:c r="AC128" s="18" t="str">
        <x:v>National Company Law Tribunal</x:v>
      </x:c>
      <x:c r="AD128" s="22" t="str">
        <x:v>https://ibbi.gov.in/uploads/order/3f49c642f020221bf3456840a9aa8a6a.pdf</x:v>
      </x:c>
      <x:c r="AE128" s="18" t="str">
        <x:v>2026-07-10</x:v>
      </x:c>
      <x:c r="AF128" s="18" t="n">
        <x:v>46275.114583333336</x:v>
      </x:c>
      <x:c r="AG128" s="18" t="str">
        <x:v>retained_terminal</x:v>
      </x:c>
      <x:c r="AH128" s="18" t="str">
        <x:v>READY</x:v>
      </x:c>
    </x:row>
    <x:row r="129">
      <x:c r="A129" s="18" t="str">
        <x:v>NYT-47-16cfa495f62a62d2</x:v>
      </x:c>
      <x:c r="B129" s="18" t="str">
        <x:v>In the matter of Chandigarh Overseas Pvt. Ltd. [I.A.(I.B.C)/1221(CH)2025 in CP (IB) No. 248/Chd/Chd/2019]</x:v>
      </x:c>
      <x:c r="C129" s="18" t="str">
        <x:v>2026-07-10</x:v>
      </x:c>
      <x:c r="D129" s="18" t="n">
        <x:v>2026</x:v>
      </x:c>
      <x:c r="E129" s="18" t="str">
        <x:v>2026-07</x:v>
      </x:c>
      <x:c r="F129" s="18" t="str"/>
      <x:c r="G129" s="18" t="str"/>
      <x:c r="H129" s="18" t="str"/>
      <x:c r="I129" s="18" t="str">
        <x:v>Chandigarh Overseas Pvt. Ltd.</x:v>
      </x:c>
      <x:c r="J129" s="20" t="str"/>
      <x:c r="K129" s="18" t="str"/>
      <x:c r="L129" s="18" t="str">
        <x:v>In the matter of Chandigarh Overseas Pvt. Ltd. [I.A.(I.B.C)/1221(CH)2025 in CP (IB) No. 248/Chd/Chd/2019]</x:v>
      </x:c>
      <x:c r="M129" s="18" t="str">
        <x:v>2026-07-10</x:v>
      </x:c>
      <x:c r="N129" s="18" t="str">
        <x:v>Chandigarh Overseas Pvt. Ltd.</x:v>
      </x:c>
      <x:c r="O129" s="18" t="str">
        <x:v>nclt_7yk9am</x:v>
      </x:c>
      <x:c r="P129" s="18" t="str"/>
      <x:c r="Q129" s="18" t="str"/>
      <x:c r="R129" s="18" t="str"/>
      <x:c r="S129" s="18" t="str"/>
      <x:c r="T129" s="18" t="str"/>
      <x:c r="U129" s="18" t="str">
        <x:v>Others</x:v>
      </x:c>
      <x:c r="V129" s="18" t="str">
        <x:v>DEFINED_TERMINAL_OR_FEED_SCOPE</x:v>
      </x:c>
      <x:c r="W129" s="18" t="str">
        <x:v>judiciary_nclt_orders.json — published records loaded</x:v>
      </x:c>
      <x:c r="X129" s="18" t="str"/>
      <x:c r="Y129" s="18" t="str"/>
      <x:c r="Z129" s="20" t="n">
        <x:v>434</x:v>
      </x:c>
      <x:c r="AA129" s="19" t="n">
        <x:f>IFERROR(TODAY()-DATEVALUE(C129),"")</x:f>
        <x:v>62</x:v>
      </x:c>
      <x:c r="AB129" s="21" t="n">
        <x:f>ROUND(COUNTA(A129:K129)/11*100,0)</x:f>
        <x:v>100</x:v>
      </x:c>
      <x:c r="AC129" s="18" t="str">
        <x:v>National Company Law Tribunal</x:v>
      </x:c>
      <x:c r="AD129" s="22" t="str">
        <x:v>https://ibbi.gov.in/uploads/order/c68f6944edaa04565913808124b5be06.pdf</x:v>
      </x:c>
      <x:c r="AE129" s="18" t="str">
        <x:v>2026-07-10</x:v>
      </x:c>
      <x:c r="AF129" s="18" t="n">
        <x:v>46275.114583333336</x:v>
      </x:c>
      <x:c r="AG129" s="18" t="str">
        <x:v>retained_terminal</x:v>
      </x:c>
      <x:c r="AH129" s="18" t="str">
        <x:v>READY</x:v>
      </x:c>
    </x:row>
    <x:row r="130">
      <x:c r="A130" s="18" t="str">
        <x:v>NYT-47-e4606a710aedbc50</x:v>
      </x:c>
      <x:c r="B130" s="18" t="str">
        <x:v>In the matter of Jet Airways (India) Ltd. [IA No. 5729 of 2025 in CP (IB) No. 2205 of 2019]</x:v>
      </x:c>
      <x:c r="C130" s="18" t="str">
        <x:v>2026-07-10</x:v>
      </x:c>
      <x:c r="D130" s="18" t="n">
        <x:v>2026</x:v>
      </x:c>
      <x:c r="E130" s="18" t="str">
        <x:v>2026-07</x:v>
      </x:c>
      <x:c r="F130" s="18" t="str"/>
      <x:c r="G130" s="18" t="str"/>
      <x:c r="H130" s="18" t="str"/>
      <x:c r="I130" s="18" t="str">
        <x:v>Jet Airways (India) Ltd.</x:v>
      </x:c>
      <x:c r="J130" s="20" t="str"/>
      <x:c r="K130" s="18" t="str"/>
      <x:c r="L130" s="18" t="str">
        <x:v>In the matter of Jet Airways (India) Ltd. [IA No. 5729 of 2025 in CP (IB) No. 2205 of 2019]</x:v>
      </x:c>
      <x:c r="M130" s="18" t="str">
        <x:v>2026-07-10</x:v>
      </x:c>
      <x:c r="N130" s="18" t="str">
        <x:v>Jet Airways (India) Ltd.</x:v>
      </x:c>
      <x:c r="O130" s="18" t="str">
        <x:v>nclt_eqlfyg</x:v>
      </x:c>
      <x:c r="P130" s="18" t="str"/>
      <x:c r="Q130" s="18" t="str"/>
      <x:c r="R130" s="18" t="str"/>
      <x:c r="S130" s="18" t="str"/>
      <x:c r="T130" s="18" t="str"/>
      <x:c r="U130" s="18" t="str">
        <x:v>Others</x:v>
      </x:c>
      <x:c r="V130" s="18" t="str">
        <x:v>DEFINED_TERMINAL_OR_FEED_SCOPE</x:v>
      </x:c>
      <x:c r="W130" s="18" t="str">
        <x:v>judiciary_nclt_orders.json — published records loaded</x:v>
      </x:c>
      <x:c r="X130" s="18" t="str"/>
      <x:c r="Y130" s="18" t="str"/>
      <x:c r="Z130" s="20" t="n">
        <x:v>434</x:v>
      </x:c>
      <x:c r="AA130" s="19" t="n">
        <x:f>IFERROR(TODAY()-DATEVALUE(C130),"")</x:f>
        <x:v>62</x:v>
      </x:c>
      <x:c r="AB130" s="21" t="n">
        <x:f>ROUND(COUNTA(A130:K130)/11*100,0)</x:f>
        <x:v>100</x:v>
      </x:c>
      <x:c r="AC130" s="18" t="str">
        <x:v>National Company Law Tribunal</x:v>
      </x:c>
      <x:c r="AD130" s="22" t="str">
        <x:v>https://ibbi.gov.in/uploads/order/f5303d59ab1526373de5dd399230a1fb.pdf</x:v>
      </x:c>
      <x:c r="AE130" s="18" t="str">
        <x:v>2026-07-10</x:v>
      </x:c>
      <x:c r="AF130" s="18" t="n">
        <x:v>46275.114583333336</x:v>
      </x:c>
      <x:c r="AG130" s="18" t="str">
        <x:v>retained_terminal</x:v>
      </x:c>
      <x:c r="AH130" s="18" t="str">
        <x:v>READY</x:v>
      </x:c>
    </x:row>
    <x:row r="131">
      <x:c r="A131" s="18" t="str">
        <x:v>NYT-47-e535e1ebb03c66e3</x:v>
      </x:c>
      <x:c r="B131" s="18" t="str">
        <x:v>In the matter of ISG HOSPITALITY SERVICES PRIVATE LIMITED [C.P. (IB)/1188(MB)2025]</x:v>
      </x:c>
      <x:c r="C131" s="18" t="str">
        <x:v>2026-07-10</x:v>
      </x:c>
      <x:c r="D131" s="18" t="n">
        <x:v>2026</x:v>
      </x:c>
      <x:c r="E131" s="18" t="str">
        <x:v>2026-07</x:v>
      </x:c>
      <x:c r="F131" s="18" t="str"/>
      <x:c r="G131" s="18" t="str"/>
      <x:c r="H131" s="18" t="str"/>
      <x:c r="I131" s="18" t="str">
        <x:v>ISG HOSPITALITY SERVICES PRIVATE LIMITED</x:v>
      </x:c>
      <x:c r="J131" s="20" t="str"/>
      <x:c r="K131" s="18" t="str"/>
      <x:c r="L131" s="18" t="str">
        <x:v>In the matter of ISG HOSPITALITY SERVICES PRIVATE LIMITED [C.P. (IB)/1188(MB)2025]</x:v>
      </x:c>
      <x:c r="M131" s="18" t="str">
        <x:v>2026-07-10</x:v>
      </x:c>
      <x:c r="N131" s="18" t="str">
        <x:v>ISG HOSPITALITY SERVICES PRIVATE LIMITED</x:v>
      </x:c>
      <x:c r="O131" s="18" t="str">
        <x:v>nclt_1q672s2</x:v>
      </x:c>
      <x:c r="P131" s="18" t="str"/>
      <x:c r="Q131" s="18" t="str"/>
      <x:c r="R131" s="18" t="str"/>
      <x:c r="S131" s="18" t="str"/>
      <x:c r="T131" s="18" t="str"/>
      <x:c r="U131" s="18" t="str">
        <x:v>Admission - Final Order</x:v>
      </x:c>
      <x:c r="V131" s="18" t="str">
        <x:v>DEFINED_TERMINAL_OR_FEED_SCOPE</x:v>
      </x:c>
      <x:c r="W131" s="18" t="str">
        <x:v>judiciary_nclt_orders.json — published records loaded</x:v>
      </x:c>
      <x:c r="X131" s="18" t="str"/>
      <x:c r="Y131" s="18" t="str"/>
      <x:c r="Z131" s="20" t="n">
        <x:v>434</x:v>
      </x:c>
      <x:c r="AA131" s="19" t="n">
        <x:f>IFERROR(TODAY()-DATEVALUE(C131),"")</x:f>
        <x:v>62</x:v>
      </x:c>
      <x:c r="AB131" s="21" t="n">
        <x:f>ROUND(COUNTA(A131:K131)/11*100,0)</x:f>
        <x:v>100</x:v>
      </x:c>
      <x:c r="AC131" s="18" t="str">
        <x:v>National Company Law Tribunal</x:v>
      </x:c>
      <x:c r="AD131" s="22" t="str">
        <x:v>https://ibbi.gov.in/uploads/order/2026-07-17-114927-014ty-a48d1b88b786cf906a1adfe7d529dfe4.pdf</x:v>
      </x:c>
      <x:c r="AE131" s="18" t="str">
        <x:v>2026-07-10</x:v>
      </x:c>
      <x:c r="AF131" s="18" t="n">
        <x:v>46275.114583333336</x:v>
      </x:c>
      <x:c r="AG131" s="18" t="str">
        <x:v>retained_terminal</x:v>
      </x:c>
      <x:c r="AH131" s="18" t="str">
        <x:v>READY</x:v>
      </x:c>
    </x:row>
    <x:row r="132">
      <x:c r="A132" s="18" t="str">
        <x:v>NYT-47-5c6362b7a76df7bf</x:v>
      </x:c>
      <x:c r="B132" s="18" t="str">
        <x:v>In the matter of NICIA FOOD AND DRINKS PRIVATE LIMITED [CP(IB)- 139 (ND) 2026]</x:v>
      </x:c>
      <x:c r="C132" s="18" t="str">
        <x:v>2026-07-10</x:v>
      </x:c>
      <x:c r="D132" s="18" t="n">
        <x:v>2026</x:v>
      </x:c>
      <x:c r="E132" s="18" t="str">
        <x:v>2026-07</x:v>
      </x:c>
      <x:c r="F132" s="18" t="str"/>
      <x:c r="G132" s="18" t="str"/>
      <x:c r="H132" s="18" t="str"/>
      <x:c r="I132" s="18" t="str">
        <x:v>NICIA FOOD AND DRINKS PRIVATE LIMITED</x:v>
      </x:c>
      <x:c r="J132" s="20" t="str"/>
      <x:c r="K132" s="18" t="str"/>
      <x:c r="L132" s="18" t="str">
        <x:v>In the matter of NICIA FOOD AND DRINKS PRIVATE LIMITED [CP(IB)- 139 (ND) 2026]</x:v>
      </x:c>
      <x:c r="M132" s="18" t="str">
        <x:v>2026-07-10</x:v>
      </x:c>
      <x:c r="N132" s="18" t="str">
        <x:v>NICIA FOOD AND DRINKS PRIVATE LIMITED</x:v>
      </x:c>
      <x:c r="O132" s="18" t="str">
        <x:v>nclt_ubx9im</x:v>
      </x:c>
      <x:c r="P132" s="18" t="str"/>
      <x:c r="Q132" s="18" t="str"/>
      <x:c r="R132" s="18" t="str"/>
      <x:c r="S132" s="18" t="str"/>
      <x:c r="T132" s="18" t="str"/>
      <x:c r="U132" s="18" t="str">
        <x:v>Admission - Final Order</x:v>
      </x:c>
      <x:c r="V132" s="18" t="str">
        <x:v>DEFINED_TERMINAL_OR_FEED_SCOPE</x:v>
      </x:c>
      <x:c r="W132" s="18" t="str">
        <x:v>judiciary_nclt_orders.json — published records loaded</x:v>
      </x:c>
      <x:c r="X132" s="18" t="str"/>
      <x:c r="Y132" s="18" t="str"/>
      <x:c r="Z132" s="20" t="n">
        <x:v>434</x:v>
      </x:c>
      <x:c r="AA132" s="19" t="n">
        <x:f>IFERROR(TODAY()-DATEVALUE(C132),"")</x:f>
        <x:v>62</x:v>
      </x:c>
      <x:c r="AB132" s="21" t="n">
        <x:f>ROUND(COUNTA(A132:K132)/11*100,0)</x:f>
        <x:v>100</x:v>
      </x:c>
      <x:c r="AC132" s="18" t="str">
        <x:v>National Company Law Tribunal</x:v>
      </x:c>
      <x:c r="AD132" s="22" t="str">
        <x:v>https://ibbi.gov.in/uploads/order/2026-07-13-131352-25l8v-bb9268af85fcd91d491a06c5aa8d88ff.pdf</x:v>
      </x:c>
      <x:c r="AE132" s="18" t="str">
        <x:v>2026-07-10</x:v>
      </x:c>
      <x:c r="AF132" s="18" t="n">
        <x:v>46275.114583333336</x:v>
      </x:c>
      <x:c r="AG132" s="18" t="str">
        <x:v>retained_terminal</x:v>
      </x:c>
      <x:c r="AH132" s="18" t="str">
        <x:v>READY</x:v>
      </x:c>
    </x:row>
    <x:row r="133">
      <x:c r="A133" s="18" t="str">
        <x:v>NYT-47-5eff5f432b480856</x:v>
      </x:c>
      <x:c r="B133" s="18" t="str">
        <x:v>Approval of Resolution Plan - Mkmg Jewel Developers Private Limited [I.A. (Plan) 29 (ND) of 2024 in C.P. IB 2503 (ND) of 2019]</x:v>
      </x:c>
      <x:c r="C133" s="18" t="str">
        <x:v>2026-07-10</x:v>
      </x:c>
      <x:c r="D133" s="18" t="n">
        <x:v>2026</x:v>
      </x:c>
      <x:c r="E133" s="18" t="str">
        <x:v>2026-07</x:v>
      </x:c>
      <x:c r="F133" s="18" t="str"/>
      <x:c r="G133" s="18" t="str"/>
      <x:c r="H133" s="18" t="str"/>
      <x:c r="I133" s="18" t="str"/>
      <x:c r="J133" s="20" t="str"/>
      <x:c r="K133" s="18" t="str"/>
      <x:c r="L133" s="18" t="str">
        <x:v>Approval of Resolution Plan - Mkmg Jewel Developers Private Limited [I.A. (Plan) 29 (ND) of 2024 in C.P. IB 2503 (ND) of 2019]</x:v>
      </x:c>
      <x:c r="M133" s="18" t="str">
        <x:v>2026-07-10</x:v>
      </x:c>
      <x:c r="N133" s="18" t="str"/>
      <x:c r="O133" s="18" t="str">
        <x:v>nclt_1vwapde</x:v>
      </x:c>
      <x:c r="P133" s="18" t="str"/>
      <x:c r="Q133" s="18" t="str"/>
      <x:c r="R133" s="18" t="str"/>
      <x:c r="S133" s="18" t="str"/>
      <x:c r="T133" s="18" t="str"/>
      <x:c r="U133" s="18" t="str">
        <x:v>Approval of Resolution Plan</x:v>
      </x:c>
      <x:c r="V133" s="18" t="str">
        <x:v>DEFINED_TERMINAL_OR_FEED_SCOPE</x:v>
      </x:c>
      <x:c r="W133" s="18" t="str">
        <x:v>judiciary_nclt_orders.json — published records loaded</x:v>
      </x:c>
      <x:c r="X133" s="18" t="str"/>
      <x:c r="Y133" s="18" t="str"/>
      <x:c r="Z133" s="20" t="n">
        <x:v>434</x:v>
      </x:c>
      <x:c r="AA133" s="19" t="n">
        <x:f>IFERROR(TODAY()-DATEVALUE(C133),"")</x:f>
        <x:v>62</x:v>
      </x:c>
      <x:c r="AB133" s="21" t="n">
        <x:f>ROUND(COUNTA(A133:K133)/11*100,0)</x:f>
        <x:v>100</x:v>
      </x:c>
      <x:c r="AC133" s="18" t="str">
        <x:v>National Company Law Tribunal</x:v>
      </x:c>
      <x:c r="AD133" s="22" t="str">
        <x:v>https://ibbi.gov.in/uploads/order/e77f60de3cb9781679fa3555970668b5.pdf</x:v>
      </x:c>
      <x:c r="AE133" s="18" t="str">
        <x:v>2026-07-10</x:v>
      </x:c>
      <x:c r="AF133" s="18" t="n">
        <x:v>46275.114583333336</x:v>
      </x:c>
      <x:c r="AG133" s="18" t="str">
        <x:v>retained_terminal</x:v>
      </x:c>
      <x:c r="AH133" s="18" t="str">
        <x:v>READY</x:v>
      </x:c>
    </x:row>
    <x:row r="134">
      <x:c r="A134" s="18" t="str">
        <x:v>NYT-47-4309cecefa8f6535</x:v>
      </x:c>
      <x:c r="B134" s="18" t="str">
        <x:v>In the matter of AG CONVEYING SYSTEMS PRIVATE LIMITED [IA(IBC)(Liq.)/40/MB/2025]</x:v>
      </x:c>
      <x:c r="C134" s="18" t="str">
        <x:v>2026-07-10</x:v>
      </x:c>
      <x:c r="D134" s="18" t="n">
        <x:v>2026</x:v>
      </x:c>
      <x:c r="E134" s="18" t="str">
        <x:v>2026-07</x:v>
      </x:c>
      <x:c r="F134" s="18" t="str"/>
      <x:c r="G134" s="18" t="str"/>
      <x:c r="H134" s="18" t="str"/>
      <x:c r="I134" s="18" t="str">
        <x:v>AG CONVEYING SYSTEMS PRIVATE LIMITED</x:v>
      </x:c>
      <x:c r="J134" s="20" t="str"/>
      <x:c r="K134" s="18" t="str"/>
      <x:c r="L134" s="18" t="str">
        <x:v>In the matter of AG CONVEYING SYSTEMS PRIVATE LIMITED [IA(IBC)(Liq.)/40/MB/2025]</x:v>
      </x:c>
      <x:c r="M134" s="18" t="str">
        <x:v>2026-07-10</x:v>
      </x:c>
      <x:c r="N134" s="18" t="str">
        <x:v>AG CONVEYING SYSTEMS PRIVATE LIMITED</x:v>
      </x:c>
      <x:c r="O134" s="18" t="str">
        <x:v>nclt_1ki6b8l</x:v>
      </x:c>
      <x:c r="P134" s="18" t="str"/>
      <x:c r="Q134" s="18" t="str"/>
      <x:c r="R134" s="18" t="str"/>
      <x:c r="S134" s="18" t="str"/>
      <x:c r="T134" s="18" t="str"/>
      <x:c r="U134" s="18" t="str">
        <x:v>Appointment - Appointment of Liquidator</x:v>
      </x:c>
      <x:c r="V134" s="18" t="str">
        <x:v>DEFINED_TERMINAL_OR_FEED_SCOPE</x:v>
      </x:c>
      <x:c r="W134" s="18" t="str">
        <x:v>judiciary_nclt_orders.json — published records loaded</x:v>
      </x:c>
      <x:c r="X134" s="18" t="str"/>
      <x:c r="Y134" s="18" t="str"/>
      <x:c r="Z134" s="20" t="n">
        <x:v>434</x:v>
      </x:c>
      <x:c r="AA134" s="19" t="n">
        <x:f>IFERROR(TODAY()-DATEVALUE(C134),"")</x:f>
        <x:v>62</x:v>
      </x:c>
      <x:c r="AB134" s="21" t="n">
        <x:f>ROUND(COUNTA(A134:K134)/11*100,0)</x:f>
        <x:v>100</x:v>
      </x:c>
      <x:c r="AC134" s="18" t="str">
        <x:v>National Company Law Tribunal</x:v>
      </x:c>
      <x:c r="AD134" s="22" t="str">
        <x:v>https://ibbi.gov.in/uploads/order/2026-07-29-145908-wukms-60e7d8a50e086d714471c5af53375374.pdf</x:v>
      </x:c>
      <x:c r="AE134" s="18" t="str">
        <x:v>2026-07-10</x:v>
      </x:c>
      <x:c r="AF134" s="18" t="n">
        <x:v>46275.114583333336</x:v>
      </x:c>
      <x:c r="AG134" s="18" t="str">
        <x:v>retained_terminal</x:v>
      </x:c>
      <x:c r="AH134" s="18" t="str">
        <x:v>READY</x:v>
      </x:c>
    </x:row>
    <x:row r="135">
      <x:c r="A135" s="18" t="str">
        <x:v>NYT-47-895366c5f3ee55cf</x:v>
      </x:c>
      <x:c r="B135" s="18" t="str">
        <x:v>In the matter of AKS Electricals and Electronics Pvt. Ltd. [C.P. (IB) 638/ND/2022]</x:v>
      </x:c>
      <x:c r="C135" s="18" t="str">
        <x:v>2026-07-10</x:v>
      </x:c>
      <x:c r="D135" s="18" t="n">
        <x:v>2026</x:v>
      </x:c>
      <x:c r="E135" s="18" t="str">
        <x:v>2026-07</x:v>
      </x:c>
      <x:c r="F135" s="18" t="str"/>
      <x:c r="G135" s="18" t="str"/>
      <x:c r="H135" s="18" t="str"/>
      <x:c r="I135" s="18" t="str">
        <x:v>AKS Electricals and Electronics Pvt. Ltd.</x:v>
      </x:c>
      <x:c r="J135" s="20" t="str"/>
      <x:c r="K135" s="18" t="str"/>
      <x:c r="L135" s="18" t="str">
        <x:v>In the matter of AKS Electricals and Electronics Pvt. Ltd. [C.P. (IB) 638/ND/2022]</x:v>
      </x:c>
      <x:c r="M135" s="18" t="str">
        <x:v>2026-07-10</x:v>
      </x:c>
      <x:c r="N135" s="18" t="str">
        <x:v>AKS Electricals and Electronics Pvt. Ltd.</x:v>
      </x:c>
      <x:c r="O135" s="18" t="str">
        <x:v>nclt_fel4me</x:v>
      </x:c>
      <x:c r="P135" s="18" t="str"/>
      <x:c r="Q135" s="18" t="str"/>
      <x:c r="R135" s="18" t="str"/>
      <x:c r="S135" s="18" t="str"/>
      <x:c r="T135" s="18" t="str"/>
      <x:c r="U135" s="18" t="str">
        <x:v>Dismissed</x:v>
      </x:c>
      <x:c r="V135" s="18" t="str">
        <x:v>DEFINED_TERMINAL_OR_FEED_SCOPE</x:v>
      </x:c>
      <x:c r="W135" s="18" t="str">
        <x:v>judiciary_nclt_orders.json — published records loaded</x:v>
      </x:c>
      <x:c r="X135" s="18" t="str"/>
      <x:c r="Y135" s="18" t="str"/>
      <x:c r="Z135" s="20" t="n">
        <x:v>434</x:v>
      </x:c>
      <x:c r="AA135" s="19" t="n">
        <x:f>IFERROR(TODAY()-DATEVALUE(C135),"")</x:f>
        <x:v>62</x:v>
      </x:c>
      <x:c r="AB135" s="21" t="n">
        <x:f>ROUND(COUNTA(A135:K135)/11*100,0)</x:f>
        <x:v>100</x:v>
      </x:c>
      <x:c r="AC135" s="18" t="str">
        <x:v>National Company Law Tribunal</x:v>
      </x:c>
      <x:c r="AD135" s="22" t="str">
        <x:v>https://ibbi.gov.in/uploads/order/d6d865a8f0eaaed5d5bf51f393e24c9c.pdf</x:v>
      </x:c>
      <x:c r="AE135" s="18" t="str">
        <x:v>2026-07-10</x:v>
      </x:c>
      <x:c r="AF135" s="18" t="n">
        <x:v>46275.114583333336</x:v>
      </x:c>
      <x:c r="AG135" s="18" t="str">
        <x:v>retained_terminal</x:v>
      </x:c>
      <x:c r="AH135" s="18" t="str">
        <x:v>READY</x:v>
      </x:c>
    </x:row>
    <x:row r="136">
      <x:c r="A136" s="18" t="str">
        <x:v>NYT-47-f8c4fe7606fa108f</x:v>
      </x:c>
      <x:c r="B136" s="18" t="str">
        <x:v>In the matter of WORLDS WINDOW IMPEX INDIA PRIVATE LIMITED [CP IB NO. 376/ND/2020]</x:v>
      </x:c>
      <x:c r="C136" s="18" t="str">
        <x:v>2026-07-10</x:v>
      </x:c>
      <x:c r="D136" s="18" t="n">
        <x:v>2026</x:v>
      </x:c>
      <x:c r="E136" s="18" t="str">
        <x:v>2026-07</x:v>
      </x:c>
      <x:c r="F136" s="18" t="str"/>
      <x:c r="G136" s="18" t="str"/>
      <x:c r="H136" s="18" t="str"/>
      <x:c r="I136" s="18" t="str">
        <x:v>WORLDS WINDOW IMPEX INDIA PRIVATE LIMITED</x:v>
      </x:c>
      <x:c r="J136" s="20" t="str"/>
      <x:c r="K136" s="18" t="str"/>
      <x:c r="L136" s="18" t="str">
        <x:v>In the matter of WORLDS WINDOW IMPEX INDIA PRIVATE LIMITED [CP IB NO. 376/ND/2020]</x:v>
      </x:c>
      <x:c r="M136" s="18" t="str">
        <x:v>2026-07-10</x:v>
      </x:c>
      <x:c r="N136" s="18" t="str">
        <x:v>WORLDS WINDOW IMPEX INDIA PRIVATE LIMITED</x:v>
      </x:c>
      <x:c r="O136" s="18" t="str">
        <x:v>nclt_tjj92n</x:v>
      </x:c>
      <x:c r="P136" s="18" t="str"/>
      <x:c r="Q136" s="18" t="str"/>
      <x:c r="R136" s="18" t="str"/>
      <x:c r="S136" s="18" t="str"/>
      <x:c r="T136" s="18" t="str"/>
      <x:c r="U136" s="18" t="str">
        <x:v>Appointment - Appointment of Liquidator</x:v>
      </x:c>
      <x:c r="V136" s="18" t="str">
        <x:v>DEFINED_TERMINAL_OR_FEED_SCOPE</x:v>
      </x:c>
      <x:c r="W136" s="18" t="str">
        <x:v>judiciary_nclt_orders.json — published records loaded</x:v>
      </x:c>
      <x:c r="X136" s="18" t="str"/>
      <x:c r="Y136" s="18" t="str"/>
      <x:c r="Z136" s="20" t="n">
        <x:v>434</x:v>
      </x:c>
      <x:c r="AA136" s="19" t="n">
        <x:f>IFERROR(TODAY()-DATEVALUE(C136),"")</x:f>
        <x:v>62</x:v>
      </x:c>
      <x:c r="AB136" s="21" t="n">
        <x:f>ROUND(COUNTA(A136:K136)/11*100,0)</x:f>
        <x:v>100</x:v>
      </x:c>
      <x:c r="AC136" s="18" t="str">
        <x:v>National Company Law Tribunal</x:v>
      </x:c>
      <x:c r="AD136" s="22" t="str">
        <x:v>https://ibbi.gov.in/uploads/order/2026-07-14-154905-k2p47-8cabbb2247d0fb26136570ef641d2aa8.pdf</x:v>
      </x:c>
      <x:c r="AE136" s="18" t="str">
        <x:v>2026-07-10</x:v>
      </x:c>
      <x:c r="AF136" s="18" t="n">
        <x:v>46275.114583333336</x:v>
      </x:c>
      <x:c r="AG136" s="18" t="str">
        <x:v>retained_terminal</x:v>
      </x:c>
      <x:c r="AH136" s="18" t="str">
        <x:v>READY</x:v>
      </x:c>
    </x:row>
    <x:row r="137">
      <x:c r="A137" s="18" t="str">
        <x:v>NYT-47-ff07c1ed7da76c86</x:v>
      </x:c>
      <x:c r="B137" s="18" t="str">
        <x:v>In the matter of SHREE RADHA KRISHNA VINIMAY PRIVATE LIMITED [274/KB/2025]</x:v>
      </x:c>
      <x:c r="C137" s="18" t="str">
        <x:v>2026-07-09</x:v>
      </x:c>
      <x:c r="D137" s="18" t="n">
        <x:v>2026</x:v>
      </x:c>
      <x:c r="E137" s="18" t="str">
        <x:v>2026-07</x:v>
      </x:c>
      <x:c r="F137" s="18" t="str"/>
      <x:c r="G137" s="18" t="str"/>
      <x:c r="H137" s="18" t="str"/>
      <x:c r="I137" s="18" t="str">
        <x:v>SHREE RADHA KRISHNA VINIMAY PRIVATE LIMITED</x:v>
      </x:c>
      <x:c r="J137" s="20" t="str"/>
      <x:c r="K137" s="18" t="str"/>
      <x:c r="L137" s="18" t="str">
        <x:v>In the matter of SHREE RADHA KRISHNA VINIMAY PRIVATE LIMITED [274/KB/2025]</x:v>
      </x:c>
      <x:c r="M137" s="18" t="str">
        <x:v>2026-07-09</x:v>
      </x:c>
      <x:c r="N137" s="18" t="str">
        <x:v>SHREE RADHA KRISHNA VINIMAY PRIVATE LIMITED</x:v>
      </x:c>
      <x:c r="O137" s="18" t="str">
        <x:v>nclt_1kf8238</x:v>
      </x:c>
      <x:c r="P137" s="18" t="str"/>
      <x:c r="Q137" s="18" t="str"/>
      <x:c r="R137" s="18" t="str"/>
      <x:c r="S137" s="18" t="str"/>
      <x:c r="T137" s="18" t="str"/>
      <x:c r="U137" s="18" t="str">
        <x:v>Admission - Final Order</x:v>
      </x:c>
      <x:c r="V137" s="18" t="str">
        <x:v>DEFINED_TERMINAL_OR_FEED_SCOPE</x:v>
      </x:c>
      <x:c r="W137" s="18" t="str">
        <x:v>judiciary_nclt_orders.json — published records loaded</x:v>
      </x:c>
      <x:c r="X137" s="18" t="str"/>
      <x:c r="Y137" s="18" t="str"/>
      <x:c r="Z137" s="20" t="n">
        <x:v>434</x:v>
      </x:c>
      <x:c r="AA137" s="19" t="n">
        <x:f>IFERROR(TODAY()-DATEVALUE(C137),"")</x:f>
        <x:v>63</x:v>
      </x:c>
      <x:c r="AB137" s="21" t="n">
        <x:f>ROUND(COUNTA(A137:K137)/11*100,0)</x:f>
        <x:v>100</x:v>
      </x:c>
      <x:c r="AC137" s="18" t="str">
        <x:v>National Company Law Tribunal</x:v>
      </x:c>
      <x:c r="AD137" s="22" t="str">
        <x:v>https://ibbi.gov.in/uploads/order/49d814671cb99cd4aeb10ab3bc154c71.pdf</x:v>
      </x:c>
      <x:c r="AE137" s="18" t="str">
        <x:v>2026-07-09</x:v>
      </x:c>
      <x:c r="AF137" s="18" t="n">
        <x:v>46275.114583333336</x:v>
      </x:c>
      <x:c r="AG137" s="18" t="str">
        <x:v>retained_terminal</x:v>
      </x:c>
      <x:c r="AH137" s="18" t="str">
        <x:v>READY</x:v>
      </x:c>
    </x:row>
    <x:row r="138">
      <x:c r="A138" s="18" t="str">
        <x:v>NYT-47-8f697c204805b060</x:v>
      </x:c>
      <x:c r="B138" s="18" t="str">
        <x:v>In the matter of VR2 LAND DEVELOPMENT PRIVATE LIMITED [I.A. (IBC)(Liq.) No. 72/MB/2025]</x:v>
      </x:c>
      <x:c r="C138" s="18" t="str">
        <x:v>2026-07-09</x:v>
      </x:c>
      <x:c r="D138" s="18" t="n">
        <x:v>2026</x:v>
      </x:c>
      <x:c r="E138" s="18" t="str">
        <x:v>2026-07</x:v>
      </x:c>
      <x:c r="F138" s="18" t="str"/>
      <x:c r="G138" s="18" t="str"/>
      <x:c r="H138" s="18" t="str"/>
      <x:c r="I138" s="18" t="str">
        <x:v>VR2 LAND DEVELOPMENT PRIVATE LIMITED</x:v>
      </x:c>
      <x:c r="J138" s="20" t="str"/>
      <x:c r="K138" s="18" t="str"/>
      <x:c r="L138" s="18" t="str">
        <x:v>In the matter of VR2 LAND DEVELOPMENT PRIVATE LIMITED [I.A. (IBC)(Liq.) No. 72/MB/2025]</x:v>
      </x:c>
      <x:c r="M138" s="18" t="str">
        <x:v>2026-07-09</x:v>
      </x:c>
      <x:c r="N138" s="18" t="str">
        <x:v>VR2 LAND DEVELOPMENT PRIVATE LIMITED</x:v>
      </x:c>
      <x:c r="O138" s="18" t="str">
        <x:v>nclt_o44ta2</x:v>
      </x:c>
      <x:c r="P138" s="18" t="str"/>
      <x:c r="Q138" s="18" t="str"/>
      <x:c r="R138" s="18" t="str"/>
      <x:c r="S138" s="18" t="str"/>
      <x:c r="T138" s="18" t="str"/>
      <x:c r="U138" s="18" t="str">
        <x:v>Appointment - Appointment of Liquidator</x:v>
      </x:c>
      <x:c r="V138" s="18" t="str">
        <x:v>DEFINED_TERMINAL_OR_FEED_SCOPE</x:v>
      </x:c>
      <x:c r="W138" s="18" t="str">
        <x:v>judiciary_nclt_orders.json — published records loaded</x:v>
      </x:c>
      <x:c r="X138" s="18" t="str"/>
      <x:c r="Y138" s="18" t="str"/>
      <x:c r="Z138" s="20" t="n">
        <x:v>434</x:v>
      </x:c>
      <x:c r="AA138" s="19" t="n">
        <x:f>IFERROR(TODAY()-DATEVALUE(C138),"")</x:f>
        <x:v>63</x:v>
      </x:c>
      <x:c r="AB138" s="21" t="n">
        <x:f>ROUND(COUNTA(A138:K138)/11*100,0)</x:f>
        <x:v>100</x:v>
      </x:c>
      <x:c r="AC138" s="18" t="str">
        <x:v>National Company Law Tribunal</x:v>
      </x:c>
      <x:c r="AD138" s="22" t="str">
        <x:v>https://ibbi.gov.in/uploads/order/2026-07-10-193704-8q3za-96ce66d8223e3ba0b0c16fc54047d843.pdf</x:v>
      </x:c>
      <x:c r="AE138" s="18" t="str">
        <x:v>2026-07-09</x:v>
      </x:c>
      <x:c r="AF138" s="18" t="n">
        <x:v>46275.114583333336</x:v>
      </x:c>
      <x:c r="AG138" s="18" t="str">
        <x:v>retained_terminal</x:v>
      </x:c>
      <x:c r="AH138" s="18" t="str">
        <x:v>READY</x:v>
      </x:c>
    </x:row>
    <x:row r="139">
      <x:c r="A139" s="18" t="str">
        <x:v>NYT-47-f240e5aec1963f7c</x:v>
      </x:c>
      <x:c r="B139" s="18" t="str">
        <x:v>In the matter of REGAL ENTERPRISES LTD [CP(IB)-181(PB)/2026]</x:v>
      </x:c>
      <x:c r="C139" s="18" t="str">
        <x:v>2026-07-09</x:v>
      </x:c>
      <x:c r="D139" s="18" t="n">
        <x:v>2026</x:v>
      </x:c>
      <x:c r="E139" s="18" t="str">
        <x:v>2026-07</x:v>
      </x:c>
      <x:c r="F139" s="18" t="str"/>
      <x:c r="G139" s="18" t="str"/>
      <x:c r="H139" s="18" t="str"/>
      <x:c r="I139" s="18" t="str">
        <x:v>REGAL ENTERPRISES LTD</x:v>
      </x:c>
      <x:c r="J139" s="20" t="str"/>
      <x:c r="K139" s="18" t="str"/>
      <x:c r="L139" s="18" t="str">
        <x:v>In the matter of REGAL ENTERPRISES LTD [CP(IB)-181(PB)/2026]</x:v>
      </x:c>
      <x:c r="M139" s="18" t="str">
        <x:v>2026-07-09</x:v>
      </x:c>
      <x:c r="N139" s="18" t="str">
        <x:v>REGAL ENTERPRISES LTD</x:v>
      </x:c>
      <x:c r="O139" s="18" t="str">
        <x:v>nclt_eaxd77</x:v>
      </x:c>
      <x:c r="P139" s="18" t="str"/>
      <x:c r="Q139" s="18" t="str"/>
      <x:c r="R139" s="18" t="str"/>
      <x:c r="S139" s="18" t="str"/>
      <x:c r="T139" s="18" t="str"/>
      <x:c r="U139" s="18" t="str">
        <x:v>Admission - Final Order</x:v>
      </x:c>
      <x:c r="V139" s="18" t="str">
        <x:v>DEFINED_TERMINAL_OR_FEED_SCOPE</x:v>
      </x:c>
      <x:c r="W139" s="18" t="str">
        <x:v>judiciary_nclt_orders.json — published records loaded</x:v>
      </x:c>
      <x:c r="X139" s="18" t="str"/>
      <x:c r="Y139" s="18" t="str"/>
      <x:c r="Z139" s="20" t="n">
        <x:v>434</x:v>
      </x:c>
      <x:c r="AA139" s="19" t="n">
        <x:f>IFERROR(TODAY()-DATEVALUE(C139),"")</x:f>
        <x:v>63</x:v>
      </x:c>
      <x:c r="AB139" s="21" t="n">
        <x:f>ROUND(COUNTA(A139:K139)/11*100,0)</x:f>
        <x:v>100</x:v>
      </x:c>
      <x:c r="AC139" s="18" t="str">
        <x:v>National Company Law Tribunal</x:v>
      </x:c>
      <x:c r="AD139" s="22" t="str">
        <x:v>https://ibbi.gov.in/uploads/order/3f3a149c77ec857d8490de0bfa79913d.pdf</x:v>
      </x:c>
      <x:c r="AE139" s="18" t="str">
        <x:v>2026-07-09</x:v>
      </x:c>
      <x:c r="AF139" s="18" t="n">
        <x:v>46275.114583333336</x:v>
      </x:c>
      <x:c r="AG139" s="18" t="str">
        <x:v>retained_terminal</x:v>
      </x:c>
      <x:c r="AH139" s="18" t="str">
        <x:v>READY</x:v>
      </x:c>
    </x:row>
    <x:row r="140">
      <x:c r="A140" s="18" t="str">
        <x:v>NYT-47-25b79df65f8c7817</x:v>
      </x:c>
      <x:c r="B140" s="18" t="str">
        <x:v>In the matter of INFLUX AGROTECH PRIVATE LIMITED [616/2026]</x:v>
      </x:c>
      <x:c r="C140" s="18" t="str">
        <x:v>2026-07-09</x:v>
      </x:c>
      <x:c r="D140" s="18" t="n">
        <x:v>2026</x:v>
      </x:c>
      <x:c r="E140" s="18" t="str">
        <x:v>2026-07</x:v>
      </x:c>
      <x:c r="F140" s="18" t="str"/>
      <x:c r="G140" s="18" t="str"/>
      <x:c r="H140" s="18" t="str"/>
      <x:c r="I140" s="18" t="str">
        <x:v>INFLUX AGROTECH PRIVATE LIMITED</x:v>
      </x:c>
      <x:c r="J140" s="20" t="str"/>
      <x:c r="K140" s="18" t="str"/>
      <x:c r="L140" s="18" t="str">
        <x:v>In the matter of INFLUX AGROTECH PRIVATE LIMITED [616/2026]</x:v>
      </x:c>
      <x:c r="M140" s="18" t="str">
        <x:v>2026-07-09</x:v>
      </x:c>
      <x:c r="N140" s="18" t="str">
        <x:v>INFLUX AGROTECH PRIVATE LIMITED</x:v>
      </x:c>
      <x:c r="O140" s="18" t="str">
        <x:v>nclt_t6gf1q</x:v>
      </x:c>
      <x:c r="P140" s="18" t="str"/>
      <x:c r="Q140" s="18" t="str"/>
      <x:c r="R140" s="18" t="str"/>
      <x:c r="S140" s="18" t="str"/>
      <x:c r="T140" s="18" t="str"/>
      <x:c r="U140" s="18" t="str">
        <x:v>Admission - Final Order</x:v>
      </x:c>
      <x:c r="V140" s="18" t="str">
        <x:v>DEFINED_TERMINAL_OR_FEED_SCOPE</x:v>
      </x:c>
      <x:c r="W140" s="18" t="str">
        <x:v>judiciary_nclt_orders.json — published records loaded</x:v>
      </x:c>
      <x:c r="X140" s="18" t="str"/>
      <x:c r="Y140" s="18" t="str"/>
      <x:c r="Z140" s="20" t="n">
        <x:v>434</x:v>
      </x:c>
      <x:c r="AA140" s="19" t="n">
        <x:f>IFERROR(TODAY()-DATEVALUE(C140),"")</x:f>
        <x:v>63</x:v>
      </x:c>
      <x:c r="AB140" s="21" t="n">
        <x:f>ROUND(COUNTA(A140:K140)/11*100,0)</x:f>
        <x:v>100</x:v>
      </x:c>
      <x:c r="AC140" s="18" t="str">
        <x:v>National Company Law Tribunal</x:v>
      </x:c>
      <x:c r="AD140" s="22" t="str">
        <x:v>https://ibbi.gov.in/uploads/order/25a9aaf4d8b1ddc1359ff9c4da66592a.pdf</x:v>
      </x:c>
      <x:c r="AE140" s="18" t="str">
        <x:v>2026-07-09</x:v>
      </x:c>
      <x:c r="AF140" s="18" t="n">
        <x:v>46275.114583333336</x:v>
      </x:c>
      <x:c r="AG140" s="18" t="str">
        <x:v>retained_terminal</x:v>
      </x:c>
      <x:c r="AH140" s="18" t="str">
        <x:v>READY</x:v>
      </x:c>
    </x:row>
    <x:row r="141">
      <x:c r="A141" s="18" t="str">
        <x:v>NYT-47-cc617d575d3b97a8</x:v>
      </x:c>
      <x:c r="B141" s="18" t="str">
        <x:v>In the matter of SPACEVISION IMPEX PRIVATE LIMITED [IA/2476/ND/2026 in IB/697/ND/2018]</x:v>
      </x:c>
      <x:c r="C141" s="18" t="str">
        <x:v>2026-07-09</x:v>
      </x:c>
      <x:c r="D141" s="18" t="n">
        <x:v>2026</x:v>
      </x:c>
      <x:c r="E141" s="18" t="str">
        <x:v>2026-07</x:v>
      </x:c>
      <x:c r="F141" s="18" t="str"/>
      <x:c r="G141" s="18" t="str"/>
      <x:c r="H141" s="18" t="str"/>
      <x:c r="I141" s="18" t="str">
        <x:v>SPACEVISION IMPEX PRIVATE LIMITED</x:v>
      </x:c>
      <x:c r="J141" s="20" t="str"/>
      <x:c r="K141" s="18" t="str"/>
      <x:c r="L141" s="18" t="str">
        <x:v>In the matter of SPACEVISION IMPEX PRIVATE LIMITED [IA/2476/ND/2026 in IB/697/ND/2018]</x:v>
      </x:c>
      <x:c r="M141" s="18" t="str">
        <x:v>2026-07-09</x:v>
      </x:c>
      <x:c r="N141" s="18" t="str">
        <x:v>SPACEVISION IMPEX PRIVATE LIMITED</x:v>
      </x:c>
      <x:c r="O141" s="18" t="str">
        <x:v>nclt_16vwev9</x:v>
      </x:c>
      <x:c r="P141" s="18" t="str"/>
      <x:c r="Q141" s="18" t="str"/>
      <x:c r="R141" s="18" t="str"/>
      <x:c r="S141" s="18" t="str"/>
      <x:c r="T141" s="18" t="str"/>
      <x:c r="U141" s="18" t="str">
        <x:v>Admission - Final Order</x:v>
      </x:c>
      <x:c r="V141" s="18" t="str">
        <x:v>DEFINED_TERMINAL_OR_FEED_SCOPE</x:v>
      </x:c>
      <x:c r="W141" s="18" t="str">
        <x:v>judiciary_nclt_orders.json — published records loaded</x:v>
      </x:c>
      <x:c r="X141" s="18" t="str"/>
      <x:c r="Y141" s="18" t="str"/>
      <x:c r="Z141" s="20" t="n">
        <x:v>434</x:v>
      </x:c>
      <x:c r="AA141" s="19" t="n">
        <x:f>IFERROR(TODAY()-DATEVALUE(C141),"")</x:f>
        <x:v>63</x:v>
      </x:c>
      <x:c r="AB141" s="21" t="n">
        <x:f>ROUND(COUNTA(A141:K141)/11*100,0)</x:f>
        <x:v>100</x:v>
      </x:c>
      <x:c r="AC141" s="18" t="str">
        <x:v>National Company Law Tribunal</x:v>
      </x:c>
      <x:c r="AD141" s="22" t="str">
        <x:v>https://ibbi.gov.in/uploads/order/2026-08-06-180550-o0ktj-6575d9a58f0b41a108f2d6a565a0650d.pdf</x:v>
      </x:c>
      <x:c r="AE141" s="18" t="str">
        <x:v>2026-07-09</x:v>
      </x:c>
      <x:c r="AF141" s="18" t="n">
        <x:v>46275.114583333336</x:v>
      </x:c>
      <x:c r="AG141" s="18" t="str">
        <x:v>retained_terminal</x:v>
      </x:c>
      <x:c r="AH141" s="18" t="str">
        <x:v>READY</x:v>
      </x:c>
    </x:row>
    <x:row r="142">
      <x:c r="A142" s="18" t="str">
        <x:v>NYT-47-80f988c04df6dded</x:v>
      </x:c>
      <x:c r="B142" s="18" t="str">
        <x:v>In the matter of FUTURE LIFESTYLE FASHIONS LIMITED [C.P.(IB)/959(MB)2022]</x:v>
      </x:c>
      <x:c r="C142" s="18" t="str">
        <x:v>2026-07-09</x:v>
      </x:c>
      <x:c r="D142" s="18" t="n">
        <x:v>2026</x:v>
      </x:c>
      <x:c r="E142" s="18" t="str">
        <x:v>2026-07</x:v>
      </x:c>
      <x:c r="F142" s="18" t="str"/>
      <x:c r="G142" s="18" t="str"/>
      <x:c r="H142" s="18" t="str"/>
      <x:c r="I142" s="18" t="str">
        <x:v>FUTURE LIFESTYLE FASHIONS LIMITED</x:v>
      </x:c>
      <x:c r="J142" s="20" t="str"/>
      <x:c r="K142" s="18" t="str"/>
      <x:c r="L142" s="18" t="str">
        <x:v>In the matter of FUTURE LIFESTYLE FASHIONS LIMITED [C.P.(IB)/959(MB)2022]</x:v>
      </x:c>
      <x:c r="M142" s="18" t="str">
        <x:v>2026-07-09</x:v>
      </x:c>
      <x:c r="N142" s="18" t="str">
        <x:v>FUTURE LIFESTYLE FASHIONS LIMITED</x:v>
      </x:c>
      <x:c r="O142" s="18" t="str">
        <x:v>nclt_1s45s3k</x:v>
      </x:c>
      <x:c r="P142" s="18" t="str"/>
      <x:c r="Q142" s="18" t="str"/>
      <x:c r="R142" s="18" t="str"/>
      <x:c r="S142" s="18" t="str"/>
      <x:c r="T142" s="18" t="str"/>
      <x:c r="U142" s="18" t="str">
        <x:v>Appointment - Appointment of Liquidator</x:v>
      </x:c>
      <x:c r="V142" s="18" t="str">
        <x:v>DEFINED_TERMINAL_OR_FEED_SCOPE</x:v>
      </x:c>
      <x:c r="W142" s="18" t="str">
        <x:v>judiciary_nclt_orders.json — published records loaded</x:v>
      </x:c>
      <x:c r="X142" s="18" t="str"/>
      <x:c r="Y142" s="18" t="str"/>
      <x:c r="Z142" s="20" t="n">
        <x:v>434</x:v>
      </x:c>
      <x:c r="AA142" s="19" t="n">
        <x:f>IFERROR(TODAY()-DATEVALUE(C142),"")</x:f>
        <x:v>63</x:v>
      </x:c>
      <x:c r="AB142" s="21" t="n">
        <x:f>ROUND(COUNTA(A142:K142)/11*100,0)</x:f>
        <x:v>100</x:v>
      </x:c>
      <x:c r="AC142" s="18" t="str">
        <x:v>National Company Law Tribunal</x:v>
      </x:c>
      <x:c r="AD142" s="22" t="str">
        <x:v>https://ibbi.gov.in/uploads/order/8f7c80f5496f9f483f1790e9143c0aee.pdf</x:v>
      </x:c>
      <x:c r="AE142" s="18" t="str">
        <x:v>2026-07-09</x:v>
      </x:c>
      <x:c r="AF142" s="18" t="n">
        <x:v>46275.114583333336</x:v>
      </x:c>
      <x:c r="AG142" s="18" t="str">
        <x:v>retained_terminal</x:v>
      </x:c>
      <x:c r="AH142" s="18" t="str">
        <x:v>READY</x:v>
      </x:c>
    </x:row>
    <x:row r="143">
      <x:c r="A143" s="18" t="str">
        <x:v>NYT-47-15173bfd87bd5387</x:v>
      </x:c>
      <x:c r="B143" s="18" t="str">
        <x:v>In the matter of Hanuman Tea Company Limited [IA(CA)/62/KB/2026 in TP No.160/KB/2024]</x:v>
      </x:c>
      <x:c r="C143" s="18" t="str">
        <x:v>2026-07-09</x:v>
      </x:c>
      <x:c r="D143" s="18" t="n">
        <x:v>2026</x:v>
      </x:c>
      <x:c r="E143" s="18" t="str">
        <x:v>2026-07</x:v>
      </x:c>
      <x:c r="F143" s="18" t="str"/>
      <x:c r="G143" s="18" t="str"/>
      <x:c r="H143" s="18" t="str"/>
      <x:c r="I143" s="18" t="str">
        <x:v>Hanuman Tea Company Limited</x:v>
      </x:c>
      <x:c r="J143" s="20" t="str"/>
      <x:c r="K143" s="18" t="str"/>
      <x:c r="L143" s="18" t="str">
        <x:v>In the matter of Hanuman Tea Company Limited [IA(CA)/62/KB/2026 in TP No.160/KB/2024]</x:v>
      </x:c>
      <x:c r="M143" s="18" t="str">
        <x:v>2026-07-09</x:v>
      </x:c>
      <x:c r="N143" s="18" t="str">
        <x:v>Hanuman Tea Company Limited</x:v>
      </x:c>
      <x:c r="O143" s="18" t="str">
        <x:v>nclt_2gd519</x:v>
      </x:c>
      <x:c r="P143" s="18" t="str"/>
      <x:c r="Q143" s="18" t="str"/>
      <x:c r="R143" s="18" t="str"/>
      <x:c r="S143" s="18" t="str"/>
      <x:c r="T143" s="18" t="str"/>
      <x:c r="U143" s="18" t="str">
        <x:v>Others</x:v>
      </x:c>
      <x:c r="V143" s="18" t="str">
        <x:v>DEFINED_TERMINAL_OR_FEED_SCOPE</x:v>
      </x:c>
      <x:c r="W143" s="18" t="str">
        <x:v>judiciary_nclt_orders.json — published records loaded</x:v>
      </x:c>
      <x:c r="X143" s="18" t="str"/>
      <x:c r="Y143" s="18" t="str"/>
      <x:c r="Z143" s="20" t="n">
        <x:v>434</x:v>
      </x:c>
      <x:c r="AA143" s="19" t="n">
        <x:f>IFERROR(TODAY()-DATEVALUE(C143),"")</x:f>
        <x:v>63</x:v>
      </x:c>
      <x:c r="AB143" s="21" t="n">
        <x:f>ROUND(COUNTA(A143:K143)/11*100,0)</x:f>
        <x:v>100</x:v>
      </x:c>
      <x:c r="AC143" s="18" t="str">
        <x:v>National Company Law Tribunal</x:v>
      </x:c>
      <x:c r="AD143" s="22" t="str">
        <x:v>https://ibbi.gov.in/uploads/order/7a42455e87b28d55facd91e6835bf199.pdf</x:v>
      </x:c>
      <x:c r="AE143" s="18" t="str">
        <x:v>2026-07-09</x:v>
      </x:c>
      <x:c r="AF143" s="18" t="n">
        <x:v>46275.114583333336</x:v>
      </x:c>
      <x:c r="AG143" s="18" t="str">
        <x:v>retained_terminal</x:v>
      </x:c>
      <x:c r="AH143" s="18" t="str">
        <x:v>READY</x:v>
      </x:c>
    </x:row>
    <x:row r="144">
      <x:c r="A144" s="18" t="str">
        <x:v>NYT-47-ea50d568687edebc</x:v>
      </x:c>
      <x:c r="B144" s="18" t="str">
        <x:v>In the matter of Mhow Ghatabill Toll Roads Private Limited [CP (IB) – 159(ND)/2026]</x:v>
      </x:c>
      <x:c r="C144" s="18" t="str">
        <x:v>2026-07-09</x:v>
      </x:c>
      <x:c r="D144" s="18" t="n">
        <x:v>2026</x:v>
      </x:c>
      <x:c r="E144" s="18" t="str">
        <x:v>2026-07</x:v>
      </x:c>
      <x:c r="F144" s="18" t="str"/>
      <x:c r="G144" s="18" t="str"/>
      <x:c r="H144" s="18" t="str"/>
      <x:c r="I144" s="18" t="str">
        <x:v>Mhow Ghatabill Toll Roads Private Limited</x:v>
      </x:c>
      <x:c r="J144" s="20" t="str"/>
      <x:c r="K144" s="18" t="str"/>
      <x:c r="L144" s="18" t="str">
        <x:v>In the matter of Mhow Ghatabill Toll Roads Private Limited [CP (IB) – 159(ND)/2026]</x:v>
      </x:c>
      <x:c r="M144" s="18" t="str">
        <x:v>2026-07-09</x:v>
      </x:c>
      <x:c r="N144" s="18" t="str">
        <x:v>Mhow Ghatabill Toll Roads Private Limited</x:v>
      </x:c>
      <x:c r="O144" s="18" t="str">
        <x:v>nclt_fwpgv2</x:v>
      </x:c>
      <x:c r="P144" s="18" t="str"/>
      <x:c r="Q144" s="18" t="str"/>
      <x:c r="R144" s="18" t="str"/>
      <x:c r="S144" s="18" t="str"/>
      <x:c r="T144" s="18" t="str"/>
      <x:c r="U144" s="18" t="str">
        <x:v>Admission - Final Order</x:v>
      </x:c>
      <x:c r="V144" s="18" t="str">
        <x:v>DEFINED_TERMINAL_OR_FEED_SCOPE</x:v>
      </x:c>
      <x:c r="W144" s="18" t="str">
        <x:v>judiciary_nclt_orders.json — published records loaded</x:v>
      </x:c>
      <x:c r="X144" s="18" t="str"/>
      <x:c r="Y144" s="18" t="str"/>
      <x:c r="Z144" s="20" t="n">
        <x:v>434</x:v>
      </x:c>
      <x:c r="AA144" s="19" t="n">
        <x:f>IFERROR(TODAY()-DATEVALUE(C144),"")</x:f>
        <x:v>63</x:v>
      </x:c>
      <x:c r="AB144" s="21" t="n">
        <x:f>ROUND(COUNTA(A144:K144)/11*100,0)</x:f>
        <x:v>100</x:v>
      </x:c>
      <x:c r="AC144" s="18" t="str">
        <x:v>National Company Law Tribunal</x:v>
      </x:c>
      <x:c r="AD144" s="22" t="str">
        <x:v>https://ibbi.gov.in/uploads/order/cfb42f61a54c8d0b9c47875ad317c0b0.pdf</x:v>
      </x:c>
      <x:c r="AE144" s="18" t="str">
        <x:v>2026-07-09</x:v>
      </x:c>
      <x:c r="AF144" s="18" t="n">
        <x:v>46275.114583333336</x:v>
      </x:c>
      <x:c r="AG144" s="18" t="str">
        <x:v>retained_terminal</x:v>
      </x:c>
      <x:c r="AH144" s="18" t="str">
        <x:v>READY</x:v>
      </x:c>
    </x:row>
    <x:row r="145">
      <x:c r="A145" s="18" t="str">
        <x:v>NYT-47-95ae73f70aeda3e2</x:v>
      </x:c>
      <x:c r="B145" s="18" t="str">
        <x:v>In the matter of ARVIND INTERIORS PRIVATE LIMITED [CP (IB) No.119/BB/2025]</x:v>
      </x:c>
      <x:c r="C145" s="18" t="str">
        <x:v>2026-07-09</x:v>
      </x:c>
      <x:c r="D145" s="18" t="n">
        <x:v>2026</x:v>
      </x:c>
      <x:c r="E145" s="18" t="str">
        <x:v>2026-07</x:v>
      </x:c>
      <x:c r="F145" s="18" t="str"/>
      <x:c r="G145" s="18" t="str"/>
      <x:c r="H145" s="18" t="str"/>
      <x:c r="I145" s="18" t="str">
        <x:v>ARVIND INTERIORS PRIVATE LIMITED</x:v>
      </x:c>
      <x:c r="J145" s="20" t="str"/>
      <x:c r="K145" s="18" t="str"/>
      <x:c r="L145" s="18" t="str">
        <x:v>In the matter of ARVIND INTERIORS PRIVATE LIMITED [CP (IB) No.119/BB/2025]</x:v>
      </x:c>
      <x:c r="M145" s="18" t="str">
        <x:v>2026-07-09</x:v>
      </x:c>
      <x:c r="N145" s="18" t="str">
        <x:v>ARVIND INTERIORS PRIVATE LIMITED</x:v>
      </x:c>
      <x:c r="O145" s="18" t="str">
        <x:v>nclt_1te21td</x:v>
      </x:c>
      <x:c r="P145" s="18" t="str"/>
      <x:c r="Q145" s="18" t="str"/>
      <x:c r="R145" s="18" t="str"/>
      <x:c r="S145" s="18" t="str"/>
      <x:c r="T145" s="18" t="str"/>
      <x:c r="U145" s="18" t="str">
        <x:v>Admission - Final Order</x:v>
      </x:c>
      <x:c r="V145" s="18" t="str">
        <x:v>DEFINED_TERMINAL_OR_FEED_SCOPE</x:v>
      </x:c>
      <x:c r="W145" s="18" t="str">
        <x:v>judiciary_nclt_orders.json — published records loaded</x:v>
      </x:c>
      <x:c r="X145" s="18" t="str"/>
      <x:c r="Y145" s="18" t="str"/>
      <x:c r="Z145" s="20" t="n">
        <x:v>434</x:v>
      </x:c>
      <x:c r="AA145" s="19" t="n">
        <x:f>IFERROR(TODAY()-DATEVALUE(C145),"")</x:f>
        <x:v>63</x:v>
      </x:c>
      <x:c r="AB145" s="21" t="n">
        <x:f>ROUND(COUNTA(A145:K145)/11*100,0)</x:f>
        <x:v>100</x:v>
      </x:c>
      <x:c r="AC145" s="18" t="str">
        <x:v>National Company Law Tribunal</x:v>
      </x:c>
      <x:c r="AD145" s="22" t="str">
        <x:v>https://ibbi.gov.in/uploads/order/b744acee24aadadaa4d83778077126ea.pdf</x:v>
      </x:c>
      <x:c r="AE145" s="18" t="str">
        <x:v>2026-07-09</x:v>
      </x:c>
      <x:c r="AF145" s="18" t="n">
        <x:v>46275.114583333336</x:v>
      </x:c>
      <x:c r="AG145" s="18" t="str">
        <x:v>retained_terminal</x:v>
      </x:c>
      <x:c r="AH145" s="18" t="str">
        <x:v>READY</x:v>
      </x:c>
    </x:row>
    <x:row r="146">
      <x:c r="A146" s="18" t="str">
        <x:v>NYT-47-d9d55880e6c56959</x:v>
      </x:c>
      <x:c r="B146" s="18" t="str">
        <x:v>In the matter of BIL Vyapar Limited [I.A. (IB) No. 203/KB of 2026 in CP (IB) No. 46/KB of 2025]</x:v>
      </x:c>
      <x:c r="C146" s="18" t="str">
        <x:v>2026-07-09</x:v>
      </x:c>
      <x:c r="D146" s="18" t="n">
        <x:v>2026</x:v>
      </x:c>
      <x:c r="E146" s="18" t="str">
        <x:v>2026-07</x:v>
      </x:c>
      <x:c r="F146" s="18" t="str"/>
      <x:c r="G146" s="18" t="str"/>
      <x:c r="H146" s="18" t="str"/>
      <x:c r="I146" s="18" t="str">
        <x:v>BIL Vyapar Limited</x:v>
      </x:c>
      <x:c r="J146" s="20" t="str"/>
      <x:c r="K146" s="18" t="str"/>
      <x:c r="L146" s="18" t="str">
        <x:v>In the matter of BIL Vyapar Limited [I.A. (IB) No. 203/KB of 2026 in CP (IB) No. 46/KB of 2025]</x:v>
      </x:c>
      <x:c r="M146" s="18" t="str">
        <x:v>2026-07-09</x:v>
      </x:c>
      <x:c r="N146" s="18" t="str">
        <x:v>BIL Vyapar Limited</x:v>
      </x:c>
      <x:c r="O146" s="18" t="str">
        <x:v>nclt_1ckixux</x:v>
      </x:c>
      <x:c r="P146" s="18" t="str"/>
      <x:c r="Q146" s="18" t="str"/>
      <x:c r="R146" s="18" t="str"/>
      <x:c r="S146" s="18" t="str"/>
      <x:c r="T146" s="18" t="str"/>
      <x:c r="U146" s="18" t="str">
        <x:v>Others</x:v>
      </x:c>
      <x:c r="V146" s="18" t="str">
        <x:v>DEFINED_TERMINAL_OR_FEED_SCOPE</x:v>
      </x:c>
      <x:c r="W146" s="18" t="str">
        <x:v>judiciary_nclt_orders.json — published records loaded</x:v>
      </x:c>
      <x:c r="X146" s="18" t="str"/>
      <x:c r="Y146" s="18" t="str"/>
      <x:c r="Z146" s="20" t="n">
        <x:v>434</x:v>
      </x:c>
      <x:c r="AA146" s="19" t="n">
        <x:f>IFERROR(TODAY()-DATEVALUE(C146),"")</x:f>
        <x:v>63</x:v>
      </x:c>
      <x:c r="AB146" s="21" t="n">
        <x:f>ROUND(COUNTA(A146:K146)/11*100,0)</x:f>
        <x:v>100</x:v>
      </x:c>
      <x:c r="AC146" s="18" t="str">
        <x:v>National Company Law Tribunal</x:v>
      </x:c>
      <x:c r="AD146" s="22" t="str">
        <x:v>https://ibbi.gov.in/uploads/order/7296142db173fd4f925b3a859a36e724.pdf</x:v>
      </x:c>
      <x:c r="AE146" s="18" t="str">
        <x:v>2026-07-09</x:v>
      </x:c>
      <x:c r="AF146" s="18" t="n">
        <x:v>46275.114583333336</x:v>
      </x:c>
      <x:c r="AG146" s="18" t="str">
        <x:v>retained_terminal</x:v>
      </x:c>
      <x:c r="AH146" s="18" t="str">
        <x:v>READY</x:v>
      </x:c>
    </x:row>
    <x:row r="147">
      <x:c r="A147" s="18" t="str">
        <x:v>NYT-47-622ed87cc8beefd2</x:v>
      </x:c>
      <x:c r="B147" s="18" t="str">
        <x:v>In the matter of JRN PHARMA AND LABORATORIES LLP [CP (IB)/7/GB/2024]</x:v>
      </x:c>
      <x:c r="C147" s="18" t="str">
        <x:v>2026-07-08</x:v>
      </x:c>
      <x:c r="D147" s="18" t="n">
        <x:v>2026</x:v>
      </x:c>
      <x:c r="E147" s="18" t="str">
        <x:v>2026-07</x:v>
      </x:c>
      <x:c r="F147" s="18" t="str"/>
      <x:c r="G147" s="18" t="str"/>
      <x:c r="H147" s="18" t="str"/>
      <x:c r="I147" s="18" t="str">
        <x:v>JRN PHARMA AND LABORATORIES LLP</x:v>
      </x:c>
      <x:c r="J147" s="20" t="str"/>
      <x:c r="K147" s="18" t="str"/>
      <x:c r="L147" s="18" t="str">
        <x:v>In the matter of JRN PHARMA AND LABORATORIES LLP [CP (IB)/7/GB/2024]</x:v>
      </x:c>
      <x:c r="M147" s="18" t="str">
        <x:v>2026-07-08</x:v>
      </x:c>
      <x:c r="N147" s="18" t="str">
        <x:v>JRN PHARMA AND LABORATORIES LLP</x:v>
      </x:c>
      <x:c r="O147" s="18" t="str">
        <x:v>nclt_15iiea9</x:v>
      </x:c>
      <x:c r="P147" s="18" t="str"/>
      <x:c r="Q147" s="18" t="str"/>
      <x:c r="R147" s="18" t="str"/>
      <x:c r="S147" s="18" t="str"/>
      <x:c r="T147" s="18" t="str"/>
      <x:c r="U147" s="18" t="str">
        <x:v>Admission - Final Order</x:v>
      </x:c>
      <x:c r="V147" s="18" t="str">
        <x:v>DEFINED_TERMINAL_OR_FEED_SCOPE</x:v>
      </x:c>
      <x:c r="W147" s="18" t="str">
        <x:v>judiciary_nclt_orders.json — published records loaded</x:v>
      </x:c>
      <x:c r="X147" s="18" t="str"/>
      <x:c r="Y147" s="18" t="str"/>
      <x:c r="Z147" s="20" t="n">
        <x:v>434</x:v>
      </x:c>
      <x:c r="AA147" s="19" t="n">
        <x:f>IFERROR(TODAY()-DATEVALUE(C147),"")</x:f>
        <x:v>64</x:v>
      </x:c>
      <x:c r="AB147" s="21" t="n">
        <x:f>ROUND(COUNTA(A147:K147)/11*100,0)</x:f>
        <x:v>100</x:v>
      </x:c>
      <x:c r="AC147" s="18" t="str">
        <x:v>National Company Law Tribunal</x:v>
      </x:c>
      <x:c r="AD147" s="22" t="str">
        <x:v>https://ibbi.gov.in/uploads/order/2026-07-10-170206-sv8k7-f53dd26908f18a8a6620903037615c0c.pdf</x:v>
      </x:c>
      <x:c r="AE147" s="18" t="str">
        <x:v>2026-07-08</x:v>
      </x:c>
      <x:c r="AF147" s="18" t="n">
        <x:v>46275.114583333336</x:v>
      </x:c>
      <x:c r="AG147" s="18" t="str">
        <x:v>retained_terminal</x:v>
      </x:c>
      <x:c r="AH147" s="18" t="str">
        <x:v>READY</x:v>
      </x:c>
    </x:row>
    <x:row r="148">
      <x:c r="A148" s="18" t="str">
        <x:v>NYT-47-52eb9f59db33c384</x:v>
      </x:c>
      <x:c r="B148" s="18" t="str">
        <x:v>In the matter of Samata Nagari Sahkari Patsanstha Maryadit vs. Satish Suresh Sawai, [C.P. (IB) NO. 346 of 2026]</x:v>
      </x:c>
      <x:c r="C148" s="18" t="str">
        <x:v>2026-07-08</x:v>
      </x:c>
      <x:c r="D148" s="18" t="n">
        <x:v>2026</x:v>
      </x:c>
      <x:c r="E148" s="18" t="str">
        <x:v>2026-07</x:v>
      </x:c>
      <x:c r="F148" s="18" t="str"/>
      <x:c r="G148" s="18" t="str"/>
      <x:c r="H148" s="18" t="str"/>
      <x:c r="I148" s="18" t="str">
        <x:v>Samata Nagari Sahkari Patsanstha Maryadit</x:v>
      </x:c>
      <x:c r="J148" s="20" t="str"/>
      <x:c r="K148" s="18" t="str"/>
      <x:c r="L148" s="18" t="str">
        <x:v>In the matter of Samata Nagari Sahkari Patsanstha Maryadit vs. Satish Suresh Sawai, [C.P. (IB) NO. 346 of 2026]</x:v>
      </x:c>
      <x:c r="M148" s="18" t="str">
        <x:v>2026-07-08</x:v>
      </x:c>
      <x:c r="N148" s="18" t="str">
        <x:v>Samata Nagari Sahkari Patsanstha Maryadit</x:v>
      </x:c>
      <x:c r="O148" s="18" t="str">
        <x:v>nclt_mm60hy</x:v>
      </x:c>
      <x:c r="P148" s="18" t="str"/>
      <x:c r="Q148" s="18" t="str"/>
      <x:c r="R148" s="18" t="str"/>
      <x:c r="S148" s="18" t="str"/>
      <x:c r="T148" s="18" t="str"/>
      <x:c r="U148" s="18" t="str">
        <x:v>Admission of Application in PG case</x:v>
      </x:c>
      <x:c r="V148" s="18" t="str">
        <x:v>DEFINED_TERMINAL_OR_FEED_SCOPE</x:v>
      </x:c>
      <x:c r="W148" s="18" t="str">
        <x:v>judiciary_nclt_orders.json — published records loaded</x:v>
      </x:c>
      <x:c r="X148" s="18" t="str"/>
      <x:c r="Y148" s="18" t="str"/>
      <x:c r="Z148" s="20" t="n">
        <x:v>434</x:v>
      </x:c>
      <x:c r="AA148" s="19" t="n">
        <x:f>IFERROR(TODAY()-DATEVALUE(C148),"")</x:f>
        <x:v>64</x:v>
      </x:c>
      <x:c r="AB148" s="21" t="n">
        <x:f>ROUND(COUNTA(A148:K148)/11*100,0)</x:f>
        <x:v>100</x:v>
      </x:c>
      <x:c r="AC148" s="18" t="str">
        <x:v>National Company Law Tribunal</x:v>
      </x:c>
      <x:c r="AD148" s="22" t="str">
        <x:v>https://ibbi.gov.in/uploads/order/28132f1175ee52b805255da17a2ac083.pdf</x:v>
      </x:c>
      <x:c r="AE148" s="18" t="str">
        <x:v>2026-07-08</x:v>
      </x:c>
      <x:c r="AF148" s="18" t="n">
        <x:v>46275.114583333336</x:v>
      </x:c>
      <x:c r="AG148" s="18" t="str">
        <x:v>retained_terminal</x:v>
      </x:c>
      <x:c r="AH148" s="18" t="str">
        <x:v>READY</x:v>
      </x:c>
    </x:row>
    <x:row r="149">
      <x:c r="A149" s="18" t="str">
        <x:v>NYT-47-39b15f6c06e6934f</x:v>
      </x:c>
      <x:c r="B149" s="18" t="str">
        <x:v>In the matter of Bigmoon Buildcon Private Limited [IA No. 1258 of 2025 in C.P.(IB) No. 572(PB)/2019]</x:v>
      </x:c>
      <x:c r="C149" s="18" t="str">
        <x:v>2026-07-08</x:v>
      </x:c>
      <x:c r="D149" s="18" t="n">
        <x:v>2026</x:v>
      </x:c>
      <x:c r="E149" s="18" t="str">
        <x:v>2026-07</x:v>
      </x:c>
      <x:c r="F149" s="18" t="str"/>
      <x:c r="G149" s="18" t="str"/>
      <x:c r="H149" s="18" t="str"/>
      <x:c r="I149" s="18" t="str">
        <x:v>Bigmoon Buildcon Private Limited</x:v>
      </x:c>
      <x:c r="J149" s="20" t="str"/>
      <x:c r="K149" s="18" t="str"/>
      <x:c r="L149" s="18" t="str">
        <x:v>In the matter of Bigmoon Buildcon Private Limited [IA No. 1258 of 2025 in C.P.(IB) No. 572(PB)/2019]</x:v>
      </x:c>
      <x:c r="M149" s="18" t="str">
        <x:v>2026-07-08</x:v>
      </x:c>
      <x:c r="N149" s="18" t="str">
        <x:v>Bigmoon Buildcon Private Limited</x:v>
      </x:c>
      <x:c r="O149" s="18" t="str">
        <x:v>nclt_rb1r5z</x:v>
      </x:c>
      <x:c r="P149" s="18" t="str"/>
      <x:c r="Q149" s="18" t="str"/>
      <x:c r="R149" s="18" t="str"/>
      <x:c r="S149" s="18" t="str"/>
      <x:c r="T149" s="18" t="str"/>
      <x:c r="U149" s="18" t="str">
        <x:v>Others</x:v>
      </x:c>
      <x:c r="V149" s="18" t="str">
        <x:v>DEFINED_TERMINAL_OR_FEED_SCOPE</x:v>
      </x:c>
      <x:c r="W149" s="18" t="str">
        <x:v>judiciary_nclt_orders.json — published records loaded</x:v>
      </x:c>
      <x:c r="X149" s="18" t="str"/>
      <x:c r="Y149" s="18" t="str"/>
      <x:c r="Z149" s="20" t="n">
        <x:v>434</x:v>
      </x:c>
      <x:c r="AA149" s="19" t="n">
        <x:f>IFERROR(TODAY()-DATEVALUE(C149),"")</x:f>
        <x:v>64</x:v>
      </x:c>
      <x:c r="AB149" s="21" t="n">
        <x:f>ROUND(COUNTA(A149:K149)/11*100,0)</x:f>
        <x:v>100</x:v>
      </x:c>
      <x:c r="AC149" s="18" t="str">
        <x:v>National Company Law Tribunal</x:v>
      </x:c>
      <x:c r="AD149" s="22" t="str">
        <x:v>https://ibbi.gov.in/uploads/order/3d0e487fae6d02230bb789156332d41a.pdf</x:v>
      </x:c>
      <x:c r="AE149" s="18" t="str">
        <x:v>2026-07-08</x:v>
      </x:c>
      <x:c r="AF149" s="18" t="n">
        <x:v>46275.114583333336</x:v>
      </x:c>
      <x:c r="AG149" s="18" t="str">
        <x:v>retained_terminal</x:v>
      </x:c>
      <x:c r="AH149" s="18" t="str">
        <x:v>READY</x:v>
      </x:c>
    </x:row>
    <x:row r="150">
      <x:c r="A150" s="18" t="str">
        <x:v>NYT-47-19756cf5f6633a64</x:v>
      </x:c>
      <x:c r="B150" s="18" t="str">
        <x:v>In the matter of FNM PROPERTY SERVICES PRIVATE LIMITED [C.P. (IB)/393/ND/2025]</x:v>
      </x:c>
      <x:c r="C150" s="18" t="str">
        <x:v>2026-07-08</x:v>
      </x:c>
      <x:c r="D150" s="18" t="n">
        <x:v>2026</x:v>
      </x:c>
      <x:c r="E150" s="18" t="str">
        <x:v>2026-07</x:v>
      </x:c>
      <x:c r="F150" s="18" t="str"/>
      <x:c r="G150" s="18" t="str"/>
      <x:c r="H150" s="18" t="str"/>
      <x:c r="I150" s="18" t="str">
        <x:v>FNM PROPERTY SERVICES PRIVATE LIMITED</x:v>
      </x:c>
      <x:c r="J150" s="20" t="str"/>
      <x:c r="K150" s="18" t="str"/>
      <x:c r="L150" s="18" t="str">
        <x:v>In the matter of FNM PROPERTY SERVICES PRIVATE LIMITED [C.P. (IB)/393/ND/2025]</x:v>
      </x:c>
      <x:c r="M150" s="18" t="str">
        <x:v>2026-07-08</x:v>
      </x:c>
      <x:c r="N150" s="18" t="str">
        <x:v>FNM PROPERTY SERVICES PRIVATE LIMITED</x:v>
      </x:c>
      <x:c r="O150" s="18" t="str">
        <x:v>nclt_1b9cgc3</x:v>
      </x:c>
      <x:c r="P150" s="18" t="str"/>
      <x:c r="Q150" s="18" t="str"/>
      <x:c r="R150" s="18" t="str"/>
      <x:c r="S150" s="18" t="str"/>
      <x:c r="T150" s="18" t="str"/>
      <x:c r="U150" s="18" t="str">
        <x:v>Admission - Final Order</x:v>
      </x:c>
      <x:c r="V150" s="18" t="str">
        <x:v>DEFINED_TERMINAL_OR_FEED_SCOPE</x:v>
      </x:c>
      <x:c r="W150" s="18" t="str">
        <x:v>judiciary_nclt_orders.json — published records loaded</x:v>
      </x:c>
      <x:c r="X150" s="18" t="str"/>
      <x:c r="Y150" s="18" t="str"/>
      <x:c r="Z150" s="20" t="n">
        <x:v>434</x:v>
      </x:c>
      <x:c r="AA150" s="19" t="n">
        <x:f>IFERROR(TODAY()-DATEVALUE(C150),"")</x:f>
        <x:v>64</x:v>
      </x:c>
      <x:c r="AB150" s="21" t="n">
        <x:f>ROUND(COUNTA(A150:K150)/11*100,0)</x:f>
        <x:v>100</x:v>
      </x:c>
      <x:c r="AC150" s="18" t="str">
        <x:v>National Company Law Tribunal</x:v>
      </x:c>
      <x:c r="AD150" s="22" t="str">
        <x:v>https://ibbi.gov.in/uploads/order/2026-07-10-194937-pdv19-2443b87e82f33a9f691224b99d095003.pdf</x:v>
      </x:c>
      <x:c r="AE150" s="18" t="str">
        <x:v>2026-07-08</x:v>
      </x:c>
      <x:c r="AF150" s="18" t="n">
        <x:v>46275.114583333336</x:v>
      </x:c>
      <x:c r="AG150" s="18" t="str">
        <x:v>retained_terminal</x:v>
      </x:c>
      <x:c r="AH150" s="18" t="str">
        <x:v>READY</x:v>
      </x:c>
    </x:row>
    <x:row r="151">
      <x:c r="A151" s="18" t="str">
        <x:v>NYT-47-d19c4da3de792896</x:v>
      </x:c>
      <x:c r="B151" s="18" t="str">
        <x:v>In the matter of SUNIMA STEEL MARKETING PRIVATE LIMITED [Company Petition (IB) No. 43/KB/2025]</x:v>
      </x:c>
      <x:c r="C151" s="18" t="str">
        <x:v>2026-07-08</x:v>
      </x:c>
      <x:c r="D151" s="18" t="n">
        <x:v>2026</x:v>
      </x:c>
      <x:c r="E151" s="18" t="str">
        <x:v>2026-07</x:v>
      </x:c>
      <x:c r="F151" s="18" t="str"/>
      <x:c r="G151" s="18" t="str"/>
      <x:c r="H151" s="18" t="str"/>
      <x:c r="I151" s="18" t="str">
        <x:v>SUNIMA STEEL MARKETING PRIVATE LIMITED</x:v>
      </x:c>
      <x:c r="J151" s="20" t="str"/>
      <x:c r="K151" s="18" t="str"/>
      <x:c r="L151" s="18" t="str">
        <x:v>In the matter of SUNIMA STEEL MARKETING PRIVATE LIMITED [Company Petition (IB) No. 43/KB/2025]</x:v>
      </x:c>
      <x:c r="M151" s="18" t="str">
        <x:v>2026-07-08</x:v>
      </x:c>
      <x:c r="N151" s="18" t="str">
        <x:v>SUNIMA STEEL MARKETING PRIVATE LIMITED</x:v>
      </x:c>
      <x:c r="O151" s="18" t="str">
        <x:v>nclt_z8bbp6</x:v>
      </x:c>
      <x:c r="P151" s="18" t="str"/>
      <x:c r="Q151" s="18" t="str"/>
      <x:c r="R151" s="18" t="str"/>
      <x:c r="S151" s="18" t="str"/>
      <x:c r="T151" s="18" t="str"/>
      <x:c r="U151" s="18" t="str">
        <x:v>Admission - Final Order</x:v>
      </x:c>
      <x:c r="V151" s="18" t="str">
        <x:v>DEFINED_TERMINAL_OR_FEED_SCOPE</x:v>
      </x:c>
      <x:c r="W151" s="18" t="str">
        <x:v>judiciary_nclt_orders.json — published records loaded</x:v>
      </x:c>
      <x:c r="X151" s="18" t="str"/>
      <x:c r="Y151" s="18" t="str"/>
      <x:c r="Z151" s="20" t="n">
        <x:v>434</x:v>
      </x:c>
      <x:c r="AA151" s="19" t="n">
        <x:f>IFERROR(TODAY()-DATEVALUE(C151),"")</x:f>
        <x:v>64</x:v>
      </x:c>
      <x:c r="AB151" s="21" t="n">
        <x:f>ROUND(COUNTA(A151:K151)/11*100,0)</x:f>
        <x:v>100</x:v>
      </x:c>
      <x:c r="AC151" s="18" t="str">
        <x:v>National Company Law Tribunal</x:v>
      </x:c>
      <x:c r="AD151" s="22" t="str">
        <x:v>https://ibbi.gov.in/uploads/order/3b0d0b3be7df950183f37dc582a7eced.pdf</x:v>
      </x:c>
      <x:c r="AE151" s="18" t="str">
        <x:v>2026-07-08</x:v>
      </x:c>
      <x:c r="AF151" s="18" t="n">
        <x:v>46275.114583333336</x:v>
      </x:c>
      <x:c r="AG151" s="18" t="str">
        <x:v>retained_terminal</x:v>
      </x:c>
      <x:c r="AH151" s="18" t="str">
        <x:v>READY</x:v>
      </x:c>
    </x:row>
    <x:row r="152">
      <x:c r="A152" s="18" t="str">
        <x:v>NYT-47-1b21d9597dfa6e1f</x:v>
      </x:c>
      <x:c r="B152" s="18" t="str">
        <x:v>In the matter of Jet Airways (India) Ltd. [IA No. 5460 of 2025 in CP (IB) No. 2205 of 2019]</x:v>
      </x:c>
      <x:c r="C152" s="18" t="str">
        <x:v>2026-07-08</x:v>
      </x:c>
      <x:c r="D152" s="18" t="n">
        <x:v>2026</x:v>
      </x:c>
      <x:c r="E152" s="18" t="str">
        <x:v>2026-07</x:v>
      </x:c>
      <x:c r="F152" s="18" t="str"/>
      <x:c r="G152" s="18" t="str"/>
      <x:c r="H152" s="18" t="str"/>
      <x:c r="I152" s="18" t="str">
        <x:v>Jet Airways (India) Ltd.</x:v>
      </x:c>
      <x:c r="J152" s="20" t="str"/>
      <x:c r="K152" s="18" t="str"/>
      <x:c r="L152" s="18" t="str">
        <x:v>In the matter of Jet Airways (India) Ltd. [IA No. 5460 of 2025 in CP (IB) No. 2205 of 2019]</x:v>
      </x:c>
      <x:c r="M152" s="18" t="str">
        <x:v>2026-07-08</x:v>
      </x:c>
      <x:c r="N152" s="18" t="str">
        <x:v>Jet Airways (India) Ltd.</x:v>
      </x:c>
      <x:c r="O152" s="18" t="str">
        <x:v>nclt_kwvt95</x:v>
      </x:c>
      <x:c r="P152" s="18" t="str"/>
      <x:c r="Q152" s="18" t="str"/>
      <x:c r="R152" s="18" t="str"/>
      <x:c r="S152" s="18" t="str"/>
      <x:c r="T152" s="18" t="str"/>
      <x:c r="U152" s="18" t="str">
        <x:v>Others</x:v>
      </x:c>
      <x:c r="V152" s="18" t="str">
        <x:v>DEFINED_TERMINAL_OR_FEED_SCOPE</x:v>
      </x:c>
      <x:c r="W152" s="18" t="str">
        <x:v>judiciary_nclt_orders.json — published records loaded</x:v>
      </x:c>
      <x:c r="X152" s="18" t="str"/>
      <x:c r="Y152" s="18" t="str"/>
      <x:c r="Z152" s="20" t="n">
        <x:v>434</x:v>
      </x:c>
      <x:c r="AA152" s="19" t="n">
        <x:f>IFERROR(TODAY()-DATEVALUE(C152),"")</x:f>
        <x:v>64</x:v>
      </x:c>
      <x:c r="AB152" s="21" t="n">
        <x:f>ROUND(COUNTA(A152:K152)/11*100,0)</x:f>
        <x:v>100</x:v>
      </x:c>
      <x:c r="AC152" s="18" t="str">
        <x:v>National Company Law Tribunal</x:v>
      </x:c>
      <x:c r="AD152" s="22" t="str">
        <x:v>https://ibbi.gov.in/uploads/order/536edbfa2d239ecb9ef35f8ec95f1689.pdf</x:v>
      </x:c>
      <x:c r="AE152" s="18" t="str">
        <x:v>2026-07-08</x:v>
      </x:c>
      <x:c r="AF152" s="18" t="n">
        <x:v>46275.114583333336</x:v>
      </x:c>
      <x:c r="AG152" s="18" t="str">
        <x:v>retained_terminal</x:v>
      </x:c>
      <x:c r="AH152" s="18" t="str">
        <x:v>READY</x:v>
      </x:c>
    </x:row>
    <x:row r="153">
      <x:c r="A153" s="18" t="str">
        <x:v>NYT-47-d4a249485ab7d755</x:v>
      </x:c>
      <x:c r="B153" s="18" t="str">
        <x:v>In the matter of Coastal Automobiles Private Limited [IA (IBC)(Dis)/1/2026 in CP(IB)/07/7/AMR/2020]</x:v>
      </x:c>
      <x:c r="C153" s="18" t="str">
        <x:v>2026-07-08</x:v>
      </x:c>
      <x:c r="D153" s="18" t="n">
        <x:v>2026</x:v>
      </x:c>
      <x:c r="E153" s="18" t="str">
        <x:v>2026-07</x:v>
      </x:c>
      <x:c r="F153" s="18" t="str"/>
      <x:c r="G153" s="18" t="str"/>
      <x:c r="H153" s="18" t="str"/>
      <x:c r="I153" s="18" t="str">
        <x:v>Coastal Automobiles Private Limited</x:v>
      </x:c>
      <x:c r="J153" s="20" t="str"/>
      <x:c r="K153" s="18" t="str"/>
      <x:c r="L153" s="18" t="str">
        <x:v>In the matter of Coastal Automobiles Private Limited [IA (IBC)(Dis)/1/2026 in CP(IB)/07/7/AMR/2020]</x:v>
      </x:c>
      <x:c r="M153" s="18" t="str">
        <x:v>2026-07-08</x:v>
      </x:c>
      <x:c r="N153" s="18" t="str">
        <x:v>Coastal Automobiles Private Limited</x:v>
      </x:c>
      <x:c r="O153" s="18" t="str">
        <x:v>nclt_fo8xci</x:v>
      </x:c>
      <x:c r="P153" s="18" t="str"/>
      <x:c r="Q153" s="18" t="str"/>
      <x:c r="R153" s="18" t="str"/>
      <x:c r="S153" s="18" t="str"/>
      <x:c r="T153" s="18" t="str"/>
      <x:c r="U153" s="18" t="str">
        <x:v>Dissolution</x:v>
      </x:c>
      <x:c r="V153" s="18" t="str">
        <x:v>DEFINED_TERMINAL_OR_FEED_SCOPE</x:v>
      </x:c>
      <x:c r="W153" s="18" t="str">
        <x:v>judiciary_nclt_orders.json — published records loaded</x:v>
      </x:c>
      <x:c r="X153" s="18" t="str"/>
      <x:c r="Y153" s="18" t="str"/>
      <x:c r="Z153" s="20" t="n">
        <x:v>434</x:v>
      </x:c>
      <x:c r="AA153" s="19" t="n">
        <x:f>IFERROR(TODAY()-DATEVALUE(C153),"")</x:f>
        <x:v>64</x:v>
      </x:c>
      <x:c r="AB153" s="21" t="n">
        <x:f>ROUND(COUNTA(A153:K153)/11*100,0)</x:f>
        <x:v>100</x:v>
      </x:c>
      <x:c r="AC153" s="18" t="str">
        <x:v>National Company Law Tribunal</x:v>
      </x:c>
      <x:c r="AD153" s="22" t="str">
        <x:v>https://ibbi.gov.in/uploads/order/bb38f31efabb9b7a9ac1ce3e4b25c588.pdf</x:v>
      </x:c>
      <x:c r="AE153" s="18" t="str">
        <x:v>2026-07-08</x:v>
      </x:c>
      <x:c r="AF153" s="18" t="n">
        <x:v>46275.114583333336</x:v>
      </x:c>
      <x:c r="AG153" s="18" t="str">
        <x:v>retained_terminal</x:v>
      </x:c>
      <x:c r="AH153" s="18" t="str">
        <x:v>READY</x:v>
      </x:c>
    </x:row>
    <x:row r="154">
      <x:c r="A154" s="18" t="str">
        <x:v>NYT-47-26db016738ccf01e</x:v>
      </x:c>
      <x:c r="B154" s="18" t="str">
        <x:v>In the matter of BRIGHT WESTECH SOLUTION PRIVATE LIMITED [CP (IB) NO.120/ALD/2024]</x:v>
      </x:c>
      <x:c r="C154" s="18" t="str">
        <x:v>2026-07-08</x:v>
      </x:c>
      <x:c r="D154" s="18" t="n">
        <x:v>2026</x:v>
      </x:c>
      <x:c r="E154" s="18" t="str">
        <x:v>2026-07</x:v>
      </x:c>
      <x:c r="F154" s="18" t="str"/>
      <x:c r="G154" s="18" t="str"/>
      <x:c r="H154" s="18" t="str"/>
      <x:c r="I154" s="18" t="str">
        <x:v>BRIGHT WESTECH SOLUTION PRIVATE LIMITED</x:v>
      </x:c>
      <x:c r="J154" s="20" t="str"/>
      <x:c r="K154" s="18" t="str"/>
      <x:c r="L154" s="18" t="str">
        <x:v>In the matter of BRIGHT WESTECH SOLUTION PRIVATE LIMITED [CP (IB) NO.120/ALD/2024]</x:v>
      </x:c>
      <x:c r="M154" s="18" t="str">
        <x:v>2026-07-08</x:v>
      </x:c>
      <x:c r="N154" s="18" t="str">
        <x:v>BRIGHT WESTECH SOLUTION PRIVATE LIMITED</x:v>
      </x:c>
      <x:c r="O154" s="18" t="str">
        <x:v>nclt_1khy2t8</x:v>
      </x:c>
      <x:c r="P154" s="18" t="str"/>
      <x:c r="Q154" s="18" t="str"/>
      <x:c r="R154" s="18" t="str"/>
      <x:c r="S154" s="18" t="str"/>
      <x:c r="T154" s="18" t="str"/>
      <x:c r="U154" s="18" t="str">
        <x:v>Admission - Final Order</x:v>
      </x:c>
      <x:c r="V154" s="18" t="str">
        <x:v>DEFINED_TERMINAL_OR_FEED_SCOPE</x:v>
      </x:c>
      <x:c r="W154" s="18" t="str">
        <x:v>judiciary_nclt_orders.json — published records loaded</x:v>
      </x:c>
      <x:c r="X154" s="18" t="str"/>
      <x:c r="Y154" s="18" t="str"/>
      <x:c r="Z154" s="20" t="n">
        <x:v>434</x:v>
      </x:c>
      <x:c r="AA154" s="19" t="n">
        <x:f>IFERROR(TODAY()-DATEVALUE(C154),"")</x:f>
        <x:v>64</x:v>
      </x:c>
      <x:c r="AB154" s="21" t="n">
        <x:f>ROUND(COUNTA(A154:K154)/11*100,0)</x:f>
        <x:v>100</x:v>
      </x:c>
      <x:c r="AC154" s="18" t="str">
        <x:v>National Company Law Tribunal</x:v>
      </x:c>
      <x:c r="AD154" s="22" t="str">
        <x:v>https://ibbi.gov.in/uploads/order/2026-07-13-154908-rbh5p-c745acc28c297ad57ff9f3fef0f52926.pdf</x:v>
      </x:c>
      <x:c r="AE154" s="18" t="str">
        <x:v>2026-07-08</x:v>
      </x:c>
      <x:c r="AF154" s="18" t="n">
        <x:v>46275.114583333336</x:v>
      </x:c>
      <x:c r="AG154" s="18" t="str">
        <x:v>retained_terminal</x:v>
      </x:c>
      <x:c r="AH154" s="18" t="str">
        <x:v>READY</x:v>
      </x:c>
    </x:row>
    <x:row r="155">
      <x:c r="A155" s="18" t="str">
        <x:v>NYT-47-f565307c06b862f5</x:v>
      </x:c>
      <x:c r="B155" s="18" t="str">
        <x:v>In the matter of MAYA CONSTRUCTION COMPANY PRIVATE LIMITED [IA (Plan)/6(AHM)/2026 in C.P. (IB)/190 (AHM) 2023]</x:v>
      </x:c>
      <x:c r="C155" s="18" t="str">
        <x:v>2026-07-08</x:v>
      </x:c>
      <x:c r="D155" s="18" t="n">
        <x:v>2026</x:v>
      </x:c>
      <x:c r="E155" s="18" t="str">
        <x:v>2026-07</x:v>
      </x:c>
      <x:c r="F155" s="18" t="str"/>
      <x:c r="G155" s="18" t="str"/>
      <x:c r="H155" s="18" t="str"/>
      <x:c r="I155" s="18" t="str">
        <x:v>MAYA CONSTRUCTION COMPANY PRIVATE LIMITED</x:v>
      </x:c>
      <x:c r="J155" s="20" t="str"/>
      <x:c r="K155" s="18" t="str"/>
      <x:c r="L155" s="18" t="str">
        <x:v>In the matter of MAYA CONSTRUCTION COMPANY PRIVATE LIMITED [IA (Plan)/6(AHM)/2026 in C.P. (IB)/190 (AHM) 2023]</x:v>
      </x:c>
      <x:c r="M155" s="18" t="str">
        <x:v>2026-07-08</x:v>
      </x:c>
      <x:c r="N155" s="18" t="str">
        <x:v>MAYA CONSTRUCTION COMPANY PRIVATE LIMITED</x:v>
      </x:c>
      <x:c r="O155" s="18" t="str">
        <x:v>nclt_18wdisw</x:v>
      </x:c>
      <x:c r="P155" s="18" t="str"/>
      <x:c r="Q155" s="18" t="str"/>
      <x:c r="R155" s="18" t="str"/>
      <x:c r="S155" s="18" t="str"/>
      <x:c r="T155" s="18" t="str"/>
      <x:c r="U155" s="18" t="str">
        <x:v>Appointment - Appointment of Liquidator</x:v>
      </x:c>
      <x:c r="V155" s="18" t="str">
        <x:v>DEFINED_TERMINAL_OR_FEED_SCOPE</x:v>
      </x:c>
      <x:c r="W155" s="18" t="str">
        <x:v>judiciary_nclt_orders.json — published records loaded</x:v>
      </x:c>
      <x:c r="X155" s="18" t="str"/>
      <x:c r="Y155" s="18" t="str"/>
      <x:c r="Z155" s="20" t="n">
        <x:v>434</x:v>
      </x:c>
      <x:c r="AA155" s="19" t="n">
        <x:f>IFERROR(TODAY()-DATEVALUE(C155),"")</x:f>
        <x:v>64</x:v>
      </x:c>
      <x:c r="AB155" s="21" t="n">
        <x:f>ROUND(COUNTA(A155:K155)/11*100,0)</x:f>
        <x:v>100</x:v>
      </x:c>
      <x:c r="AC155" s="18" t="str">
        <x:v>National Company Law Tribunal</x:v>
      </x:c>
      <x:c r="AD155" s="22" t="str">
        <x:v>https://ibbi.gov.in/uploads/order/ea9393916f46fd14e2825275f31fca13.pdf</x:v>
      </x:c>
      <x:c r="AE155" s="18" t="str">
        <x:v>2026-07-08</x:v>
      </x:c>
      <x:c r="AF155" s="18" t="n">
        <x:v>46275.114583333336</x:v>
      </x:c>
      <x:c r="AG155" s="18" t="str">
        <x:v>retained_terminal</x:v>
      </x:c>
      <x:c r="AH155" s="18" t="str">
        <x:v>READY</x:v>
      </x:c>
    </x:row>
    <x:row r="156">
      <x:c r="A156" s="18" t="str">
        <x:v>NYT-47-b2c218c14099070e</x:v>
      </x:c>
      <x:c r="B156" s="18" t="str">
        <x:v>In the matter of SWADESH GREEN INFRA LIMITED [IB-394(ND)/2025]</x:v>
      </x:c>
      <x:c r="C156" s="18" t="str">
        <x:v>2026-07-08</x:v>
      </x:c>
      <x:c r="D156" s="18" t="n">
        <x:v>2026</x:v>
      </x:c>
      <x:c r="E156" s="18" t="str">
        <x:v>2026-07</x:v>
      </x:c>
      <x:c r="F156" s="18" t="str"/>
      <x:c r="G156" s="18" t="str"/>
      <x:c r="H156" s="18" t="str"/>
      <x:c r="I156" s="18" t="str">
        <x:v>SWADESH GREEN INFRA LIMITED</x:v>
      </x:c>
      <x:c r="J156" s="20" t="str"/>
      <x:c r="K156" s="18" t="str"/>
      <x:c r="L156" s="18" t="str">
        <x:v>In the matter of SWADESH GREEN INFRA LIMITED [IB-394(ND)/2025]</x:v>
      </x:c>
      <x:c r="M156" s="18" t="str">
        <x:v>2026-07-08</x:v>
      </x:c>
      <x:c r="N156" s="18" t="str">
        <x:v>SWADESH GREEN INFRA LIMITED</x:v>
      </x:c>
      <x:c r="O156" s="18" t="str">
        <x:v>nclt_fa7sdv</x:v>
      </x:c>
      <x:c r="P156" s="18" t="str"/>
      <x:c r="Q156" s="18" t="str"/>
      <x:c r="R156" s="18" t="str"/>
      <x:c r="S156" s="18" t="str"/>
      <x:c r="T156" s="18" t="str"/>
      <x:c r="U156" s="18" t="str">
        <x:v>Admission - Final Order</x:v>
      </x:c>
      <x:c r="V156" s="18" t="str">
        <x:v>DEFINED_TERMINAL_OR_FEED_SCOPE</x:v>
      </x:c>
      <x:c r="W156" s="18" t="str">
        <x:v>judiciary_nclt_orders.json — published records loaded</x:v>
      </x:c>
      <x:c r="X156" s="18" t="str"/>
      <x:c r="Y156" s="18" t="str"/>
      <x:c r="Z156" s="20" t="n">
        <x:v>434</x:v>
      </x:c>
      <x:c r="AA156" s="19" t="n">
        <x:f>IFERROR(TODAY()-DATEVALUE(C156),"")</x:f>
        <x:v>64</x:v>
      </x:c>
      <x:c r="AB156" s="21" t="n">
        <x:f>ROUND(COUNTA(A156:K156)/11*100,0)</x:f>
        <x:v>100</x:v>
      </x:c>
      <x:c r="AC156" s="18" t="str">
        <x:v>National Company Law Tribunal</x:v>
      </x:c>
      <x:c r="AD156" s="22" t="str">
        <x:v>https://ibbi.gov.in/uploads/order/af7474a2e37ce0bb987e9ee2fd0d2f45.pdf</x:v>
      </x:c>
      <x:c r="AE156" s="18" t="str">
        <x:v>2026-07-08</x:v>
      </x:c>
      <x:c r="AF156" s="18" t="n">
        <x:v>46275.114583333336</x:v>
      </x:c>
      <x:c r="AG156" s="18" t="str">
        <x:v>retained_terminal</x:v>
      </x:c>
      <x:c r="AH156" s="18" t="str">
        <x:v>READY</x:v>
      </x:c>
    </x:row>
    <x:row r="157">
      <x:c r="A157" s="18" t="str">
        <x:v>NYT-47-3f7d3012978e4b8d</x:v>
      </x:c>
      <x:c r="B157" s="18" t="str">
        <x:v>NCLT / NCLAT (Insolvency) source coverage</x:v>
      </x:c>
      <x:c r="C157" s="18" t="str">
        <x:v>2026-08-08</x:v>
      </x:c>
      <x:c r="D157" s="18" t="n">
        <x:v>2026</x:v>
      </x:c>
      <x:c r="E157" s="18" t="str">
        <x:v>2026-08</x:v>
      </x:c>
      <x:c r="F157" s="18" t="str"/>
      <x:c r="G157" s="18" t="str">
        <x:v>Public Announcement of Voluntary Liquidation Process</x:v>
      </x:c>
      <x:c r="H157" s="18" t="str"/>
      <x:c r="I157" s="18" t="str"/>
      <x:c r="J157" s="20" t="str"/>
      <x:c r="K157" s="18" t="str"/>
      <x:c r="L157" s="18" t="str"/>
      <x:c r="M157" s="18" t="str">
        <x:v>2026-08-08</x:v>
      </x:c>
      <x:c r="N157" s="18" t="str"/>
      <x:c r="O157" s="18" t="str">
        <x:v>ibbi_1fa17sr</x:v>
      </x:c>
      <x:c r="P157" s="18" t="str">
        <x:v>KOBELCO MACHINERY INDIA PRIVATE LIMITED</x:v>
      </x:c>
      <x:c r="Q157" s="18" t="str">
        <x:v>KOBELCO MACHINERY INDIA PRIVATE LIMITED</x:v>
      </x:c>
      <x:c r="R157" s="18" t="str">
        <x:v>Rachna Anchalia</x:v>
      </x:c>
      <x:c r="S157" s="18" t="str">
        <x:v>2026-09-04</x:v>
      </x:c>
      <x:c r="T157" s="18" t="str">
        <x:v>Public Announcement of Voluntary Liquidation Process</x:v>
      </x:c>
      <x:c r="U157" s="18" t="str"/>
      <x:c r="V157" s="18" t="str">
        <x:v>DEFINED_TERMINAL_OR_FEED_SCOPE</x:v>
      </x:c>
      <x:c r="W157" s="18" t="str">
        <x:v>national_ibbi_announcements.json — published records loaded</x:v>
      </x:c>
      <x:c r="X157" s="18" t="str"/>
      <x:c r="Y157" s="18" t="str"/>
      <x:c r="Z157" s="20" t="n">
        <x:v>434</x:v>
      </x:c>
      <x:c r="AA157" s="19" t="n">
        <x:f>IFERROR(TODAY()-DATEVALUE(C157),"")</x:f>
        <x:v>33</x:v>
      </x:c>
      <x:c r="AB157" s="21" t="n">
        <x:f>ROUND(COUNTA(A157:K157)/11*100,0)</x:f>
        <x:v>100</x:v>
      </x:c>
      <x:c r="AC157" s="18" t="str">
        <x:v>National Company Law Tribunal</x:v>
      </x:c>
      <x:c r="AD157" s="22" t="str">
        <x:v>https://ibbi.gov.in/uploads/announcement/2026-08-09-164603-w78ga-5c06ce6c0111806ecfd4fbad7e27f559.pdf</x:v>
      </x:c>
      <x:c r="AE157" s="18" t="str">
        <x:v>2026-08-08</x:v>
      </x:c>
      <x:c r="AF157" s="18" t="n">
        <x:v>46275.114583333336</x:v>
      </x:c>
      <x:c r="AG157" s="18" t="str">
        <x:v>retained_terminal</x:v>
      </x:c>
      <x:c r="AH157" s="18" t="str">
        <x:v>READY</x:v>
      </x:c>
    </x:row>
    <x:row r="158">
      <x:c r="A158" s="18" t="str">
        <x:v>NYT-47-dfafc9eb7cc39c92</x:v>
      </x:c>
      <x:c r="B158" s="18" t="str">
        <x:v>NCLT / NCLAT (Insolvency) source coverage</x:v>
      </x:c>
      <x:c r="C158" s="18" t="str">
        <x:v>2026-08-08</x:v>
      </x:c>
      <x:c r="D158" s="18" t="n">
        <x:v>2026</x:v>
      </x:c>
      <x:c r="E158" s="18" t="str">
        <x:v>2026-08</x:v>
      </x:c>
      <x:c r="F158" s="18" t="str"/>
      <x:c r="G158" s="18" t="str">
        <x:v>Public Announcement of Corporate Insolvency Resolution Process</x:v>
      </x:c>
      <x:c r="H158" s="18" t="str"/>
      <x:c r="I158" s="18" t="str"/>
      <x:c r="J158" s="20" t="str"/>
      <x:c r="K158" s="18" t="str"/>
      <x:c r="L158" s="18" t="str"/>
      <x:c r="M158" s="18" t="str">
        <x:v>2026-08-08</x:v>
      </x:c>
      <x:c r="N158" s="18" t="str"/>
      <x:c r="O158" s="18" t="str">
        <x:v>ibbi_12r0cn8</x:v>
      </x:c>
      <x:c r="P158" s="18" t="str">
        <x:v>Prem Associates</x:v>
      </x:c>
      <x:c r="Q158" s="18" t="str">
        <x:v>DRISHAN INDUSTRIES PRIVATE LIMITED</x:v>
      </x:c>
      <x:c r="R158" s="18" t="str">
        <x:v>VARUN ANIL CHOPRA</x:v>
      </x:c>
      <x:c r="S158" s="18" t="str">
        <x:v>2026-08-22</x:v>
      </x:c>
      <x:c r="T158" s="18" t="str">
        <x:v>Public Announcement of Corporate Insolvency Resolution Process</x:v>
      </x:c>
      <x:c r="U158" s="18" t="str"/>
      <x:c r="V158" s="18" t="str">
        <x:v>DEFINED_TERMINAL_OR_FEED_SCOPE</x:v>
      </x:c>
      <x:c r="W158" s="18" t="str">
        <x:v>national_ibbi_announcements.json — published records loaded</x:v>
      </x:c>
      <x:c r="X158" s="18" t="str"/>
      <x:c r="Y158" s="18" t="str"/>
      <x:c r="Z158" s="20" t="n">
        <x:v>434</x:v>
      </x:c>
      <x:c r="AA158" s="19" t="n">
        <x:f>IFERROR(TODAY()-DATEVALUE(C158),"")</x:f>
        <x:v>33</x:v>
      </x:c>
      <x:c r="AB158" s="21" t="n">
        <x:f>ROUND(COUNTA(A158:K158)/11*100,0)</x:f>
        <x:v>100</x:v>
      </x:c>
      <x:c r="AC158" s="18" t="str">
        <x:v>National Company Law Tribunal</x:v>
      </x:c>
      <x:c r="AD158" s="22" t="str">
        <x:v>https://ibbi.gov.in/uploads/announcement/2026-08-08-171447-kz91l-24149f0c44e6660b39b79da62012a3b0.pdf</x:v>
      </x:c>
      <x:c r="AE158" s="18" t="str">
        <x:v>2026-08-08</x:v>
      </x:c>
      <x:c r="AF158" s="18" t="n">
        <x:v>46275.114583333336</x:v>
      </x:c>
      <x:c r="AG158" s="18" t="str">
        <x:v>retained_terminal</x:v>
      </x:c>
      <x:c r="AH158" s="18" t="str">
        <x:v>READY</x:v>
      </x:c>
    </x:row>
    <x:row r="159">
      <x:c r="A159" s="18" t="str">
        <x:v>NYT-47-f0081fa3f32da677</x:v>
      </x:c>
      <x:c r="B159" s="18" t="str">
        <x:v>NCLT / NCLAT (Insolvency) source coverage</x:v>
      </x:c>
      <x:c r="C159" s="18" t="str">
        <x:v>2026-08-08</x:v>
      </x:c>
      <x:c r="D159" s="18" t="n">
        <x:v>2026</x:v>
      </x:c>
      <x:c r="E159" s="18" t="str">
        <x:v>2026-08</x:v>
      </x:c>
      <x:c r="F159" s="18" t="str"/>
      <x:c r="G159" s="18" t="str">
        <x:v>Public Announcement of Corporate Insolvency Resolution Process</x:v>
      </x:c>
      <x:c r="H159" s="18" t="str"/>
      <x:c r="I159" s="18" t="str"/>
      <x:c r="J159" s="20" t="str"/>
      <x:c r="K159" s="18" t="str"/>
      <x:c r="L159" s="18" t="str"/>
      <x:c r="M159" s="18" t="str">
        <x:v>2026-08-08</x:v>
      </x:c>
      <x:c r="N159" s="18" t="str"/>
      <x:c r="O159" s="18" t="str">
        <x:v>ibbi_57i6k0</x:v>
      </x:c>
      <x:c r="P159" s="18" t="str">
        <x:v>Minaxi Suppliers Private Limited</x:v>
      </x:c>
      <x:c r="Q159" s="18" t="str">
        <x:v>SUN GRANITE EXPORT LIMITED</x:v>
      </x:c>
      <x:c r="R159" s="18" t="str">
        <x:v>Raghunath Bhandari</x:v>
      </x:c>
      <x:c r="S159" s="18" t="str">
        <x:v>2026-08-19</x:v>
      </x:c>
      <x:c r="T159" s="18" t="str">
        <x:v>Public Announcement of Corporate Insolvency Resolution Process</x:v>
      </x:c>
      <x:c r="U159" s="18" t="str"/>
      <x:c r="V159" s="18" t="str">
        <x:v>DEFINED_TERMINAL_OR_FEED_SCOPE</x:v>
      </x:c>
      <x:c r="W159" s="18" t="str">
        <x:v>national_ibbi_announcements.json — published records loaded</x:v>
      </x:c>
      <x:c r="X159" s="18" t="str"/>
      <x:c r="Y159" s="18" t="str"/>
      <x:c r="Z159" s="20" t="n">
        <x:v>434</x:v>
      </x:c>
      <x:c r="AA159" s="19" t="n">
        <x:f>IFERROR(TODAY()-DATEVALUE(C159),"")</x:f>
        <x:v>33</x:v>
      </x:c>
      <x:c r="AB159" s="21" t="n">
        <x:f>ROUND(COUNTA(A159:K159)/11*100,0)</x:f>
        <x:v>100</x:v>
      </x:c>
      <x:c r="AC159" s="18" t="str">
        <x:v>National Company Law Tribunal</x:v>
      </x:c>
      <x:c r="AD159" s="22" t="str">
        <x:v>https://ibbi.gov.in/uploads/announcement/82357ded4dba5c6e395860f639d2da1e.pdf</x:v>
      </x:c>
      <x:c r="AE159" s="18" t="str">
        <x:v>2026-08-08</x:v>
      </x:c>
      <x:c r="AF159" s="18" t="n">
        <x:v>46275.114583333336</x:v>
      </x:c>
      <x:c r="AG159" s="18" t="str">
        <x:v>retained_terminal</x:v>
      </x:c>
      <x:c r="AH159" s="18" t="str">
        <x:v>READY</x:v>
      </x:c>
    </x:row>
    <x:row r="160">
      <x:c r="A160" s="18" t="str">
        <x:v>NYT-47-a9743e52e92b84a9</x:v>
      </x:c>
      <x:c r="B160" s="18" t="str">
        <x:v>NCLT / NCLAT (Insolvency) source coverage</x:v>
      </x:c>
      <x:c r="C160" s="18" t="str">
        <x:v>2026-08-08</x:v>
      </x:c>
      <x:c r="D160" s="18" t="n">
        <x:v>2026</x:v>
      </x:c>
      <x:c r="E160" s="18" t="str">
        <x:v>2026-08</x:v>
      </x:c>
      <x:c r="F160" s="18" t="str"/>
      <x:c r="G160" s="18" t="str">
        <x:v>Public Announcement of Corporate Insolvency Resolution Process</x:v>
      </x:c>
      <x:c r="H160" s="18" t="str"/>
      <x:c r="I160" s="18" t="str"/>
      <x:c r="J160" s="20" t="str"/>
      <x:c r="K160" s="18" t="str"/>
      <x:c r="L160" s="18" t="str"/>
      <x:c r="M160" s="18" t="str">
        <x:v>2026-08-08</x:v>
      </x:c>
      <x:c r="N160" s="18" t="str"/>
      <x:c r="O160" s="18" t="str">
        <x:v>ibbi_1rcdpht</x:v>
      </x:c>
      <x:c r="P160" s="18" t="str">
        <x:v>Omkara Assets Reconstruction Private Limited</x:v>
      </x:c>
      <x:c r="Q160" s="18" t="str">
        <x:v>Matoshree Infrastructure Private Limited</x:v>
      </x:c>
      <x:c r="R160" s="18" t="str">
        <x:v>Mr. Prashant Jain</x:v>
      </x:c>
      <x:c r="S160" s="18" t="str">
        <x:v>2026-08-19</x:v>
      </x:c>
      <x:c r="T160" s="18" t="str">
        <x:v>Public Announcement of Corporate Insolvency Resolution Process</x:v>
      </x:c>
      <x:c r="U160" s="18" t="str"/>
      <x:c r="V160" s="18" t="str">
        <x:v>DEFINED_TERMINAL_OR_FEED_SCOPE</x:v>
      </x:c>
      <x:c r="W160" s="18" t="str">
        <x:v>national_ibbi_announcements.json — published records loaded</x:v>
      </x:c>
      <x:c r="X160" s="18" t="str"/>
      <x:c r="Y160" s="18" t="str"/>
      <x:c r="Z160" s="20" t="n">
        <x:v>434</x:v>
      </x:c>
      <x:c r="AA160" s="19" t="n">
        <x:f>IFERROR(TODAY()-DATEVALUE(C160),"")</x:f>
        <x:v>33</x:v>
      </x:c>
      <x:c r="AB160" s="21" t="n">
        <x:f>ROUND(COUNTA(A160:K160)/11*100,0)</x:f>
        <x:v>100</x:v>
      </x:c>
      <x:c r="AC160" s="18" t="str">
        <x:v>National Company Law Tribunal</x:v>
      </x:c>
      <x:c r="AD160" s="22" t="str">
        <x:v>https://ibbi.gov.in/uploads/announcement/5af5f357f8c4d4475ff3cfc2a9f9542e.pdf</x:v>
      </x:c>
      <x:c r="AE160" s="18" t="str">
        <x:v>2026-08-08</x:v>
      </x:c>
      <x:c r="AF160" s="18" t="n">
        <x:v>46275.114583333336</x:v>
      </x:c>
      <x:c r="AG160" s="18" t="str">
        <x:v>retained_terminal</x:v>
      </x:c>
      <x:c r="AH160" s="18" t="str">
        <x:v>READY</x:v>
      </x:c>
    </x:row>
    <x:row r="161">
      <x:c r="A161" s="18" t="str">
        <x:v>NYT-47-0d953770ca079470</x:v>
      </x:c>
      <x:c r="B161" s="18" t="str">
        <x:v>NCLT / NCLAT (Insolvency) source coverage</x:v>
      </x:c>
      <x:c r="C161" s="18" t="str">
        <x:v>2026-08-07</x:v>
      </x:c>
      <x:c r="D161" s="18" t="n">
        <x:v>2026</x:v>
      </x:c>
      <x:c r="E161" s="18" t="str">
        <x:v>2026-08</x:v>
      </x:c>
      <x:c r="F161" s="18" t="str"/>
      <x:c r="G161" s="18" t="str">
        <x:v>Public Announcement of Corporate Insolvency Resolution Process</x:v>
      </x:c>
      <x:c r="H161" s="18" t="str"/>
      <x:c r="I161" s="18" t="str"/>
      <x:c r="J161" s="20" t="str"/>
      <x:c r="K161" s="18" t="str"/>
      <x:c r="L161" s="18" t="str"/>
      <x:c r="M161" s="18" t="str">
        <x:v>2026-08-07</x:v>
      </x:c>
      <x:c r="N161" s="18" t="str"/>
      <x:c r="O161" s="18" t="str">
        <x:v>ibbi_cmadfx</x:v>
      </x:c>
      <x:c r="P161" s="18" t="str">
        <x:v>Small Industries Development Bank of India</x:v>
      </x:c>
      <x:c r="Q161" s="18" t="str">
        <x:v>G &amp; L PROFILE AND EQUIPMENTS PRIVATE LIMITED</x:v>
      </x:c>
      <x:c r="R161" s="18" t="str">
        <x:v>Mr. Manish Kumar Bhagat</x:v>
      </x:c>
      <x:c r="S161" s="18" t="str">
        <x:v>2026-08-18</x:v>
      </x:c>
      <x:c r="T161" s="18" t="str">
        <x:v>Public Announcement of Corporate Insolvency Resolution Process</x:v>
      </x:c>
      <x:c r="U161" s="18" t="str"/>
      <x:c r="V161" s="18" t="str">
        <x:v>DEFINED_TERMINAL_OR_FEED_SCOPE</x:v>
      </x:c>
      <x:c r="W161" s="18" t="str">
        <x:v>national_ibbi_announcements.json — published records loaded</x:v>
      </x:c>
      <x:c r="X161" s="18" t="str"/>
      <x:c r="Y161" s="18" t="str"/>
      <x:c r="Z161" s="20" t="n">
        <x:v>434</x:v>
      </x:c>
      <x:c r="AA161" s="19" t="n">
        <x:f>IFERROR(TODAY()-DATEVALUE(C161),"")</x:f>
        <x:v>34</x:v>
      </x:c>
      <x:c r="AB161" s="21" t="n">
        <x:f>ROUND(COUNTA(A161:K161)/11*100,0)</x:f>
        <x:v>100</x:v>
      </x:c>
      <x:c r="AC161" s="18" t="str">
        <x:v>National Company Law Tribunal</x:v>
      </x:c>
      <x:c r="AD161" s="22" t="str">
        <x:v>https://ibbi.gov.in/uploads/announcement/2026-08-10-144416-mfojc-58b336335367d625c6f632cbffd7f00a.pdf</x:v>
      </x:c>
      <x:c r="AE161" s="18" t="str">
        <x:v>2026-08-07</x:v>
      </x:c>
      <x:c r="AF161" s="18" t="n">
        <x:v>46275.114583333336</x:v>
      </x:c>
      <x:c r="AG161" s="18" t="str">
        <x:v>retained_terminal</x:v>
      </x:c>
      <x:c r="AH161" s="18" t="str">
        <x:v>READY</x:v>
      </x:c>
    </x:row>
    <x:row r="162">
      <x:c r="A162" s="18" t="str">
        <x:v>NYT-47-e71ac067bbc99a44</x:v>
      </x:c>
      <x:c r="B162" s="18" t="str">
        <x:v>NCLT / NCLAT (Insolvency) source coverage</x:v>
      </x:c>
      <x:c r="C162" s="18" t="str">
        <x:v>2026-08-07</x:v>
      </x:c>
      <x:c r="D162" s="18" t="n">
        <x:v>2026</x:v>
      </x:c>
      <x:c r="E162" s="18" t="str">
        <x:v>2026-08</x:v>
      </x:c>
      <x:c r="F162" s="18" t="str"/>
      <x:c r="G162" s="18" t="str">
        <x:v>Public Announcement of Corporate Insolvency Resolution Process</x:v>
      </x:c>
      <x:c r="H162" s="18" t="str"/>
      <x:c r="I162" s="18" t="str"/>
      <x:c r="J162" s="20" t="str"/>
      <x:c r="K162" s="18" t="str"/>
      <x:c r="L162" s="18" t="str"/>
      <x:c r="M162" s="18" t="str">
        <x:v>2026-08-07</x:v>
      </x:c>
      <x:c r="N162" s="18" t="str"/>
      <x:c r="O162" s="18" t="str">
        <x:v>ibbi_11y0zuq</x:v>
      </x:c>
      <x:c r="P162" s="18" t="str">
        <x:v>Phoenix ARC Pvt Ltd (Trustee of Phoenix Trust FY22-16)</x:v>
      </x:c>
      <x:c r="Q162" s="18" t="str">
        <x:v>VIRGO PROPERTIES PRIVATE LIMITED</x:v>
      </x:c>
      <x:c r="R162" s="18" t="str">
        <x:v>Ms. Renuka Devi Rangaswamy</x:v>
      </x:c>
      <x:c r="S162" s="18" t="str">
        <x:v>2026-08-18</x:v>
      </x:c>
      <x:c r="T162" s="18" t="str">
        <x:v>Public Announcement of Corporate Insolvency Resolution Process</x:v>
      </x:c>
      <x:c r="U162" s="18" t="str"/>
      <x:c r="V162" s="18" t="str">
        <x:v>DEFINED_TERMINAL_OR_FEED_SCOPE</x:v>
      </x:c>
      <x:c r="W162" s="18" t="str">
        <x:v>national_ibbi_announcements.json — published records loaded</x:v>
      </x:c>
      <x:c r="X162" s="18" t="str"/>
      <x:c r="Y162" s="18" t="str"/>
      <x:c r="Z162" s="20" t="n">
        <x:v>434</x:v>
      </x:c>
      <x:c r="AA162" s="19" t="n">
        <x:f>IFERROR(TODAY()-DATEVALUE(C162),"")</x:f>
        <x:v>34</x:v>
      </x:c>
      <x:c r="AB162" s="21" t="n">
        <x:f>ROUND(COUNTA(A162:K162)/11*100,0)</x:f>
        <x:v>100</x:v>
      </x:c>
      <x:c r="AC162" s="18" t="str">
        <x:v>National Company Law Tribunal</x:v>
      </x:c>
      <x:c r="AD162" s="22" t="str">
        <x:v>https://ibbi.gov.in/uploads/announcement/b768220b34779d8438463debd27918ef.pdf</x:v>
      </x:c>
      <x:c r="AE162" s="18" t="str">
        <x:v>2026-08-07</x:v>
      </x:c>
      <x:c r="AF162" s="18" t="n">
        <x:v>46275.114583333336</x:v>
      </x:c>
      <x:c r="AG162" s="18" t="str">
        <x:v>retained_terminal</x:v>
      </x:c>
      <x:c r="AH162" s="18" t="str">
        <x:v>READY</x:v>
      </x:c>
    </x:row>
    <x:row r="163">
      <x:c r="A163" s="18" t="str">
        <x:v>NYT-47-35ce7e8c483f452b</x:v>
      </x:c>
      <x:c r="B163" s="18" t="str">
        <x:v>NCLT / NCLAT (Insolvency) source coverage</x:v>
      </x:c>
      <x:c r="C163" s="18" t="str">
        <x:v>2026-08-07</x:v>
      </x:c>
      <x:c r="D163" s="18" t="n">
        <x:v>2026</x:v>
      </x:c>
      <x:c r="E163" s="18" t="str">
        <x:v>2026-08</x:v>
      </x:c>
      <x:c r="F163" s="18" t="str"/>
      <x:c r="G163" s="18" t="str">
        <x:v>Public Announcement of Corporate Insolvency Resolution Process</x:v>
      </x:c>
      <x:c r="H163" s="18" t="str"/>
      <x:c r="I163" s="18" t="str"/>
      <x:c r="J163" s="20" t="str"/>
      <x:c r="K163" s="18" t="str"/>
      <x:c r="L163" s="18" t="str"/>
      <x:c r="M163" s="18" t="str">
        <x:v>2026-08-07</x:v>
      </x:c>
      <x:c r="N163" s="18" t="str"/>
      <x:c r="O163" s="18" t="str">
        <x:v>ibbi_111euw0</x:v>
      </x:c>
      <x:c r="P163" s="18" t="str">
        <x:v>Phoenix ARC Pvt Ltd (Trustee of Phoenix Trust FY22-16)</x:v>
      </x:c>
      <x:c r="Q163" s="18" t="str">
        <x:v>VIRGO REALTORS PRIVATE LIMITED</x:v>
      </x:c>
      <x:c r="R163" s="18" t="str">
        <x:v>Ms. Renuka Devi Rangaswamy</x:v>
      </x:c>
      <x:c r="S163" s="18" t="str">
        <x:v>2026-08-18</x:v>
      </x:c>
      <x:c r="T163" s="18" t="str">
        <x:v>Public Announcement of Corporate Insolvency Resolution Process</x:v>
      </x:c>
      <x:c r="U163" s="18" t="str"/>
      <x:c r="V163" s="18" t="str">
        <x:v>DEFINED_TERMINAL_OR_FEED_SCOPE</x:v>
      </x:c>
      <x:c r="W163" s="18" t="str">
        <x:v>national_ibbi_announcements.json — published records loaded</x:v>
      </x:c>
      <x:c r="X163" s="18" t="str"/>
      <x:c r="Y163" s="18" t="str"/>
      <x:c r="Z163" s="20" t="n">
        <x:v>434</x:v>
      </x:c>
      <x:c r="AA163" s="19" t="n">
        <x:f>IFERROR(TODAY()-DATEVALUE(C163),"")</x:f>
        <x:v>34</x:v>
      </x:c>
      <x:c r="AB163" s="21" t="n">
        <x:f>ROUND(COUNTA(A163:K163)/11*100,0)</x:f>
        <x:v>100</x:v>
      </x:c>
      <x:c r="AC163" s="18" t="str">
        <x:v>National Company Law Tribunal</x:v>
      </x:c>
      <x:c r="AD163" s="22" t="str">
        <x:v>https://ibbi.gov.in/uploads/announcement/f1b8fca9b36029f9ce9c90f3baeb7b9c.pdf</x:v>
      </x:c>
      <x:c r="AE163" s="18" t="str">
        <x:v>2026-08-07</x:v>
      </x:c>
      <x:c r="AF163" s="18" t="n">
        <x:v>46275.114583333336</x:v>
      </x:c>
      <x:c r="AG163" s="18" t="str">
        <x:v>retained_terminal</x:v>
      </x:c>
      <x:c r="AH163" s="18" t="str">
        <x:v>READY</x:v>
      </x:c>
    </x:row>
    <x:row r="164">
      <x:c r="A164" s="18" t="str">
        <x:v>NYT-47-4a07afd6bc5727cc</x:v>
      </x:c>
      <x:c r="B164" s="18" t="str">
        <x:v>NCLT / NCLAT (Insolvency) source coverage</x:v>
      </x:c>
      <x:c r="C164" s="18" t="str">
        <x:v>2026-08-07</x:v>
      </x:c>
      <x:c r="D164" s="18" t="n">
        <x:v>2026</x:v>
      </x:c>
      <x:c r="E164" s="18" t="str">
        <x:v>2026-08</x:v>
      </x:c>
      <x:c r="F164" s="18" t="str"/>
      <x:c r="G164" s="18" t="str">
        <x:v>Public Announcement of Voluntary Liquidation Process</x:v>
      </x:c>
      <x:c r="H164" s="18" t="str"/>
      <x:c r="I164" s="18" t="str"/>
      <x:c r="J164" s="20" t="str"/>
      <x:c r="K164" s="18" t="str"/>
      <x:c r="L164" s="18" t="str"/>
      <x:c r="M164" s="18" t="str">
        <x:v>2026-08-07</x:v>
      </x:c>
      <x:c r="N164" s="18" t="str"/>
      <x:c r="O164" s="18" t="str">
        <x:v>ibbi_1mokaaq</x:v>
      </x:c>
      <x:c r="P164" s="18" t="str">
        <x:v>SARASWATHI PACKAGING PRIVATE LIMITED</x:v>
      </x:c>
      <x:c r="Q164" s="18" t="str">
        <x:v>SARASWATHI PACKAGING PRIVATE LIMITED</x:v>
      </x:c>
      <x:c r="R164" s="18" t="str">
        <x:v>Rajesh Jasti</x:v>
      </x:c>
      <x:c r="S164" s="18" t="str">
        <x:v>2026-09-04</x:v>
      </x:c>
      <x:c r="T164" s="18" t="str">
        <x:v>Public Announcement of Voluntary Liquidation Process</x:v>
      </x:c>
      <x:c r="U164" s="18" t="str"/>
      <x:c r="V164" s="18" t="str">
        <x:v>DEFINED_TERMINAL_OR_FEED_SCOPE</x:v>
      </x:c>
      <x:c r="W164" s="18" t="str">
        <x:v>national_ibbi_announcements.json — published records loaded</x:v>
      </x:c>
      <x:c r="X164" s="18" t="str"/>
      <x:c r="Y164" s="18" t="str"/>
      <x:c r="Z164" s="20" t="n">
        <x:v>434</x:v>
      </x:c>
      <x:c r="AA164" s="19" t="n">
        <x:f>IFERROR(TODAY()-DATEVALUE(C164),"")</x:f>
        <x:v>34</x:v>
      </x:c>
      <x:c r="AB164" s="21" t="n">
        <x:f>ROUND(COUNTA(A164:K164)/11*100,0)</x:f>
        <x:v>100</x:v>
      </x:c>
      <x:c r="AC164" s="18" t="str">
        <x:v>National Company Law Tribunal</x:v>
      </x:c>
      <x:c r="AD164" s="22" t="str">
        <x:v>https://ibbi.gov.in/uploads/announcement/b1b222543144a9d16aec832a1f29a2eb.pdf</x:v>
      </x:c>
      <x:c r="AE164" s="18" t="str">
        <x:v>2026-08-07</x:v>
      </x:c>
      <x:c r="AF164" s="18" t="n">
        <x:v>46275.114583333336</x:v>
      </x:c>
      <x:c r="AG164" s="18" t="str">
        <x:v>retained_terminal</x:v>
      </x:c>
      <x:c r="AH164" s="18" t="str">
        <x:v>READY</x:v>
      </x:c>
    </x:row>
    <x:row r="165">
      <x:c r="A165" s="18" t="str">
        <x:v>NYT-47-fb3f0c55db626760</x:v>
      </x:c>
      <x:c r="B165" s="18" t="str">
        <x:v>NCLT / NCLAT (Insolvency) source coverage</x:v>
      </x:c>
      <x:c r="C165" s="18" t="str">
        <x:v>2026-08-07</x:v>
      </x:c>
      <x:c r="D165" s="18" t="n">
        <x:v>2026</x:v>
      </x:c>
      <x:c r="E165" s="18" t="str">
        <x:v>2026-08</x:v>
      </x:c>
      <x:c r="F165" s="18" t="str"/>
      <x:c r="G165" s="18" t="str">
        <x:v>Public Announcement of Corporate Insolvency Resolution Process</x:v>
      </x:c>
      <x:c r="H165" s="18" t="str"/>
      <x:c r="I165" s="18" t="str"/>
      <x:c r="J165" s="20" t="str"/>
      <x:c r="K165" s="18" t="str"/>
      <x:c r="L165" s="18" t="str"/>
      <x:c r="M165" s="18" t="str">
        <x:v>2026-08-07</x:v>
      </x:c>
      <x:c r="N165" s="18" t="str"/>
      <x:c r="O165" s="18" t="str">
        <x:v>ibbi_iqyrns</x:v>
      </x:c>
      <x:c r="P165" s="18" t="str">
        <x:v>M/s. Bhagwati Trading Co. through its Proprietor Mr. Pradeep Kumar Bansal</x:v>
      </x:c>
      <x:c r="Q165" s="18" t="str">
        <x:v>PREMIUM LAMINATORS PRIVATE LIMITED</x:v>
      </x:c>
      <x:c r="R165" s="18" t="str">
        <x:v>Gopal Garg</x:v>
      </x:c>
      <x:c r="S165" s="18" t="str">
        <x:v>2026-08-19</x:v>
      </x:c>
      <x:c r="T165" s="18" t="str">
        <x:v>Public Announcement of Corporate Insolvency Resolution Process</x:v>
      </x:c>
      <x:c r="U165" s="18" t="str"/>
      <x:c r="V165" s="18" t="str">
        <x:v>DEFINED_TERMINAL_OR_FEED_SCOPE</x:v>
      </x:c>
      <x:c r="W165" s="18" t="str">
        <x:v>national_ibbi_announcements.json — published records loaded</x:v>
      </x:c>
      <x:c r="X165" s="18" t="str"/>
      <x:c r="Y165" s="18" t="str"/>
      <x:c r="Z165" s="20" t="n">
        <x:v>434</x:v>
      </x:c>
      <x:c r="AA165" s="19" t="n">
        <x:f>IFERROR(TODAY()-DATEVALUE(C165),"")</x:f>
        <x:v>34</x:v>
      </x:c>
      <x:c r="AB165" s="21" t="n">
        <x:f>ROUND(COUNTA(A165:K165)/11*100,0)</x:f>
        <x:v>100</x:v>
      </x:c>
      <x:c r="AC165" s="18" t="str">
        <x:v>National Company Law Tribunal</x:v>
      </x:c>
      <x:c r="AD165" s="22" t="str">
        <x:v>https://ibbi.gov.in/uploads/announcement/87d6989e27a4d1c3523b4fb9098ea63f.pdf</x:v>
      </x:c>
      <x:c r="AE165" s="18" t="str">
        <x:v>2026-08-07</x:v>
      </x:c>
      <x:c r="AF165" s="18" t="n">
        <x:v>46275.114583333336</x:v>
      </x:c>
      <x:c r="AG165" s="18" t="str">
        <x:v>retained_terminal</x:v>
      </x:c>
      <x:c r="AH165" s="18" t="str">
        <x:v>READY</x:v>
      </x:c>
    </x:row>
    <x:row r="166">
      <x:c r="A166" s="18" t="str">
        <x:v>NYT-47-5668ec730f6232fa</x:v>
      </x:c>
      <x:c r="B166" s="18" t="str">
        <x:v>NCLT / NCLAT (Insolvency) source coverage</x:v>
      </x:c>
      <x:c r="C166" s="18" t="str">
        <x:v>2026-08-07</x:v>
      </x:c>
      <x:c r="D166" s="18" t="n">
        <x:v>2026</x:v>
      </x:c>
      <x:c r="E166" s="18" t="str">
        <x:v>2026-08</x:v>
      </x:c>
      <x:c r="F166" s="18" t="str"/>
      <x:c r="G166" s="18" t="str">
        <x:v>Public Announcement of Corporate Insolvency Resolution Process</x:v>
      </x:c>
      <x:c r="H166" s="18" t="str"/>
      <x:c r="I166" s="18" t="str"/>
      <x:c r="J166" s="20" t="str"/>
      <x:c r="K166" s="18" t="str"/>
      <x:c r="L166" s="18" t="str"/>
      <x:c r="M166" s="18" t="str">
        <x:v>2026-08-07</x:v>
      </x:c>
      <x:c r="N166" s="18" t="str"/>
      <x:c r="O166" s="18" t="str">
        <x:v>ibbi_ziqubv</x:v>
      </x:c>
      <x:c r="P166" s="18" t="str">
        <x:v>State Bank of India</x:v>
      </x:c>
      <x:c r="Q166" s="18" t="str">
        <x:v>KM TOLL ROAD PRIVATE LIMITED</x:v>
      </x:c>
      <x:c r="R166" s="18" t="str">
        <x:v>Mr. Ashish Saoji</x:v>
      </x:c>
      <x:c r="S166" s="18" t="str">
        <x:v>2026-08-19</x:v>
      </x:c>
      <x:c r="T166" s="18" t="str">
        <x:v>Public Announcement of Corporate Insolvency Resolution Process</x:v>
      </x:c>
      <x:c r="U166" s="18" t="str"/>
      <x:c r="V166" s="18" t="str">
        <x:v>DEFINED_TERMINAL_OR_FEED_SCOPE</x:v>
      </x:c>
      <x:c r="W166" s="18" t="str">
        <x:v>national_ibbi_announcements.json — published records loaded</x:v>
      </x:c>
      <x:c r="X166" s="18" t="str"/>
      <x:c r="Y166" s="18" t="str"/>
      <x:c r="Z166" s="20" t="n">
        <x:v>434</x:v>
      </x:c>
      <x:c r="AA166" s="19" t="n">
        <x:f>IFERROR(TODAY()-DATEVALUE(C166),"")</x:f>
        <x:v>34</x:v>
      </x:c>
      <x:c r="AB166" s="21" t="n">
        <x:f>ROUND(COUNTA(A166:K166)/11*100,0)</x:f>
        <x:v>100</x:v>
      </x:c>
      <x:c r="AC166" s="18" t="str">
        <x:v>National Company Law Tribunal</x:v>
      </x:c>
      <x:c r="AD166" s="22" t="str">
        <x:v>https://ibbi.gov.in/uploads/announcement/b774d45b0f9b64c190d4e8bfe89f4a13.pdf</x:v>
      </x:c>
      <x:c r="AE166" s="18" t="str">
        <x:v>2026-08-07</x:v>
      </x:c>
      <x:c r="AF166" s="18" t="n">
        <x:v>46275.114583333336</x:v>
      </x:c>
      <x:c r="AG166" s="18" t="str">
        <x:v>retained_terminal</x:v>
      </x:c>
      <x:c r="AH166" s="18" t="str">
        <x:v>READY</x:v>
      </x:c>
    </x:row>
    <x:row r="167">
      <x:c r="A167" s="18" t="str">
        <x:v>NYT-47-e60958c30aa785d6</x:v>
      </x:c>
      <x:c r="B167" s="18" t="str">
        <x:v>NCLT / NCLAT (Insolvency) source coverage</x:v>
      </x:c>
      <x:c r="C167" s="18" t="str">
        <x:v>2026-08-06</x:v>
      </x:c>
      <x:c r="D167" s="18" t="n">
        <x:v>2026</x:v>
      </x:c>
      <x:c r="E167" s="18" t="str">
        <x:v>2026-08</x:v>
      </x:c>
      <x:c r="F167" s="18" t="str"/>
      <x:c r="G167" s="18" t="str">
        <x:v>Public Announcement of Corporate Insolvency Resolution Process</x:v>
      </x:c>
      <x:c r="H167" s="18" t="str"/>
      <x:c r="I167" s="18" t="str"/>
      <x:c r="J167" s="20" t="str"/>
      <x:c r="K167" s="18" t="str"/>
      <x:c r="L167" s="18" t="str"/>
      <x:c r="M167" s="18" t="str">
        <x:v>2026-08-06</x:v>
      </x:c>
      <x:c r="N167" s="18" t="str"/>
      <x:c r="O167" s="18" t="str">
        <x:v>ibbi_bue7ga</x:v>
      </x:c>
      <x:c r="P167" s="18" t="str">
        <x:v>CENTRAL BANK OF INDIA</x:v>
      </x:c>
      <x:c r="Q167" s="18" t="str">
        <x:v>SHRI GAJANAN MAHARAJ SUGAR LIMITED</x:v>
      </x:c>
      <x:c r="R167" s="18" t="str">
        <x:v>Shekhar Arvind Parkhi</x:v>
      </x:c>
      <x:c r="S167" s="18" t="str">
        <x:v>2026-08-18</x:v>
      </x:c>
      <x:c r="T167" s="18" t="str">
        <x:v>Public Announcement of Corporate Insolvency Resolution Process</x:v>
      </x:c>
      <x:c r="U167" s="18" t="str"/>
      <x:c r="V167" s="18" t="str">
        <x:v>DEFINED_TERMINAL_OR_FEED_SCOPE</x:v>
      </x:c>
      <x:c r="W167" s="18" t="str">
        <x:v>national_ibbi_announcements.json — published records loaded</x:v>
      </x:c>
      <x:c r="X167" s="18" t="str"/>
      <x:c r="Y167" s="18" t="str"/>
      <x:c r="Z167" s="20" t="n">
        <x:v>434</x:v>
      </x:c>
      <x:c r="AA167" s="19" t="n">
        <x:f>IFERROR(TODAY()-DATEVALUE(C167),"")</x:f>
        <x:v>35</x:v>
      </x:c>
      <x:c r="AB167" s="21" t="n">
        <x:f>ROUND(COUNTA(A167:K167)/11*100,0)</x:f>
        <x:v>100</x:v>
      </x:c>
      <x:c r="AC167" s="18" t="str">
        <x:v>National Company Law Tribunal</x:v>
      </x:c>
      <x:c r="AD167" s="22" t="str">
        <x:v>https://ibbi.gov.in/uploads/announcement/ea3eaa0ec2f0c652803b920a490f9216.pdf</x:v>
      </x:c>
      <x:c r="AE167" s="18" t="str">
        <x:v>2026-08-06</x:v>
      </x:c>
      <x:c r="AF167" s="18" t="n">
        <x:v>46275.114583333336</x:v>
      </x:c>
      <x:c r="AG167" s="18" t="str">
        <x:v>retained_terminal</x:v>
      </x:c>
      <x:c r="AH167" s="18" t="str">
        <x:v>READY</x:v>
      </x:c>
    </x:row>
    <x:row r="168">
      <x:c r="A168" s="18" t="str">
        <x:v>NYT-47-7a5fff5281aaf771</x:v>
      </x:c>
      <x:c r="B168" s="18" t="str">
        <x:v>NCLT / NCLAT (Insolvency) source coverage</x:v>
      </x:c>
      <x:c r="C168" s="18" t="str">
        <x:v>2026-08-06</x:v>
      </x:c>
      <x:c r="D168" s="18" t="n">
        <x:v>2026</x:v>
      </x:c>
      <x:c r="E168" s="18" t="str">
        <x:v>2026-08</x:v>
      </x:c>
      <x:c r="F168" s="18" t="str"/>
      <x:c r="G168" s="18" t="str">
        <x:v>Public Announcement of Corporate Insolvency Resolution Process</x:v>
      </x:c>
      <x:c r="H168" s="18" t="str"/>
      <x:c r="I168" s="18" t="str"/>
      <x:c r="J168" s="20" t="str"/>
      <x:c r="K168" s="18" t="str"/>
      <x:c r="L168" s="18" t="str"/>
      <x:c r="M168" s="18" t="str">
        <x:v>2026-08-06</x:v>
      </x:c>
      <x:c r="N168" s="18" t="str"/>
      <x:c r="O168" s="18" t="str">
        <x:v>ibbi_5fgxn6</x:v>
      </x:c>
      <x:c r="P168" s="18" t="str">
        <x:v>Tanay Securities &amp; Services Private Limited</x:v>
      </x:c>
      <x:c r="Q168" s="18" t="str">
        <x:v>ORGANIC WORLD PRIVATE LIMITED</x:v>
      </x:c>
      <x:c r="R168" s="18" t="str">
        <x:v>Prakul Thadi</x:v>
      </x:c>
      <x:c r="S168" s="18" t="str">
        <x:v>2026-08-17</x:v>
      </x:c>
      <x:c r="T168" s="18" t="str">
        <x:v>Public Announcement of Corporate Insolvency Resolution Process</x:v>
      </x:c>
      <x:c r="U168" s="18" t="str"/>
      <x:c r="V168" s="18" t="str">
        <x:v>DEFINED_TERMINAL_OR_FEED_SCOPE</x:v>
      </x:c>
      <x:c r="W168" s="18" t="str">
        <x:v>national_ibbi_announcements.json — published records loaded</x:v>
      </x:c>
      <x:c r="X168" s="18" t="str"/>
      <x:c r="Y168" s="18" t="str"/>
      <x:c r="Z168" s="20" t="n">
        <x:v>434</x:v>
      </x:c>
      <x:c r="AA168" s="19" t="n">
        <x:f>IFERROR(TODAY()-DATEVALUE(C168),"")</x:f>
        <x:v>35</x:v>
      </x:c>
      <x:c r="AB168" s="21" t="n">
        <x:f>ROUND(COUNTA(A168:K168)/11*100,0)</x:f>
        <x:v>100</x:v>
      </x:c>
      <x:c r="AC168" s="18" t="str">
        <x:v>National Company Law Tribunal</x:v>
      </x:c>
      <x:c r="AD168" s="22" t="str">
        <x:v>https://ibbi.gov.in/uploads/announcement/67463d045150d3aa9f3c7b94d1346bb5.pdf</x:v>
      </x:c>
      <x:c r="AE168" s="18" t="str">
        <x:v>2026-08-06</x:v>
      </x:c>
      <x:c r="AF168" s="18" t="n">
        <x:v>46275.114583333336</x:v>
      </x:c>
      <x:c r="AG168" s="18" t="str">
        <x:v>retained_terminal</x:v>
      </x:c>
      <x:c r="AH168" s="18" t="str">
        <x:v>READY</x:v>
      </x:c>
    </x:row>
    <x:row r="169">
      <x:c r="A169" s="18" t="str">
        <x:v>NYT-47-4e8d089dffabf605</x:v>
      </x:c>
      <x:c r="B169" s="18" t="str">
        <x:v>NCLT / NCLAT (Insolvency) source coverage</x:v>
      </x:c>
      <x:c r="C169" s="18" t="str">
        <x:v>2026-08-06</x:v>
      </x:c>
      <x:c r="D169" s="18" t="n">
        <x:v>2026</x:v>
      </x:c>
      <x:c r="E169" s="18" t="str">
        <x:v>2026-08</x:v>
      </x:c>
      <x:c r="F169" s="18" t="str"/>
      <x:c r="G169" s="18" t="str">
        <x:v>Public Announcement of Corporate Insolvency Resolution Process</x:v>
      </x:c>
      <x:c r="H169" s="18" t="str"/>
      <x:c r="I169" s="18" t="str"/>
      <x:c r="J169" s="20" t="str"/>
      <x:c r="K169" s="18" t="str"/>
      <x:c r="L169" s="18" t="str"/>
      <x:c r="M169" s="18" t="str">
        <x:v>2026-08-06</x:v>
      </x:c>
      <x:c r="N169" s="18" t="str"/>
      <x:c r="O169" s="18" t="str">
        <x:v>ibbi_13j9da</x:v>
      </x:c>
      <x:c r="P169" s="18" t="str">
        <x:v>Maa Annapurna Traders</x:v>
      </x:c>
      <x:c r="Q169" s="18" t="str">
        <x:v>SOCRUS PHARMACEUTICALS LIMITED</x:v>
      </x:c>
      <x:c r="R169" s="18" t="str">
        <x:v>kuldeep tank</x:v>
      </x:c>
      <x:c r="S169" s="18" t="str">
        <x:v>2026-08-18</x:v>
      </x:c>
      <x:c r="T169" s="18" t="str">
        <x:v>Public Announcement of Corporate Insolvency Resolution Process</x:v>
      </x:c>
      <x:c r="U169" s="18" t="str"/>
      <x:c r="V169" s="18" t="str">
        <x:v>DEFINED_TERMINAL_OR_FEED_SCOPE</x:v>
      </x:c>
      <x:c r="W169" s="18" t="str">
        <x:v>national_ibbi_announcements.json — published records loaded</x:v>
      </x:c>
      <x:c r="X169" s="18" t="str"/>
      <x:c r="Y169" s="18" t="str"/>
      <x:c r="Z169" s="20" t="n">
        <x:v>434</x:v>
      </x:c>
      <x:c r="AA169" s="19" t="n">
        <x:f>IFERROR(TODAY()-DATEVALUE(C169),"")</x:f>
        <x:v>35</x:v>
      </x:c>
      <x:c r="AB169" s="21" t="n">
        <x:f>ROUND(COUNTA(A169:K169)/11*100,0)</x:f>
        <x:v>100</x:v>
      </x:c>
      <x:c r="AC169" s="18" t="str">
        <x:v>National Company Law Tribunal</x:v>
      </x:c>
      <x:c r="AD169" s="22" t="str">
        <x:v>https://ibbi.gov.in/uploads/announcement/8ba3403c9cbdf01fbe76138470fd1e5a.pdf</x:v>
      </x:c>
      <x:c r="AE169" s="18" t="str">
        <x:v>2026-08-06</x:v>
      </x:c>
      <x:c r="AF169" s="18" t="n">
        <x:v>46275.114583333336</x:v>
      </x:c>
      <x:c r="AG169" s="18" t="str">
        <x:v>retained_terminal</x:v>
      </x:c>
      <x:c r="AH169" s="18" t="str">
        <x:v>READY</x:v>
      </x:c>
    </x:row>
    <x:row r="170">
      <x:c r="A170" s="18" t="str">
        <x:v>NYT-47-cd5a1021b832ed94</x:v>
      </x:c>
      <x:c r="B170" s="18" t="str">
        <x:v>NCLT / NCLAT (Insolvency) source coverage</x:v>
      </x:c>
      <x:c r="C170" s="18" t="str">
        <x:v>2026-08-06</x:v>
      </x:c>
      <x:c r="D170" s="18" t="n">
        <x:v>2026</x:v>
      </x:c>
      <x:c r="E170" s="18" t="str">
        <x:v>2026-08</x:v>
      </x:c>
      <x:c r="F170" s="18" t="str"/>
      <x:c r="G170" s="18" t="str">
        <x:v>Public Announcement of Corporate Insolvency Resolution Process</x:v>
      </x:c>
      <x:c r="H170" s="18" t="str"/>
      <x:c r="I170" s="18" t="str"/>
      <x:c r="J170" s="20" t="str"/>
      <x:c r="K170" s="18" t="str"/>
      <x:c r="L170" s="18" t="str"/>
      <x:c r="M170" s="18" t="str">
        <x:v>2026-08-06</x:v>
      </x:c>
      <x:c r="N170" s="18" t="str"/>
      <x:c r="O170" s="18" t="str">
        <x:v>ibbi_1yna0e5</x:v>
      </x:c>
      <x:c r="P170" s="18" t="str">
        <x:v>Samunnati Financial Intermediation and Services Pvt Ltd</x:v>
      </x:c>
      <x:c r="Q170" s="18" t="str">
        <x:v>MAHAKALI FOODS PRIVATE LIMITED</x:v>
      </x:c>
      <x:c r="R170" s="18" t="str">
        <x:v>Mr. Navin Khandelwal</x:v>
      </x:c>
      <x:c r="S170" s="18" t="str">
        <x:v>2026-08-17</x:v>
      </x:c>
      <x:c r="T170" s="18" t="str">
        <x:v>Public Announcement of Corporate Insolvency Resolution Process</x:v>
      </x:c>
      <x:c r="U170" s="18" t="str"/>
      <x:c r="V170" s="18" t="str">
        <x:v>DEFINED_TERMINAL_OR_FEED_SCOPE</x:v>
      </x:c>
      <x:c r="W170" s="18" t="str">
        <x:v>national_ibbi_announcements.json — published records loaded</x:v>
      </x:c>
      <x:c r="X170" s="18" t="str"/>
      <x:c r="Y170" s="18" t="str"/>
      <x:c r="Z170" s="20" t="n">
        <x:v>434</x:v>
      </x:c>
      <x:c r="AA170" s="19" t="n">
        <x:f>IFERROR(TODAY()-DATEVALUE(C170),"")</x:f>
        <x:v>35</x:v>
      </x:c>
      <x:c r="AB170" s="21" t="n">
        <x:f>ROUND(COUNTA(A170:K170)/11*100,0)</x:f>
        <x:v>100</x:v>
      </x:c>
      <x:c r="AC170" s="18" t="str">
        <x:v>National Company Law Tribunal</x:v>
      </x:c>
      <x:c r="AD170" s="22" t="str">
        <x:v>https://ibbi.gov.in/uploads/announcement/2026-08-07-192002-as8cq-f4783dc2eb680b2d9484f2c800545124.pdf</x:v>
      </x:c>
      <x:c r="AE170" s="18" t="str">
        <x:v>2026-08-06</x:v>
      </x:c>
      <x:c r="AF170" s="18" t="n">
        <x:v>46275.114583333336</x:v>
      </x:c>
      <x:c r="AG170" s="18" t="str">
        <x:v>retained_terminal</x:v>
      </x:c>
      <x:c r="AH170" s="18" t="str">
        <x:v>READY</x:v>
      </x:c>
    </x:row>
    <x:row r="171">
      <x:c r="A171" s="18" t="str">
        <x:v>NYT-47-daddc6afb6a8c9ca</x:v>
      </x:c>
      <x:c r="B171" s="18" t="str">
        <x:v>NCLT / NCLAT (Insolvency) source coverage</x:v>
      </x:c>
      <x:c r="C171" s="18" t="str">
        <x:v>2026-08-05</x:v>
      </x:c>
      <x:c r="D171" s="18" t="n">
        <x:v>2026</x:v>
      </x:c>
      <x:c r="E171" s="18" t="str">
        <x:v>2026-08</x:v>
      </x:c>
      <x:c r="F171" s="18" t="str"/>
      <x:c r="G171" s="18" t="str">
        <x:v>Public Announcement of Voluntary Liquidation Process</x:v>
      </x:c>
      <x:c r="H171" s="18" t="str"/>
      <x:c r="I171" s="18" t="str"/>
      <x:c r="J171" s="20" t="str"/>
      <x:c r="K171" s="18" t="str"/>
      <x:c r="L171" s="18" t="str"/>
      <x:c r="M171" s="18" t="str">
        <x:v>2026-08-05</x:v>
      </x:c>
      <x:c r="N171" s="18" t="str"/>
      <x:c r="O171" s="18" t="str">
        <x:v>ibbi_175gxd4</x:v>
      </x:c>
      <x:c r="P171" s="18" t="str">
        <x:v>ADANI GEMS EDUCATION INDIA PRIVATE LIMITED</x:v>
      </x:c>
      <x:c r="Q171" s="18" t="str">
        <x:v>ADANI GEMS EDUCATION INDIA PRIVATE LIMITED</x:v>
      </x:c>
      <x:c r="R171" s="18" t="str">
        <x:v>Yatin Sharma</x:v>
      </x:c>
      <x:c r="S171" s="18" t="str">
        <x:v>2026-08-30</x:v>
      </x:c>
      <x:c r="T171" s="18" t="str">
        <x:v>Public Announcement of Voluntary Liquidation Process</x:v>
      </x:c>
      <x:c r="U171" s="18" t="str"/>
      <x:c r="V171" s="18" t="str">
        <x:v>DEFINED_TERMINAL_OR_FEED_SCOPE</x:v>
      </x:c>
      <x:c r="W171" s="18" t="str">
        <x:v>national_ibbi_announcements.json — published records loaded</x:v>
      </x:c>
      <x:c r="X171" s="18" t="str"/>
      <x:c r="Y171" s="18" t="str"/>
      <x:c r="Z171" s="20" t="n">
        <x:v>434</x:v>
      </x:c>
      <x:c r="AA171" s="19" t="n">
        <x:f>IFERROR(TODAY()-DATEVALUE(C171),"")</x:f>
        <x:v>36</x:v>
      </x:c>
      <x:c r="AB171" s="21" t="n">
        <x:f>ROUND(COUNTA(A171:K171)/11*100,0)</x:f>
        <x:v>100</x:v>
      </x:c>
      <x:c r="AC171" s="18" t="str">
        <x:v>National Company Law Tribunal</x:v>
      </x:c>
      <x:c r="AD171" s="22" t="str">
        <x:v>https://ibbi.gov.in/uploads/announcement/9d1345f4fde2d36f8573101304832e1c.pdf</x:v>
      </x:c>
      <x:c r="AE171" s="18" t="str">
        <x:v>2026-08-05</x:v>
      </x:c>
      <x:c r="AF171" s="18" t="n">
        <x:v>46275.114583333336</x:v>
      </x:c>
      <x:c r="AG171" s="18" t="str">
        <x:v>retained_terminal</x:v>
      </x:c>
      <x:c r="AH171" s="18" t="str">
        <x:v>READY</x:v>
      </x:c>
    </x:row>
    <x:row r="172">
      <x:c r="A172" s="18" t="str">
        <x:v>NYT-47-58e60877c979cd0e</x:v>
      </x:c>
      <x:c r="B172" s="18" t="str">
        <x:v>NCLT / NCLAT (Insolvency) source coverage</x:v>
      </x:c>
      <x:c r="C172" s="18" t="str">
        <x:v>2026-08-05</x:v>
      </x:c>
      <x:c r="D172" s="18" t="n">
        <x:v>2026</x:v>
      </x:c>
      <x:c r="E172" s="18" t="str">
        <x:v>2026-08</x:v>
      </x:c>
      <x:c r="F172" s="18" t="str"/>
      <x:c r="G172" s="18" t="str">
        <x:v>Public Announcement of Corporate Insolvency Resolution Process</x:v>
      </x:c>
      <x:c r="H172" s="18" t="str"/>
      <x:c r="I172" s="18" t="str"/>
      <x:c r="J172" s="20" t="str"/>
      <x:c r="K172" s="18" t="str"/>
      <x:c r="L172" s="18" t="str"/>
      <x:c r="M172" s="18" t="str">
        <x:v>2026-08-05</x:v>
      </x:c>
      <x:c r="N172" s="18" t="str"/>
      <x:c r="O172" s="18" t="str">
        <x:v>ibbi_alctcq</x:v>
      </x:c>
      <x:c r="P172" s="18" t="str">
        <x:v>Yatayat Corporation India Ltd</x:v>
      </x:c>
      <x:c r="Q172" s="18" t="str">
        <x:v>SHRENIK LIMITED</x:v>
      </x:c>
      <x:c r="R172" s="18" t="str">
        <x:v>RAHUL SHAH</x:v>
      </x:c>
      <x:c r="S172" s="18" t="str">
        <x:v>2026-08-19</x:v>
      </x:c>
      <x:c r="T172" s="18" t="str">
        <x:v>Public Announcement of Corporate Insolvency Resolution Process</x:v>
      </x:c>
      <x:c r="U172" s="18" t="str"/>
      <x:c r="V172" s="18" t="str">
        <x:v>DEFINED_TERMINAL_OR_FEED_SCOPE</x:v>
      </x:c>
      <x:c r="W172" s="18" t="str">
        <x:v>national_ibbi_announcements.json — published records loaded</x:v>
      </x:c>
      <x:c r="X172" s="18" t="str"/>
      <x:c r="Y172" s="18" t="str"/>
      <x:c r="Z172" s="20" t="n">
        <x:v>434</x:v>
      </x:c>
      <x:c r="AA172" s="19" t="n">
        <x:f>IFERROR(TODAY()-DATEVALUE(C172),"")</x:f>
        <x:v>36</x:v>
      </x:c>
      <x:c r="AB172" s="21" t="n">
        <x:f>ROUND(COUNTA(A172:K172)/11*100,0)</x:f>
        <x:v>100</x:v>
      </x:c>
      <x:c r="AC172" s="18" t="str">
        <x:v>National Company Law Tribunal</x:v>
      </x:c>
      <x:c r="AD172" s="22" t="str">
        <x:v>https://ibbi.gov.in/uploads/announcement/e2ac1c3fd7564e1fbfea18b2942cdf14.pdf</x:v>
      </x:c>
      <x:c r="AE172" s="18" t="str">
        <x:v>2026-08-05</x:v>
      </x:c>
      <x:c r="AF172" s="18" t="n">
        <x:v>46275.114583333336</x:v>
      </x:c>
      <x:c r="AG172" s="18" t="str">
        <x:v>retained_terminal</x:v>
      </x:c>
      <x:c r="AH172" s="18" t="str">
        <x:v>READY</x:v>
      </x:c>
    </x:row>
    <x:row r="173">
      <x:c r="A173" s="18" t="str">
        <x:v>NYT-47-b64e791f53b70711</x:v>
      </x:c>
      <x:c r="B173" s="18" t="str">
        <x:v>NCLT / NCLAT (Insolvency) source coverage</x:v>
      </x:c>
      <x:c r="C173" s="18" t="str">
        <x:v>2026-08-04</x:v>
      </x:c>
      <x:c r="D173" s="18" t="n">
        <x:v>2026</x:v>
      </x:c>
      <x:c r="E173" s="18" t="str">
        <x:v>2026-08</x:v>
      </x:c>
      <x:c r="F173" s="18" t="str"/>
      <x:c r="G173" s="18" t="str">
        <x:v>Public Announcement of Corporate Insolvency Resolution Process</x:v>
      </x:c>
      <x:c r="H173" s="18" t="str"/>
      <x:c r="I173" s="18" t="str"/>
      <x:c r="J173" s="20" t="str"/>
      <x:c r="K173" s="18" t="str"/>
      <x:c r="L173" s="18" t="str"/>
      <x:c r="M173" s="18" t="str">
        <x:v>2026-08-04</x:v>
      </x:c>
      <x:c r="N173" s="18" t="str"/>
      <x:c r="O173" s="18" t="str">
        <x:v>ibbi_143wgu1</x:v>
      </x:c>
      <x:c r="P173" s="18" t="str">
        <x:v>ANJALI NIRAV CHOKSI</x:v>
      </x:c>
      <x:c r="Q173" s="18" t="str">
        <x:v>BHARAT CAPITAL AND HOLDINGS LIMITED</x:v>
      </x:c>
      <x:c r="R173" s="18" t="str">
        <x:v>Mrs. Anjali Nirav Choksi</x:v>
      </x:c>
      <x:c r="S173" s="18" t="str">
        <x:v>2026-08-14</x:v>
      </x:c>
      <x:c r="T173" s="18" t="str">
        <x:v>Public Announcement of Corporate Insolvency Resolution Process</x:v>
      </x:c>
      <x:c r="U173" s="18" t="str"/>
      <x:c r="V173" s="18" t="str">
        <x:v>DEFINED_TERMINAL_OR_FEED_SCOPE</x:v>
      </x:c>
      <x:c r="W173" s="18" t="str">
        <x:v>national_ibbi_announcements.json — published records loaded</x:v>
      </x:c>
      <x:c r="X173" s="18" t="str"/>
      <x:c r="Y173" s="18" t="str"/>
      <x:c r="Z173" s="20" t="n">
        <x:v>434</x:v>
      </x:c>
      <x:c r="AA173" s="19" t="n">
        <x:f>IFERROR(TODAY()-DATEVALUE(C173),"")</x:f>
        <x:v>37</x:v>
      </x:c>
      <x:c r="AB173" s="21" t="n">
        <x:f>ROUND(COUNTA(A173:K173)/11*100,0)</x:f>
        <x:v>100</x:v>
      </x:c>
      <x:c r="AC173" s="18" t="str">
        <x:v>National Company Law Tribunal</x:v>
      </x:c>
      <x:c r="AD173" s="22" t="str">
        <x:v>https://ibbi.gov.in/uploads/announcement/ad132d14d36b5659493aa4e29ead8694.pdf</x:v>
      </x:c>
      <x:c r="AE173" s="18" t="str">
        <x:v>2026-08-04</x:v>
      </x:c>
      <x:c r="AF173" s="18" t="n">
        <x:v>46275.114583333336</x:v>
      </x:c>
      <x:c r="AG173" s="18" t="str">
        <x:v>retained_terminal</x:v>
      </x:c>
      <x:c r="AH173" s="18" t="str">
        <x:v>READY</x:v>
      </x:c>
    </x:row>
    <x:row r="174">
      <x:c r="A174" s="18" t="str">
        <x:v>NYT-47-423696cf28b1249d</x:v>
      </x:c>
      <x:c r="B174" s="18" t="str">
        <x:v>NCLT / NCLAT (Insolvency) source coverage</x:v>
      </x:c>
      <x:c r="C174" s="18" t="str">
        <x:v>2026-08-04</x:v>
      </x:c>
      <x:c r="D174" s="18" t="n">
        <x:v>2026</x:v>
      </x:c>
      <x:c r="E174" s="18" t="str">
        <x:v>2026-08</x:v>
      </x:c>
      <x:c r="F174" s="18" t="str"/>
      <x:c r="G174" s="18" t="str">
        <x:v>Public Announcement of Corporate Insolvency Resolution Process</x:v>
      </x:c>
      <x:c r="H174" s="18" t="str"/>
      <x:c r="I174" s="18" t="str"/>
      <x:c r="J174" s="20" t="str"/>
      <x:c r="K174" s="18" t="str"/>
      <x:c r="L174" s="18" t="str"/>
      <x:c r="M174" s="18" t="str">
        <x:v>2026-08-04</x:v>
      </x:c>
      <x:c r="N174" s="18" t="str"/>
      <x:c r="O174" s="18" t="str">
        <x:v>ibbi_ef20yj</x:v>
      </x:c>
      <x:c r="P174" s="18" t="str">
        <x:v>M/S IIFL HOME FINANCE LIMITED</x:v>
      </x:c>
      <x:c r="Q174" s="18" t="str">
        <x:v>GOODWILL IRON &amp; STEEL TRADERS PRIVATE LIMITED</x:v>
      </x:c>
      <x:c r="R174" s="18" t="str">
        <x:v>MANISH AGARWALLA</x:v>
      </x:c>
      <x:c r="S174" s="18" t="str">
        <x:v>2026-08-11</x:v>
      </x:c>
      <x:c r="T174" s="18" t="str">
        <x:v>Public Announcement of Corporate Insolvency Resolution Process</x:v>
      </x:c>
      <x:c r="U174" s="18" t="str"/>
      <x:c r="V174" s="18" t="str">
        <x:v>DEFINED_TERMINAL_OR_FEED_SCOPE</x:v>
      </x:c>
      <x:c r="W174" s="18" t="str">
        <x:v>national_ibbi_announcements.json — published records loaded</x:v>
      </x:c>
      <x:c r="X174" s="18" t="str"/>
      <x:c r="Y174" s="18" t="str"/>
      <x:c r="Z174" s="20" t="n">
        <x:v>434</x:v>
      </x:c>
      <x:c r="AA174" s="19" t="n">
        <x:f>IFERROR(TODAY()-DATEVALUE(C174),"")</x:f>
        <x:v>37</x:v>
      </x:c>
      <x:c r="AB174" s="21" t="n">
        <x:f>ROUND(COUNTA(A174:K174)/11*100,0)</x:f>
        <x:v>100</x:v>
      </x:c>
      <x:c r="AC174" s="18" t="str">
        <x:v>National Company Law Tribunal</x:v>
      </x:c>
      <x:c r="AD174" s="22" t="str">
        <x:v>https://ibbi.gov.in/uploads/announcement/2eda0982ca26d9ce14c0535be0c05481.pdf</x:v>
      </x:c>
      <x:c r="AE174" s="18" t="str">
        <x:v>2026-08-04</x:v>
      </x:c>
      <x:c r="AF174" s="18" t="n">
        <x:v>46275.114583333336</x:v>
      </x:c>
      <x:c r="AG174" s="18" t="str">
        <x:v>retained_terminal</x:v>
      </x:c>
      <x:c r="AH174" s="18" t="str">
        <x:v>READY</x:v>
      </x:c>
    </x:row>
    <x:row r="175">
      <x:c r="A175" s="18" t="str">
        <x:v>NYT-47-a590f75d017749cb</x:v>
      </x:c>
      <x:c r="B175" s="18" t="str">
        <x:v>NCLT / NCLAT (Insolvency) source coverage</x:v>
      </x:c>
      <x:c r="C175" s="18" t="str">
        <x:v>2026-08-03</x:v>
      </x:c>
      <x:c r="D175" s="18" t="n">
        <x:v>2026</x:v>
      </x:c>
      <x:c r="E175" s="18" t="str">
        <x:v>2026-08</x:v>
      </x:c>
      <x:c r="F175" s="18" t="str"/>
      <x:c r="G175" s="18" t="str">
        <x:v>Public Announcement of Corporate Insolvency Resolution Process</x:v>
      </x:c>
      <x:c r="H175" s="18" t="str"/>
      <x:c r="I175" s="18" t="str"/>
      <x:c r="J175" s="20" t="str"/>
      <x:c r="K175" s="18" t="str"/>
      <x:c r="L175" s="18" t="str"/>
      <x:c r="M175" s="18" t="str">
        <x:v>2026-08-03</x:v>
      </x:c>
      <x:c r="N175" s="18" t="str"/>
      <x:c r="O175" s="18" t="str">
        <x:v>ibbi_1xgemv6</x:v>
      </x:c>
      <x:c r="P175" s="18" t="str">
        <x:v>Sivakumar Vondivillu &amp; Ors</x:v>
      </x:c>
      <x:c r="Q175" s="18" t="str">
        <x:v>Truweight Wellness Private Limited</x:v>
      </x:c>
      <x:c r="R175" s="18" t="str">
        <x:v>Chakrala Sannidhi</x:v>
      </x:c>
      <x:c r="S175" s="18" t="str">
        <x:v>2026-08-14</x:v>
      </x:c>
      <x:c r="T175" s="18" t="str">
        <x:v>Public Announcement of Corporate Insolvency Resolution Process</x:v>
      </x:c>
      <x:c r="U175" s="18" t="str"/>
      <x:c r="V175" s="18" t="str">
        <x:v>DEFINED_TERMINAL_OR_FEED_SCOPE</x:v>
      </x:c>
      <x:c r="W175" s="18" t="str">
        <x:v>national_ibbi_announcements.json — published records loaded</x:v>
      </x:c>
      <x:c r="X175" s="18" t="str"/>
      <x:c r="Y175" s="18" t="str"/>
      <x:c r="Z175" s="20" t="n">
        <x:v>434</x:v>
      </x:c>
      <x:c r="AA175" s="19" t="n">
        <x:f>IFERROR(TODAY()-DATEVALUE(C175),"")</x:f>
        <x:v>38</x:v>
      </x:c>
      <x:c r="AB175" s="21" t="n">
        <x:f>ROUND(COUNTA(A175:K175)/11*100,0)</x:f>
        <x:v>100</x:v>
      </x:c>
      <x:c r="AC175" s="18" t="str">
        <x:v>National Company Law Tribunal</x:v>
      </x:c>
      <x:c r="AD175" s="22" t="str">
        <x:v>https://ibbi.gov.in/uploads/announcement/7428a84bb967a6a5bec95b99cff4c27f.pdf</x:v>
      </x:c>
      <x:c r="AE175" s="18" t="str">
        <x:v>2026-08-03</x:v>
      </x:c>
      <x:c r="AF175" s="18" t="n">
        <x:v>46275.114583333336</x:v>
      </x:c>
      <x:c r="AG175" s="18" t="str">
        <x:v>retained_terminal</x:v>
      </x:c>
      <x:c r="AH175" s="18" t="str">
        <x:v>READY</x:v>
      </x:c>
    </x:row>
    <x:row r="176">
      <x:c r="A176" s="18" t="str">
        <x:v>NYT-47-3fd3ba042e5494a3</x:v>
      </x:c>
      <x:c r="B176" s="18" t="str">
        <x:v>NCLT / NCLAT (Insolvency) source coverage</x:v>
      </x:c>
      <x:c r="C176" s="18" t="str">
        <x:v>2026-08-02</x:v>
      </x:c>
      <x:c r="D176" s="18" t="n">
        <x:v>2026</x:v>
      </x:c>
      <x:c r="E176" s="18" t="str">
        <x:v>2026-08</x:v>
      </x:c>
      <x:c r="F176" s="18" t="str"/>
      <x:c r="G176" s="18" t="str">
        <x:v>Public Announcement of Corporate Insolvency Resolution Process</x:v>
      </x:c>
      <x:c r="H176" s="18" t="str"/>
      <x:c r="I176" s="18" t="str"/>
      <x:c r="J176" s="20" t="str"/>
      <x:c r="K176" s="18" t="str"/>
      <x:c r="L176" s="18" t="str"/>
      <x:c r="M176" s="18" t="str">
        <x:v>2026-08-02</x:v>
      </x:c>
      <x:c r="N176" s="18" t="str"/>
      <x:c r="O176" s="18" t="str">
        <x:v>ibbi_1btfx78</x:v>
      </x:c>
      <x:c r="P176" s="18" t="str">
        <x:v>Axis Bank Ltd</x:v>
      </x:c>
      <x:c r="Q176" s="18" t="str">
        <x:v>KSHIPRA MOTORS PRIVATE LIMITED</x:v>
      </x:c>
      <x:c r="R176" s="18" t="str">
        <x:v>Mr. Navin Khandelwal</x:v>
      </x:c>
      <x:c r="S176" s="18" t="str">
        <x:v>2026-08-12</x:v>
      </x:c>
      <x:c r="T176" s="18" t="str">
        <x:v>Public Announcement of Corporate Insolvency Resolution Process</x:v>
      </x:c>
      <x:c r="U176" s="18" t="str"/>
      <x:c r="V176" s="18" t="str">
        <x:v>DEFINED_TERMINAL_OR_FEED_SCOPE</x:v>
      </x:c>
      <x:c r="W176" s="18" t="str">
        <x:v>national_ibbi_announcements.json — published records loaded</x:v>
      </x:c>
      <x:c r="X176" s="18" t="str"/>
      <x:c r="Y176" s="18" t="str"/>
      <x:c r="Z176" s="20" t="n">
        <x:v>434</x:v>
      </x:c>
      <x:c r="AA176" s="19" t="n">
        <x:f>IFERROR(TODAY()-DATEVALUE(C176),"")</x:f>
        <x:v>39</x:v>
      </x:c>
      <x:c r="AB176" s="21" t="n">
        <x:f>ROUND(COUNTA(A176:K176)/11*100,0)</x:f>
        <x:v>100</x:v>
      </x:c>
      <x:c r="AC176" s="18" t="str">
        <x:v>National Company Law Tribunal</x:v>
      </x:c>
      <x:c r="AD176" s="22" t="str">
        <x:v>https://ibbi.gov.in/uploads/announcement/2026-08-04-173707-m980v-f9b6e5c2a6b3fe3ddfee8b1b29ce81c0.pdf</x:v>
      </x:c>
      <x:c r="AE176" s="18" t="str">
        <x:v>2026-08-02</x:v>
      </x:c>
      <x:c r="AF176" s="18" t="n">
        <x:v>46275.114583333336</x:v>
      </x:c>
      <x:c r="AG176" s="18" t="str">
        <x:v>retained_terminal</x:v>
      </x:c>
      <x:c r="AH176" s="18" t="str">
        <x:v>READY</x:v>
      </x:c>
    </x:row>
    <x:row r="177">
      <x:c r="A177" s="18" t="str">
        <x:v>NYT-47-888f9561fd057358</x:v>
      </x:c>
      <x:c r="B177" s="18" t="str">
        <x:v>NCLT / NCLAT (Insolvency) source coverage</x:v>
      </x:c>
      <x:c r="C177" s="18" t="str">
        <x:v>2026-08-01</x:v>
      </x:c>
      <x:c r="D177" s="18" t="n">
        <x:v>2026</x:v>
      </x:c>
      <x:c r="E177" s="18" t="str">
        <x:v>2026-08</x:v>
      </x:c>
      <x:c r="F177" s="18" t="str"/>
      <x:c r="G177" s="18" t="str">
        <x:v>Public Announcement of Corporate Insolvency Resolution Process</x:v>
      </x:c>
      <x:c r="H177" s="18" t="str"/>
      <x:c r="I177" s="18" t="str"/>
      <x:c r="J177" s="20" t="str"/>
      <x:c r="K177" s="18" t="str"/>
      <x:c r="L177" s="18" t="str"/>
      <x:c r="M177" s="18" t="str">
        <x:v>2026-08-01</x:v>
      </x:c>
      <x:c r="N177" s="18" t="str"/>
      <x:c r="O177" s="18" t="str">
        <x:v>ibbi_1hriepm</x:v>
      </x:c>
      <x:c r="P177" s="18" t="str">
        <x:v>Brick2wall Infratech Private Limited</x:v>
      </x:c>
      <x:c r="Q177" s="18" t="str">
        <x:v>KASHYAPI INFRASTRUCTURE PRIVATE LIMITED</x:v>
      </x:c>
      <x:c r="R177" s="18" t="str">
        <x:v>Mr. Satya Prakash Gupta</x:v>
      </x:c>
      <x:c r="S177" s="18" t="str">
        <x:v>2026-08-13</x:v>
      </x:c>
      <x:c r="T177" s="18" t="str">
        <x:v>Public Announcement of Corporate Insolvency Resolution Process</x:v>
      </x:c>
      <x:c r="U177" s="18" t="str"/>
      <x:c r="V177" s="18" t="str">
        <x:v>DEFINED_TERMINAL_OR_FEED_SCOPE</x:v>
      </x:c>
      <x:c r="W177" s="18" t="str">
        <x:v>national_ibbi_announcements.json — published records loaded</x:v>
      </x:c>
      <x:c r="X177" s="18" t="str"/>
      <x:c r="Y177" s="18" t="str"/>
      <x:c r="Z177" s="20" t="n">
        <x:v>434</x:v>
      </x:c>
      <x:c r="AA177" s="19" t="n">
        <x:f>IFERROR(TODAY()-DATEVALUE(C177),"")</x:f>
        <x:v>40</x:v>
      </x:c>
      <x:c r="AB177" s="21" t="n">
        <x:f>ROUND(COUNTA(A177:K177)/11*100,0)</x:f>
        <x:v>100</x:v>
      </x:c>
      <x:c r="AC177" s="18" t="str">
        <x:v>National Company Law Tribunal</x:v>
      </x:c>
      <x:c r="AD177" s="22" t="str">
        <x:v>https://ibbi.gov.in/uploads/announcement/2026-08-02-153500-yev6m-cb8e0f067f04a6011802962e901c3950.pdf</x:v>
      </x:c>
      <x:c r="AE177" s="18" t="str">
        <x:v>2026-08-01</x:v>
      </x:c>
      <x:c r="AF177" s="18" t="n">
        <x:v>46275.114583333336</x:v>
      </x:c>
      <x:c r="AG177" s="18" t="str">
        <x:v>retained_terminal</x:v>
      </x:c>
      <x:c r="AH177" s="18" t="str">
        <x:v>READY</x:v>
      </x:c>
    </x:row>
    <x:row r="178">
      <x:c r="A178" s="18" t="str">
        <x:v>NYT-47-8bf3346ffbd33869</x:v>
      </x:c>
      <x:c r="B178" s="18" t="str">
        <x:v>NCLT / NCLAT (Insolvency) source coverage</x:v>
      </x:c>
      <x:c r="C178" s="18" t="str">
        <x:v>2026-08-01</x:v>
      </x:c>
      <x:c r="D178" s="18" t="n">
        <x:v>2026</x:v>
      </x:c>
      <x:c r="E178" s="18" t="str">
        <x:v>2026-08</x:v>
      </x:c>
      <x:c r="F178" s="18" t="str"/>
      <x:c r="G178" s="18" t="str">
        <x:v>Public Announcement of Corporate Insolvency Resolution Process</x:v>
      </x:c>
      <x:c r="H178" s="18" t="str"/>
      <x:c r="I178" s="18" t="str"/>
      <x:c r="J178" s="20" t="str"/>
      <x:c r="K178" s="18" t="str"/>
      <x:c r="L178" s="18" t="str"/>
      <x:c r="M178" s="18" t="str">
        <x:v>2026-08-01</x:v>
      </x:c>
      <x:c r="N178" s="18" t="str"/>
      <x:c r="O178" s="18" t="str">
        <x:v>ibbi_8lkrbj</x:v>
      </x:c>
      <x:c r="P178" s="18" t="str">
        <x:v>CFM Asset Reconstruction Private Limited</x:v>
      </x:c>
      <x:c r="Q178" s="18" t="str">
        <x:v>CAPBRIDGE VENTURE LLP</x:v>
      </x:c>
      <x:c r="R178" s="18" t="str">
        <x:v>Mr. Bhavesh Mansukhbhai Rathod</x:v>
      </x:c>
      <x:c r="S178" s="18" t="str">
        <x:v>2026-08-13</x:v>
      </x:c>
      <x:c r="T178" s="18" t="str">
        <x:v>Public Announcement of Corporate Insolvency Resolution Process</x:v>
      </x:c>
      <x:c r="U178" s="18" t="str"/>
      <x:c r="V178" s="18" t="str">
        <x:v>DEFINED_TERMINAL_OR_FEED_SCOPE</x:v>
      </x:c>
      <x:c r="W178" s="18" t="str">
        <x:v>national_ibbi_announcements.json — published records loaded</x:v>
      </x:c>
      <x:c r="X178" s="18" t="str"/>
      <x:c r="Y178" s="18" t="str"/>
      <x:c r="Z178" s="20" t="n">
        <x:v>434</x:v>
      </x:c>
      <x:c r="AA178" s="19" t="n">
        <x:f>IFERROR(TODAY()-DATEVALUE(C178),"")</x:f>
        <x:v>40</x:v>
      </x:c>
      <x:c r="AB178" s="21" t="n">
        <x:f>ROUND(COUNTA(A178:K178)/11*100,0)</x:f>
        <x:v>100</x:v>
      </x:c>
      <x:c r="AC178" s="18" t="str">
        <x:v>National Company Law Tribunal</x:v>
      </x:c>
      <x:c r="AD178" s="22" t="str">
        <x:v>https://ibbi.gov.in/uploads/announcement/ded1199d351b7cd8101f154e2f110e49.pdf</x:v>
      </x:c>
      <x:c r="AE178" s="18" t="str">
        <x:v>2026-08-01</x:v>
      </x:c>
      <x:c r="AF178" s="18" t="n">
        <x:v>46275.114583333336</x:v>
      </x:c>
      <x:c r="AG178" s="18" t="str">
        <x:v>retained_terminal</x:v>
      </x:c>
      <x:c r="AH178" s="18" t="str">
        <x:v>READY</x:v>
      </x:c>
    </x:row>
    <x:row r="179">
      <x:c r="A179" s="18" t="str">
        <x:v>NYT-47-94bf16c5337ad3e8</x:v>
      </x:c>
      <x:c r="B179" s="18" t="str">
        <x:v>NCLT / NCLAT (Insolvency) source coverage</x:v>
      </x:c>
      <x:c r="C179" s="18" t="str">
        <x:v>2026-08-01</x:v>
      </x:c>
      <x:c r="D179" s="18" t="n">
        <x:v>2026</x:v>
      </x:c>
      <x:c r="E179" s="18" t="str">
        <x:v>2026-08</x:v>
      </x:c>
      <x:c r="F179" s="18" t="str"/>
      <x:c r="G179" s="18" t="str">
        <x:v>Public Announcement of Corporate Insolvency Resolution Process</x:v>
      </x:c>
      <x:c r="H179" s="18" t="str"/>
      <x:c r="I179" s="18" t="str"/>
      <x:c r="J179" s="20" t="str"/>
      <x:c r="K179" s="18" t="str"/>
      <x:c r="L179" s="18" t="str"/>
      <x:c r="M179" s="18" t="str">
        <x:v>2026-08-01</x:v>
      </x:c>
      <x:c r="N179" s="18" t="str"/>
      <x:c r="O179" s="18" t="str">
        <x:v>ibbi_1h29edk</x:v>
      </x:c>
      <x:c r="P179" s="18" t="str">
        <x:v>Bank of Maharashtra</x:v>
      </x:c>
      <x:c r="Q179" s="18" t="str">
        <x:v>COMET GRANITO PRIVATE LIMITED</x:v>
      </x:c>
      <x:c r="R179" s="18" t="str">
        <x:v>Anil Kashi Drolia</x:v>
      </x:c>
      <x:c r="S179" s="18" t="str">
        <x:v>2026-08-13</x:v>
      </x:c>
      <x:c r="T179" s="18" t="str">
        <x:v>Public Announcement of Corporate Insolvency Resolution Process</x:v>
      </x:c>
      <x:c r="U179" s="18" t="str"/>
      <x:c r="V179" s="18" t="str">
        <x:v>DEFINED_TERMINAL_OR_FEED_SCOPE</x:v>
      </x:c>
      <x:c r="W179" s="18" t="str">
        <x:v>national_ibbi_announcements.json — published records loaded</x:v>
      </x:c>
      <x:c r="X179" s="18" t="str"/>
      <x:c r="Y179" s="18" t="str"/>
      <x:c r="Z179" s="20" t="n">
        <x:v>434</x:v>
      </x:c>
      <x:c r="AA179" s="19" t="n">
        <x:f>IFERROR(TODAY()-DATEVALUE(C179),"")</x:f>
        <x:v>40</x:v>
      </x:c>
      <x:c r="AB179" s="21" t="n">
        <x:f>ROUND(COUNTA(A179:K179)/11*100,0)</x:f>
        <x:v>100</x:v>
      </x:c>
      <x:c r="AC179" s="18" t="str">
        <x:v>National Company Law Tribunal</x:v>
      </x:c>
      <x:c r="AD179" s="22" t="str">
        <x:v>https://ibbi.gov.in/uploads/announcement/2026-08-01-122038-d4nru-2b0f241ac9381d9a40feca43c4952e61.pdf</x:v>
      </x:c>
      <x:c r="AE179" s="18" t="str">
        <x:v>2026-08-01</x:v>
      </x:c>
      <x:c r="AF179" s="18" t="n">
        <x:v>46275.114583333336</x:v>
      </x:c>
      <x:c r="AG179" s="18" t="str">
        <x:v>retained_terminal</x:v>
      </x:c>
      <x:c r="AH179" s="18" t="str">
        <x:v>READY</x:v>
      </x:c>
    </x:row>
    <x:row r="180">
      <x:c r="A180" s="18" t="str">
        <x:v>NYT-47-7d94f64eb2d9c61d</x:v>
      </x:c>
      <x:c r="B180" s="18" t="str">
        <x:v>NCLT / NCLAT (Insolvency) source coverage</x:v>
      </x:c>
      <x:c r="C180" s="18" t="str">
        <x:v>2026-08-01</x:v>
      </x:c>
      <x:c r="D180" s="18" t="n">
        <x:v>2026</x:v>
      </x:c>
      <x:c r="E180" s="18" t="str">
        <x:v>2026-08</x:v>
      </x:c>
      <x:c r="F180" s="18" t="str"/>
      <x:c r="G180" s="18" t="str">
        <x:v>Public Announcement of Corporate Insolvency Resolution Process</x:v>
      </x:c>
      <x:c r="H180" s="18" t="str"/>
      <x:c r="I180" s="18" t="str"/>
      <x:c r="J180" s="20" t="str"/>
      <x:c r="K180" s="18" t="str"/>
      <x:c r="L180" s="18" t="str"/>
      <x:c r="M180" s="18" t="str">
        <x:v>2026-08-01</x:v>
      </x:c>
      <x:c r="N180" s="18" t="str"/>
      <x:c r="O180" s="18" t="str">
        <x:v>ibbi_2i1h70</x:v>
      </x:c>
      <x:c r="P180" s="18" t="str">
        <x:v>STATE BANK OF INDIA</x:v>
      </x:c>
      <x:c r="Q180" s="18" t="str">
        <x:v>SURYA FOUNDRY PRIVATE LIMITED</x:v>
      </x:c>
      <x:c r="R180" s="18" t="str">
        <x:v>Mr. Reetesh Kumar Agarwal</x:v>
      </x:c>
      <x:c r="S180" s="18" t="str">
        <x:v>2026-08-12</x:v>
      </x:c>
      <x:c r="T180" s="18" t="str">
        <x:v>Public Announcement of Corporate Insolvency Resolution Process</x:v>
      </x:c>
      <x:c r="U180" s="18" t="str"/>
      <x:c r="V180" s="18" t="str">
        <x:v>DEFINED_TERMINAL_OR_FEED_SCOPE</x:v>
      </x:c>
      <x:c r="W180" s="18" t="str">
        <x:v>national_ibbi_announcements.json — published records loaded</x:v>
      </x:c>
      <x:c r="X180" s="18" t="str"/>
      <x:c r="Y180" s="18" t="str"/>
      <x:c r="Z180" s="20" t="n">
        <x:v>434</x:v>
      </x:c>
      <x:c r="AA180" s="19" t="n">
        <x:f>IFERROR(TODAY()-DATEVALUE(C180),"")</x:f>
        <x:v>40</x:v>
      </x:c>
      <x:c r="AB180" s="21" t="n">
        <x:f>ROUND(COUNTA(A180:K180)/11*100,0)</x:f>
        <x:v>100</x:v>
      </x:c>
      <x:c r="AC180" s="18" t="str">
        <x:v>National Company Law Tribunal</x:v>
      </x:c>
      <x:c r="AD180" s="22" t="str">
        <x:v>https://ibbi.gov.in/uploads/announcement/dac2d92d7892e8409955bc8f3ce2a3e3.pdf</x:v>
      </x:c>
      <x:c r="AE180" s="18" t="str">
        <x:v>2026-08-01</x:v>
      </x:c>
      <x:c r="AF180" s="18" t="n">
        <x:v>46275.114583333336</x:v>
      </x:c>
      <x:c r="AG180" s="18" t="str">
        <x:v>retained_terminal</x:v>
      </x:c>
      <x:c r="AH180" s="18" t="str">
        <x:v>READY</x:v>
      </x:c>
    </x:row>
    <x:row r="181">
      <x:c r="A181" s="18" t="str">
        <x:v>NYT-47-e117c957868970fa</x:v>
      </x:c>
      <x:c r="B181" s="18" t="str">
        <x:v>NCLT / NCLAT (Insolvency) source coverage</x:v>
      </x:c>
      <x:c r="C181" s="18" t="str">
        <x:v>2026-08-01</x:v>
      </x:c>
      <x:c r="D181" s="18" t="n">
        <x:v>2026</x:v>
      </x:c>
      <x:c r="E181" s="18" t="str">
        <x:v>2026-08</x:v>
      </x:c>
      <x:c r="F181" s="18" t="str"/>
      <x:c r="G181" s="18" t="str">
        <x:v>Public Announcement of Voluntary Liquidation Process</x:v>
      </x:c>
      <x:c r="H181" s="18" t="str"/>
      <x:c r="I181" s="18" t="str"/>
      <x:c r="J181" s="20" t="str"/>
      <x:c r="K181" s="18" t="str"/>
      <x:c r="L181" s="18" t="str"/>
      <x:c r="M181" s="18" t="str">
        <x:v>2026-08-01</x:v>
      </x:c>
      <x:c r="N181" s="18" t="str"/>
      <x:c r="O181" s="18" t="str">
        <x:v>ibbi_1leyqyd</x:v>
      </x:c>
      <x:c r="P181" s="18" t="str">
        <x:v>Carmel Point Investment India Private Limited</x:v>
      </x:c>
      <x:c r="Q181" s="18" t="str">
        <x:v>Carmel Point Investment India Private Limited</x:v>
      </x:c>
      <x:c r="R181" s="18" t="str">
        <x:v>Mr. Dilipkumar Natvarlal Jagad</x:v>
      </x:c>
      <x:c r="S181" s="18" t="str">
        <x:v>2026-08-29</x:v>
      </x:c>
      <x:c r="T181" s="18" t="str">
        <x:v>Public Announcement of Voluntary Liquidation Process</x:v>
      </x:c>
      <x:c r="U181" s="18" t="str"/>
      <x:c r="V181" s="18" t="str">
        <x:v>DEFINED_TERMINAL_OR_FEED_SCOPE</x:v>
      </x:c>
      <x:c r="W181" s="18" t="str">
        <x:v>national_ibbi_announcements.json — published records loaded</x:v>
      </x:c>
      <x:c r="X181" s="18" t="str"/>
      <x:c r="Y181" s="18" t="str"/>
      <x:c r="Z181" s="20" t="n">
        <x:v>434</x:v>
      </x:c>
      <x:c r="AA181" s="19" t="n">
        <x:f>IFERROR(TODAY()-DATEVALUE(C181),"")</x:f>
        <x:v>40</x:v>
      </x:c>
      <x:c r="AB181" s="21" t="n">
        <x:f>ROUND(COUNTA(A181:K181)/11*100,0)</x:f>
        <x:v>100</x:v>
      </x:c>
      <x:c r="AC181" s="18" t="str">
        <x:v>National Company Law Tribunal</x:v>
      </x:c>
      <x:c r="AD181" s="22" t="str">
        <x:v>https://ibbi.gov.in/uploads/announcement/2026-08-01-163111-kima0-00d9491fd5f27436e2c72eb9aee26316.pdf</x:v>
      </x:c>
      <x:c r="AE181" s="18" t="str">
        <x:v>2026-08-01</x:v>
      </x:c>
      <x:c r="AF181" s="18" t="n">
        <x:v>46275.114583333336</x:v>
      </x:c>
      <x:c r="AG181" s="18" t="str">
        <x:v>retained_terminal</x:v>
      </x:c>
      <x:c r="AH181" s="18" t="str">
        <x:v>READY</x:v>
      </x:c>
    </x:row>
    <x:row r="182">
      <x:c r="A182" s="18" t="str">
        <x:v>NYT-47-a0c5edfedeb8a66c</x:v>
      </x:c>
      <x:c r="B182" s="18" t="str">
        <x:v>NCLT / NCLAT (Insolvency) source coverage</x:v>
      </x:c>
      <x:c r="C182" s="18" t="str">
        <x:v>2026-08-01</x:v>
      </x:c>
      <x:c r="D182" s="18" t="n">
        <x:v>2026</x:v>
      </x:c>
      <x:c r="E182" s="18" t="str">
        <x:v>2026-08</x:v>
      </x:c>
      <x:c r="F182" s="18" t="str"/>
      <x:c r="G182" s="18" t="str">
        <x:v>Public Announcement of Voluntary Liquidation Process</x:v>
      </x:c>
      <x:c r="H182" s="18" t="str"/>
      <x:c r="I182" s="18" t="str"/>
      <x:c r="J182" s="20" t="str"/>
      <x:c r="K182" s="18" t="str"/>
      <x:c r="L182" s="18" t="str"/>
      <x:c r="M182" s="18" t="str">
        <x:v>2026-08-01</x:v>
      </x:c>
      <x:c r="N182" s="18" t="str"/>
      <x:c r="O182" s="18" t="str">
        <x:v>ibbi_tsvxuq</x:v>
      </x:c>
      <x:c r="P182" s="18" t="str">
        <x:v>BHARATAGE INNOVATIONS PRIVATE LIMITED</x:v>
      </x:c>
      <x:c r="Q182" s="18" t="str">
        <x:v>BHARATAGE INNOVATIONS PRIVATE LIMITED</x:v>
      </x:c>
      <x:c r="R182" s="18" t="str">
        <x:v>Lovkesh Batra</x:v>
      </x:c>
      <x:c r="S182" s="18" t="str">
        <x:v>2026-08-29</x:v>
      </x:c>
      <x:c r="T182" s="18" t="str">
        <x:v>Public Announcement of Voluntary Liquidation Process</x:v>
      </x:c>
      <x:c r="U182" s="18" t="str"/>
      <x:c r="V182" s="18" t="str">
        <x:v>DEFINED_TERMINAL_OR_FEED_SCOPE</x:v>
      </x:c>
      <x:c r="W182" s="18" t="str">
        <x:v>national_ibbi_announcements.json — published records loaded</x:v>
      </x:c>
      <x:c r="X182" s="18" t="str"/>
      <x:c r="Y182" s="18" t="str"/>
      <x:c r="Z182" s="20" t="n">
        <x:v>434</x:v>
      </x:c>
      <x:c r="AA182" s="19" t="n">
        <x:f>IFERROR(TODAY()-DATEVALUE(C182),"")</x:f>
        <x:v>40</x:v>
      </x:c>
      <x:c r="AB182" s="21" t="n">
        <x:f>ROUND(COUNTA(A182:K182)/11*100,0)</x:f>
        <x:v>100</x:v>
      </x:c>
      <x:c r="AC182" s="18" t="str">
        <x:v>National Company Law Tribunal</x:v>
      </x:c>
      <x:c r="AD182" s="22" t="str">
        <x:v>https://ibbi.gov.in/uploads/announcement/c6c72b4e09bba7a5948c95a4304fdeec.pdf</x:v>
      </x:c>
      <x:c r="AE182" s="18" t="str">
        <x:v>2026-08-01</x:v>
      </x:c>
      <x:c r="AF182" s="18" t="n">
        <x:v>46275.114583333336</x:v>
      </x:c>
      <x:c r="AG182" s="18" t="str">
        <x:v>retained_terminal</x:v>
      </x:c>
      <x:c r="AH182" s="18" t="str">
        <x:v>READY</x:v>
      </x:c>
    </x:row>
    <x:row r="183">
      <x:c r="A183" s="18" t="str">
        <x:v>NYT-47-0a5be1f0d25ae87d</x:v>
      </x:c>
      <x:c r="B183" s="18" t="str">
        <x:v>NCLT / NCLAT (Insolvency) source coverage</x:v>
      </x:c>
      <x:c r="C183" s="18" t="str">
        <x:v>2026-08-01</x:v>
      </x:c>
      <x:c r="D183" s="18" t="n">
        <x:v>2026</x:v>
      </x:c>
      <x:c r="E183" s="18" t="str">
        <x:v>2026-08</x:v>
      </x:c>
      <x:c r="F183" s="18" t="str"/>
      <x:c r="G183" s="18" t="str">
        <x:v>Public Announcement of Corporate Insolvency Resolution Process</x:v>
      </x:c>
      <x:c r="H183" s="18" t="str"/>
      <x:c r="I183" s="18" t="str"/>
      <x:c r="J183" s="20" t="str"/>
      <x:c r="K183" s="18" t="str"/>
      <x:c r="L183" s="18" t="str"/>
      <x:c r="M183" s="18" t="str">
        <x:v>2026-08-01</x:v>
      </x:c>
      <x:c r="N183" s="18" t="str"/>
      <x:c r="O183" s="18" t="str">
        <x:v>ibbi_6mdzv8</x:v>
      </x:c>
      <x:c r="P183" s="18" t="str">
        <x:v>Lakhari Resources Private Limited</x:v>
      </x:c>
      <x:c r="Q183" s="18" t="str">
        <x:v>HEIMDAL MINERALS PRIVATE LIMITED</x:v>
      </x:c>
      <x:c r="R183" s="18" t="str">
        <x:v>Bishal Agarwal</x:v>
      </x:c>
      <x:c r="S183" s="18" t="str">
        <x:v>2026-08-11</x:v>
      </x:c>
      <x:c r="T183" s="18" t="str">
        <x:v>Public Announcement of Corporate Insolvency Resolution Process</x:v>
      </x:c>
      <x:c r="U183" s="18" t="str"/>
      <x:c r="V183" s="18" t="str">
        <x:v>DEFINED_TERMINAL_OR_FEED_SCOPE</x:v>
      </x:c>
      <x:c r="W183" s="18" t="str">
        <x:v>national_ibbi_announcements.json — published records loaded</x:v>
      </x:c>
      <x:c r="X183" s="18" t="str"/>
      <x:c r="Y183" s="18" t="str"/>
      <x:c r="Z183" s="20" t="n">
        <x:v>434</x:v>
      </x:c>
      <x:c r="AA183" s="19" t="n">
        <x:f>IFERROR(TODAY()-DATEVALUE(C183),"")</x:f>
        <x:v>40</x:v>
      </x:c>
      <x:c r="AB183" s="21" t="n">
        <x:f>ROUND(COUNTA(A183:K183)/11*100,0)</x:f>
        <x:v>100</x:v>
      </x:c>
      <x:c r="AC183" s="18" t="str">
        <x:v>National Company Law Tribunal</x:v>
      </x:c>
      <x:c r="AD183" s="22" t="str">
        <x:v>https://ibbi.gov.in/uploads/announcement/a59a70d871a88581577a142cc6ad0956.pdf</x:v>
      </x:c>
      <x:c r="AE183" s="18" t="str">
        <x:v>2026-08-01</x:v>
      </x:c>
      <x:c r="AF183" s="18" t="n">
        <x:v>46275.114583333336</x:v>
      </x:c>
      <x:c r="AG183" s="18" t="str">
        <x:v>retained_terminal</x:v>
      </x:c>
      <x:c r="AH183" s="18" t="str">
        <x:v>READY</x:v>
      </x:c>
    </x:row>
    <x:row r="184">
      <x:c r="A184" s="18" t="str">
        <x:v>NYT-47-ad145dc229aa514b</x:v>
      </x:c>
      <x:c r="B184" s="18" t="str">
        <x:v>NCLT / NCLAT (Insolvency) source coverage</x:v>
      </x:c>
      <x:c r="C184" s="18" t="str">
        <x:v>2026-08-01</x:v>
      </x:c>
      <x:c r="D184" s="18" t="n">
        <x:v>2026</x:v>
      </x:c>
      <x:c r="E184" s="18" t="str">
        <x:v>2026-08</x:v>
      </x:c>
      <x:c r="F184" s="18" t="str"/>
      <x:c r="G184" s="18" t="str">
        <x:v>Public Announcement of Corporate Insolvency Resolution Process</x:v>
      </x:c>
      <x:c r="H184" s="18" t="str"/>
      <x:c r="I184" s="18" t="str"/>
      <x:c r="J184" s="20" t="str"/>
      <x:c r="K184" s="18" t="str"/>
      <x:c r="L184" s="18" t="str"/>
      <x:c r="M184" s="18" t="str">
        <x:v>2026-08-01</x:v>
      </x:c>
      <x:c r="N184" s="18" t="str"/>
      <x:c r="O184" s="18" t="str">
        <x:v>ibbi_101i0ze</x:v>
      </x:c>
      <x:c r="P184" s="18" t="str">
        <x:v>Punjab National Bank</x:v>
      </x:c>
      <x:c r="Q184" s="18" t="str">
        <x:v>TV VISION LIMITED</x:v>
      </x:c>
      <x:c r="R184" s="18" t="str">
        <x:v>ALOK KUMAR MURARKA</x:v>
      </x:c>
      <x:c r="S184" s="18" t="str">
        <x:v>2026-08-13</x:v>
      </x:c>
      <x:c r="T184" s="18" t="str">
        <x:v>Public Announcement of Corporate Insolvency Resolution Process</x:v>
      </x:c>
      <x:c r="U184" s="18" t="str"/>
      <x:c r="V184" s="18" t="str">
        <x:v>DEFINED_TERMINAL_OR_FEED_SCOPE</x:v>
      </x:c>
      <x:c r="W184" s="18" t="str">
        <x:v>national_ibbi_announcements.json — published records loaded</x:v>
      </x:c>
      <x:c r="X184" s="18" t="str"/>
      <x:c r="Y184" s="18" t="str"/>
      <x:c r="Z184" s="20" t="n">
        <x:v>434</x:v>
      </x:c>
      <x:c r="AA184" s="19" t="n">
        <x:f>IFERROR(TODAY()-DATEVALUE(C184),"")</x:f>
        <x:v>40</x:v>
      </x:c>
      <x:c r="AB184" s="21" t="n">
        <x:f>ROUND(COUNTA(A184:K184)/11*100,0)</x:f>
        <x:v>100</x:v>
      </x:c>
      <x:c r="AC184" s="18" t="str">
        <x:v>National Company Law Tribunal</x:v>
      </x:c>
      <x:c r="AD184" s="22" t="str">
        <x:v>https://ibbi.gov.in/uploads/announcement/2026-08-03-150007-x9kgp-ea725b2e94be1fe52ce2af5805a5dc1c.pdf</x:v>
      </x:c>
      <x:c r="AE184" s="18" t="str">
        <x:v>2026-08-01</x:v>
      </x:c>
      <x:c r="AF184" s="18" t="n">
        <x:v>46275.114583333336</x:v>
      </x:c>
      <x:c r="AG184" s="18" t="str">
        <x:v>retained_terminal</x:v>
      </x:c>
      <x:c r="AH184" s="18" t="str">
        <x:v>READY</x:v>
      </x:c>
    </x:row>
    <x:row r="185">
      <x:c r="A185" s="18" t="str">
        <x:v>NYT-47-84df45e735789d82</x:v>
      </x:c>
      <x:c r="B185" s="18" t="str">
        <x:v>NCLT / NCLAT (Insolvency) source coverage</x:v>
      </x:c>
      <x:c r="C185" s="18" t="str">
        <x:v>2026-08-01</x:v>
      </x:c>
      <x:c r="D185" s="18" t="n">
        <x:v>2026</x:v>
      </x:c>
      <x:c r="E185" s="18" t="str">
        <x:v>2026-08</x:v>
      </x:c>
      <x:c r="F185" s="18" t="str"/>
      <x:c r="G185" s="18" t="str">
        <x:v>Public Announcement of Corporate Insolvency Resolution Process</x:v>
      </x:c>
      <x:c r="H185" s="18" t="str"/>
      <x:c r="I185" s="18" t="str"/>
      <x:c r="J185" s="20" t="str"/>
      <x:c r="K185" s="18" t="str"/>
      <x:c r="L185" s="18" t="str"/>
      <x:c r="M185" s="18" t="str">
        <x:v>2026-08-01</x:v>
      </x:c>
      <x:c r="N185" s="18" t="str"/>
      <x:c r="O185" s="18" t="str">
        <x:v>ibbi_oeiyv7</x:v>
      </x:c>
      <x:c r="P185" s="18" t="str">
        <x:v>Saroj Didwania Proprietor of M/s Creations</x:v>
      </x:c>
      <x:c r="Q185" s="18" t="str">
        <x:v>STANDARD MOTOCORP PRIVATE LIMITED</x:v>
      </x:c>
      <x:c r="R185" s="18" t="str">
        <x:v>Mr. Sourabh Malpani</x:v>
      </x:c>
      <x:c r="S185" s="18" t="str">
        <x:v>2026-08-12</x:v>
      </x:c>
      <x:c r="T185" s="18" t="str">
        <x:v>Public Announcement of Corporate Insolvency Resolution Process</x:v>
      </x:c>
      <x:c r="U185" s="18" t="str"/>
      <x:c r="V185" s="18" t="str">
        <x:v>DEFINED_TERMINAL_OR_FEED_SCOPE</x:v>
      </x:c>
      <x:c r="W185" s="18" t="str">
        <x:v>national_ibbi_announcements.json — published records loaded</x:v>
      </x:c>
      <x:c r="X185" s="18" t="str"/>
      <x:c r="Y185" s="18" t="str"/>
      <x:c r="Z185" s="20" t="n">
        <x:v>434</x:v>
      </x:c>
      <x:c r="AA185" s="19" t="n">
        <x:f>IFERROR(TODAY()-DATEVALUE(C185),"")</x:f>
        <x:v>40</x:v>
      </x:c>
      <x:c r="AB185" s="21" t="n">
        <x:f>ROUND(COUNTA(A185:K185)/11*100,0)</x:f>
        <x:v>100</x:v>
      </x:c>
      <x:c r="AC185" s="18" t="str">
        <x:v>National Company Law Tribunal</x:v>
      </x:c>
      <x:c r="AD185" s="22" t="str">
        <x:v>https://ibbi.gov.in/uploads/announcement/9be976346db3a8e7b2ee84b71591f36f.pdf</x:v>
      </x:c>
      <x:c r="AE185" s="18" t="str">
        <x:v>2026-08-01</x:v>
      </x:c>
      <x:c r="AF185" s="18" t="n">
        <x:v>46275.114583333336</x:v>
      </x:c>
      <x:c r="AG185" s="18" t="str">
        <x:v>retained_terminal</x:v>
      </x:c>
      <x:c r="AH185" s="18" t="str">
        <x:v>READY</x:v>
      </x:c>
    </x:row>
    <x:row r="186">
      <x:c r="A186" s="18" t="str">
        <x:v>NYT-47-24bbc92799d51676</x:v>
      </x:c>
      <x:c r="B186" s="18" t="str">
        <x:v>NCLT / NCLAT (Insolvency) source coverage</x:v>
      </x:c>
      <x:c r="C186" s="18" t="str">
        <x:v>2026-08-01</x:v>
      </x:c>
      <x:c r="D186" s="18" t="n">
        <x:v>2026</x:v>
      </x:c>
      <x:c r="E186" s="18" t="str">
        <x:v>2026-08</x:v>
      </x:c>
      <x:c r="F186" s="18" t="str"/>
      <x:c r="G186" s="18" t="str">
        <x:v>Public Announcement of Corporate Insolvency Resolution Process</x:v>
      </x:c>
      <x:c r="H186" s="18" t="str"/>
      <x:c r="I186" s="18" t="str"/>
      <x:c r="J186" s="20" t="str"/>
      <x:c r="K186" s="18" t="str"/>
      <x:c r="L186" s="18" t="str"/>
      <x:c r="M186" s="18" t="str">
        <x:v>2026-08-01</x:v>
      </x:c>
      <x:c r="N186" s="18" t="str"/>
      <x:c r="O186" s="18" t="str">
        <x:v>ibbi_14yeow3</x:v>
      </x:c>
      <x:c r="P186" s="18" t="str">
        <x:v>Athena Mercantile Private Limited</x:v>
      </x:c>
      <x:c r="Q186" s="18" t="str">
        <x:v>ANMOL NIRYAT PVT.LTD.</x:v>
      </x:c>
      <x:c r="R186" s="18" t="str">
        <x:v>RITESH AGARWAL</x:v>
      </x:c>
      <x:c r="S186" s="18" t="str">
        <x:v>2026-08-13</x:v>
      </x:c>
      <x:c r="T186" s="18" t="str">
        <x:v>Public Announcement of Corporate Insolvency Resolution Process</x:v>
      </x:c>
      <x:c r="U186" s="18" t="str"/>
      <x:c r="V186" s="18" t="str">
        <x:v>DEFINED_TERMINAL_OR_FEED_SCOPE</x:v>
      </x:c>
      <x:c r="W186" s="18" t="str">
        <x:v>national_ibbi_announcements.json — published records loaded</x:v>
      </x:c>
      <x:c r="X186" s="18" t="str"/>
      <x:c r="Y186" s="18" t="str"/>
      <x:c r="Z186" s="20" t="n">
        <x:v>434</x:v>
      </x:c>
      <x:c r="AA186" s="19" t="n">
        <x:f>IFERROR(TODAY()-DATEVALUE(C186),"")</x:f>
        <x:v>40</x:v>
      </x:c>
      <x:c r="AB186" s="21" t="n">
        <x:f>ROUND(COUNTA(A186:K186)/11*100,0)</x:f>
        <x:v>100</x:v>
      </x:c>
      <x:c r="AC186" s="18" t="str">
        <x:v>National Company Law Tribunal</x:v>
      </x:c>
      <x:c r="AD186" s="22" t="str">
        <x:v>https://ibbi.gov.in/uploads/announcement/67bb6bc065257c9463a166ed36e102fe.pdf</x:v>
      </x:c>
      <x:c r="AE186" s="18" t="str">
        <x:v>2026-08-01</x:v>
      </x:c>
      <x:c r="AF186" s="18" t="n">
        <x:v>46275.114583333336</x:v>
      </x:c>
      <x:c r="AG186" s="18" t="str">
        <x:v>retained_terminal</x:v>
      </x:c>
      <x:c r="AH186" s="18" t="str">
        <x:v>READY</x:v>
      </x:c>
    </x:row>
    <x:row r="187">
      <x:c r="A187" s="18" t="str">
        <x:v>NYT-47-6cdbb9358024f108</x:v>
      </x:c>
      <x:c r="B187" s="18" t="str">
        <x:v>NCLT / NCLAT (Insolvency) source coverage</x:v>
      </x:c>
      <x:c r="C187" s="18" t="str">
        <x:v>2026-08-01</x:v>
      </x:c>
      <x:c r="D187" s="18" t="n">
        <x:v>2026</x:v>
      </x:c>
      <x:c r="E187" s="18" t="str">
        <x:v>2026-08</x:v>
      </x:c>
      <x:c r="F187" s="18" t="str"/>
      <x:c r="G187" s="18" t="str">
        <x:v>Public Announcement of Voluntary Liquidation Process</x:v>
      </x:c>
      <x:c r="H187" s="18" t="str"/>
      <x:c r="I187" s="18" t="str"/>
      <x:c r="J187" s="20" t="str"/>
      <x:c r="K187" s="18" t="str"/>
      <x:c r="L187" s="18" t="str"/>
      <x:c r="M187" s="18" t="str">
        <x:v>2026-08-01</x:v>
      </x:c>
      <x:c r="N187" s="18" t="str"/>
      <x:c r="O187" s="18" t="str">
        <x:v>ibbi_1dfd6ig</x:v>
      </x:c>
      <x:c r="P187" s="18" t="str">
        <x:v>SIDDARTHA AQUATICS INDIA PVT LTD</x:v>
      </x:c>
      <x:c r="Q187" s="18" t="str">
        <x:v>SIDDARTHA AQUATICS INDIA PVT LTD</x:v>
      </x:c>
      <x:c r="R187" s="18" t="str">
        <x:v>RAMESH ATLURI</x:v>
      </x:c>
      <x:c r="S187" s="18" t="str">
        <x:v>2026-08-30</x:v>
      </x:c>
      <x:c r="T187" s="18" t="str">
        <x:v>Public Announcement of Voluntary Liquidation Process</x:v>
      </x:c>
      <x:c r="U187" s="18" t="str"/>
      <x:c r="V187" s="18" t="str">
        <x:v>DEFINED_TERMINAL_OR_FEED_SCOPE</x:v>
      </x:c>
      <x:c r="W187" s="18" t="str">
        <x:v>national_ibbi_announcements.json — published records loaded</x:v>
      </x:c>
      <x:c r="X187" s="18" t="str"/>
      <x:c r="Y187" s="18" t="str"/>
      <x:c r="Z187" s="20" t="n">
        <x:v>434</x:v>
      </x:c>
      <x:c r="AA187" s="19" t="n">
        <x:f>IFERROR(TODAY()-DATEVALUE(C187),"")</x:f>
        <x:v>40</x:v>
      </x:c>
      <x:c r="AB187" s="21" t="n">
        <x:f>ROUND(COUNTA(A187:K187)/11*100,0)</x:f>
        <x:v>100</x:v>
      </x:c>
      <x:c r="AC187" s="18" t="str">
        <x:v>National Company Law Tribunal</x:v>
      </x:c>
      <x:c r="AD187" s="22" t="str">
        <x:v>https://ibbi.gov.in/uploads/announcement/edd5e8e01bf8ff02ffbedc81e32f2842.pdf</x:v>
      </x:c>
      <x:c r="AE187" s="18" t="str">
        <x:v>2026-08-01</x:v>
      </x:c>
      <x:c r="AF187" s="18" t="n">
        <x:v>46275.114583333336</x:v>
      </x:c>
      <x:c r="AG187" s="18" t="str">
        <x:v>retained_terminal</x:v>
      </x:c>
      <x:c r="AH187" s="18" t="str">
        <x:v>READY</x:v>
      </x:c>
    </x:row>
    <x:row r="188">
      <x:c r="A188" s="18" t="str">
        <x:v>NYT-47-a43053c9d8708042</x:v>
      </x:c>
      <x:c r="B188" s="18" t="str">
        <x:v>NCLT / NCLAT (Insolvency) source coverage</x:v>
      </x:c>
      <x:c r="C188" s="18" t="str">
        <x:v>2026-08-01</x:v>
      </x:c>
      <x:c r="D188" s="18" t="n">
        <x:v>2026</x:v>
      </x:c>
      <x:c r="E188" s="18" t="str">
        <x:v>2026-08</x:v>
      </x:c>
      <x:c r="F188" s="18" t="str"/>
      <x:c r="G188" s="18" t="str">
        <x:v>Public Announcement of Voluntary Liquidation Process</x:v>
      </x:c>
      <x:c r="H188" s="18" t="str"/>
      <x:c r="I188" s="18" t="str"/>
      <x:c r="J188" s="20" t="str"/>
      <x:c r="K188" s="18" t="str"/>
      <x:c r="L188" s="18" t="str"/>
      <x:c r="M188" s="18" t="str">
        <x:v>2026-08-01</x:v>
      </x:c>
      <x:c r="N188" s="18" t="str"/>
      <x:c r="O188" s="18" t="str">
        <x:v>ibbi_178y77p</x:v>
      </x:c>
      <x:c r="P188" s="18" t="str">
        <x:v>HELIOS INFRASTRUCTURE AND PROJECTS LTD.</x:v>
      </x:c>
      <x:c r="Q188" s="18" t="str">
        <x:v>HELIOS INFRASTRUCTURE AND PROJECTS LTD.</x:v>
      </x:c>
      <x:c r="R188" s="18" t="str">
        <x:v>Mr. Amit Gupta</x:v>
      </x:c>
      <x:c r="S188" s="18" t="str">
        <x:v>2026-08-28</x:v>
      </x:c>
      <x:c r="T188" s="18" t="str">
        <x:v>Public Announcement of Voluntary Liquidation Process</x:v>
      </x:c>
      <x:c r="U188" s="18" t="str"/>
      <x:c r="V188" s="18" t="str">
        <x:v>DEFINED_TERMINAL_OR_FEED_SCOPE</x:v>
      </x:c>
      <x:c r="W188" s="18" t="str">
        <x:v>national_ibbi_announcements.json — published records loaded</x:v>
      </x:c>
      <x:c r="X188" s="18" t="str"/>
      <x:c r="Y188" s="18" t="str"/>
      <x:c r="Z188" s="20" t="n">
        <x:v>434</x:v>
      </x:c>
      <x:c r="AA188" s="19" t="n">
        <x:f>IFERROR(TODAY()-DATEVALUE(C188),"")</x:f>
        <x:v>40</x:v>
      </x:c>
      <x:c r="AB188" s="21" t="n">
        <x:f>ROUND(COUNTA(A188:K188)/11*100,0)</x:f>
        <x:v>100</x:v>
      </x:c>
      <x:c r="AC188" s="18" t="str">
        <x:v>National Company Law Tribunal</x:v>
      </x:c>
      <x:c r="AD188" s="22" t="str">
        <x:v>https://ibbi.gov.in/uploads/announcement/2026-08-06-121915-j8und-06f6a489209115c5cef3f45036aad3ec.pdf</x:v>
      </x:c>
      <x:c r="AE188" s="18" t="str">
        <x:v>2026-08-01</x:v>
      </x:c>
      <x:c r="AF188" s="18" t="n">
        <x:v>46275.114583333336</x:v>
      </x:c>
      <x:c r="AG188" s="18" t="str">
        <x:v>retained_terminal</x:v>
      </x:c>
      <x:c r="AH188" s="18" t="str">
        <x:v>READY</x:v>
      </x:c>
    </x:row>
    <x:row r="189">
      <x:c r="A189" s="18" t="str">
        <x:v>NYT-47-8bbf587761e33512</x:v>
      </x:c>
      <x:c r="B189" s="18" t="str">
        <x:v>NCLT / NCLAT (Insolvency) source coverage</x:v>
      </x:c>
      <x:c r="C189" s="18" t="str">
        <x:v>2026-07-30</x:v>
      </x:c>
      <x:c r="D189" s="18" t="n">
        <x:v>2026</x:v>
      </x:c>
      <x:c r="E189" s="18" t="str">
        <x:v>2026-07</x:v>
      </x:c>
      <x:c r="F189" s="18" t="str"/>
      <x:c r="G189" s="18" t="str">
        <x:v>Public Announcement of Voluntary Liquidation Process</x:v>
      </x:c>
      <x:c r="H189" s="18" t="str"/>
      <x:c r="I189" s="18" t="str"/>
      <x:c r="J189" s="20" t="str"/>
      <x:c r="K189" s="18" t="str"/>
      <x:c r="L189" s="18" t="str"/>
      <x:c r="M189" s="18" t="str">
        <x:v>2026-07-30</x:v>
      </x:c>
      <x:c r="N189" s="18" t="str"/>
      <x:c r="O189" s="18" t="str">
        <x:v>ibbi_1p9es6h</x:v>
      </x:c>
      <x:c r="P189" s="18" t="str">
        <x:v>Ajay Abad</x:v>
      </x:c>
      <x:c r="Q189" s="18" t="str">
        <x:v>BLUE ROCK HOSPITALITY VENTURES PRIVATE LIMITED</x:v>
      </x:c>
      <x:c r="R189" s="18" t="str">
        <x:v>Ajay Abad</x:v>
      </x:c>
      <x:c r="S189" s="18" t="str">
        <x:v>2026-08-27</x:v>
      </x:c>
      <x:c r="T189" s="18" t="str">
        <x:v>Public Announcement of Voluntary Liquidation Process</x:v>
      </x:c>
      <x:c r="U189" s="18" t="str"/>
      <x:c r="V189" s="18" t="str">
        <x:v>DEFINED_TERMINAL_OR_FEED_SCOPE</x:v>
      </x:c>
      <x:c r="W189" s="18" t="str">
        <x:v>national_ibbi_announcements.json — published records loaded</x:v>
      </x:c>
      <x:c r="X189" s="18" t="str"/>
      <x:c r="Y189" s="18" t="str"/>
      <x:c r="Z189" s="20" t="n">
        <x:v>434</x:v>
      </x:c>
      <x:c r="AA189" s="19" t="n">
        <x:f>IFERROR(TODAY()-DATEVALUE(C189),"")</x:f>
        <x:v>42</x:v>
      </x:c>
      <x:c r="AB189" s="21" t="n">
        <x:f>ROUND(COUNTA(A189:K189)/11*100,0)</x:f>
        <x:v>100</x:v>
      </x:c>
      <x:c r="AC189" s="18" t="str">
        <x:v>National Company Law Tribunal</x:v>
      </x:c>
      <x:c r="AD189" s="22" t="str">
        <x:v>https://ibbi.gov.in/uploads/announcement/447d43627362613d00505933819a7de1.pdf</x:v>
      </x:c>
      <x:c r="AE189" s="18" t="str">
        <x:v>2026-07-30</x:v>
      </x:c>
      <x:c r="AF189" s="18" t="n">
        <x:v>46275.114583333336</x:v>
      </x:c>
      <x:c r="AG189" s="18" t="str">
        <x:v>retained_terminal</x:v>
      </x:c>
      <x:c r="AH189" s="18" t="str">
        <x:v>READY</x:v>
      </x:c>
    </x:row>
    <x:row r="190">
      <x:c r="A190" s="18" t="str">
        <x:v>NYT-47-b76fb272aa2250a4</x:v>
      </x:c>
      <x:c r="B190" s="18" t="str">
        <x:v>NCLT / NCLAT (Insolvency) source coverage</x:v>
      </x:c>
      <x:c r="C190" s="18" t="str">
        <x:v>2026-07-30</x:v>
      </x:c>
      <x:c r="D190" s="18" t="n">
        <x:v>2026</x:v>
      </x:c>
      <x:c r="E190" s="18" t="str">
        <x:v>2026-07</x:v>
      </x:c>
      <x:c r="F190" s="18" t="str"/>
      <x:c r="G190" s="18" t="str">
        <x:v>Public Announcement of Corporate Insolvency Resolution Process</x:v>
      </x:c>
      <x:c r="H190" s="18" t="str"/>
      <x:c r="I190" s="18" t="str"/>
      <x:c r="J190" s="20" t="str"/>
      <x:c r="K190" s="18" t="str"/>
      <x:c r="L190" s="18" t="str"/>
      <x:c r="M190" s="18" t="str">
        <x:v>2026-07-30</x:v>
      </x:c>
      <x:c r="N190" s="18" t="str"/>
      <x:c r="O190" s="18" t="str">
        <x:v>ibbi_1k9iyud</x:v>
      </x:c>
      <x:c r="P190" s="18" t="str">
        <x:v>ALLFLEX PLASTIC LLP</x:v>
      </x:c>
      <x:c r="Q190" s="18" t="str">
        <x:v>ALLFLEX PLASTIC LLP</x:v>
      </x:c>
      <x:c r="R190" s="18" t="str">
        <x:v>Mr. Hansraj Jaria</x:v>
      </x:c>
      <x:c r="S190" s="18" t="str">
        <x:v>2026-08-11</x:v>
      </x:c>
      <x:c r="T190" s="18" t="str">
        <x:v>Public Announcement of Corporate Insolvency Resolution Process</x:v>
      </x:c>
      <x:c r="U190" s="18" t="str"/>
      <x:c r="V190" s="18" t="str">
        <x:v>DEFINED_TERMINAL_OR_FEED_SCOPE</x:v>
      </x:c>
      <x:c r="W190" s="18" t="str">
        <x:v>national_ibbi_announcements.json — published records loaded</x:v>
      </x:c>
      <x:c r="X190" s="18" t="str"/>
      <x:c r="Y190" s="18" t="str"/>
      <x:c r="Z190" s="20" t="n">
        <x:v>434</x:v>
      </x:c>
      <x:c r="AA190" s="19" t="n">
        <x:f>IFERROR(TODAY()-DATEVALUE(C190),"")</x:f>
        <x:v>42</x:v>
      </x:c>
      <x:c r="AB190" s="21" t="n">
        <x:f>ROUND(COUNTA(A190:K190)/11*100,0)</x:f>
        <x:v>100</x:v>
      </x:c>
      <x:c r="AC190" s="18" t="str">
        <x:v>National Company Law Tribunal</x:v>
      </x:c>
      <x:c r="AD190" s="22" t="str">
        <x:v>https://ibbi.gov.in/uploads/announcement/2026-07-30-184420-gy3ij-5c06ce6c0111806ecfd4fbad7e27f559.pdf</x:v>
      </x:c>
      <x:c r="AE190" s="18" t="str">
        <x:v>2026-07-30</x:v>
      </x:c>
      <x:c r="AF190" s="18" t="n">
        <x:v>46275.114583333336</x:v>
      </x:c>
      <x:c r="AG190" s="18" t="str">
        <x:v>retained_terminal</x:v>
      </x:c>
      <x:c r="AH190" s="18" t="str">
        <x:v>READY</x:v>
      </x:c>
    </x:row>
    <x:row r="191">
      <x:c r="A191" s="18" t="str">
        <x:v>NYT-47-c6e3a1624e73f1b5</x:v>
      </x:c>
      <x:c r="B191" s="18" t="str">
        <x:v>NCLT / NCLAT (Insolvency) source coverage</x:v>
      </x:c>
      <x:c r="C191" s="18" t="str">
        <x:v>2026-07-30</x:v>
      </x:c>
      <x:c r="D191" s="18" t="n">
        <x:v>2026</x:v>
      </x:c>
      <x:c r="E191" s="18" t="str">
        <x:v>2026-07</x:v>
      </x:c>
      <x:c r="F191" s="18" t="str"/>
      <x:c r="G191" s="18" t="str">
        <x:v>Public Announcement of Corporate Insolvency Resolution Process</x:v>
      </x:c>
      <x:c r="H191" s="18" t="str"/>
      <x:c r="I191" s="18" t="str"/>
      <x:c r="J191" s="20" t="str"/>
      <x:c r="K191" s="18" t="str"/>
      <x:c r="L191" s="18" t="str"/>
      <x:c r="M191" s="18" t="str">
        <x:v>2026-07-30</x:v>
      </x:c>
      <x:c r="N191" s="18" t="str"/>
      <x:c r="O191" s="18" t="str">
        <x:v>ibbi_jg9gcy</x:v>
      </x:c>
      <x:c r="P191" s="18" t="str">
        <x:v>INDIA SME ASSET RECONSTRUCTION COMPANY LIMITED</x:v>
      </x:c>
      <x:c r="Q191" s="18" t="str">
        <x:v>GIRIVAR HOTEL AND RESORT PRIVATE LIMITED</x:v>
      </x:c>
      <x:c r="R191" s="18" t="str">
        <x:v>Gunjan Jain</x:v>
      </x:c>
      <x:c r="S191" s="18" t="str">
        <x:v>2026-08-12</x:v>
      </x:c>
      <x:c r="T191" s="18" t="str">
        <x:v>Public Announcement of Corporate Insolvency Resolution Process</x:v>
      </x:c>
      <x:c r="U191" s="18" t="str"/>
      <x:c r="V191" s="18" t="str">
        <x:v>DEFINED_TERMINAL_OR_FEED_SCOPE</x:v>
      </x:c>
      <x:c r="W191" s="18" t="str">
        <x:v>national_ibbi_announcements.json — published records loaded</x:v>
      </x:c>
      <x:c r="X191" s="18" t="str"/>
      <x:c r="Y191" s="18" t="str"/>
      <x:c r="Z191" s="20" t="n">
        <x:v>434</x:v>
      </x:c>
      <x:c r="AA191" s="19" t="n">
        <x:f>IFERROR(TODAY()-DATEVALUE(C191),"")</x:f>
        <x:v>42</x:v>
      </x:c>
      <x:c r="AB191" s="21" t="n">
        <x:f>ROUND(COUNTA(A191:K191)/11*100,0)</x:f>
        <x:v>100</x:v>
      </x:c>
      <x:c r="AC191" s="18" t="str">
        <x:v>National Company Law Tribunal</x:v>
      </x:c>
      <x:c r="AD191" s="22" t="str">
        <x:v>https://ibbi.gov.in/uploads/announcement/2026-07-30-180144-fldk9-60c3506ea26ab64ae6774e61fcb53ef3.pdf</x:v>
      </x:c>
      <x:c r="AE191" s="18" t="str">
        <x:v>2026-07-30</x:v>
      </x:c>
      <x:c r="AF191" s="18" t="n">
        <x:v>46275.114583333336</x:v>
      </x:c>
      <x:c r="AG191" s="18" t="str">
        <x:v>retained_terminal</x:v>
      </x:c>
      <x:c r="AH191" s="18" t="str">
        <x:v>READY</x:v>
      </x:c>
    </x:row>
    <x:row r="192">
      <x:c r="A192" s="18" t="str">
        <x:v>NYT-47-e9c5cb1046445ae0</x:v>
      </x:c>
      <x:c r="B192" s="18" t="str">
        <x:v>NCLT / NCLAT (Insolvency) source coverage</x:v>
      </x:c>
      <x:c r="C192" s="18" t="str">
        <x:v>2026-07-30</x:v>
      </x:c>
      <x:c r="D192" s="18" t="n">
        <x:v>2026</x:v>
      </x:c>
      <x:c r="E192" s="18" t="str">
        <x:v>2026-07</x:v>
      </x:c>
      <x:c r="F192" s="18" t="str"/>
      <x:c r="G192" s="18" t="str">
        <x:v>Public Announcement of Corporate Insolvency Resolution Process</x:v>
      </x:c>
      <x:c r="H192" s="18" t="str"/>
      <x:c r="I192" s="18" t="str"/>
      <x:c r="J192" s="20" t="str"/>
      <x:c r="K192" s="18" t="str"/>
      <x:c r="L192" s="18" t="str"/>
      <x:c r="M192" s="18" t="str">
        <x:v>2026-07-30</x:v>
      </x:c>
      <x:c r="N192" s="18" t="str"/>
      <x:c r="O192" s="18" t="str">
        <x:v>ibbi_a1acua</x:v>
      </x:c>
      <x:c r="P192" s="18" t="str">
        <x:v>Finquest Financial Solutions Private Limited</x:v>
      </x:c>
      <x:c r="Q192" s="18" t="str">
        <x:v>VELEX LOGISTICS PRIVATE LIMITED</x:v>
      </x:c>
      <x:c r="R192" s="18" t="str">
        <x:v>Dipti Narayan Mundra</x:v>
      </x:c>
      <x:c r="S192" s="18" t="str">
        <x:v>2026-08-11</x:v>
      </x:c>
      <x:c r="T192" s="18" t="str">
        <x:v>Public Announcement of Corporate Insolvency Resolution Process</x:v>
      </x:c>
      <x:c r="U192" s="18" t="str"/>
      <x:c r="V192" s="18" t="str">
        <x:v>DEFINED_TERMINAL_OR_FEED_SCOPE</x:v>
      </x:c>
      <x:c r="W192" s="18" t="str">
        <x:v>national_ibbi_announcements.json — published records loaded</x:v>
      </x:c>
      <x:c r="X192" s="18" t="str"/>
      <x:c r="Y192" s="18" t="str"/>
      <x:c r="Z192" s="20" t="n">
        <x:v>434</x:v>
      </x:c>
      <x:c r="AA192" s="19" t="n">
        <x:f>IFERROR(TODAY()-DATEVALUE(C192),"")</x:f>
        <x:v>42</x:v>
      </x:c>
      <x:c r="AB192" s="21" t="n">
        <x:f>ROUND(COUNTA(A192:K192)/11*100,0)</x:f>
        <x:v>100</x:v>
      </x:c>
      <x:c r="AC192" s="18" t="str">
        <x:v>National Company Law Tribunal</x:v>
      </x:c>
      <x:c r="AD192" s="22" t="str">
        <x:v>https://ibbi.gov.in/uploads/announcement/01c95fd296574b9f8b3bb0635aeac4c4.pdf</x:v>
      </x:c>
      <x:c r="AE192" s="18" t="str">
        <x:v>2026-07-30</x:v>
      </x:c>
      <x:c r="AF192" s="18" t="n">
        <x:v>46275.114583333336</x:v>
      </x:c>
      <x:c r="AG192" s="18" t="str">
        <x:v>retained_terminal</x:v>
      </x:c>
      <x:c r="AH192" s="18" t="str">
        <x:v>READY</x:v>
      </x:c>
    </x:row>
    <x:row r="193">
      <x:c r="A193" s="18" t="str">
        <x:v>NYT-47-c29ddc0dfd185a82</x:v>
      </x:c>
      <x:c r="B193" s="18" t="str">
        <x:v>NCLT / NCLAT (Insolvency) source coverage</x:v>
      </x:c>
      <x:c r="C193" s="18" t="str">
        <x:v>2026-07-30</x:v>
      </x:c>
      <x:c r="D193" s="18" t="n">
        <x:v>2026</x:v>
      </x:c>
      <x:c r="E193" s="18" t="str">
        <x:v>2026-07</x:v>
      </x:c>
      <x:c r="F193" s="18" t="str"/>
      <x:c r="G193" s="18" t="str">
        <x:v>Public Announcement of Corporate Insolvency Resolution Process</x:v>
      </x:c>
      <x:c r="H193" s="18" t="str"/>
      <x:c r="I193" s="18" t="str"/>
      <x:c r="J193" s="20" t="str"/>
      <x:c r="K193" s="18" t="str"/>
      <x:c r="L193" s="18" t="str"/>
      <x:c r="M193" s="18" t="str">
        <x:v>2026-07-30</x:v>
      </x:c>
      <x:c r="N193" s="18" t="str"/>
      <x:c r="O193" s="18" t="str">
        <x:v>ibbi_n7dahc</x:v>
      </x:c>
      <x:c r="P193" s="18" t="str">
        <x:v>Universal Polychem (lndia) Private Limited</x:v>
      </x:c>
      <x:c r="Q193" s="18" t="str">
        <x:v>KRISHNA ELECTRICAL INDUSTRIES LIMITED</x:v>
      </x:c>
      <x:c r="R193" s="18" t="str">
        <x:v>Mr. Bishwa Ranjan Chatterjee</x:v>
      </x:c>
      <x:c r="S193" s="18" t="str">
        <x:v>2026-08-12</x:v>
      </x:c>
      <x:c r="T193" s="18" t="str">
        <x:v>Public Announcement of Corporate Insolvency Resolution Process</x:v>
      </x:c>
      <x:c r="U193" s="18" t="str"/>
      <x:c r="V193" s="18" t="str">
        <x:v>DEFINED_TERMINAL_OR_FEED_SCOPE</x:v>
      </x:c>
      <x:c r="W193" s="18" t="str">
        <x:v>national_ibbi_announcements.json — published records loaded</x:v>
      </x:c>
      <x:c r="X193" s="18" t="str"/>
      <x:c r="Y193" s="18" t="str"/>
      <x:c r="Z193" s="20" t="n">
        <x:v>434</x:v>
      </x:c>
      <x:c r="AA193" s="19" t="n">
        <x:f>IFERROR(TODAY()-DATEVALUE(C193),"")</x:f>
        <x:v>42</x:v>
      </x:c>
      <x:c r="AB193" s="21" t="n">
        <x:f>ROUND(COUNTA(A193:K193)/11*100,0)</x:f>
        <x:v>100</x:v>
      </x:c>
      <x:c r="AC193" s="18" t="str">
        <x:v>National Company Law Tribunal</x:v>
      </x:c>
      <x:c r="AD193" s="22" t="str">
        <x:v>https://ibbi.gov.in/uploads/announcement/f2f0df36d1b4801cebe0f940d831b66a.pdf</x:v>
      </x:c>
      <x:c r="AE193" s="18" t="str">
        <x:v>2026-07-30</x:v>
      </x:c>
      <x:c r="AF193" s="18" t="n">
        <x:v>46275.114583333336</x:v>
      </x:c>
      <x:c r="AG193" s="18" t="str">
        <x:v>retained_terminal</x:v>
      </x:c>
      <x:c r="AH193" s="18" t="str">
        <x:v>READY</x:v>
      </x:c>
    </x:row>
    <x:row r="194">
      <x:c r="A194" s="18" t="str">
        <x:v>NYT-47-2ad3129ec285815b</x:v>
      </x:c>
      <x:c r="B194" s="18" t="str">
        <x:v>NCLT / NCLAT (Insolvency) source coverage</x:v>
      </x:c>
      <x:c r="C194" s="18" t="str">
        <x:v>2026-07-29</x:v>
      </x:c>
      <x:c r="D194" s="18" t="n">
        <x:v>2026</x:v>
      </x:c>
      <x:c r="E194" s="18" t="str">
        <x:v>2026-07</x:v>
      </x:c>
      <x:c r="F194" s="18" t="str"/>
      <x:c r="G194" s="18" t="str">
        <x:v>Public Announcement of Corporate Insolvency Resolution Process</x:v>
      </x:c>
      <x:c r="H194" s="18" t="str"/>
      <x:c r="I194" s="18" t="str"/>
      <x:c r="J194" s="20" t="str"/>
      <x:c r="K194" s="18" t="str"/>
      <x:c r="L194" s="18" t="str"/>
      <x:c r="M194" s="18" t="str">
        <x:v>2026-07-29</x:v>
      </x:c>
      <x:c r="N194" s="18" t="str"/>
      <x:c r="O194" s="18" t="str">
        <x:v>ibbi_d769k5</x:v>
      </x:c>
      <x:c r="P194" s="18" t="str">
        <x:v>Bank of Baroda</x:v>
      </x:c>
      <x:c r="Q194" s="18" t="str">
        <x:v>NEXTGEN TEXTILE PARK PRIVATE LIMITED</x:v>
      </x:c>
      <x:c r="R194" s="18" t="str">
        <x:v>Rahul Jindal</x:v>
      </x:c>
      <x:c r="S194" s="18" t="str">
        <x:v>2026-08-11</x:v>
      </x:c>
      <x:c r="T194" s="18" t="str">
        <x:v>Public Announcement of Corporate Insolvency Resolution Process</x:v>
      </x:c>
      <x:c r="U194" s="18" t="str"/>
      <x:c r="V194" s="18" t="str">
        <x:v>DEFINED_TERMINAL_OR_FEED_SCOPE</x:v>
      </x:c>
      <x:c r="W194" s="18" t="str">
        <x:v>national_ibbi_announcements.json — published records loaded</x:v>
      </x:c>
      <x:c r="X194" s="18" t="str"/>
      <x:c r="Y194" s="18" t="str"/>
      <x:c r="Z194" s="20" t="n">
        <x:v>434</x:v>
      </x:c>
      <x:c r="AA194" s="19" t="n">
        <x:f>IFERROR(TODAY()-DATEVALUE(C194),"")</x:f>
        <x:v>43</x:v>
      </x:c>
      <x:c r="AB194" s="21" t="n">
        <x:f>ROUND(COUNTA(A194:K194)/11*100,0)</x:f>
        <x:v>100</x:v>
      </x:c>
      <x:c r="AC194" s="18" t="str">
        <x:v>National Company Law Tribunal</x:v>
      </x:c>
      <x:c r="AD194" s="22" t="str">
        <x:v>https://ibbi.gov.in/uploads/announcement/2026-07-29-161402-6do0e-c0cf80b6ddc72720c5c252c603eba1ec.pdf</x:v>
      </x:c>
      <x:c r="AE194" s="18" t="str">
        <x:v>2026-07-29</x:v>
      </x:c>
      <x:c r="AF194" s="18" t="n">
        <x:v>46275.114583333336</x:v>
      </x:c>
      <x:c r="AG194" s="18" t="str">
        <x:v>retained_terminal</x:v>
      </x:c>
      <x:c r="AH194" s="18" t="str">
        <x:v>READY</x:v>
      </x:c>
    </x:row>
    <x:row r="195">
      <x:c r="A195" s="18" t="str">
        <x:v>NYT-47-998b72da190771d2</x:v>
      </x:c>
      <x:c r="B195" s="18" t="str">
        <x:v>NCLT / NCLAT (Insolvency) source coverage</x:v>
      </x:c>
      <x:c r="C195" s="18" t="str">
        <x:v>2026-07-28</x:v>
      </x:c>
      <x:c r="D195" s="18" t="n">
        <x:v>2026</x:v>
      </x:c>
      <x:c r="E195" s="18" t="str">
        <x:v>2026-07</x:v>
      </x:c>
      <x:c r="F195" s="18" t="str"/>
      <x:c r="G195" s="18" t="str">
        <x:v>Public Announcement of Voluntary Liquidation Process</x:v>
      </x:c>
      <x:c r="H195" s="18" t="str"/>
      <x:c r="I195" s="18" t="str"/>
      <x:c r="J195" s="20" t="str"/>
      <x:c r="K195" s="18" t="str"/>
      <x:c r="L195" s="18" t="str"/>
      <x:c r="M195" s="18" t="str">
        <x:v>2026-07-28</x:v>
      </x:c>
      <x:c r="N195" s="18" t="str"/>
      <x:c r="O195" s="18" t="str">
        <x:v>ibbi_17bdd05</x:v>
      </x:c>
      <x:c r="P195" s="18" t="str">
        <x:v>DATARISHI TECHNOLOGIES PRIVATE LIMITED</x:v>
      </x:c>
      <x:c r="Q195" s="18" t="str">
        <x:v>DATARISHI TECHNOLOGIES PRIVATE LIMITED</x:v>
      </x:c>
      <x:c r="R195" s="18" t="str">
        <x:v>Mansij Arya</x:v>
      </x:c>
      <x:c r="S195" s="18" t="str">
        <x:v>2026-08-23</x:v>
      </x:c>
      <x:c r="T195" s="18" t="str">
        <x:v>Public Announcement of Voluntary Liquidation Process</x:v>
      </x:c>
      <x:c r="U195" s="18" t="str"/>
      <x:c r="V195" s="18" t="str">
        <x:v>DEFINED_TERMINAL_OR_FEED_SCOPE</x:v>
      </x:c>
      <x:c r="W195" s="18" t="str">
        <x:v>national_ibbi_announcements.json — published records loaded</x:v>
      </x:c>
      <x:c r="X195" s="18" t="str"/>
      <x:c r="Y195" s="18" t="str"/>
      <x:c r="Z195" s="20" t="n">
        <x:v>434</x:v>
      </x:c>
      <x:c r="AA195" s="19" t="n">
        <x:f>IFERROR(TODAY()-DATEVALUE(C195),"")</x:f>
        <x:v>44</x:v>
      </x:c>
      <x:c r="AB195" s="21" t="n">
        <x:f>ROUND(COUNTA(A195:K195)/11*100,0)</x:f>
        <x:v>100</x:v>
      </x:c>
      <x:c r="AC195" s="18" t="str">
        <x:v>National Company Law Tribunal</x:v>
      </x:c>
      <x:c r="AD195" s="22" t="str">
        <x:v>https://ibbi.gov.in/uploads/announcement/fcca44668856f4f7da73890377274c16.pdf</x:v>
      </x:c>
      <x:c r="AE195" s="18" t="str">
        <x:v>2026-07-28</x:v>
      </x:c>
      <x:c r="AF195" s="18" t="n">
        <x:v>46275.114583333336</x:v>
      </x:c>
      <x:c r="AG195" s="18" t="str">
        <x:v>retained_terminal</x:v>
      </x:c>
      <x:c r="AH195" s="18" t="str">
        <x:v>READY</x:v>
      </x:c>
    </x:row>
    <x:row r="196">
      <x:c r="A196" s="18" t="str">
        <x:v>NYT-47-78a0fec9e8558051</x:v>
      </x:c>
      <x:c r="B196" s="18" t="str">
        <x:v>NCLT / NCLAT (Insolvency) source coverage</x:v>
      </x:c>
      <x:c r="C196" s="18" t="str">
        <x:v>2026-07-27</x:v>
      </x:c>
      <x:c r="D196" s="18" t="n">
        <x:v>2026</x:v>
      </x:c>
      <x:c r="E196" s="18" t="str">
        <x:v>2026-07</x:v>
      </x:c>
      <x:c r="F196" s="18" t="str"/>
      <x:c r="G196" s="18" t="str">
        <x:v>Public Announcement of Voluntary Liquidation Process</x:v>
      </x:c>
      <x:c r="H196" s="18" t="str"/>
      <x:c r="I196" s="18" t="str"/>
      <x:c r="J196" s="20" t="str"/>
      <x:c r="K196" s="18" t="str"/>
      <x:c r="L196" s="18" t="str"/>
      <x:c r="M196" s="18" t="str">
        <x:v>2026-07-27</x:v>
      </x:c>
      <x:c r="N196" s="18" t="str"/>
      <x:c r="O196" s="18" t="str">
        <x:v>ibbi_13zsrdy</x:v>
      </x:c>
      <x:c r="P196" s="18" t="str">
        <x:v>DATASIFT PRIVATE LIMITED</x:v>
      </x:c>
      <x:c r="Q196" s="18" t="str">
        <x:v>DATASIFT PRIVATE LIMITED</x:v>
      </x:c>
      <x:c r="R196" s="18" t="str">
        <x:v>Mr. A R Ramasubramania Raja</x:v>
      </x:c>
      <x:c r="S196" s="18" t="str">
        <x:v>2026-08-24</x:v>
      </x:c>
      <x:c r="T196" s="18" t="str">
        <x:v>Public Announcement of Voluntary Liquidation Process</x:v>
      </x:c>
      <x:c r="U196" s="18" t="str"/>
      <x:c r="V196" s="18" t="str">
        <x:v>DEFINED_TERMINAL_OR_FEED_SCOPE</x:v>
      </x:c>
      <x:c r="W196" s="18" t="str">
        <x:v>national_ibbi_announcements.json — published records loaded</x:v>
      </x:c>
      <x:c r="X196" s="18" t="str"/>
      <x:c r="Y196" s="18" t="str"/>
      <x:c r="Z196" s="20" t="n">
        <x:v>434</x:v>
      </x:c>
      <x:c r="AA196" s="19" t="n">
        <x:f>IFERROR(TODAY()-DATEVALUE(C196),"")</x:f>
        <x:v>45</x:v>
      </x:c>
      <x:c r="AB196" s="21" t="n">
        <x:f>ROUND(COUNTA(A196:K196)/11*100,0)</x:f>
        <x:v>100</x:v>
      </x:c>
      <x:c r="AC196" s="18" t="str">
        <x:v>National Company Law Tribunal</x:v>
      </x:c>
      <x:c r="AD196" s="22" t="str">
        <x:v>https://ibbi.gov.in/uploads/announcement/8311faf2406f32e5ad5ad0cd106825af.pdf</x:v>
      </x:c>
      <x:c r="AE196" s="18" t="str">
        <x:v>2026-07-27</x:v>
      </x:c>
      <x:c r="AF196" s="18" t="n">
        <x:v>46275.114583333336</x:v>
      </x:c>
      <x:c r="AG196" s="18" t="str">
        <x:v>retained_terminal</x:v>
      </x:c>
      <x:c r="AH196" s="18" t="str">
        <x:v>READY</x:v>
      </x:c>
    </x:row>
    <x:row r="197">
      <x:c r="A197" s="18" t="str">
        <x:v>NYT-47-79e118658654d66b</x:v>
      </x:c>
      <x:c r="B197" s="18" t="str">
        <x:v>NCLT / NCLAT (Insolvency) source coverage</x:v>
      </x:c>
      <x:c r="C197" s="18" t="str">
        <x:v>2026-07-27</x:v>
      </x:c>
      <x:c r="D197" s="18" t="n">
        <x:v>2026</x:v>
      </x:c>
      <x:c r="E197" s="18" t="str">
        <x:v>2026-07</x:v>
      </x:c>
      <x:c r="F197" s="18" t="str"/>
      <x:c r="G197" s="18" t="str">
        <x:v>Public Announcement of Corporate Insolvency Resolution Process</x:v>
      </x:c>
      <x:c r="H197" s="18" t="str"/>
      <x:c r="I197" s="18" t="str"/>
      <x:c r="J197" s="20" t="str"/>
      <x:c r="K197" s="18" t="str"/>
      <x:c r="L197" s="18" t="str"/>
      <x:c r="M197" s="18" t="str">
        <x:v>2026-07-27</x:v>
      </x:c>
      <x:c r="N197" s="18" t="str"/>
      <x:c r="O197" s="18" t="str">
        <x:v>ibbi_1fz6lc4</x:v>
      </x:c>
      <x:c r="P197" s="18" t="str">
        <x:v>KARUNA CHATURVEDI</x:v>
      </x:c>
      <x:c r="Q197" s="18" t="str">
        <x:v>AAKRITI LANDCON PRIVATE LIMITED</x:v>
      </x:c>
      <x:c r="R197" s="18" t="str">
        <x:v>Mr. Babu Lal Sharma</x:v>
      </x:c>
      <x:c r="S197" s="18" t="str">
        <x:v>2026-08-07</x:v>
      </x:c>
      <x:c r="T197" s="18" t="str">
        <x:v>Public Announcement of Corporate Insolvency Resolution Process</x:v>
      </x:c>
      <x:c r="U197" s="18" t="str"/>
      <x:c r="V197" s="18" t="str">
        <x:v>DEFINED_TERMINAL_OR_FEED_SCOPE</x:v>
      </x:c>
      <x:c r="W197" s="18" t="str">
        <x:v>national_ibbi_announcements.json — published records loaded</x:v>
      </x:c>
      <x:c r="X197" s="18" t="str"/>
      <x:c r="Y197" s="18" t="str"/>
      <x:c r="Z197" s="20" t="n">
        <x:v>434</x:v>
      </x:c>
      <x:c r="AA197" s="19" t="n">
        <x:f>IFERROR(TODAY()-DATEVALUE(C197),"")</x:f>
        <x:v>45</x:v>
      </x:c>
      <x:c r="AB197" s="21" t="n">
        <x:f>ROUND(COUNTA(A197:K197)/11*100,0)</x:f>
        <x:v>100</x:v>
      </x:c>
      <x:c r="AC197" s="18" t="str">
        <x:v>National Company Law Tribunal</x:v>
      </x:c>
      <x:c r="AD197" s="22" t="str">
        <x:v>https://ibbi.gov.in/uploads/announcement/2026-07-27-185019-2kxh0-ade141d64805abce6efcc7619a93feca.pdf</x:v>
      </x:c>
      <x:c r="AE197" s="18" t="str">
        <x:v>2026-07-27</x:v>
      </x:c>
      <x:c r="AF197" s="18" t="n">
        <x:v>46275.114583333336</x:v>
      </x:c>
      <x:c r="AG197" s="18" t="str">
        <x:v>retained_terminal</x:v>
      </x:c>
      <x:c r="AH197" s="18" t="str">
        <x:v>READY</x:v>
      </x:c>
    </x:row>
    <x:row r="198">
      <x:c r="A198" s="18" t="str">
        <x:v>NYT-47-7c9197616d0667bb</x:v>
      </x:c>
      <x:c r="B198" s="18" t="str">
        <x:v>NCLT / NCLAT (Insolvency) source coverage</x:v>
      </x:c>
      <x:c r="C198" s="18" t="str">
        <x:v>2026-07-27</x:v>
      </x:c>
      <x:c r="D198" s="18" t="n">
        <x:v>2026</x:v>
      </x:c>
      <x:c r="E198" s="18" t="str">
        <x:v>2026-07</x:v>
      </x:c>
      <x:c r="F198" s="18" t="str"/>
      <x:c r="G198" s="18" t="str">
        <x:v>Public Announcement of Corporate Insolvency Resolution Process</x:v>
      </x:c>
      <x:c r="H198" s="18" t="str"/>
      <x:c r="I198" s="18" t="str"/>
      <x:c r="J198" s="20" t="str"/>
      <x:c r="K198" s="18" t="str"/>
      <x:c r="L198" s="18" t="str"/>
      <x:c r="M198" s="18" t="str">
        <x:v>2026-07-27</x:v>
      </x:c>
      <x:c r="N198" s="18" t="str"/>
      <x:c r="O198" s="18" t="str">
        <x:v>ibbi_1oz8q3q</x:v>
      </x:c>
      <x:c r="P198" s="18" t="str">
        <x:v>French Motor Car Company Limited</x:v>
      </x:c>
      <x:c r="Q198" s="18" t="str">
        <x:v>V&amp;RO HOSPITALITY PRIVATE LIMITED</x:v>
      </x:c>
      <x:c r="R198" s="18" t="str">
        <x:v>Mr. Jitendra Lohia</x:v>
      </x:c>
      <x:c r="S198" s="18" t="str">
        <x:v>2026-08-07</x:v>
      </x:c>
      <x:c r="T198" s="18" t="str">
        <x:v>Public Announcement of Corporate Insolvency Resolution Process</x:v>
      </x:c>
      <x:c r="U198" s="18" t="str"/>
      <x:c r="V198" s="18" t="str">
        <x:v>DEFINED_TERMINAL_OR_FEED_SCOPE</x:v>
      </x:c>
      <x:c r="W198" s="18" t="str">
        <x:v>national_ibbi_announcements.json — published records loaded</x:v>
      </x:c>
      <x:c r="X198" s="18" t="str"/>
      <x:c r="Y198" s="18" t="str"/>
      <x:c r="Z198" s="20" t="n">
        <x:v>434</x:v>
      </x:c>
      <x:c r="AA198" s="19" t="n">
        <x:f>IFERROR(TODAY()-DATEVALUE(C198),"")</x:f>
        <x:v>45</x:v>
      </x:c>
      <x:c r="AB198" s="21" t="n">
        <x:f>ROUND(COUNTA(A198:K198)/11*100,0)</x:f>
        <x:v>100</x:v>
      </x:c>
      <x:c r="AC198" s="18" t="str">
        <x:v>National Company Law Tribunal</x:v>
      </x:c>
      <x:c r="AD198" s="22" t="str">
        <x:v>https://ibbi.gov.in/uploads/announcement/2026-07-28-114545-2pblt-e0159f5966b415b8e63fbc2ed351bff5.pdf</x:v>
      </x:c>
      <x:c r="AE198" s="18" t="str">
        <x:v>2026-07-27</x:v>
      </x:c>
      <x:c r="AF198" s="18" t="n">
        <x:v>46275.114583333336</x:v>
      </x:c>
      <x:c r="AG198" s="18" t="str">
        <x:v>retained_terminal</x:v>
      </x:c>
      <x:c r="AH198" s="18" t="str">
        <x:v>READY</x:v>
      </x:c>
    </x:row>
    <x:row r="199">
      <x:c r="A199" s="18" t="str">
        <x:v>NYT-47-411384715532d551</x:v>
      </x:c>
      <x:c r="B199" s="18" t="str">
        <x:v>NCLT / NCLAT (Insolvency) source coverage</x:v>
      </x:c>
      <x:c r="C199" s="18" t="str">
        <x:v>2026-07-27</x:v>
      </x:c>
      <x:c r="D199" s="18" t="n">
        <x:v>2026</x:v>
      </x:c>
      <x:c r="E199" s="18" t="str">
        <x:v>2026-07</x:v>
      </x:c>
      <x:c r="F199" s="18" t="str"/>
      <x:c r="G199" s="18" t="str">
        <x:v>Public Announcement of Corporate Insolvency Resolution Process</x:v>
      </x:c>
      <x:c r="H199" s="18" t="str"/>
      <x:c r="I199" s="18" t="str"/>
      <x:c r="J199" s="20" t="str"/>
      <x:c r="K199" s="18" t="str"/>
      <x:c r="L199" s="18" t="str"/>
      <x:c r="M199" s="18" t="str">
        <x:v>2026-07-27</x:v>
      </x:c>
      <x:c r="N199" s="18" t="str"/>
      <x:c r="O199" s="18" t="str">
        <x:v>ibbi_18f7tz</x:v>
      </x:c>
      <x:c r="P199" s="18" t="str">
        <x:v>SAI KRIPA INDENTING</x:v>
      </x:c>
      <x:c r="Q199" s="18" t="str">
        <x:v>SNEH EXPORTS PRIVATE LIMITED</x:v>
      </x:c>
      <x:c r="R199" s="18" t="str">
        <x:v>Garima diggiwal</x:v>
      </x:c>
      <x:c r="S199" s="18" t="str">
        <x:v>2026-08-07</x:v>
      </x:c>
      <x:c r="T199" s="18" t="str">
        <x:v>Public Announcement of Corporate Insolvency Resolution Process</x:v>
      </x:c>
      <x:c r="U199" s="18" t="str"/>
      <x:c r="V199" s="18" t="str">
        <x:v>DEFINED_TERMINAL_OR_FEED_SCOPE</x:v>
      </x:c>
      <x:c r="W199" s="18" t="str">
        <x:v>national_ibbi_announcements.json — published records loaded</x:v>
      </x:c>
      <x:c r="X199" s="18" t="str"/>
      <x:c r="Y199" s="18" t="str"/>
      <x:c r="Z199" s="20" t="n">
        <x:v>434</x:v>
      </x:c>
      <x:c r="AA199" s="19" t="n">
        <x:f>IFERROR(TODAY()-DATEVALUE(C199),"")</x:f>
        <x:v>45</x:v>
      </x:c>
      <x:c r="AB199" s="21" t="n">
        <x:f>ROUND(COUNTA(A199:K199)/11*100,0)</x:f>
        <x:v>100</x:v>
      </x:c>
      <x:c r="AC199" s="18" t="str">
        <x:v>National Company Law Tribunal</x:v>
      </x:c>
      <x:c r="AD199" s="22" t="str">
        <x:v>https://ibbi.gov.in/uploads/announcement/2026-07-28-113248-0rex3-2de91da00be60081d8aed0c288fed98c.pdf</x:v>
      </x:c>
      <x:c r="AE199" s="18" t="str">
        <x:v>2026-07-27</x:v>
      </x:c>
      <x:c r="AF199" s="18" t="n">
        <x:v>46275.114583333336</x:v>
      </x:c>
      <x:c r="AG199" s="18" t="str">
        <x:v>retained_terminal</x:v>
      </x:c>
      <x:c r="AH199" s="18" t="str">
        <x:v>READY</x:v>
      </x:c>
    </x:row>
    <x:row r="200">
      <x:c r="A200" s="18" t="str">
        <x:v>NYT-47-684a66583123b29f</x:v>
      </x:c>
      <x:c r="B200" s="18" t="str">
        <x:v>NCLT / NCLAT (Insolvency) source coverage</x:v>
      </x:c>
      <x:c r="C200" s="18" t="str">
        <x:v>2026-07-26</x:v>
      </x:c>
      <x:c r="D200" s="18" t="n">
        <x:v>2026</x:v>
      </x:c>
      <x:c r="E200" s="18" t="str">
        <x:v>2026-07</x:v>
      </x:c>
      <x:c r="F200" s="18" t="str"/>
      <x:c r="G200" s="18" t="str">
        <x:v>Public Announcement of Corporate Insolvency Resolution Process</x:v>
      </x:c>
      <x:c r="H200" s="18" t="str"/>
      <x:c r="I200" s="18" t="str"/>
      <x:c r="J200" s="20" t="str"/>
      <x:c r="K200" s="18" t="str"/>
      <x:c r="L200" s="18" t="str"/>
      <x:c r="M200" s="18" t="str">
        <x:v>2026-07-26</x:v>
      </x:c>
      <x:c r="N200" s="18" t="str"/>
      <x:c r="O200" s="18" t="str">
        <x:v>ibbi_pf8lc5</x:v>
      </x:c>
      <x:c r="P200" s="18" t="str">
        <x:v>M/S SUNDER ENGINEERING WORKS Through Its Proprietor Mr. Siddhant Jain</x:v>
      </x:c>
      <x:c r="Q200" s="18" t="str">
        <x:v>ASSOCIATED MACHINERY CORPORATION LIMITED</x:v>
      </x:c>
      <x:c r="R200" s="18" t="str">
        <x:v>SANDEEP KUMAR</x:v>
      </x:c>
      <x:c r="S200" s="18" t="str">
        <x:v>2026-08-05</x:v>
      </x:c>
      <x:c r="T200" s="18" t="str">
        <x:v>Public Announcement of Corporate Insolvency Resolution Process</x:v>
      </x:c>
      <x:c r="U200" s="18" t="str"/>
      <x:c r="V200" s="18" t="str">
        <x:v>DEFINED_TERMINAL_OR_FEED_SCOPE</x:v>
      </x:c>
      <x:c r="W200" s="18" t="str">
        <x:v>national_ibbi_announcements.json — published records loaded</x:v>
      </x:c>
      <x:c r="X200" s="18" t="str"/>
      <x:c r="Y200" s="18" t="str"/>
      <x:c r="Z200" s="20" t="n">
        <x:v>434</x:v>
      </x:c>
      <x:c r="AA200" s="19" t="n">
        <x:f>IFERROR(TODAY()-DATEVALUE(C200),"")</x:f>
        <x:v>46</x:v>
      </x:c>
      <x:c r="AB200" s="21" t="n">
        <x:f>ROUND(COUNTA(A200:K200)/11*100,0)</x:f>
        <x:v>100</x:v>
      </x:c>
      <x:c r="AC200" s="18" t="str">
        <x:v>National Company Law Tribunal</x:v>
      </x:c>
      <x:c r="AD200" s="22" t="str">
        <x:v>https://ibbi.gov.in/uploads/announcement/2026-07-29-102253-ba8gm-050d8b2b3e4e27cfe4ea17c7c9605c8e.pdf</x:v>
      </x:c>
      <x:c r="AE200" s="18" t="str">
        <x:v>2026-07-26</x:v>
      </x:c>
      <x:c r="AF200" s="18" t="n">
        <x:v>46275.114583333336</x:v>
      </x:c>
      <x:c r="AG200" s="18" t="str">
        <x:v>retained_terminal</x:v>
      </x:c>
      <x:c r="AH200" s="18" t="str">
        <x:v>READY</x:v>
      </x:c>
    </x:row>
    <x:row r="201">
      <x:c r="A201" s="18" t="str">
        <x:v>NYT-47-502fecd16d6f716b</x:v>
      </x:c>
      <x:c r="B201" s="18" t="str">
        <x:v>NCLT / NCLAT (Insolvency) source coverage</x:v>
      </x:c>
      <x:c r="C201" s="18" t="str">
        <x:v>2026-07-25</x:v>
      </x:c>
      <x:c r="D201" s="18" t="n">
        <x:v>2026</x:v>
      </x:c>
      <x:c r="E201" s="18" t="str">
        <x:v>2026-07</x:v>
      </x:c>
      <x:c r="F201" s="18" t="str"/>
      <x:c r="G201" s="18" t="str">
        <x:v>Public Announcement of Corporate Insolvency Resolution Process</x:v>
      </x:c>
      <x:c r="H201" s="18" t="str"/>
      <x:c r="I201" s="18" t="str"/>
      <x:c r="J201" s="20" t="str"/>
      <x:c r="K201" s="18" t="str"/>
      <x:c r="L201" s="18" t="str"/>
      <x:c r="M201" s="18" t="str">
        <x:v>2026-07-25</x:v>
      </x:c>
      <x:c r="N201" s="18" t="str"/>
      <x:c r="O201" s="18" t="str">
        <x:v>ibbi_dbe32s</x:v>
      </x:c>
      <x:c r="P201" s="18" t="str">
        <x:v>DINESH CHAND AND OTHERS</x:v>
      </x:c>
      <x:c r="Q201" s="18" t="str">
        <x:v>RAJA UDYOG PRIVATE LIMITED</x:v>
      </x:c>
      <x:c r="R201" s="18" t="str">
        <x:v>Mr. Abhijeet Jain</x:v>
      </x:c>
      <x:c r="S201" s="18" t="str">
        <x:v>2026-08-05</x:v>
      </x:c>
      <x:c r="T201" s="18" t="str">
        <x:v>Public Announcement of Corporate Insolvency Resolution Process</x:v>
      </x:c>
      <x:c r="U201" s="18" t="str"/>
      <x:c r="V201" s="18" t="str">
        <x:v>DEFINED_TERMINAL_OR_FEED_SCOPE</x:v>
      </x:c>
      <x:c r="W201" s="18" t="str">
        <x:v>national_ibbi_announcements.json — published records loaded</x:v>
      </x:c>
      <x:c r="X201" s="18" t="str"/>
      <x:c r="Y201" s="18" t="str"/>
      <x:c r="Z201" s="20" t="n">
        <x:v>434</x:v>
      </x:c>
      <x:c r="AA201" s="19" t="n">
        <x:f>IFERROR(TODAY()-DATEVALUE(C201),"")</x:f>
        <x:v>47</x:v>
      </x:c>
      <x:c r="AB201" s="21" t="n">
        <x:f>ROUND(COUNTA(A201:K201)/11*100,0)</x:f>
        <x:v>100</x:v>
      </x:c>
      <x:c r="AC201" s="18" t="str">
        <x:v>National Company Law Tribunal</x:v>
      </x:c>
      <x:c r="AD201" s="22" t="str">
        <x:v>https://ibbi.gov.in/uploads/announcement/55fbebc2b12be75c42edb77fc84a4879.pdf</x:v>
      </x:c>
      <x:c r="AE201" s="18" t="str">
        <x:v>2026-07-25</x:v>
      </x:c>
      <x:c r="AF201" s="18" t="n">
        <x:v>46275.114583333336</x:v>
      </x:c>
      <x:c r="AG201" s="18" t="str">
        <x:v>retained_terminal</x:v>
      </x:c>
      <x:c r="AH201" s="18" t="str">
        <x:v>READY</x:v>
      </x:c>
    </x:row>
    <x:row r="202">
      <x:c r="A202" s="18" t="str">
        <x:v>NYT-47-2ddd94ba420acc1a</x:v>
      </x:c>
      <x:c r="B202" s="18" t="str">
        <x:v>NCLT / NCLAT (Insolvency) source coverage</x:v>
      </x:c>
      <x:c r="C202" s="18" t="str">
        <x:v>2026-07-25</x:v>
      </x:c>
      <x:c r="D202" s="18" t="n">
        <x:v>2026</x:v>
      </x:c>
      <x:c r="E202" s="18" t="str">
        <x:v>2026-07</x:v>
      </x:c>
      <x:c r="F202" s="18" t="str"/>
      <x:c r="G202" s="18" t="str">
        <x:v>Public Announcement of Corporate Insolvency Resolution Process</x:v>
      </x:c>
      <x:c r="H202" s="18" t="str"/>
      <x:c r="I202" s="18" t="str"/>
      <x:c r="J202" s="20" t="str"/>
      <x:c r="K202" s="18" t="str"/>
      <x:c r="L202" s="18" t="str"/>
      <x:c r="M202" s="18" t="str">
        <x:v>2026-07-25</x:v>
      </x:c>
      <x:c r="N202" s="18" t="str"/>
      <x:c r="O202" s="18" t="str">
        <x:v>ibbi_1awpgli</x:v>
      </x:c>
      <x:c r="P202" s="18" t="str">
        <x:v>Phoenix ARC Pvt Ltd</x:v>
      </x:c>
      <x:c r="Q202" s="18" t="str">
        <x:v>SHIVANGI AGRO INDIA PRIVATE LIMITED</x:v>
      </x:c>
      <x:c r="R202" s="18" t="str">
        <x:v>Mr. Manoj Sehgal</x:v>
      </x:c>
      <x:c r="S202" s="18" t="str">
        <x:v>2026-08-06</x:v>
      </x:c>
      <x:c r="T202" s="18" t="str">
        <x:v>Public Announcement of Corporate Insolvency Resolution Process</x:v>
      </x:c>
      <x:c r="U202" s="18" t="str"/>
      <x:c r="V202" s="18" t="str">
        <x:v>DEFINED_TERMINAL_OR_FEED_SCOPE</x:v>
      </x:c>
      <x:c r="W202" s="18" t="str">
        <x:v>national_ibbi_announcements.json — published records loaded</x:v>
      </x:c>
      <x:c r="X202" s="18" t="str"/>
      <x:c r="Y202" s="18" t="str"/>
      <x:c r="Z202" s="20" t="n">
        <x:v>434</x:v>
      </x:c>
      <x:c r="AA202" s="19" t="n">
        <x:f>IFERROR(TODAY()-DATEVALUE(C202),"")</x:f>
        <x:v>47</x:v>
      </x:c>
      <x:c r="AB202" s="21" t="n">
        <x:f>ROUND(COUNTA(A202:K202)/11*100,0)</x:f>
        <x:v>100</x:v>
      </x:c>
      <x:c r="AC202" s="18" t="str">
        <x:v>National Company Law Tribunal</x:v>
      </x:c>
      <x:c r="AD202" s="22" t="str">
        <x:v>https://ibbi.gov.in/uploads/announcement/2026-07-25-124402-47lqv-3b2339050f45f034ee0fda92f65f1263.pdf</x:v>
      </x:c>
      <x:c r="AE202" s="18" t="str">
        <x:v>2026-07-25</x:v>
      </x:c>
      <x:c r="AF202" s="18" t="n">
        <x:v>46275.114583333336</x:v>
      </x:c>
      <x:c r="AG202" s="18" t="str">
        <x:v>retained_terminal</x:v>
      </x:c>
      <x:c r="AH202" s="18" t="str">
        <x:v>READY</x:v>
      </x:c>
    </x:row>
    <x:row r="203">
      <x:c r="A203" s="18" t="str">
        <x:v>NYT-47-80d63369c0055b38</x:v>
      </x:c>
      <x:c r="B203" s="18" t="str">
        <x:v>NCLT / NCLAT (Insolvency) source coverage</x:v>
      </x:c>
      <x:c r="C203" s="18" t="str">
        <x:v>2026-07-25</x:v>
      </x:c>
      <x:c r="D203" s="18" t="n">
        <x:v>2026</x:v>
      </x:c>
      <x:c r="E203" s="18" t="str">
        <x:v>2026-07</x:v>
      </x:c>
      <x:c r="F203" s="18" t="str"/>
      <x:c r="G203" s="18" t="str">
        <x:v>Public Announcement of Corporate Insolvency Resolution Process</x:v>
      </x:c>
      <x:c r="H203" s="18" t="str"/>
      <x:c r="I203" s="18" t="str"/>
      <x:c r="J203" s="20" t="str"/>
      <x:c r="K203" s="18" t="str"/>
      <x:c r="L203" s="18" t="str"/>
      <x:c r="M203" s="18" t="str">
        <x:v>2026-07-25</x:v>
      </x:c>
      <x:c r="N203" s="18" t="str"/>
      <x:c r="O203" s="18" t="str">
        <x:v>ibbi_nuk1gw</x:v>
      </x:c>
      <x:c r="P203" s="18" t="str">
        <x:v>State Bank of India</x:v>
      </x:c>
      <x:c r="Q203" s="18" t="str">
        <x:v>NOEL PHARMA (INDIA) PRIVATE LIMITED</x:v>
      </x:c>
      <x:c r="R203" s="18" t="str">
        <x:v>Mr. Hemanshu Jetley</x:v>
      </x:c>
      <x:c r="S203" s="18" t="str">
        <x:v>2026-08-06</x:v>
      </x:c>
      <x:c r="T203" s="18" t="str">
        <x:v>Public Announcement of Corporate Insolvency Resolution Process</x:v>
      </x:c>
      <x:c r="U203" s="18" t="str"/>
      <x:c r="V203" s="18" t="str">
        <x:v>DEFINED_TERMINAL_OR_FEED_SCOPE</x:v>
      </x:c>
      <x:c r="W203" s="18" t="str">
        <x:v>national_ibbi_announcements.json — published records loaded</x:v>
      </x:c>
      <x:c r="X203" s="18" t="str"/>
      <x:c r="Y203" s="18" t="str"/>
      <x:c r="Z203" s="20" t="n">
        <x:v>434</x:v>
      </x:c>
      <x:c r="AA203" s="19" t="n">
        <x:f>IFERROR(TODAY()-DATEVALUE(C203),"")</x:f>
        <x:v>47</x:v>
      </x:c>
      <x:c r="AB203" s="21" t="n">
        <x:f>ROUND(COUNTA(A203:K203)/11*100,0)</x:f>
        <x:v>100</x:v>
      </x:c>
      <x:c r="AC203" s="18" t="str">
        <x:v>National Company Law Tribunal</x:v>
      </x:c>
      <x:c r="AD203" s="22" t="str">
        <x:v>https://ibbi.gov.in/uploads/announcement/2026-07-29-170132-gdlb3-5c06ce6c0111806ecfd4fbad7e27f559.pdf</x:v>
      </x:c>
      <x:c r="AE203" s="18" t="str">
        <x:v>2026-07-25</x:v>
      </x:c>
      <x:c r="AF203" s="18" t="n">
        <x:v>46275.114583333336</x:v>
      </x:c>
      <x:c r="AG203" s="18" t="str">
        <x:v>retained_terminal</x:v>
      </x:c>
      <x:c r="AH203" s="18" t="str">
        <x:v>READY</x:v>
      </x:c>
    </x:row>
    <x:row r="204">
      <x:c r="A204" s="18" t="str">
        <x:v>NYT-47-7500d021aceb1ecc</x:v>
      </x:c>
      <x:c r="B204" s="18" t="str">
        <x:v>NCLT / NCLAT (Insolvency) source coverage</x:v>
      </x:c>
      <x:c r="C204" s="18" t="str">
        <x:v>2026-07-25</x:v>
      </x:c>
      <x:c r="D204" s="18" t="n">
        <x:v>2026</x:v>
      </x:c>
      <x:c r="E204" s="18" t="str">
        <x:v>2026-07</x:v>
      </x:c>
      <x:c r="F204" s="18" t="str"/>
      <x:c r="G204" s="18" t="str">
        <x:v>Public Announcement of Corporate Insolvency Resolution Process</x:v>
      </x:c>
      <x:c r="H204" s="18" t="str"/>
      <x:c r="I204" s="18" t="str"/>
      <x:c r="J204" s="20" t="str"/>
      <x:c r="K204" s="18" t="str"/>
      <x:c r="L204" s="18" t="str"/>
      <x:c r="M204" s="18" t="str">
        <x:v>2026-07-25</x:v>
      </x:c>
      <x:c r="N204" s="18" t="str"/>
      <x:c r="O204" s="18" t="str">
        <x:v>ibbi_1wphbq9</x:v>
      </x:c>
      <x:c r="P204" s="18" t="str">
        <x:v>Ms Jayshree Manilal Lapasia</x:v>
      </x:c>
      <x:c r="Q204" s="18" t="str">
        <x:v>SHAH LAXMICHAND VERSHI MASALAWALA LLP</x:v>
      </x:c>
      <x:c r="R204" s="18" t="str">
        <x:v>Mr. Dakshesh Pravinchandra Choksi</x:v>
      </x:c>
      <x:c r="S204" s="18" t="str">
        <x:v>2026-08-05</x:v>
      </x:c>
      <x:c r="T204" s="18" t="str">
        <x:v>Public Announcement of Corporate Insolvency Resolution Process</x:v>
      </x:c>
      <x:c r="U204" s="18" t="str"/>
      <x:c r="V204" s="18" t="str">
        <x:v>DEFINED_TERMINAL_OR_FEED_SCOPE</x:v>
      </x:c>
      <x:c r="W204" s="18" t="str">
        <x:v>national_ibbi_announcements.json — published records loaded</x:v>
      </x:c>
      <x:c r="X204" s="18" t="str"/>
      <x:c r="Y204" s="18" t="str"/>
      <x:c r="Z204" s="20" t="n">
        <x:v>434</x:v>
      </x:c>
      <x:c r="AA204" s="19" t="n">
        <x:f>IFERROR(TODAY()-DATEVALUE(C204),"")</x:f>
        <x:v>47</x:v>
      </x:c>
      <x:c r="AB204" s="21" t="n">
        <x:f>ROUND(COUNTA(A204:K204)/11*100,0)</x:f>
        <x:v>100</x:v>
      </x:c>
      <x:c r="AC204" s="18" t="str">
        <x:v>National Company Law Tribunal</x:v>
      </x:c>
      <x:c r="AD204" s="22" t="str">
        <x:v>https://ibbi.gov.in/uploads/announcement/c20c35ef53bf1b70789ce94e66800147.pdf</x:v>
      </x:c>
      <x:c r="AE204" s="18" t="str">
        <x:v>2026-07-25</x:v>
      </x:c>
      <x:c r="AF204" s="18" t="n">
        <x:v>46275.114583333336</x:v>
      </x:c>
      <x:c r="AG204" s="18" t="str">
        <x:v>retained_terminal</x:v>
      </x:c>
      <x:c r="AH204" s="18" t="str">
        <x:v>READY</x:v>
      </x:c>
    </x:row>
    <x:row r="205">
      <x:c r="A205" s="18" t="str">
        <x:v>NYT-47-49fda14655257889</x:v>
      </x:c>
      <x:c r="B205" s="18" t="str">
        <x:v>NCLT / NCLAT (Insolvency) source coverage</x:v>
      </x:c>
      <x:c r="C205" s="18" t="str">
        <x:v>2026-07-25</x:v>
      </x:c>
      <x:c r="D205" s="18" t="n">
        <x:v>2026</x:v>
      </x:c>
      <x:c r="E205" s="18" t="str">
        <x:v>2026-07</x:v>
      </x:c>
      <x:c r="F205" s="18" t="str"/>
      <x:c r="G205" s="18" t="str">
        <x:v>Public Announcement of Corporate Insolvency Resolution Process</x:v>
      </x:c>
      <x:c r="H205" s="18" t="str"/>
      <x:c r="I205" s="18" t="str"/>
      <x:c r="J205" s="20" t="str"/>
      <x:c r="K205" s="18" t="str"/>
      <x:c r="L205" s="18" t="str"/>
      <x:c r="M205" s="18" t="str">
        <x:v>2026-07-25</x:v>
      </x:c>
      <x:c r="N205" s="18" t="str"/>
      <x:c r="O205" s="18" t="str">
        <x:v>ibbi_1nz7rrd</x:v>
      </x:c>
      <x:c r="P205" s="18" t="str">
        <x:v>Uma Exports Limited</x:v>
      </x:c>
      <x:c r="Q205" s="18" t="str">
        <x:v>EPIC YARNS PRIVATE LIMITED</x:v>
      </x:c>
      <x:c r="R205" s="18" t="str">
        <x:v>Mr. Jitendra Lohia</x:v>
      </x:c>
      <x:c r="S205" s="18" t="str">
        <x:v>2026-08-06</x:v>
      </x:c>
      <x:c r="T205" s="18" t="str">
        <x:v>Public Announcement of Corporate Insolvency Resolution Process</x:v>
      </x:c>
      <x:c r="U205" s="18" t="str"/>
      <x:c r="V205" s="18" t="str">
        <x:v>DEFINED_TERMINAL_OR_FEED_SCOPE</x:v>
      </x:c>
      <x:c r="W205" s="18" t="str">
        <x:v>national_ibbi_announcements.json — published records loaded</x:v>
      </x:c>
      <x:c r="X205" s="18" t="str"/>
      <x:c r="Y205" s="18" t="str"/>
      <x:c r="Z205" s="20" t="n">
        <x:v>434</x:v>
      </x:c>
      <x:c r="AA205" s="19" t="n">
        <x:f>IFERROR(TODAY()-DATEVALUE(C205),"")</x:f>
        <x:v>47</x:v>
      </x:c>
      <x:c r="AB205" s="21" t="n">
        <x:f>ROUND(COUNTA(A205:K205)/11*100,0)</x:f>
        <x:v>100</x:v>
      </x:c>
      <x:c r="AC205" s="18" t="str">
        <x:v>National Company Law Tribunal</x:v>
      </x:c>
      <x:c r="AD205" s="22" t="str">
        <x:v>https://ibbi.gov.in/uploads/announcement/2026-07-28-114908-sjcpb-e0159f5966b415b8e63fbc2ed351bff5.pdf</x:v>
      </x:c>
      <x:c r="AE205" s="18" t="str">
        <x:v>2026-07-25</x:v>
      </x:c>
      <x:c r="AF205" s="18" t="n">
        <x:v>46275.114583333336</x:v>
      </x:c>
      <x:c r="AG205" s="18" t="str">
        <x:v>retained_terminal</x:v>
      </x:c>
      <x:c r="AH205" s="18" t="str">
        <x:v>READY</x:v>
      </x:c>
    </x:row>
    <x:row r="206">
      <x:c r="A206" s="18" t="str">
        <x:v>NYT-47-d4dfa081973e10ab</x:v>
      </x:c>
      <x:c r="B206" s="18" t="str">
        <x:v>NCLT / NCLAT (Insolvency) source coverage</x:v>
      </x:c>
      <x:c r="C206" s="18" t="str">
        <x:v>2026-07-24</x:v>
      </x:c>
      <x:c r="D206" s="18" t="n">
        <x:v>2026</x:v>
      </x:c>
      <x:c r="E206" s="18" t="str">
        <x:v>2026-07</x:v>
      </x:c>
      <x:c r="F206" s="18" t="str"/>
      <x:c r="G206" s="18" t="str">
        <x:v>Public Announcement of Corporate Insolvency Resolution Process</x:v>
      </x:c>
      <x:c r="H206" s="18" t="str"/>
      <x:c r="I206" s="18" t="str"/>
      <x:c r="J206" s="20" t="str"/>
      <x:c r="K206" s="18" t="str"/>
      <x:c r="L206" s="18" t="str"/>
      <x:c r="M206" s="18" t="str">
        <x:v>2026-07-24</x:v>
      </x:c>
      <x:c r="N206" s="18" t="str"/>
      <x:c r="O206" s="18" t="str">
        <x:v>ibbi_1gqppbv</x:v>
      </x:c>
      <x:c r="P206" s="18" t="str">
        <x:v>Bank of India</x:v>
      </x:c>
      <x:c r="Q206" s="18" t="str">
        <x:v>SUKRITI HOSPITAL AND RESEARCH CENTRE PRIVATE LIMITED</x:v>
      </x:c>
      <x:c r="R206" s="18" t="str">
        <x:v>Mr. Surendra Kumar Agarwal</x:v>
      </x:c>
      <x:c r="S206" s="18" t="str">
        <x:v>2026-08-03</x:v>
      </x:c>
      <x:c r="T206" s="18" t="str">
        <x:v>Public Announcement of Corporate Insolvency Resolution Process</x:v>
      </x:c>
      <x:c r="U206" s="18" t="str"/>
      <x:c r="V206" s="18" t="str">
        <x:v>DEFINED_TERMINAL_OR_FEED_SCOPE</x:v>
      </x:c>
      <x:c r="W206" s="18" t="str">
        <x:v>national_ibbi_announcements.json — published records loaded</x:v>
      </x:c>
      <x:c r="X206" s="18" t="str"/>
      <x:c r="Y206" s="18" t="str"/>
      <x:c r="Z206" s="20" t="n">
        <x:v>434</x:v>
      </x:c>
      <x:c r="AA206" s="19" t="n">
        <x:f>IFERROR(TODAY()-DATEVALUE(C206),"")</x:f>
        <x:v>48</x:v>
      </x:c>
      <x:c r="AB206" s="21" t="n">
        <x:f>ROUND(COUNTA(A206:K206)/11*100,0)</x:f>
        <x:v>100</x:v>
      </x:c>
      <x:c r="AC206" s="18" t="str">
        <x:v>National Company Law Tribunal</x:v>
      </x:c>
      <x:c r="AD206" s="22" t="str">
        <x:v>https://ibbi.gov.in/uploads/announcement/e73d930ccd8f93b78eb4045062f1ba16.pdf</x:v>
      </x:c>
      <x:c r="AE206" s="18" t="str">
        <x:v>2026-07-24</x:v>
      </x:c>
      <x:c r="AF206" s="18" t="n">
        <x:v>46275.114583333336</x:v>
      </x:c>
      <x:c r="AG206" s="18" t="str">
        <x:v>retained_terminal</x:v>
      </x:c>
      <x:c r="AH206" s="18" t="str">
        <x:v>READY</x:v>
      </x:c>
    </x:row>
    <x:row r="207">
      <x:c r="A207" s="18" t="str">
        <x:v>NYT-47-cda67fb91cab8f4c</x:v>
      </x:c>
      <x:c r="B207" s="18" t="str">
        <x:v>NCLT / NCLAT (Insolvency) source coverage</x:v>
      </x:c>
      <x:c r="C207" s="18" t="str">
        <x:v>2026-07-24</x:v>
      </x:c>
      <x:c r="D207" s="18" t="n">
        <x:v>2026</x:v>
      </x:c>
      <x:c r="E207" s="18" t="str">
        <x:v>2026-07</x:v>
      </x:c>
      <x:c r="F207" s="18" t="str"/>
      <x:c r="G207" s="18" t="str">
        <x:v>Public Announcement of Corporate Insolvency Resolution Process</x:v>
      </x:c>
      <x:c r="H207" s="18" t="str"/>
      <x:c r="I207" s="18" t="str"/>
      <x:c r="J207" s="20" t="str"/>
      <x:c r="K207" s="18" t="str"/>
      <x:c r="L207" s="18" t="str"/>
      <x:c r="M207" s="18" t="str">
        <x:v>2026-07-24</x:v>
      </x:c>
      <x:c r="N207" s="18" t="str"/>
      <x:c r="O207" s="18" t="str">
        <x:v>ibbi_dw0niw</x:v>
      </x:c>
      <x:c r="P207" s="18" t="str">
        <x:v>CDP Ventures</x:v>
      </x:c>
      <x:c r="Q207" s="18" t="str">
        <x:v>TITLE DEVELOPERS LLP</x:v>
      </x:c>
      <x:c r="R207" s="18" t="str">
        <x:v>Palak Swapnil Desai</x:v>
      </x:c>
      <x:c r="S207" s="18" t="str">
        <x:v>2026-08-04</x:v>
      </x:c>
      <x:c r="T207" s="18" t="str">
        <x:v>Public Announcement of Corporate Insolvency Resolution Process</x:v>
      </x:c>
      <x:c r="U207" s="18" t="str"/>
      <x:c r="V207" s="18" t="str">
        <x:v>DEFINED_TERMINAL_OR_FEED_SCOPE</x:v>
      </x:c>
      <x:c r="W207" s="18" t="str">
        <x:v>national_ibbi_announcements.json — published records loaded</x:v>
      </x:c>
      <x:c r="X207" s="18" t="str"/>
      <x:c r="Y207" s="18" t="str"/>
      <x:c r="Z207" s="20" t="n">
        <x:v>434</x:v>
      </x:c>
      <x:c r="AA207" s="19" t="n">
        <x:f>IFERROR(TODAY()-DATEVALUE(C207),"")</x:f>
        <x:v>48</x:v>
      </x:c>
      <x:c r="AB207" s="21" t="n">
        <x:f>ROUND(COUNTA(A207:K207)/11*100,0)</x:f>
        <x:v>100</x:v>
      </x:c>
      <x:c r="AC207" s="18" t="str">
        <x:v>National Company Law Tribunal</x:v>
      </x:c>
      <x:c r="AD207" s="22" t="str">
        <x:v>https://ibbi.gov.in/uploads/announcement/2026-07-24-200153-wpaz3-b9a6c4ecedfaa29b15dc63a727fcd31c.pdf</x:v>
      </x:c>
      <x:c r="AE207" s="18" t="str">
        <x:v>2026-07-24</x:v>
      </x:c>
      <x:c r="AF207" s="18" t="n">
        <x:v>46275.114583333336</x:v>
      </x:c>
      <x:c r="AG207" s="18" t="str">
        <x:v>retained_terminal</x:v>
      </x:c>
      <x:c r="AH207" s="18" t="str">
        <x:v>READY</x:v>
      </x:c>
    </x:row>
    <x:row r="208">
      <x:c r="A208" s="18" t="str">
        <x:v>NYT-47-0402a3c7fd97de9a</x:v>
      </x:c>
      <x:c r="B208" s="18" t="str">
        <x:v>NCLT / NCLAT (Insolvency) source coverage</x:v>
      </x:c>
      <x:c r="C208" s="18" t="str">
        <x:v>2026-07-24</x:v>
      </x:c>
      <x:c r="D208" s="18" t="n">
        <x:v>2026</x:v>
      </x:c>
      <x:c r="E208" s="18" t="str">
        <x:v>2026-07</x:v>
      </x:c>
      <x:c r="F208" s="18" t="str"/>
      <x:c r="G208" s="18" t="str">
        <x:v>Public Announcement of Corporate Insolvency Resolution Process</x:v>
      </x:c>
      <x:c r="H208" s="18" t="str"/>
      <x:c r="I208" s="18" t="str"/>
      <x:c r="J208" s="20" t="str"/>
      <x:c r="K208" s="18" t="str"/>
      <x:c r="L208" s="18" t="str"/>
      <x:c r="M208" s="18" t="str">
        <x:v>2026-07-24</x:v>
      </x:c>
      <x:c r="N208" s="18" t="str"/>
      <x:c r="O208" s="18" t="str">
        <x:v>ibbi_ixtaco</x:v>
      </x:c>
      <x:c r="P208" s="18" t="str">
        <x:v>M/S Arvind Interiors Private Ltd</x:v>
      </x:c>
      <x:c r="Q208" s="18" t="str">
        <x:v>ARVIND INTERIORS PRIVATE LIMITED</x:v>
      </x:c>
      <x:c r="R208" s="18" t="str">
        <x:v>Gururaj K</x:v>
      </x:c>
      <x:c r="S208" s="18" t="str">
        <x:v>2026-08-07</x:v>
      </x:c>
      <x:c r="T208" s="18" t="str">
        <x:v>Public Announcement of Corporate Insolvency Resolution Process</x:v>
      </x:c>
      <x:c r="U208" s="18" t="str"/>
      <x:c r="V208" s="18" t="str">
        <x:v>DEFINED_TERMINAL_OR_FEED_SCOPE</x:v>
      </x:c>
      <x:c r="W208" s="18" t="str">
        <x:v>national_ibbi_announcements.json — published records loaded</x:v>
      </x:c>
      <x:c r="X208" s="18" t="str"/>
      <x:c r="Y208" s="18" t="str"/>
      <x:c r="Z208" s="20" t="n">
        <x:v>434</x:v>
      </x:c>
      <x:c r="AA208" s="19" t="n">
        <x:f>IFERROR(TODAY()-DATEVALUE(C208),"")</x:f>
        <x:v>48</x:v>
      </x:c>
      <x:c r="AB208" s="21" t="n">
        <x:f>ROUND(COUNTA(A208:K208)/11*100,0)</x:f>
        <x:v>100</x:v>
      </x:c>
      <x:c r="AC208" s="18" t="str">
        <x:v>National Company Law Tribunal</x:v>
      </x:c>
      <x:c r="AD208" s="22" t="str">
        <x:v>https://ibbi.gov.in/uploads/announcement/16638b09b0359213017de156c7e590e3.pdf</x:v>
      </x:c>
      <x:c r="AE208" s="18" t="str">
        <x:v>2026-07-24</x:v>
      </x:c>
      <x:c r="AF208" s="18" t="n">
        <x:v>46275.114583333336</x:v>
      </x:c>
      <x:c r="AG208" s="18" t="str">
        <x:v>retained_terminal</x:v>
      </x:c>
      <x:c r="AH208" s="18" t="str">
        <x:v>READY</x:v>
      </x:c>
    </x:row>
    <x:row r="209">
      <x:c r="A209" s="18" t="str">
        <x:v>NYT-47-990a5fd10685a80c</x:v>
      </x:c>
      <x:c r="B209" s="18" t="str">
        <x:v>NCLT / NCLAT (Insolvency) source coverage</x:v>
      </x:c>
      <x:c r="C209" s="18" t="str">
        <x:v>2026-07-24</x:v>
      </x:c>
      <x:c r="D209" s="18" t="n">
        <x:v>2026</x:v>
      </x:c>
      <x:c r="E209" s="18" t="str">
        <x:v>2026-07</x:v>
      </x:c>
      <x:c r="F209" s="18" t="str"/>
      <x:c r="G209" s="18" t="str">
        <x:v>Public Announcement of Corporate Insolvency Resolution Process</x:v>
      </x:c>
      <x:c r="H209" s="18" t="str"/>
      <x:c r="I209" s="18" t="str"/>
      <x:c r="J209" s="20" t="str"/>
      <x:c r="K209" s="18" t="str"/>
      <x:c r="L209" s="18" t="str"/>
      <x:c r="M209" s="18" t="str">
        <x:v>2026-07-24</x:v>
      </x:c>
      <x:c r="N209" s="18" t="str"/>
      <x:c r="O209" s="18" t="str">
        <x:v>ibbi_1397at7</x:v>
      </x:c>
      <x:c r="P209" s="18" t="str">
        <x:v>IL&amp;FS Financial Services Ltd.</x:v>
      </x:c>
      <x:c r="Q209" s="18" t="str">
        <x:v>ADHUNIK MEGHALAYA STEELS PRIVATE LIMITED</x:v>
      </x:c>
      <x:c r="R209" s="18" t="str">
        <x:v>Sanjay Kumar Poddar</x:v>
      </x:c>
      <x:c r="S209" s="18" t="str">
        <x:v>2026-08-04</x:v>
      </x:c>
      <x:c r="T209" s="18" t="str">
        <x:v>Public Announcement of Corporate Insolvency Resolution Process</x:v>
      </x:c>
      <x:c r="U209" s="18" t="str"/>
      <x:c r="V209" s="18" t="str">
        <x:v>DEFINED_TERMINAL_OR_FEED_SCOPE</x:v>
      </x:c>
      <x:c r="W209" s="18" t="str">
        <x:v>national_ibbi_announcements.json — published records loaded</x:v>
      </x:c>
      <x:c r="X209" s="18" t="str"/>
      <x:c r="Y209" s="18" t="str"/>
      <x:c r="Z209" s="20" t="n">
        <x:v>434</x:v>
      </x:c>
      <x:c r="AA209" s="19" t="n">
        <x:f>IFERROR(TODAY()-DATEVALUE(C209),"")</x:f>
        <x:v>48</x:v>
      </x:c>
      <x:c r="AB209" s="21" t="n">
        <x:f>ROUND(COUNTA(A209:K209)/11*100,0)</x:f>
        <x:v>100</x:v>
      </x:c>
      <x:c r="AC209" s="18" t="str">
        <x:v>National Company Law Tribunal</x:v>
      </x:c>
      <x:c r="AD209" s="22" t="str">
        <x:v>https://ibbi.gov.in/uploads/announcement/db61be349cae5774fe37c8755a0f17e4.pdf</x:v>
      </x:c>
      <x:c r="AE209" s="18" t="str">
        <x:v>2026-07-24</x:v>
      </x:c>
      <x:c r="AF209" s="18" t="n">
        <x:v>46275.114583333336</x:v>
      </x:c>
      <x:c r="AG209" s="18" t="str">
        <x:v>retained_terminal</x:v>
      </x:c>
      <x:c r="AH209" s="18" t="str">
        <x:v>READY</x:v>
      </x:c>
    </x:row>
    <x:row r="210">
      <x:c r="A210" s="18" t="str">
        <x:v>NYT-47-966301addeef52e9</x:v>
      </x:c>
      <x:c r="B210" s="18" t="str">
        <x:v>NCLT / NCLAT (Insolvency) source coverage</x:v>
      </x:c>
      <x:c r="C210" s="18" t="str">
        <x:v>2026-07-24</x:v>
      </x:c>
      <x:c r="D210" s="18" t="n">
        <x:v>2026</x:v>
      </x:c>
      <x:c r="E210" s="18" t="str">
        <x:v>2026-07</x:v>
      </x:c>
      <x:c r="F210" s="18" t="str"/>
      <x:c r="G210" s="18" t="str">
        <x:v>Public Announcement of Corporate Insolvency Resolution Process</x:v>
      </x:c>
      <x:c r="H210" s="18" t="str"/>
      <x:c r="I210" s="18" t="str"/>
      <x:c r="J210" s="20" t="str"/>
      <x:c r="K210" s="18" t="str"/>
      <x:c r="L210" s="18" t="str"/>
      <x:c r="M210" s="18" t="str">
        <x:v>2026-07-24</x:v>
      </x:c>
      <x:c r="N210" s="18" t="str"/>
      <x:c r="O210" s="18" t="str">
        <x:v>ibbi_kks9cb</x:v>
      </x:c>
      <x:c r="P210" s="18" t="str">
        <x:v>J.M. Financial Asset Reconstruction Company Limited</x:v>
      </x:c>
      <x:c r="Q210" s="18" t="str">
        <x:v>HOWRAH MILLS CO LTD</x:v>
      </x:c>
      <x:c r="R210" s="18" t="str">
        <x:v>Mr. Sanjai Kumar Gupta</x:v>
      </x:c>
      <x:c r="S210" s="18" t="str">
        <x:v>2026-07-31</x:v>
      </x:c>
      <x:c r="T210" s="18" t="str">
        <x:v>Public Announcement of Corporate Insolvency Resolution Process</x:v>
      </x:c>
      <x:c r="U210" s="18" t="str"/>
      <x:c r="V210" s="18" t="str">
        <x:v>DEFINED_TERMINAL_OR_FEED_SCOPE</x:v>
      </x:c>
      <x:c r="W210" s="18" t="str">
        <x:v>national_ibbi_announcements.json — published records loaded</x:v>
      </x:c>
      <x:c r="X210" s="18" t="str"/>
      <x:c r="Y210" s="18" t="str"/>
      <x:c r="Z210" s="20" t="n">
        <x:v>434</x:v>
      </x:c>
      <x:c r="AA210" s="19" t="n">
        <x:f>IFERROR(TODAY()-DATEVALUE(C210),"")</x:f>
        <x:v>48</x:v>
      </x:c>
      <x:c r="AB210" s="21" t="n">
        <x:f>ROUND(COUNTA(A210:K210)/11*100,0)</x:f>
        <x:v>100</x:v>
      </x:c>
      <x:c r="AC210" s="18" t="str">
        <x:v>National Company Law Tribunal</x:v>
      </x:c>
      <x:c r="AD210" s="22" t="str">
        <x:v>https://ibbi.gov.in/uploads/announcement/f3bc0607117dd51ad385d0e8ab21f922.pdf</x:v>
      </x:c>
      <x:c r="AE210" s="18" t="str">
        <x:v>2026-07-24</x:v>
      </x:c>
      <x:c r="AF210" s="18" t="n">
        <x:v>46275.114583333336</x:v>
      </x:c>
      <x:c r="AG210" s="18" t="str">
        <x:v>retained_terminal</x:v>
      </x:c>
      <x:c r="AH210" s="18" t="str">
        <x:v>READY</x:v>
      </x:c>
    </x:row>
    <x:row r="211">
      <x:c r="A211" s="18" t="str">
        <x:v>NYT-47-2160249250e92eae</x:v>
      </x:c>
      <x:c r="B211" s="18" t="str">
        <x:v>NCLT / NCLAT (Insolvency) source coverage</x:v>
      </x:c>
      <x:c r="C211" s="18" t="str">
        <x:v>2026-07-24</x:v>
      </x:c>
      <x:c r="D211" s="18" t="n">
        <x:v>2026</x:v>
      </x:c>
      <x:c r="E211" s="18" t="str">
        <x:v>2026-07</x:v>
      </x:c>
      <x:c r="F211" s="18" t="str"/>
      <x:c r="G211" s="18" t="str">
        <x:v>Public Announcement of Corporate Insolvency Resolution Process</x:v>
      </x:c>
      <x:c r="H211" s="18" t="str"/>
      <x:c r="I211" s="18" t="str"/>
      <x:c r="J211" s="20" t="str"/>
      <x:c r="K211" s="18" t="str"/>
      <x:c r="L211" s="18" t="str"/>
      <x:c r="M211" s="18" t="str">
        <x:v>2026-07-24</x:v>
      </x:c>
      <x:c r="N211" s="18" t="str"/>
      <x:c r="O211" s="18" t="str">
        <x:v>ibbi_122vsdm</x:v>
      </x:c>
      <x:c r="P211" s="18" t="str">
        <x:v>KRISHKAN INVESTMENT PRIVATE LIMITED</x:v>
      </x:c>
      <x:c r="Q211" s="18" t="str">
        <x:v>JUMBO SAMRIDDHI (INDIA) LIMITED</x:v>
      </x:c>
      <x:c r="R211" s="18" t="str">
        <x:v>Mr. Shailesh Desai</x:v>
      </x:c>
      <x:c r="S211" s="18" t="str">
        <x:v>2026-08-05</x:v>
      </x:c>
      <x:c r="T211" s="18" t="str">
        <x:v>Public Announcement of Corporate Insolvency Resolution Process</x:v>
      </x:c>
      <x:c r="U211" s="18" t="str"/>
      <x:c r="V211" s="18" t="str">
        <x:v>DEFINED_TERMINAL_OR_FEED_SCOPE</x:v>
      </x:c>
      <x:c r="W211" s="18" t="str">
        <x:v>national_ibbi_announcements.json — published records loaded</x:v>
      </x:c>
      <x:c r="X211" s="18" t="str"/>
      <x:c r="Y211" s="18" t="str"/>
      <x:c r="Z211" s="20" t="n">
        <x:v>434</x:v>
      </x:c>
      <x:c r="AA211" s="19" t="n">
        <x:f>IFERROR(TODAY()-DATEVALUE(C211),"")</x:f>
        <x:v>48</x:v>
      </x:c>
      <x:c r="AB211" s="21" t="n">
        <x:f>ROUND(COUNTA(A211:K211)/11*100,0)</x:f>
        <x:v>100</x:v>
      </x:c>
      <x:c r="AC211" s="18" t="str">
        <x:v>National Company Law Tribunal</x:v>
      </x:c>
      <x:c r="AD211" s="22" t="str">
        <x:v>https://ibbi.gov.in/uploads/announcement/d5b4d6820a46a6def808af76f5545964.pdf</x:v>
      </x:c>
      <x:c r="AE211" s="18" t="str">
        <x:v>2026-07-24</x:v>
      </x:c>
      <x:c r="AF211" s="18" t="n">
        <x:v>46275.114583333336</x:v>
      </x:c>
      <x:c r="AG211" s="18" t="str">
        <x:v>retained_terminal</x:v>
      </x:c>
      <x:c r="AH211" s="18" t="str">
        <x:v>READY</x:v>
      </x:c>
    </x:row>
    <x:row r="212">
      <x:c r="A212" s="18" t="str">
        <x:v>NYT-47-6d5fda931154f254</x:v>
      </x:c>
      <x:c r="B212" s="18" t="str">
        <x:v>NCLT / NCLAT (Insolvency) source coverage</x:v>
      </x:c>
      <x:c r="C212" s="18" t="str">
        <x:v>2026-07-23</x:v>
      </x:c>
      <x:c r="D212" s="18" t="n">
        <x:v>2026</x:v>
      </x:c>
      <x:c r="E212" s="18" t="str">
        <x:v>2026-07</x:v>
      </x:c>
      <x:c r="F212" s="18" t="str"/>
      <x:c r="G212" s="18" t="str">
        <x:v>Public Announcement of Corporate Insolvency Resolution Process</x:v>
      </x:c>
      <x:c r="H212" s="18" t="str"/>
      <x:c r="I212" s="18" t="str"/>
      <x:c r="J212" s="20" t="str"/>
      <x:c r="K212" s="18" t="str"/>
      <x:c r="L212" s="18" t="str"/>
      <x:c r="M212" s="18" t="str">
        <x:v>2026-07-23</x:v>
      </x:c>
      <x:c r="N212" s="18" t="str"/>
      <x:c r="O212" s="18" t="str">
        <x:v>ibbi_1de2r9q</x:v>
      </x:c>
      <x:c r="P212" s="18" t="str">
        <x:v>CANARA BANK</x:v>
      </x:c>
      <x:c r="Q212" s="18" t="str">
        <x:v>CITRON INFRAPROJECTS LIMITED</x:v>
      </x:c>
      <x:c r="R212" s="18" t="str">
        <x:v>Mr. Sunil Kumar Kabra</x:v>
      </x:c>
      <x:c r="S212" s="18" t="str">
        <x:v>2026-08-04</x:v>
      </x:c>
      <x:c r="T212" s="18" t="str">
        <x:v>Public Announcement of Corporate Insolvency Resolution Process</x:v>
      </x:c>
      <x:c r="U212" s="18" t="str"/>
      <x:c r="V212" s="18" t="str">
        <x:v>DEFINED_TERMINAL_OR_FEED_SCOPE</x:v>
      </x:c>
      <x:c r="W212" s="18" t="str">
        <x:v>national_ibbi_announcements.json — published records loaded</x:v>
      </x:c>
      <x:c r="X212" s="18" t="str"/>
      <x:c r="Y212" s="18" t="str"/>
      <x:c r="Z212" s="20" t="n">
        <x:v>434</x:v>
      </x:c>
      <x:c r="AA212" s="19" t="n">
        <x:f>IFERROR(TODAY()-DATEVALUE(C212),"")</x:f>
        <x:v>49</x:v>
      </x:c>
      <x:c r="AB212" s="21" t="n">
        <x:f>ROUND(COUNTA(A212:K212)/11*100,0)</x:f>
        <x:v>100</x:v>
      </x:c>
      <x:c r="AC212" s="18" t="str">
        <x:v>National Company Law Tribunal</x:v>
      </x:c>
      <x:c r="AD212" s="22" t="str">
        <x:v>https://ibbi.gov.in/uploads/announcement/4dda6e94dfefa5cae3076e0e5e5649a0.pdf</x:v>
      </x:c>
      <x:c r="AE212" s="18" t="str">
        <x:v>2026-07-23</x:v>
      </x:c>
      <x:c r="AF212" s="18" t="n">
        <x:v>46275.114583333336</x:v>
      </x:c>
      <x:c r="AG212" s="18" t="str">
        <x:v>retained_terminal</x:v>
      </x:c>
      <x:c r="AH212" s="18" t="str">
        <x:v>READY</x:v>
      </x:c>
    </x:row>
    <x:row r="213">
      <x:c r="A213" s="18" t="str">
        <x:v>NYT-47-e8259b3bfdcc02ad</x:v>
      </x:c>
      <x:c r="B213" s="18" t="str">
        <x:v>NCLT / NCLAT (Insolvency) source coverage</x:v>
      </x:c>
      <x:c r="C213" s="18" t="str">
        <x:v>2026-07-23</x:v>
      </x:c>
      <x:c r="D213" s="18" t="n">
        <x:v>2026</x:v>
      </x:c>
      <x:c r="E213" s="18" t="str">
        <x:v>2026-07</x:v>
      </x:c>
      <x:c r="F213" s="18" t="str"/>
      <x:c r="G213" s="18" t="str">
        <x:v>Public Announcement of Voluntary Liquidation Process</x:v>
      </x:c>
      <x:c r="H213" s="18" t="str"/>
      <x:c r="I213" s="18" t="str"/>
      <x:c r="J213" s="20" t="str"/>
      <x:c r="K213" s="18" t="str"/>
      <x:c r="L213" s="18" t="str"/>
      <x:c r="M213" s="18" t="str">
        <x:v>2026-07-23</x:v>
      </x:c>
      <x:c r="N213" s="18" t="str"/>
      <x:c r="O213" s="18" t="str">
        <x:v>ibbi_1l03zvx</x:v>
      </x:c>
      <x:c r="P213" s="18" t="str">
        <x:v>VENKATA SUBBARAO KALVA</x:v>
      </x:c>
      <x:c r="Q213" s="18" t="str">
        <x:v>CODDIWOMPLE INDIA PRIVATE LIMITED</x:v>
      </x:c>
      <x:c r="R213" s="18" t="str">
        <x:v>Mr. Venkata Subbarao Kalva</x:v>
      </x:c>
      <x:c r="S213" s="18" t="str">
        <x:v>2026-08-20</x:v>
      </x:c>
      <x:c r="T213" s="18" t="str">
        <x:v>Public Announcement of Voluntary Liquidation Process</x:v>
      </x:c>
      <x:c r="U213" s="18" t="str"/>
      <x:c r="V213" s="18" t="str">
        <x:v>DEFINED_TERMINAL_OR_FEED_SCOPE</x:v>
      </x:c>
      <x:c r="W213" s="18" t="str">
        <x:v>national_ibbi_announcements.json — published records loaded</x:v>
      </x:c>
      <x:c r="X213" s="18" t="str"/>
      <x:c r="Y213" s="18" t="str"/>
      <x:c r="Z213" s="20" t="n">
        <x:v>434</x:v>
      </x:c>
      <x:c r="AA213" s="19" t="n">
        <x:f>IFERROR(TODAY()-DATEVALUE(C213),"")</x:f>
        <x:v>49</x:v>
      </x:c>
      <x:c r="AB213" s="21" t="n">
        <x:f>ROUND(COUNTA(A213:K213)/11*100,0)</x:f>
        <x:v>100</x:v>
      </x:c>
      <x:c r="AC213" s="18" t="str">
        <x:v>National Company Law Tribunal</x:v>
      </x:c>
      <x:c r="AD213" s="22" t="str">
        <x:v>https://ibbi.gov.in/uploads/announcement/2cc43948fd9910717fb782b214c87e1c.pdf</x:v>
      </x:c>
      <x:c r="AE213" s="18" t="str">
        <x:v>2026-07-23</x:v>
      </x:c>
      <x:c r="AF213" s="18" t="n">
        <x:v>46275.114583333336</x:v>
      </x:c>
      <x:c r="AG213" s="18" t="str">
        <x:v>retained_terminal</x:v>
      </x:c>
      <x:c r="AH213" s="18" t="str">
        <x:v>READY</x:v>
      </x:c>
    </x:row>
    <x:row r="214">
      <x:c r="A214" s="18" t="str">
        <x:v>NYT-47-28fbae1ede0103dc</x:v>
      </x:c>
      <x:c r="B214" s="18" t="str">
        <x:v>NCLT / NCLAT (Insolvency) source coverage</x:v>
      </x:c>
      <x:c r="C214" s="18" t="str">
        <x:v>2026-07-23</x:v>
      </x:c>
      <x:c r="D214" s="18" t="n">
        <x:v>2026</x:v>
      </x:c>
      <x:c r="E214" s="18" t="str">
        <x:v>2026-07</x:v>
      </x:c>
      <x:c r="F214" s="18" t="str"/>
      <x:c r="G214" s="18" t="str">
        <x:v>Public Announcement of Corporate Insolvency Resolution Process</x:v>
      </x:c>
      <x:c r="H214" s="18" t="str"/>
      <x:c r="I214" s="18" t="str"/>
      <x:c r="J214" s="20" t="str"/>
      <x:c r="K214" s="18" t="str"/>
      <x:c r="L214" s="18" t="str"/>
      <x:c r="M214" s="18" t="str">
        <x:v>2026-07-23</x:v>
      </x:c>
      <x:c r="N214" s="18" t="str"/>
      <x:c r="O214" s="18" t="str">
        <x:v>ibbi_1gh2vws</x:v>
      </x:c>
      <x:c r="P214" s="18" t="str">
        <x:v>Union Bank of India</x:v>
      </x:c>
      <x:c r="Q214" s="18" t="str">
        <x:v>N KUMAR RETAILS &amp; PROPERTIES PRIVATE LIMITED</x:v>
      </x:c>
      <x:c r="R214" s="18" t="str">
        <x:v>Mrs. Megha Agrawal</x:v>
      </x:c>
      <x:c r="S214" s="18" t="str">
        <x:v>2026-08-03</x:v>
      </x:c>
      <x:c r="T214" s="18" t="str">
        <x:v>Public Announcement of Corporate Insolvency Resolution Process</x:v>
      </x:c>
      <x:c r="U214" s="18" t="str"/>
      <x:c r="V214" s="18" t="str">
        <x:v>DEFINED_TERMINAL_OR_FEED_SCOPE</x:v>
      </x:c>
      <x:c r="W214" s="18" t="str">
        <x:v>national_ibbi_announcements.json — published records loaded</x:v>
      </x:c>
      <x:c r="X214" s="18" t="str"/>
      <x:c r="Y214" s="18" t="str"/>
      <x:c r="Z214" s="20" t="n">
        <x:v>434</x:v>
      </x:c>
      <x:c r="AA214" s="19" t="n">
        <x:f>IFERROR(TODAY()-DATEVALUE(C214),"")</x:f>
        <x:v>49</x:v>
      </x:c>
      <x:c r="AB214" s="21" t="n">
        <x:f>ROUND(COUNTA(A214:K214)/11*100,0)</x:f>
        <x:v>100</x:v>
      </x:c>
      <x:c r="AC214" s="18" t="str">
        <x:v>National Company Law Tribunal</x:v>
      </x:c>
      <x:c r="AD214" s="22" t="str">
        <x:v>https://ibbi.gov.in/uploads/announcement/60a1c79129a331719fa2e8a883418ee9.pdf</x:v>
      </x:c>
      <x:c r="AE214" s="18" t="str">
        <x:v>2026-07-23</x:v>
      </x:c>
      <x:c r="AF214" s="18" t="n">
        <x:v>46275.114583333336</x:v>
      </x:c>
      <x:c r="AG214" s="18" t="str">
        <x:v>retained_terminal</x:v>
      </x:c>
      <x:c r="AH214" s="18" t="str">
        <x:v>READY</x:v>
      </x:c>
    </x:row>
    <x:row r="215">
      <x:c r="A215" s="18" t="str">
        <x:v>NYT-47-1b26cfd393d1cde1</x:v>
      </x:c>
      <x:c r="B215" s="18" t="str">
        <x:v>NCLT / NCLAT (Insolvency) source coverage</x:v>
      </x:c>
      <x:c r="C215" s="18" t="str">
        <x:v>2026-07-22</x:v>
      </x:c>
      <x:c r="D215" s="18" t="n">
        <x:v>2026</x:v>
      </x:c>
      <x:c r="E215" s="18" t="str">
        <x:v>2026-07</x:v>
      </x:c>
      <x:c r="F215" s="18" t="str"/>
      <x:c r="G215" s="18" t="str">
        <x:v>Public Announcement of Voluntary Liquidation Process</x:v>
      </x:c>
      <x:c r="H215" s="18" t="str"/>
      <x:c r="I215" s="18" t="str"/>
      <x:c r="J215" s="20" t="str"/>
      <x:c r="K215" s="18" t="str"/>
      <x:c r="L215" s="18" t="str"/>
      <x:c r="M215" s="18" t="str">
        <x:v>2026-07-22</x:v>
      </x:c>
      <x:c r="N215" s="18" t="str"/>
      <x:c r="O215" s="18" t="str">
        <x:v>ibbi_ofexgo</x:v>
      </x:c>
      <x:c r="P215" s="18" t="str">
        <x:v>NAMS CHEMICALS PRIVATE LIMITED</x:v>
      </x:c>
      <x:c r="Q215" s="18" t="str">
        <x:v>NAMS CHEMICALS PRIVATE LIMITED</x:v>
      </x:c>
      <x:c r="R215" s="18" t="str">
        <x:v>Mr. Gyaneshwar Sahai</x:v>
      </x:c>
      <x:c r="S215" s="18" t="str">
        <x:v>2026-08-17</x:v>
      </x:c>
      <x:c r="T215" s="18" t="str">
        <x:v>Public Announcement of Voluntary Liquidation Process</x:v>
      </x:c>
      <x:c r="U215" s="18" t="str"/>
      <x:c r="V215" s="18" t="str">
        <x:v>DEFINED_TERMINAL_OR_FEED_SCOPE</x:v>
      </x:c>
      <x:c r="W215" s="18" t="str">
        <x:v>national_ibbi_announcements.json — published records loaded</x:v>
      </x:c>
      <x:c r="X215" s="18" t="str"/>
      <x:c r="Y215" s="18" t="str"/>
      <x:c r="Z215" s="20" t="n">
        <x:v>434</x:v>
      </x:c>
      <x:c r="AA215" s="19" t="n">
        <x:f>IFERROR(TODAY()-DATEVALUE(C215),"")</x:f>
        <x:v>50</x:v>
      </x:c>
      <x:c r="AB215" s="21" t="n">
        <x:f>ROUND(COUNTA(A215:K215)/11*100,0)</x:f>
        <x:v>100</x:v>
      </x:c>
      <x:c r="AC215" s="18" t="str">
        <x:v>National Company Law Tribunal</x:v>
      </x:c>
      <x:c r="AD215" s="22" t="str">
        <x:v>https://ibbi.gov.in/uploads/announcement/2026-07-23-112717-e7dil-4081a364b00973a1c4b37e501ac43846.pdf</x:v>
      </x:c>
      <x:c r="AE215" s="18" t="str">
        <x:v>2026-07-22</x:v>
      </x:c>
      <x:c r="AF215" s="18" t="n">
        <x:v>46275.114583333336</x:v>
      </x:c>
      <x:c r="AG215" s="18" t="str">
        <x:v>retained_terminal</x:v>
      </x:c>
      <x:c r="AH215" s="18" t="str">
        <x:v>READY</x:v>
      </x:c>
    </x:row>
    <x:row r="216">
      <x:c r="A216" s="18" t="str">
        <x:v>NYT-47-aabcd20d11b9dab4</x:v>
      </x:c>
      <x:c r="B216" s="18" t="str">
        <x:v>NCLT / NCLAT (Insolvency) source coverage</x:v>
      </x:c>
      <x:c r="C216" s="18" t="str">
        <x:v>2026-07-22</x:v>
      </x:c>
      <x:c r="D216" s="18" t="n">
        <x:v>2026</x:v>
      </x:c>
      <x:c r="E216" s="18" t="str">
        <x:v>2026-07</x:v>
      </x:c>
      <x:c r="F216" s="18" t="str"/>
      <x:c r="G216" s="18" t="str">
        <x:v>Public Announcement of Corporate Insolvency Resolution Process</x:v>
      </x:c>
      <x:c r="H216" s="18" t="str"/>
      <x:c r="I216" s="18" t="str"/>
      <x:c r="J216" s="20" t="str"/>
      <x:c r="K216" s="18" t="str"/>
      <x:c r="L216" s="18" t="str"/>
      <x:c r="M216" s="18" t="str">
        <x:v>2026-07-22</x:v>
      </x:c>
      <x:c r="N216" s="18" t="str"/>
      <x:c r="O216" s="18" t="str">
        <x:v>ibbi_tsltcq</x:v>
      </x:c>
      <x:c r="P216" s="18" t="str">
        <x:v>The Bank of Baroda Limited</x:v>
      </x:c>
      <x:c r="Q216" s="18" t="str">
        <x:v>ALVI TECH SERVICES PVT LTD</x:v>
      </x:c>
      <x:c r="R216" s="18" t="str">
        <x:v>Neha Jain Nemani</x:v>
      </x:c>
      <x:c r="S216" s="18" t="str">
        <x:v>2026-08-03</x:v>
      </x:c>
      <x:c r="T216" s="18" t="str">
        <x:v>Public Announcement of Corporate Insolvency Resolution Process</x:v>
      </x:c>
      <x:c r="U216" s="18" t="str"/>
      <x:c r="V216" s="18" t="str">
        <x:v>DEFINED_TERMINAL_OR_FEED_SCOPE</x:v>
      </x:c>
      <x:c r="W216" s="18" t="str">
        <x:v>national_ibbi_announcements.json — published records loaded</x:v>
      </x:c>
      <x:c r="X216" s="18" t="str"/>
      <x:c r="Y216" s="18" t="str"/>
      <x:c r="Z216" s="20" t="n">
        <x:v>434</x:v>
      </x:c>
      <x:c r="AA216" s="19" t="n">
        <x:f>IFERROR(TODAY()-DATEVALUE(C216),"")</x:f>
        <x:v>50</x:v>
      </x:c>
      <x:c r="AB216" s="21" t="n">
        <x:f>ROUND(COUNTA(A216:K216)/11*100,0)</x:f>
        <x:v>100</x:v>
      </x:c>
      <x:c r="AC216" s="18" t="str">
        <x:v>National Company Law Tribunal</x:v>
      </x:c>
      <x:c r="AD216" s="22" t="str">
        <x:v>https://ibbi.gov.in/uploads/announcement/69b3e54708d04b12d99216092be11c24.pdf</x:v>
      </x:c>
      <x:c r="AE216" s="18" t="str">
        <x:v>2026-07-22</x:v>
      </x:c>
      <x:c r="AF216" s="18" t="n">
        <x:v>46275.114583333336</x:v>
      </x:c>
      <x:c r="AG216" s="18" t="str">
        <x:v>retained_terminal</x:v>
      </x:c>
      <x:c r="AH216" s="18" t="str">
        <x:v>READY</x:v>
      </x:c>
    </x:row>
    <x:row r="217">
      <x:c r="A217" s="18" t="str">
        <x:v>NYT-47-4c0789fd71eb0803</x:v>
      </x:c>
      <x:c r="B217" s="18" t="str">
        <x:v>NCLT / NCLAT (Insolvency) source coverage</x:v>
      </x:c>
      <x:c r="C217" s="18" t="str">
        <x:v>2026-07-22</x:v>
      </x:c>
      <x:c r="D217" s="18" t="n">
        <x:v>2026</x:v>
      </x:c>
      <x:c r="E217" s="18" t="str">
        <x:v>2026-07</x:v>
      </x:c>
      <x:c r="F217" s="18" t="str"/>
      <x:c r="G217" s="18" t="str">
        <x:v>Public Announcement of Corporate Insolvency Resolution Process</x:v>
      </x:c>
      <x:c r="H217" s="18" t="str"/>
      <x:c r="I217" s="18" t="str"/>
      <x:c r="J217" s="20" t="str"/>
      <x:c r="K217" s="18" t="str"/>
      <x:c r="L217" s="18" t="str"/>
      <x:c r="M217" s="18" t="str">
        <x:v>2026-07-22</x:v>
      </x:c>
      <x:c r="N217" s="18" t="str"/>
      <x:c r="O217" s="18" t="str">
        <x:v>ibbi_1wsw3jx</x:v>
      </x:c>
      <x:c r="P217" s="18" t="str">
        <x:v>Kotak Mahindra Bank Limited</x:v>
      </x:c>
      <x:c r="Q217" s="18" t="str">
        <x:v>KEW PRECISION PARTS PRIVATE LIMITED</x:v>
      </x:c>
      <x:c r="R217" s="18" t="str">
        <x:v>Mr. Shashi Bhushan Prasad</x:v>
      </x:c>
      <x:c r="S217" s="18" t="str">
        <x:v>2026-08-03</x:v>
      </x:c>
      <x:c r="T217" s="18" t="str">
        <x:v>Public Announcement of Corporate Insolvency Resolution Process</x:v>
      </x:c>
      <x:c r="U217" s="18" t="str"/>
      <x:c r="V217" s="18" t="str">
        <x:v>DEFINED_TERMINAL_OR_FEED_SCOPE</x:v>
      </x:c>
      <x:c r="W217" s="18" t="str">
        <x:v>national_ibbi_announcements.json — published records loaded</x:v>
      </x:c>
      <x:c r="X217" s="18" t="str"/>
      <x:c r="Y217" s="18" t="str"/>
      <x:c r="Z217" s="20" t="n">
        <x:v>434</x:v>
      </x:c>
      <x:c r="AA217" s="19" t="n">
        <x:f>IFERROR(TODAY()-DATEVALUE(C217),"")</x:f>
        <x:v>50</x:v>
      </x:c>
      <x:c r="AB217" s="21" t="n">
        <x:f>ROUND(COUNTA(A217:K217)/11*100,0)</x:f>
        <x:v>100</x:v>
      </x:c>
      <x:c r="AC217" s="18" t="str">
        <x:v>National Company Law Tribunal</x:v>
      </x:c>
      <x:c r="AD217" s="22" t="str">
        <x:v>https://ibbi.gov.in/uploads/announcement/0c49517c2e65e56fba8d194b01d8675e.pdf</x:v>
      </x:c>
      <x:c r="AE217" s="18" t="str">
        <x:v>2026-07-22</x:v>
      </x:c>
      <x:c r="AF217" s="18" t="n">
        <x:v>46275.114583333336</x:v>
      </x:c>
      <x:c r="AG217" s="18" t="str">
        <x:v>retained_terminal</x:v>
      </x:c>
      <x:c r="AH217" s="18" t="str">
        <x:v>READY</x:v>
      </x:c>
    </x:row>
    <x:row r="218">
      <x:c r="A218" s="18" t="str">
        <x:v>NYT-47-4653b5653eca3489</x:v>
      </x:c>
      <x:c r="B218" s="18" t="str">
        <x:v>NCLT / NCLAT (Insolvency) source coverage</x:v>
      </x:c>
      <x:c r="C218" s="18" t="str">
        <x:v>2026-07-22</x:v>
      </x:c>
      <x:c r="D218" s="18" t="n">
        <x:v>2026</x:v>
      </x:c>
      <x:c r="E218" s="18" t="str">
        <x:v>2026-07</x:v>
      </x:c>
      <x:c r="F218" s="18" t="str"/>
      <x:c r="G218" s="18" t="str">
        <x:v>Public Announcement of Voluntary Liquidation Process</x:v>
      </x:c>
      <x:c r="H218" s="18" t="str"/>
      <x:c r="I218" s="18" t="str"/>
      <x:c r="J218" s="20" t="str"/>
      <x:c r="K218" s="18" t="str"/>
      <x:c r="L218" s="18" t="str"/>
      <x:c r="M218" s="18" t="str">
        <x:v>2026-07-22</x:v>
      </x:c>
      <x:c r="N218" s="18" t="str"/>
      <x:c r="O218" s="18" t="str">
        <x:v>ibbi_dhoqo7</x:v>
      </x:c>
      <x:c r="P218" s="18" t="str">
        <x:v>DKS DESICCANTS PRIVATE LIMITED</x:v>
      </x:c>
      <x:c r="Q218" s="18" t="str">
        <x:v>DKS DESICCANTS PRIVATE LIMITED</x:v>
      </x:c>
      <x:c r="R218" s="18" t="str">
        <x:v>Mr. Gyaneshwar Sahai</x:v>
      </x:c>
      <x:c r="S218" s="18" t="str">
        <x:v>2026-08-19</x:v>
      </x:c>
      <x:c r="T218" s="18" t="str">
        <x:v>Public Announcement of Voluntary Liquidation Process</x:v>
      </x:c>
      <x:c r="U218" s="18" t="str"/>
      <x:c r="V218" s="18" t="str">
        <x:v>DEFINED_TERMINAL_OR_FEED_SCOPE</x:v>
      </x:c>
      <x:c r="W218" s="18" t="str">
        <x:v>national_ibbi_announcements.json — published records loaded</x:v>
      </x:c>
      <x:c r="X218" s="18" t="str"/>
      <x:c r="Y218" s="18" t="str"/>
      <x:c r="Z218" s="20" t="n">
        <x:v>434</x:v>
      </x:c>
      <x:c r="AA218" s="19" t="n">
        <x:f>IFERROR(TODAY()-DATEVALUE(C218),"")</x:f>
        <x:v>50</x:v>
      </x:c>
      <x:c r="AB218" s="21" t="n">
        <x:f>ROUND(COUNTA(A218:K218)/11*100,0)</x:f>
        <x:v>100</x:v>
      </x:c>
      <x:c r="AC218" s="18" t="str">
        <x:v>National Company Law Tribunal</x:v>
      </x:c>
      <x:c r="AD218" s="22" t="str">
        <x:v>https://ibbi.gov.in/uploads/announcement/2026-07-23-113018-j61tb-16877c2815a76ef43da724befb9f4cee.pdf</x:v>
      </x:c>
      <x:c r="AE218" s="18" t="str">
        <x:v>2026-07-22</x:v>
      </x:c>
      <x:c r="AF218" s="18" t="n">
        <x:v>46275.114583333336</x:v>
      </x:c>
      <x:c r="AG218" s="18" t="str">
        <x:v>retained_terminal</x:v>
      </x:c>
      <x:c r="AH218" s="18" t="str">
        <x:v>READY</x:v>
      </x:c>
    </x:row>
    <x:row r="219">
      <x:c r="A219" s="18" t="str">
        <x:v>NYT-47-563db3aca139196c</x:v>
      </x:c>
      <x:c r="B219" s="18" t="str">
        <x:v>NCLT / NCLAT (Insolvency) source coverage</x:v>
      </x:c>
      <x:c r="C219" s="18" t="str">
        <x:v>2026-07-21</x:v>
      </x:c>
      <x:c r="D219" s="18" t="n">
        <x:v>2026</x:v>
      </x:c>
      <x:c r="E219" s="18" t="str">
        <x:v>2026-07</x:v>
      </x:c>
      <x:c r="F219" s="18" t="str"/>
      <x:c r="G219" s="18" t="str">
        <x:v>Public Announcement of Voluntary Liquidation Process</x:v>
      </x:c>
      <x:c r="H219" s="18" t="str"/>
      <x:c r="I219" s="18" t="str"/>
      <x:c r="J219" s="20" t="str"/>
      <x:c r="K219" s="18" t="str"/>
      <x:c r="L219" s="18" t="str"/>
      <x:c r="M219" s="18" t="str">
        <x:v>2026-07-21</x:v>
      </x:c>
      <x:c r="N219" s="18" t="str"/>
      <x:c r="O219" s="18" t="str">
        <x:v>ibbi_1rbonlt</x:v>
      </x:c>
      <x:c r="P219" s="18" t="str">
        <x:v>Choice Furniture Fixtures and Fitout India Private Limited</x:v>
      </x:c>
      <x:c r="Q219" s="18" t="str">
        <x:v>CHOICE FURNITURE FIXTURES AND FITOUT INDIA PRIVATE LIMITED</x:v>
      </x:c>
      <x:c r="R219" s="18" t="str">
        <x:v>Ms. Sumana Rao</x:v>
      </x:c>
      <x:c r="S219" s="18" t="str">
        <x:v>2026-08-17</x:v>
      </x:c>
      <x:c r="T219" s="18" t="str">
        <x:v>Public Announcement of Voluntary Liquidation Process</x:v>
      </x:c>
      <x:c r="U219" s="18" t="str"/>
      <x:c r="V219" s="18" t="str">
        <x:v>DEFINED_TERMINAL_OR_FEED_SCOPE</x:v>
      </x:c>
      <x:c r="W219" s="18" t="str">
        <x:v>national_ibbi_announcements.json — published records loaded</x:v>
      </x:c>
      <x:c r="X219" s="18" t="str"/>
      <x:c r="Y219" s="18" t="str"/>
      <x:c r="Z219" s="20" t="n">
        <x:v>434</x:v>
      </x:c>
      <x:c r="AA219" s="19" t="n">
        <x:f>IFERROR(TODAY()-DATEVALUE(C219),"")</x:f>
        <x:v>51</x:v>
      </x:c>
      <x:c r="AB219" s="21" t="n">
        <x:f>ROUND(COUNTA(A219:K219)/11*100,0)</x:f>
        <x:v>100</x:v>
      </x:c>
      <x:c r="AC219" s="18" t="str">
        <x:v>National Company Law Tribunal</x:v>
      </x:c>
      <x:c r="AD219" s="22" t="str">
        <x:v>https://ibbi.gov.in/uploads/announcement/b1b06d67dc21633ccf9fadca30f3fae5.pdf</x:v>
      </x:c>
      <x:c r="AE219" s="18" t="str">
        <x:v>2026-07-21</x:v>
      </x:c>
      <x:c r="AF219" s="18" t="n">
        <x:v>46275.114583333336</x:v>
      </x:c>
      <x:c r="AG219" s="18" t="str">
        <x:v>retained_terminal</x:v>
      </x:c>
      <x:c r="AH219" s="18" t="str">
        <x:v>READY</x:v>
      </x:c>
    </x:row>
    <x:row r="220">
      <x:c r="A220" s="18" t="str">
        <x:v>NYT-47-3bbcc73c04c38908</x:v>
      </x:c>
      <x:c r="B220" s="18" t="str">
        <x:v>NCLT / NCLAT (Insolvency) source coverage</x:v>
      </x:c>
      <x:c r="C220" s="18" t="str">
        <x:v>2026-07-20</x:v>
      </x:c>
      <x:c r="D220" s="18" t="n">
        <x:v>2026</x:v>
      </x:c>
      <x:c r="E220" s="18" t="str">
        <x:v>2026-07</x:v>
      </x:c>
      <x:c r="F220" s="18" t="str"/>
      <x:c r="G220" s="18" t="str">
        <x:v>Public Announcement of Corporate Insolvency Resolution Process</x:v>
      </x:c>
      <x:c r="H220" s="18" t="str"/>
      <x:c r="I220" s="18" t="str"/>
      <x:c r="J220" s="20" t="str"/>
      <x:c r="K220" s="18" t="str"/>
      <x:c r="L220" s="18" t="str"/>
      <x:c r="M220" s="18" t="str">
        <x:v>2026-07-20</x:v>
      </x:c>
      <x:c r="N220" s="18" t="str"/>
      <x:c r="O220" s="18" t="str">
        <x:v>ibbi_vz4ynk</x:v>
      </x:c>
      <x:c r="P220" s="18" t="str">
        <x:v>Pasad Impex Private Limited</x:v>
      </x:c>
      <x:c r="Q220" s="18" t="str">
        <x:v>INTERACTIVE MARKETING PRIVATE LIMITED</x:v>
      </x:c>
      <x:c r="R220" s="18" t="str">
        <x:v>Shekhar Arvind Parkhi</x:v>
      </x:c>
      <x:c r="S220" s="18" t="str">
        <x:v>2026-07-31</x:v>
      </x:c>
      <x:c r="T220" s="18" t="str">
        <x:v>Public Announcement of Corporate Insolvency Resolution Process</x:v>
      </x:c>
      <x:c r="U220" s="18" t="str"/>
      <x:c r="V220" s="18" t="str">
        <x:v>DEFINED_TERMINAL_OR_FEED_SCOPE</x:v>
      </x:c>
      <x:c r="W220" s="18" t="str">
        <x:v>national_ibbi_announcements.json — published records loaded</x:v>
      </x:c>
      <x:c r="X220" s="18" t="str"/>
      <x:c r="Y220" s="18" t="str"/>
      <x:c r="Z220" s="20" t="n">
        <x:v>434</x:v>
      </x:c>
      <x:c r="AA220" s="19" t="n">
        <x:f>IFERROR(TODAY()-DATEVALUE(C220),"")</x:f>
        <x:v>52</x:v>
      </x:c>
      <x:c r="AB220" s="21" t="n">
        <x:f>ROUND(COUNTA(A220:K220)/11*100,0)</x:f>
        <x:v>100</x:v>
      </x:c>
      <x:c r="AC220" s="18" t="str">
        <x:v>National Company Law Tribunal</x:v>
      </x:c>
      <x:c r="AD220" s="22" t="str">
        <x:v>https://ibbi.gov.in/uploads/announcement/2026-07-21-160258-17nc4-b2f4c05b01a47ce2c4794c192c04948a.pdf</x:v>
      </x:c>
      <x:c r="AE220" s="18" t="str">
        <x:v>2026-07-20</x:v>
      </x:c>
      <x:c r="AF220" s="18" t="n">
        <x:v>46275.114583333336</x:v>
      </x:c>
      <x:c r="AG220" s="18" t="str">
        <x:v>retained_terminal</x:v>
      </x:c>
      <x:c r="AH220" s="18" t="str">
        <x:v>READY</x:v>
      </x:c>
    </x:row>
    <x:row r="221">
      <x:c r="A221" s="18" t="str">
        <x:v>NYT-47-3ac257f9d6d66604</x:v>
      </x:c>
      <x:c r="B221" s="18" t="str">
        <x:v>NCLT / NCLAT (Insolvency) source coverage</x:v>
      </x:c>
      <x:c r="C221" s="18" t="str">
        <x:v>2026-07-19</x:v>
      </x:c>
      <x:c r="D221" s="18" t="n">
        <x:v>2026</x:v>
      </x:c>
      <x:c r="E221" s="18" t="str">
        <x:v>2026-07</x:v>
      </x:c>
      <x:c r="F221" s="18" t="str"/>
      <x:c r="G221" s="18" t="str">
        <x:v>Public Announcement of Voluntary Liquidation Process</x:v>
      </x:c>
      <x:c r="H221" s="18" t="str"/>
      <x:c r="I221" s="18" t="str"/>
      <x:c r="J221" s="20" t="str"/>
      <x:c r="K221" s="18" t="str"/>
      <x:c r="L221" s="18" t="str"/>
      <x:c r="M221" s="18" t="str">
        <x:v>2026-07-19</x:v>
      </x:c>
      <x:c r="N221" s="18" t="str"/>
      <x:c r="O221" s="18" t="str">
        <x:v>ibbi_19u5qs8</x:v>
      </x:c>
      <x:c r="P221" s="18" t="str">
        <x:v>CHILAKA HOLDINGS PRIVATE LIMITED</x:v>
      </x:c>
      <x:c r="Q221" s="18" t="str">
        <x:v>CHILAKA HOLDINGS PRIVATE LIMITED</x:v>
      </x:c>
      <x:c r="R221" s="18" t="str">
        <x:v>Mr. Vasudevan Gopu</x:v>
      </x:c>
      <x:c r="S221" s="18" t="str">
        <x:v>2026-08-16</x:v>
      </x:c>
      <x:c r="T221" s="18" t="str">
        <x:v>Public Announcement of Voluntary Liquidation Process</x:v>
      </x:c>
      <x:c r="U221" s="18" t="str"/>
      <x:c r="V221" s="18" t="str">
        <x:v>DEFINED_TERMINAL_OR_FEED_SCOPE</x:v>
      </x:c>
      <x:c r="W221" s="18" t="str">
        <x:v>national_ibbi_announcements.json — published records loaded</x:v>
      </x:c>
      <x:c r="X221" s="18" t="str"/>
      <x:c r="Y221" s="18" t="str"/>
      <x:c r="Z221" s="20" t="n">
        <x:v>434</x:v>
      </x:c>
      <x:c r="AA221" s="19" t="n">
        <x:f>IFERROR(TODAY()-DATEVALUE(C221),"")</x:f>
        <x:v>53</x:v>
      </x:c>
      <x:c r="AB221" s="21" t="n">
        <x:f>ROUND(COUNTA(A221:K221)/11*100,0)</x:f>
        <x:v>100</x:v>
      </x:c>
      <x:c r="AC221" s="18" t="str">
        <x:v>National Company Law Tribunal</x:v>
      </x:c>
      <x:c r="AD221" s="22" t="str">
        <x:v>https://ibbi.gov.in/uploads/announcement/2026-07-21-161049-am1ho-ca7e0346604e9e99a7ad9accaf0b1e4b.pdf</x:v>
      </x:c>
      <x:c r="AE221" s="18" t="str">
        <x:v>2026-07-19</x:v>
      </x:c>
      <x:c r="AF221" s="18" t="n">
        <x:v>46275.114583333336</x:v>
      </x:c>
      <x:c r="AG221" s="18" t="str">
        <x:v>retained_terminal</x:v>
      </x:c>
      <x:c r="AH221" s="18" t="str">
        <x:v>READY</x:v>
      </x:c>
    </x:row>
    <x:row r="222">
      <x:c r="A222" s="18" t="str">
        <x:v>NYT-47-469cfd4a88f4622d</x:v>
      </x:c>
      <x:c r="B222" s="18" t="str">
        <x:v>NCLT / NCLAT (Insolvency) source coverage</x:v>
      </x:c>
      <x:c r="C222" s="18" t="str">
        <x:v>2026-07-19</x:v>
      </x:c>
      <x:c r="D222" s="18" t="n">
        <x:v>2026</x:v>
      </x:c>
      <x:c r="E222" s="18" t="str">
        <x:v>2026-07</x:v>
      </x:c>
      <x:c r="F222" s="18" t="str"/>
      <x:c r="G222" s="18" t="str">
        <x:v>Public Announcement of Corporate Insolvency Resolution Process</x:v>
      </x:c>
      <x:c r="H222" s="18" t="str"/>
      <x:c r="I222" s="18" t="str"/>
      <x:c r="J222" s="20" t="str"/>
      <x:c r="K222" s="18" t="str"/>
      <x:c r="L222" s="18" t="str"/>
      <x:c r="M222" s="18" t="str">
        <x:v>2026-07-19</x:v>
      </x:c>
      <x:c r="N222" s="18" t="str"/>
      <x:c r="O222" s="18" t="str">
        <x:v>ibbi_1u5kwk3</x:v>
      </x:c>
      <x:c r="P222" s="18" t="str">
        <x:v>Central Bank of India</x:v>
      </x:c>
      <x:c r="Q222" s="18" t="str">
        <x:v>SUPERFINE METALS PRIVATE LIMITED</x:v>
      </x:c>
      <x:c r="R222" s="18" t="str">
        <x:v>Mrs. Megha Agrawal</x:v>
      </x:c>
      <x:c r="S222" s="18" t="str">
        <x:v>2026-07-30</x:v>
      </x:c>
      <x:c r="T222" s="18" t="str">
        <x:v>Public Announcement of Corporate Insolvency Resolution Process</x:v>
      </x:c>
      <x:c r="U222" s="18" t="str"/>
      <x:c r="V222" s="18" t="str">
        <x:v>DEFINED_TERMINAL_OR_FEED_SCOPE</x:v>
      </x:c>
      <x:c r="W222" s="18" t="str">
        <x:v>national_ibbi_announcements.json — published records loaded</x:v>
      </x:c>
      <x:c r="X222" s="18" t="str"/>
      <x:c r="Y222" s="18" t="str"/>
      <x:c r="Z222" s="20" t="n">
        <x:v>434</x:v>
      </x:c>
      <x:c r="AA222" s="19" t="n">
        <x:f>IFERROR(TODAY()-DATEVALUE(C222),"")</x:f>
        <x:v>53</x:v>
      </x:c>
      <x:c r="AB222" s="21" t="n">
        <x:f>ROUND(COUNTA(A222:K222)/11*100,0)</x:f>
        <x:v>100</x:v>
      </x:c>
      <x:c r="AC222" s="18" t="str">
        <x:v>National Company Law Tribunal</x:v>
      </x:c>
      <x:c r="AD222" s="22" t="str">
        <x:v>https://ibbi.gov.in/uploads/announcement/0a1788d3043725b532138e14693f0279.pdf</x:v>
      </x:c>
      <x:c r="AE222" s="18" t="str">
        <x:v>2026-07-19</x:v>
      </x:c>
      <x:c r="AF222" s="18" t="n">
        <x:v>46275.114583333336</x:v>
      </x:c>
      <x:c r="AG222" s="18" t="str">
        <x:v>retained_terminal</x:v>
      </x:c>
      <x:c r="AH222" s="18" t="str">
        <x:v>READY</x:v>
      </x:c>
    </x:row>
    <x:row r="223">
      <x:c r="A223" s="18" t="str">
        <x:v>NYT-47-8e69e395a3bf9706</x:v>
      </x:c>
      <x:c r="B223" s="18" t="str">
        <x:v>NCLT / NCLAT (Insolvency) source coverage</x:v>
      </x:c>
      <x:c r="C223" s="18" t="str">
        <x:v>2026-07-18</x:v>
      </x:c>
      <x:c r="D223" s="18" t="n">
        <x:v>2026</x:v>
      </x:c>
      <x:c r="E223" s="18" t="str">
        <x:v>2026-07</x:v>
      </x:c>
      <x:c r="F223" s="18" t="str"/>
      <x:c r="G223" s="18" t="str">
        <x:v>Public Announcement of Voluntary Liquidation Process</x:v>
      </x:c>
      <x:c r="H223" s="18" t="str"/>
      <x:c r="I223" s="18" t="str"/>
      <x:c r="J223" s="20" t="str"/>
      <x:c r="K223" s="18" t="str"/>
      <x:c r="L223" s="18" t="str"/>
      <x:c r="M223" s="18" t="str">
        <x:v>2026-07-18</x:v>
      </x:c>
      <x:c r="N223" s="18" t="str"/>
      <x:c r="O223" s="18" t="str">
        <x:v>ibbi_unik8y</x:v>
      </x:c>
      <x:c r="P223" s="18" t="str">
        <x:v>Vivek Mallya</x:v>
      </x:c>
      <x:c r="Q223" s="18" t="str">
        <x:v>MLAISEC INDIA PRIVATE LIMITED</x:v>
      </x:c>
      <x:c r="R223" s="18" t="str">
        <x:v>Mr. Vivek Mallya</x:v>
      </x:c>
      <x:c r="S223" s="18" t="str">
        <x:v>2026-08-16</x:v>
      </x:c>
      <x:c r="T223" s="18" t="str">
        <x:v>Public Announcement of Voluntary Liquidation Process</x:v>
      </x:c>
      <x:c r="U223" s="18" t="str"/>
      <x:c r="V223" s="18" t="str">
        <x:v>DEFINED_TERMINAL_OR_FEED_SCOPE</x:v>
      </x:c>
      <x:c r="W223" s="18" t="str">
        <x:v>national_ibbi_announcements.json — published records loaded</x:v>
      </x:c>
      <x:c r="X223" s="18" t="str"/>
      <x:c r="Y223" s="18" t="str"/>
      <x:c r="Z223" s="20" t="n">
        <x:v>434</x:v>
      </x:c>
      <x:c r="AA223" s="19" t="n">
        <x:f>IFERROR(TODAY()-DATEVALUE(C223),"")</x:f>
        <x:v>54</x:v>
      </x:c>
      <x:c r="AB223" s="21" t="n">
        <x:f>ROUND(COUNTA(A223:K223)/11*100,0)</x:f>
        <x:v>100</x:v>
      </x:c>
      <x:c r="AC223" s="18" t="str">
        <x:v>National Company Law Tribunal</x:v>
      </x:c>
      <x:c r="AD223" s="22" t="str">
        <x:v>https://ibbi.gov.in/uploads/announcement/a389e14e2684d0de68d8d351ac82ad01.pdf</x:v>
      </x:c>
      <x:c r="AE223" s="18" t="str">
        <x:v>2026-07-18</x:v>
      </x:c>
      <x:c r="AF223" s="18" t="n">
        <x:v>46275.114583333336</x:v>
      </x:c>
      <x:c r="AG223" s="18" t="str">
        <x:v>retained_terminal</x:v>
      </x:c>
      <x:c r="AH223" s="18" t="str">
        <x:v>READY</x:v>
      </x:c>
    </x:row>
    <x:row r="224">
      <x:c r="A224" s="18" t="str">
        <x:v>NYT-47-aa4d23add9cdf63c</x:v>
      </x:c>
      <x:c r="B224" s="18" t="str">
        <x:v>NCLT / NCLAT (Insolvency) source coverage</x:v>
      </x:c>
      <x:c r="C224" s="18" t="str">
        <x:v>2026-07-18</x:v>
      </x:c>
      <x:c r="D224" s="18" t="n">
        <x:v>2026</x:v>
      </x:c>
      <x:c r="E224" s="18" t="str">
        <x:v>2026-07</x:v>
      </x:c>
      <x:c r="F224" s="18" t="str"/>
      <x:c r="G224" s="18" t="str">
        <x:v>Public Announcement of Corporate Insolvency Resolution Process</x:v>
      </x:c>
      <x:c r="H224" s="18" t="str"/>
      <x:c r="I224" s="18" t="str"/>
      <x:c r="J224" s="20" t="str"/>
      <x:c r="K224" s="18" t="str"/>
      <x:c r="L224" s="18" t="str"/>
      <x:c r="M224" s="18" t="str">
        <x:v>2026-07-18</x:v>
      </x:c>
      <x:c r="N224" s="18" t="str"/>
      <x:c r="O224" s="18" t="str">
        <x:v>ibbi_1un7dy8</x:v>
      </x:c>
      <x:c r="P224" s="18" t="str">
        <x:v>MR. MANOJ KUMAR SINGHAL, Proprietor of M/s Decowel Fabrication,</x:v>
      </x:c>
      <x:c r="Q224" s="18" t="str">
        <x:v>SVP INDUSTRIES LIMITED</x:v>
      </x:c>
      <x:c r="R224" s="18" t="str">
        <x:v>Pawan Garg</x:v>
      </x:c>
      <x:c r="S224" s="18" t="str">
        <x:v>2026-07-30</x:v>
      </x:c>
      <x:c r="T224" s="18" t="str">
        <x:v>Public Announcement of Corporate Insolvency Resolution Process</x:v>
      </x:c>
      <x:c r="U224" s="18" t="str"/>
      <x:c r="V224" s="18" t="str">
        <x:v>DEFINED_TERMINAL_OR_FEED_SCOPE</x:v>
      </x:c>
      <x:c r="W224" s="18" t="str">
        <x:v>national_ibbi_announcements.json — published records loaded</x:v>
      </x:c>
      <x:c r="X224" s="18" t="str"/>
      <x:c r="Y224" s="18" t="str"/>
      <x:c r="Z224" s="20" t="n">
        <x:v>434</x:v>
      </x:c>
      <x:c r="AA224" s="19" t="n">
        <x:f>IFERROR(TODAY()-DATEVALUE(C224),"")</x:f>
        <x:v>54</x:v>
      </x:c>
      <x:c r="AB224" s="21" t="n">
        <x:f>ROUND(COUNTA(A224:K224)/11*100,0)</x:f>
        <x:v>100</x:v>
      </x:c>
      <x:c r="AC224" s="18" t="str">
        <x:v>National Company Law Tribunal</x:v>
      </x:c>
      <x:c r="AD224" s="22" t="str">
        <x:v>https://ibbi.gov.in/uploads/announcement/b6a865b5ecc55396ffe549e702c7b878.pdf</x:v>
      </x:c>
      <x:c r="AE224" s="18" t="str">
        <x:v>2026-07-18</x:v>
      </x:c>
      <x:c r="AF224" s="18" t="n">
        <x:v>46275.114583333336</x:v>
      </x:c>
      <x:c r="AG224" s="18" t="str">
        <x:v>retained_terminal</x:v>
      </x:c>
      <x:c r="AH224" s="18" t="str">
        <x:v>READY</x:v>
      </x:c>
    </x:row>
    <x:row r="225">
      <x:c r="A225" s="18" t="str">
        <x:v>NYT-47-eb02f18174fd61c2</x:v>
      </x:c>
      <x:c r="B225" s="18" t="str">
        <x:v>NCLT / NCLAT (Insolvency) source coverage</x:v>
      </x:c>
      <x:c r="C225" s="18" t="str">
        <x:v>2026-07-18</x:v>
      </x:c>
      <x:c r="D225" s="18" t="n">
        <x:v>2026</x:v>
      </x:c>
      <x:c r="E225" s="18" t="str">
        <x:v>2026-07</x:v>
      </x:c>
      <x:c r="F225" s="18" t="str"/>
      <x:c r="G225" s="18" t="str">
        <x:v>Public Announcement of Corporate Insolvency Resolution Process</x:v>
      </x:c>
      <x:c r="H225" s="18" t="str"/>
      <x:c r="I225" s="18" t="str"/>
      <x:c r="J225" s="20" t="str"/>
      <x:c r="K225" s="18" t="str"/>
      <x:c r="L225" s="18" t="str"/>
      <x:c r="M225" s="18" t="str">
        <x:v>2026-07-18</x:v>
      </x:c>
      <x:c r="N225" s="18" t="str"/>
      <x:c r="O225" s="18" t="str">
        <x:v>ibbi_zyufgq</x:v>
      </x:c>
      <x:c r="P225" s="18" t="str">
        <x:v>IDBI Trusteeship Service Ltd</x:v>
      </x:c>
      <x:c r="Q225" s="18" t="str">
        <x:v>OZONE PROJECTS PRIVATE LIMITED</x:v>
      </x:c>
      <x:c r="R225" s="18" t="str">
        <x:v>Ashok Mittal</x:v>
      </x:c>
      <x:c r="S225" s="18" t="str">
        <x:v>2026-07-30</x:v>
      </x:c>
      <x:c r="T225" s="18" t="str">
        <x:v>Public Announcement of Corporate Insolvency Resolution Process</x:v>
      </x:c>
      <x:c r="U225" s="18" t="str"/>
      <x:c r="V225" s="18" t="str">
        <x:v>DEFINED_TERMINAL_OR_FEED_SCOPE</x:v>
      </x:c>
      <x:c r="W225" s="18" t="str">
        <x:v>national_ibbi_announcements.json — published records loaded</x:v>
      </x:c>
      <x:c r="X225" s="18" t="str"/>
      <x:c r="Y225" s="18" t="str"/>
      <x:c r="Z225" s="20" t="n">
        <x:v>434</x:v>
      </x:c>
      <x:c r="AA225" s="19" t="n">
        <x:f>IFERROR(TODAY()-DATEVALUE(C225),"")</x:f>
        <x:v>54</x:v>
      </x:c>
      <x:c r="AB225" s="21" t="n">
        <x:f>ROUND(COUNTA(A225:K225)/11*100,0)</x:f>
        <x:v>100</x:v>
      </x:c>
      <x:c r="AC225" s="18" t="str">
        <x:v>National Company Law Tribunal</x:v>
      </x:c>
      <x:c r="AD225" s="22" t="str">
        <x:v>https://ibbi.gov.in/uploads/announcement/b40fe68d5c629adf1c0f36fe65279855.pdf</x:v>
      </x:c>
      <x:c r="AE225" s="18" t="str">
        <x:v>2026-07-18</x:v>
      </x:c>
      <x:c r="AF225" s="18" t="n">
        <x:v>46275.114583333336</x:v>
      </x:c>
      <x:c r="AG225" s="18" t="str">
        <x:v>retained_terminal</x:v>
      </x:c>
      <x:c r="AH225" s="18" t="str">
        <x:v>READY</x:v>
      </x:c>
    </x:row>
    <x:row r="226">
      <x:c r="A226" s="18" t="str">
        <x:v>NYT-47-392e32ab0e33aeff</x:v>
      </x:c>
      <x:c r="B226" s="18" t="str">
        <x:v>NCLT / NCLAT (Insolvency) source coverage</x:v>
      </x:c>
      <x:c r="C226" s="18" t="str">
        <x:v>2026-07-18</x:v>
      </x:c>
      <x:c r="D226" s="18" t="n">
        <x:v>2026</x:v>
      </x:c>
      <x:c r="E226" s="18" t="str">
        <x:v>2026-07</x:v>
      </x:c>
      <x:c r="F226" s="18" t="str"/>
      <x:c r="G226" s="18" t="str">
        <x:v>Public Announcement of Voluntary Liquidation Process</x:v>
      </x:c>
      <x:c r="H226" s="18" t="str"/>
      <x:c r="I226" s="18" t="str"/>
      <x:c r="J226" s="20" t="str"/>
      <x:c r="K226" s="18" t="str"/>
      <x:c r="L226" s="18" t="str"/>
      <x:c r="M226" s="18" t="str">
        <x:v>2026-07-18</x:v>
      </x:c>
      <x:c r="N226" s="18" t="str"/>
      <x:c r="O226" s="18" t="str">
        <x:v>ibbi_1mbsv7p</x:v>
      </x:c>
      <x:c r="P226" s="18" t="str">
        <x:v>ATC CSR INDIA PRIVATE LIMITED</x:v>
      </x:c>
      <x:c r="Q226" s="18" t="str">
        <x:v>ATC CSR INDIA PRIVATE LIMITED</x:v>
      </x:c>
      <x:c r="R226" s="18" t="str">
        <x:v>Subodh Kumar</x:v>
      </x:c>
      <x:c r="S226" s="18" t="str">
        <x:v>2026-08-13</x:v>
      </x:c>
      <x:c r="T226" s="18" t="str">
        <x:v>Public Announcement of Voluntary Liquidation Process</x:v>
      </x:c>
      <x:c r="U226" s="18" t="str"/>
      <x:c r="V226" s="18" t="str">
        <x:v>DEFINED_TERMINAL_OR_FEED_SCOPE</x:v>
      </x:c>
      <x:c r="W226" s="18" t="str">
        <x:v>national_ibbi_announcements.json — published records loaded</x:v>
      </x:c>
      <x:c r="X226" s="18" t="str"/>
      <x:c r="Y226" s="18" t="str"/>
      <x:c r="Z226" s="20" t="n">
        <x:v>434</x:v>
      </x:c>
      <x:c r="AA226" s="19" t="n">
        <x:f>IFERROR(TODAY()-DATEVALUE(C226),"")</x:f>
        <x:v>54</x:v>
      </x:c>
      <x:c r="AB226" s="21" t="n">
        <x:f>ROUND(COUNTA(A226:K226)/11*100,0)</x:f>
        <x:v>100</x:v>
      </x:c>
      <x:c r="AC226" s="18" t="str">
        <x:v>National Company Law Tribunal</x:v>
      </x:c>
      <x:c r="AD226" s="22" t="str">
        <x:v>https://ibbi.gov.in/uploads/announcement/2026-07-20-171126-2byjd-3b2339050f45f034ee0fda92f65f1263.pdf</x:v>
      </x:c>
      <x:c r="AE226" s="18" t="str">
        <x:v>2026-07-18</x:v>
      </x:c>
      <x:c r="AF226" s="18" t="n">
        <x:v>46275.114583333336</x:v>
      </x:c>
      <x:c r="AG226" s="18" t="str">
        <x:v>retained_terminal</x:v>
      </x:c>
      <x:c r="AH226" s="18" t="str">
        <x:v>READY</x:v>
      </x:c>
    </x:row>
    <x:row r="227">
      <x:c r="A227" s="18" t="str">
        <x:v>NYT-47-6b1eb1df2813d62a</x:v>
      </x:c>
      <x:c r="B227" s="18" t="str">
        <x:v>NCLT / NCLAT (Insolvency) source coverage</x:v>
      </x:c>
      <x:c r="C227" s="18" t="str">
        <x:v>2026-07-17</x:v>
      </x:c>
      <x:c r="D227" s="18" t="n">
        <x:v>2026</x:v>
      </x:c>
      <x:c r="E227" s="18" t="str">
        <x:v>2026-07</x:v>
      </x:c>
      <x:c r="F227" s="18" t="str"/>
      <x:c r="G227" s="18" t="str">
        <x:v>Public Announcement of Voluntary Liquidation Process</x:v>
      </x:c>
      <x:c r="H227" s="18" t="str"/>
      <x:c r="I227" s="18" t="str"/>
      <x:c r="J227" s="20" t="str"/>
      <x:c r="K227" s="18" t="str"/>
      <x:c r="L227" s="18" t="str"/>
      <x:c r="M227" s="18" t="str">
        <x:v>2026-07-17</x:v>
      </x:c>
      <x:c r="N227" s="18" t="str"/>
      <x:c r="O227" s="18" t="str">
        <x:v>ibbi_179wxz0</x:v>
      </x:c>
      <x:c r="P227" s="18" t="str">
        <x:v>Pranav J. Damania</x:v>
      </x:c>
      <x:c r="Q227" s="18" t="str">
        <x:v>PASSPORTPARKING CONSULTING PRIVATE LIMITED</x:v>
      </x:c>
      <x:c r="R227" s="18" t="str">
        <x:v>Mr. Pranav J. Damania</x:v>
      </x:c>
      <x:c r="S227" s="18" t="str">
        <x:v>2026-08-14</x:v>
      </x:c>
      <x:c r="T227" s="18" t="str">
        <x:v>Public Announcement of Voluntary Liquidation Process</x:v>
      </x:c>
      <x:c r="U227" s="18" t="str"/>
      <x:c r="V227" s="18" t="str">
        <x:v>DEFINED_TERMINAL_OR_FEED_SCOPE</x:v>
      </x:c>
      <x:c r="W227" s="18" t="str">
        <x:v>national_ibbi_announcements.json — published records loaded</x:v>
      </x:c>
      <x:c r="X227" s="18" t="str"/>
      <x:c r="Y227" s="18" t="str"/>
      <x:c r="Z227" s="20" t="n">
        <x:v>434</x:v>
      </x:c>
      <x:c r="AA227" s="19" t="n">
        <x:f>IFERROR(TODAY()-DATEVALUE(C227),"")</x:f>
        <x:v>55</x:v>
      </x:c>
      <x:c r="AB227" s="21" t="n">
        <x:f>ROUND(COUNTA(A227:K227)/11*100,0)</x:f>
        <x:v>100</x:v>
      </x:c>
      <x:c r="AC227" s="18" t="str">
        <x:v>National Company Law Tribunal</x:v>
      </x:c>
      <x:c r="AD227" s="22" t="str">
        <x:v>https://ibbi.gov.in/uploads/announcement/e230513c896f235641c12daa869865c9.pdf</x:v>
      </x:c>
      <x:c r="AE227" s="18" t="str">
        <x:v>2026-07-17</x:v>
      </x:c>
      <x:c r="AF227" s="18" t="n">
        <x:v>46275.114583333336</x:v>
      </x:c>
      <x:c r="AG227" s="18" t="str">
        <x:v>retained_terminal</x:v>
      </x:c>
      <x:c r="AH227" s="18" t="str">
        <x:v>READY</x:v>
      </x:c>
    </x:row>
    <x:row r="228">
      <x:c r="A228" s="18" t="str">
        <x:v>NYT-47-f3825ac3584f3d90</x:v>
      </x:c>
      <x:c r="B228" s="18" t="str">
        <x:v>NCLT / NCLAT (Insolvency) source coverage</x:v>
      </x:c>
      <x:c r="C228" s="18" t="str">
        <x:v>2026-07-17</x:v>
      </x:c>
      <x:c r="D228" s="18" t="n">
        <x:v>2026</x:v>
      </x:c>
      <x:c r="E228" s="18" t="str">
        <x:v>2026-07</x:v>
      </x:c>
      <x:c r="F228" s="18" t="str"/>
      <x:c r="G228" s="18" t="str">
        <x:v>Public Announcement of Corporate Insolvency Resolution Process</x:v>
      </x:c>
      <x:c r="H228" s="18" t="str"/>
      <x:c r="I228" s="18" t="str"/>
      <x:c r="J228" s="20" t="str"/>
      <x:c r="K228" s="18" t="str"/>
      <x:c r="L228" s="18" t="str"/>
      <x:c r="M228" s="18" t="str">
        <x:v>2026-07-17</x:v>
      </x:c>
      <x:c r="N228" s="18" t="str"/>
      <x:c r="O228" s="18" t="str">
        <x:v>ibbi_1hc0hr0</x:v>
      </x:c>
      <x:c r="P228" s="18" t="str">
        <x:v>SMALL INDUSTRIES DEVELOPMENT BANK OF INDIA</x:v>
      </x:c>
      <x:c r="Q228" s="18" t="str">
        <x:v>JAISANSHU MEDICARE PRIVATE LIMITED</x:v>
      </x:c>
      <x:c r="R228" s="18" t="str">
        <x:v>Mr. Alok Kaushik</x:v>
      </x:c>
      <x:c r="S228" s="18" t="str">
        <x:v>2026-07-31</x:v>
      </x:c>
      <x:c r="T228" s="18" t="str">
        <x:v>Public Announcement of Corporate Insolvency Resolution Process</x:v>
      </x:c>
      <x:c r="U228" s="18" t="str"/>
      <x:c r="V228" s="18" t="str">
        <x:v>DEFINED_TERMINAL_OR_FEED_SCOPE</x:v>
      </x:c>
      <x:c r="W228" s="18" t="str">
        <x:v>national_ibbi_announcements.json — published records loaded</x:v>
      </x:c>
      <x:c r="X228" s="18" t="str"/>
      <x:c r="Y228" s="18" t="str"/>
      <x:c r="Z228" s="20" t="n">
        <x:v>434</x:v>
      </x:c>
      <x:c r="AA228" s="19" t="n">
        <x:f>IFERROR(TODAY()-DATEVALUE(C228),"")</x:f>
        <x:v>55</x:v>
      </x:c>
      <x:c r="AB228" s="21" t="n">
        <x:f>ROUND(COUNTA(A228:K228)/11*100,0)</x:f>
        <x:v>100</x:v>
      </x:c>
      <x:c r="AC228" s="18" t="str">
        <x:v>National Company Law Tribunal</x:v>
      </x:c>
      <x:c r="AD228" s="22" t="str">
        <x:v>https://ibbi.gov.in/uploads/announcement/88640413888172fc44179890efe44a8b.pdf</x:v>
      </x:c>
      <x:c r="AE228" s="18" t="str">
        <x:v>2026-07-17</x:v>
      </x:c>
      <x:c r="AF228" s="18" t="n">
        <x:v>46275.114583333336</x:v>
      </x:c>
      <x:c r="AG228" s="18" t="str">
        <x:v>retained_terminal</x:v>
      </x:c>
      <x:c r="AH228" s="18" t="str">
        <x:v>READY</x:v>
      </x:c>
    </x:row>
    <x:row r="229">
      <x:c r="A229" s="18" t="str">
        <x:v>NYT-47-467eda9b275ffc6a</x:v>
      </x:c>
      <x:c r="B229" s="18" t="str">
        <x:v>NCLT / NCLAT (Insolvency) source coverage</x:v>
      </x:c>
      <x:c r="C229" s="18" t="str">
        <x:v>2026-07-17</x:v>
      </x:c>
      <x:c r="D229" s="18" t="n">
        <x:v>2026</x:v>
      </x:c>
      <x:c r="E229" s="18" t="str">
        <x:v>2026-07</x:v>
      </x:c>
      <x:c r="F229" s="18" t="str"/>
      <x:c r="G229" s="18" t="str">
        <x:v>Public Announcement of Corporate Insolvency Resolution Process</x:v>
      </x:c>
      <x:c r="H229" s="18" t="str"/>
      <x:c r="I229" s="18" t="str"/>
      <x:c r="J229" s="20" t="str"/>
      <x:c r="K229" s="18" t="str"/>
      <x:c r="L229" s="18" t="str"/>
      <x:c r="M229" s="18" t="str">
        <x:v>2026-07-17</x:v>
      </x:c>
      <x:c r="N229" s="18" t="str"/>
      <x:c r="O229" s="18" t="str">
        <x:v>ibbi_xgd40j</x:v>
      </x:c>
      <x:c r="P229" s="18" t="str">
        <x:v>DCB BANK LIMITED</x:v>
      </x:c>
      <x:c r="Q229" s="18" t="str">
        <x:v>GENESIS INFRATECH PRIVATE LIMITED</x:v>
      </x:c>
      <x:c r="R229" s="18" t="str">
        <x:v>Mr. Ajay Gupta</x:v>
      </x:c>
      <x:c r="S229" s="18" t="str">
        <x:v>2026-07-28</x:v>
      </x:c>
      <x:c r="T229" s="18" t="str">
        <x:v>Public Announcement of Corporate Insolvency Resolution Process</x:v>
      </x:c>
      <x:c r="U229" s="18" t="str"/>
      <x:c r="V229" s="18" t="str">
        <x:v>DEFINED_TERMINAL_OR_FEED_SCOPE</x:v>
      </x:c>
      <x:c r="W229" s="18" t="str">
        <x:v>national_ibbi_announcements.json — published records loaded</x:v>
      </x:c>
      <x:c r="X229" s="18" t="str"/>
      <x:c r="Y229" s="18" t="str"/>
      <x:c r="Z229" s="20" t="n">
        <x:v>434</x:v>
      </x:c>
      <x:c r="AA229" s="19" t="n">
        <x:f>IFERROR(TODAY()-DATEVALUE(C229),"")</x:f>
        <x:v>55</x:v>
      </x:c>
      <x:c r="AB229" s="21" t="n">
        <x:f>ROUND(COUNTA(A229:K229)/11*100,0)</x:f>
        <x:v>100</x:v>
      </x:c>
      <x:c r="AC229" s="18" t="str">
        <x:v>National Company Law Tribunal</x:v>
      </x:c>
      <x:c r="AD229" s="22" t="str">
        <x:v>https://ibbi.gov.in/uploads/announcement/7984778a7983ba3c6698c61469b2cec5.pdf</x:v>
      </x:c>
      <x:c r="AE229" s="18" t="str">
        <x:v>2026-07-17</x:v>
      </x:c>
      <x:c r="AF229" s="18" t="n">
        <x:v>46275.114583333336</x:v>
      </x:c>
      <x:c r="AG229" s="18" t="str">
        <x:v>retained_terminal</x:v>
      </x:c>
      <x:c r="AH229" s="18" t="str">
        <x:v>READY</x:v>
      </x:c>
    </x:row>
    <x:row r="230">
      <x:c r="A230" s="18" t="str">
        <x:v>NYT-47-0ea9fdcfa044d744</x:v>
      </x:c>
      <x:c r="B230" s="18" t="str">
        <x:v>NCLT / NCLAT (Insolvency) source coverage</x:v>
      </x:c>
      <x:c r="C230" s="18" t="str">
        <x:v>2026-07-16</x:v>
      </x:c>
      <x:c r="D230" s="18" t="n">
        <x:v>2026</x:v>
      </x:c>
      <x:c r="E230" s="18" t="str">
        <x:v>2026-07</x:v>
      </x:c>
      <x:c r="F230" s="18" t="str"/>
      <x:c r="G230" s="18" t="str">
        <x:v>Public Announcement of Liquidation Process</x:v>
      </x:c>
      <x:c r="H230" s="18" t="str"/>
      <x:c r="I230" s="18" t="str"/>
      <x:c r="J230" s="20" t="str"/>
      <x:c r="K230" s="18" t="str"/>
      <x:c r="L230" s="18" t="str"/>
      <x:c r="M230" s="18" t="str">
        <x:v>2026-07-16</x:v>
      </x:c>
      <x:c r="N230" s="18" t="str"/>
      <x:c r="O230" s="18" t="str">
        <x:v>ibbi_9kkozi</x:v>
      </x:c>
      <x:c r="P230" s="18" t="str">
        <x:v>Omkara Assets Reconstruction Pvt. Ltd.</x:v>
      </x:c>
      <x:c r="Q230" s="18" t="str">
        <x:v>VIDHATA METAL PRIVATE LIMITED</x:v>
      </x:c>
      <x:c r="R230" s="18" t="str">
        <x:v>Mr. Snehal Arvind Kamdar</x:v>
      </x:c>
      <x:c r="S230" s="18" t="str">
        <x:v>2026-07-25</x:v>
      </x:c>
      <x:c r="T230" s="18" t="str">
        <x:v>Public Announcement of Liquidation Process</x:v>
      </x:c>
      <x:c r="U230" s="18" t="str"/>
      <x:c r="V230" s="18" t="str">
        <x:v>DEFINED_TERMINAL_OR_FEED_SCOPE</x:v>
      </x:c>
      <x:c r="W230" s="18" t="str">
        <x:v>national_ibbi_announcements.json — published records loaded</x:v>
      </x:c>
      <x:c r="X230" s="18" t="str"/>
      <x:c r="Y230" s="18" t="str"/>
      <x:c r="Z230" s="20" t="n">
        <x:v>434</x:v>
      </x:c>
      <x:c r="AA230" s="19" t="n">
        <x:f>IFERROR(TODAY()-DATEVALUE(C230),"")</x:f>
        <x:v>56</x:v>
      </x:c>
      <x:c r="AB230" s="21" t="n">
        <x:f>ROUND(COUNTA(A230:K230)/11*100,0)</x:f>
        <x:v>100</x:v>
      </x:c>
      <x:c r="AC230" s="18" t="str">
        <x:v>National Company Law Tribunal</x:v>
      </x:c>
      <x:c r="AD230" s="22" t="str">
        <x:v>https://ibbi.gov.in/uploads/announcement/7d3b86b873dc95018c382a0778311d71.pdf</x:v>
      </x:c>
      <x:c r="AE230" s="18" t="str">
        <x:v>2026-07-16</x:v>
      </x:c>
      <x:c r="AF230" s="18" t="n">
        <x:v>46275.114583333336</x:v>
      </x:c>
      <x:c r="AG230" s="18" t="str">
        <x:v>retained_terminal</x:v>
      </x:c>
      <x:c r="AH230" s="18" t="str">
        <x:v>READY</x:v>
      </x:c>
    </x:row>
    <x:row r="231">
      <x:c r="A231" s="18" t="str">
        <x:v>NYT-47-c02c641e813e4210</x:v>
      </x:c>
      <x:c r="B231" s="18" t="str">
        <x:v>NCLT / NCLAT (Insolvency) source coverage</x:v>
      </x:c>
      <x:c r="C231" s="18" t="str">
        <x:v>2026-07-15</x:v>
      </x:c>
      <x:c r="D231" s="18" t="n">
        <x:v>2026</x:v>
      </x:c>
      <x:c r="E231" s="18" t="str">
        <x:v>2026-07</x:v>
      </x:c>
      <x:c r="F231" s="18" t="str"/>
      <x:c r="G231" s="18" t="str">
        <x:v>Public Announcement of Corporate Insolvency Resolution Process</x:v>
      </x:c>
      <x:c r="H231" s="18" t="str"/>
      <x:c r="I231" s="18" t="str"/>
      <x:c r="J231" s="20" t="str"/>
      <x:c r="K231" s="18" t="str"/>
      <x:c r="L231" s="18" t="str"/>
      <x:c r="M231" s="18" t="str">
        <x:v>2026-07-15</x:v>
      </x:c>
      <x:c r="N231" s="18" t="str"/>
      <x:c r="O231" s="18" t="str">
        <x:v>ibbi_ql4l4t</x:v>
      </x:c>
      <x:c r="P231" s="18" t="str">
        <x:v>Mr. Sachin Mahadeo Bhintade</x:v>
      </x:c>
      <x:c r="Q231" s="18" t="str">
        <x:v>ISG HOSPITALITY SERVICES PRIVATE LIMITED</x:v>
      </x:c>
      <x:c r="R231" s="18" t="str">
        <x:v>Rajkumar Feru Gupta</x:v>
      </x:c>
      <x:c r="S231" s="18" t="str">
        <x:v>2026-07-27</x:v>
      </x:c>
      <x:c r="T231" s="18" t="str">
        <x:v>Public Announcement of Corporate Insolvency Resolution Process</x:v>
      </x:c>
      <x:c r="U231" s="18" t="str"/>
      <x:c r="V231" s="18" t="str">
        <x:v>DEFINED_TERMINAL_OR_FEED_SCOPE</x:v>
      </x:c>
      <x:c r="W231" s="18" t="str">
        <x:v>national_ibbi_announcements.json — published records loaded</x:v>
      </x:c>
      <x:c r="X231" s="18" t="str"/>
      <x:c r="Y231" s="18" t="str"/>
      <x:c r="Z231" s="20" t="n">
        <x:v>434</x:v>
      </x:c>
      <x:c r="AA231" s="19" t="n">
        <x:f>IFERROR(TODAY()-DATEVALUE(C231),"")</x:f>
        <x:v>57</x:v>
      </x:c>
      <x:c r="AB231" s="21" t="n">
        <x:f>ROUND(COUNTA(A231:K231)/11*100,0)</x:f>
        <x:v>100</x:v>
      </x:c>
      <x:c r="AC231" s="18" t="str">
        <x:v>National Company Law Tribunal</x:v>
      </x:c>
      <x:c r="AD231" s="22" t="str">
        <x:v>https://ibbi.gov.in/uploads/announcement/2026-07-18-160150-mzfod-79204a9706d1c8405060e9ed9f9e1ec8.pdf</x:v>
      </x:c>
      <x:c r="AE231" s="18" t="str">
        <x:v>2026-07-15</x:v>
      </x:c>
      <x:c r="AF231" s="18" t="n">
        <x:v>46275.114583333336</x:v>
      </x:c>
      <x:c r="AG231" s="18" t="str">
        <x:v>retained_terminal</x:v>
      </x:c>
      <x:c r="AH231" s="18" t="str">
        <x:v>READY</x:v>
      </x:c>
    </x:row>
    <x:row r="232">
      <x:c r="A232" s="18" t="str">
        <x:v>NYT-47-c433b52eff196854</x:v>
      </x:c>
      <x:c r="B232" s="18" t="str">
        <x:v>NCLT / NCLAT (Insolvency) source coverage</x:v>
      </x:c>
      <x:c r="C232" s="18" t="str">
        <x:v>2026-07-15</x:v>
      </x:c>
      <x:c r="D232" s="18" t="n">
        <x:v>2026</x:v>
      </x:c>
      <x:c r="E232" s="18" t="str">
        <x:v>2026-07</x:v>
      </x:c>
      <x:c r="F232" s="18" t="str"/>
      <x:c r="G232" s="18" t="str">
        <x:v>Public Announcement of Corporate Insolvency Resolution Process</x:v>
      </x:c>
      <x:c r="H232" s="18" t="str"/>
      <x:c r="I232" s="18" t="str"/>
      <x:c r="J232" s="20" t="str"/>
      <x:c r="K232" s="18" t="str"/>
      <x:c r="L232" s="18" t="str"/>
      <x:c r="M232" s="18" t="str">
        <x:v>2026-07-15</x:v>
      </x:c>
      <x:c r="N232" s="18" t="str"/>
      <x:c r="O232" s="18" t="str">
        <x:v>ibbi_1hjzkjj</x:v>
      </x:c>
      <x:c r="P232" s="18" t="str">
        <x:v>Athena Constructions Limited</x:v>
      </x:c>
      <x:c r="Q232" s="18" t="str">
        <x:v>PARORCH DEVELOPERS LLP</x:v>
      </x:c>
      <x:c r="R232" s="18" t="str">
        <x:v>Mr. Ritesh R Mahajan</x:v>
      </x:c>
      <x:c r="S232" s="18" t="str">
        <x:v>2026-07-29</x:v>
      </x:c>
      <x:c r="T232" s="18" t="str">
        <x:v>Public Announcement of Corporate Insolvency Resolution Process</x:v>
      </x:c>
      <x:c r="U232" s="18" t="str"/>
      <x:c r="V232" s="18" t="str">
        <x:v>DEFINED_TERMINAL_OR_FEED_SCOPE</x:v>
      </x:c>
      <x:c r="W232" s="18" t="str">
        <x:v>national_ibbi_announcements.json — published records loaded</x:v>
      </x:c>
      <x:c r="X232" s="18" t="str"/>
      <x:c r="Y232" s="18" t="str"/>
      <x:c r="Z232" s="20" t="n">
        <x:v>434</x:v>
      </x:c>
      <x:c r="AA232" s="19" t="n">
        <x:f>IFERROR(TODAY()-DATEVALUE(C232),"")</x:f>
        <x:v>57</x:v>
      </x:c>
      <x:c r="AB232" s="21" t="n">
        <x:f>ROUND(COUNTA(A232:K232)/11*100,0)</x:f>
        <x:v>100</x:v>
      </x:c>
      <x:c r="AC232" s="18" t="str">
        <x:v>National Company Law Tribunal</x:v>
      </x:c>
      <x:c r="AD232" s="22" t="str">
        <x:v>https://ibbi.gov.in/uploads/announcement/327c43fbdf6c726853c68db0c7d9cda5.pdf</x:v>
      </x:c>
      <x:c r="AE232" s="18" t="str">
        <x:v>2026-07-15</x:v>
      </x:c>
      <x:c r="AF232" s="18" t="n">
        <x:v>46275.114583333336</x:v>
      </x:c>
      <x:c r="AG232" s="18" t="str">
        <x:v>retained_terminal</x:v>
      </x:c>
      <x:c r="AH232" s="18" t="str">
        <x:v>READY</x:v>
      </x:c>
    </x:row>
    <x:row r="233">
      <x:c r="A233" s="18" t="str">
        <x:v>NYT-47-5b077fa11af86d5a</x:v>
      </x:c>
      <x:c r="B233" s="18" t="str">
        <x:v>NCLT / NCLAT (Insolvency) source coverage</x:v>
      </x:c>
      <x:c r="C233" s="18" t="str">
        <x:v>2026-07-15</x:v>
      </x:c>
      <x:c r="D233" s="18" t="n">
        <x:v>2026</x:v>
      </x:c>
      <x:c r="E233" s="18" t="str">
        <x:v>2026-07</x:v>
      </x:c>
      <x:c r="F233" s="18" t="str"/>
      <x:c r="G233" s="18" t="str">
        <x:v>Public Announcement of Corporate Insolvency Resolution Process</x:v>
      </x:c>
      <x:c r="H233" s="18" t="str"/>
      <x:c r="I233" s="18" t="str"/>
      <x:c r="J233" s="20" t="str"/>
      <x:c r="K233" s="18" t="str"/>
      <x:c r="L233" s="18" t="str"/>
      <x:c r="M233" s="18" t="str">
        <x:v>2026-07-15</x:v>
      </x:c>
      <x:c r="N233" s="18" t="str"/>
      <x:c r="O233" s="18" t="str">
        <x:v>ibbi_bartqb</x:v>
      </x:c>
      <x:c r="P233" s="18" t="str">
        <x:v>RAJESHWARI IRON &amp; STEEL CO. PVT. LTD.</x:v>
      </x:c>
      <x:c r="Q233" s="18" t="str">
        <x:v>SHREE RADHA KRISHNA VINIMAY PRIVATE LIMITED</x:v>
      </x:c>
      <x:c r="R233" s="18" t="str">
        <x:v>Umesh kumar</x:v>
      </x:c>
      <x:c r="S233" s="18" t="str">
        <x:v>2026-07-27</x:v>
      </x:c>
      <x:c r="T233" s="18" t="str">
        <x:v>Public Announcement of Corporate Insolvency Resolution Process</x:v>
      </x:c>
      <x:c r="U233" s="18" t="str"/>
      <x:c r="V233" s="18" t="str">
        <x:v>DEFINED_TERMINAL_OR_FEED_SCOPE</x:v>
      </x:c>
      <x:c r="W233" s="18" t="str">
        <x:v>national_ibbi_announcements.json — published records loaded</x:v>
      </x:c>
      <x:c r="X233" s="18" t="str"/>
      <x:c r="Y233" s="18" t="str"/>
      <x:c r="Z233" s="20" t="n">
        <x:v>434</x:v>
      </x:c>
      <x:c r="AA233" s="19" t="n">
        <x:f>IFERROR(TODAY()-DATEVALUE(C233),"")</x:f>
        <x:v>57</x:v>
      </x:c>
      <x:c r="AB233" s="21" t="n">
        <x:f>ROUND(COUNTA(A233:K233)/11*100,0)</x:f>
        <x:v>100</x:v>
      </x:c>
      <x:c r="AC233" s="18" t="str">
        <x:v>National Company Law Tribunal</x:v>
      </x:c>
      <x:c r="AD233" s="22" t="str">
        <x:v>https://ibbi.gov.in/uploads/announcement/6ffd301efb50edcaac3e2bb9ebd91aad.jpeg</x:v>
      </x:c>
      <x:c r="AE233" s="18" t="str">
        <x:v>2026-07-15</x:v>
      </x:c>
      <x:c r="AF233" s="18" t="n">
        <x:v>46275.114583333336</x:v>
      </x:c>
      <x:c r="AG233" s="18" t="str">
        <x:v>retained_terminal</x:v>
      </x:c>
      <x:c r="AH233" s="18" t="str">
        <x:v>READY</x:v>
      </x:c>
    </x:row>
    <x:row r="234">
      <x:c r="A234" s="18" t="str">
        <x:v>NYT-47-1a1950097b0d60cc</x:v>
      </x:c>
      <x:c r="B234" s="18" t="str">
        <x:v>NCLT / NCLAT (Insolvency) source coverage</x:v>
      </x:c>
      <x:c r="C234" s="18" t="str">
        <x:v>2026-07-15</x:v>
      </x:c>
      <x:c r="D234" s="18" t="n">
        <x:v>2026</x:v>
      </x:c>
      <x:c r="E234" s="18" t="str">
        <x:v>2026-07</x:v>
      </x:c>
      <x:c r="F234" s="18" t="str"/>
      <x:c r="G234" s="18" t="str">
        <x:v>Public Announcement of Corporate Insolvency Resolution Process</x:v>
      </x:c>
      <x:c r="H234" s="18" t="str"/>
      <x:c r="I234" s="18" t="str"/>
      <x:c r="J234" s="20" t="str"/>
      <x:c r="K234" s="18" t="str"/>
      <x:c r="L234" s="18" t="str"/>
      <x:c r="M234" s="18" t="str">
        <x:v>2026-07-15</x:v>
      </x:c>
      <x:c r="N234" s="18" t="str"/>
      <x:c r="O234" s="18" t="str">
        <x:v>ibbi_1swiwi1</x:v>
      </x:c>
      <x:c r="P234" s="18" t="str">
        <x:v>SECUREVALUE INDIA LIMITED</x:v>
      </x:c>
      <x:c r="Q234" s="18" t="str">
        <x:v>SECUREVALUE INDIA LIMITED</x:v>
      </x:c>
      <x:c r="R234" s="18" t="str">
        <x:v>Mr. Brijendra Kumar Mishra</x:v>
      </x:c>
      <x:c r="S234" s="18" t="str">
        <x:v>2026-07-27</x:v>
      </x:c>
      <x:c r="T234" s="18" t="str">
        <x:v>Public Announcement of Corporate Insolvency Resolution Process</x:v>
      </x:c>
      <x:c r="U234" s="18" t="str"/>
      <x:c r="V234" s="18" t="str">
        <x:v>DEFINED_TERMINAL_OR_FEED_SCOPE</x:v>
      </x:c>
      <x:c r="W234" s="18" t="str">
        <x:v>national_ibbi_announcements.json — published records loaded</x:v>
      </x:c>
      <x:c r="X234" s="18" t="str"/>
      <x:c r="Y234" s="18" t="str"/>
      <x:c r="Z234" s="20" t="n">
        <x:v>434</x:v>
      </x:c>
      <x:c r="AA234" s="19" t="n">
        <x:f>IFERROR(TODAY()-DATEVALUE(C234),"")</x:f>
        <x:v>57</x:v>
      </x:c>
      <x:c r="AB234" s="21" t="n">
        <x:f>ROUND(COUNTA(A234:K234)/11*100,0)</x:f>
        <x:v>100</x:v>
      </x:c>
      <x:c r="AC234" s="18" t="str">
        <x:v>National Company Law Tribunal</x:v>
      </x:c>
      <x:c r="AD234" s="22" t="str">
        <x:v>https://ibbi.gov.in/uploads/announcement/f0390fe71bed7d88506fd3291202126a.pdf</x:v>
      </x:c>
      <x:c r="AE234" s="18" t="str">
        <x:v>2026-07-15</x:v>
      </x:c>
      <x:c r="AF234" s="18" t="n">
        <x:v>46275.114583333336</x:v>
      </x:c>
      <x:c r="AG234" s="18" t="str">
        <x:v>retained_terminal</x:v>
      </x:c>
      <x:c r="AH234" s="18" t="str">
        <x:v>READY</x:v>
      </x:c>
    </x:row>
    <x:row r="235">
      <x:c r="A235" s="18" t="str">
        <x:v>NYT-47-5c7260e1a0ad9c09</x:v>
      </x:c>
      <x:c r="B235" s="18" t="str">
        <x:v>NCLT / NCLAT (Insolvency) source coverage</x:v>
      </x:c>
      <x:c r="C235" s="18" t="str">
        <x:v>2026-07-15</x:v>
      </x:c>
      <x:c r="D235" s="18" t="n">
        <x:v>2026</x:v>
      </x:c>
      <x:c r="E235" s="18" t="str">
        <x:v>2026-07</x:v>
      </x:c>
      <x:c r="F235" s="18" t="str"/>
      <x:c r="G235" s="18" t="str">
        <x:v>Public Announcement of Liquidation Process</x:v>
      </x:c>
      <x:c r="H235" s="18" t="str"/>
      <x:c r="I235" s="18" t="str"/>
      <x:c r="J235" s="20" t="str"/>
      <x:c r="K235" s="18" t="str"/>
      <x:c r="L235" s="18" t="str"/>
      <x:c r="M235" s="18" t="str">
        <x:v>2026-07-15</x:v>
      </x:c>
      <x:c r="N235" s="18" t="str"/>
      <x:c r="O235" s="18" t="str">
        <x:v>ibbi_l6z239</x:v>
      </x:c>
      <x:c r="P235" s="18" t="str">
        <x:v>Siddhesh Bhalchandra Naik</x:v>
      </x:c>
      <x:c r="Q235" s="18" t="str">
        <x:v>RAO EDUSOLUTIONS PRIVATE LIMITED</x:v>
      </x:c>
      <x:c r="R235" s="18" t="str">
        <x:v>bharati manoj daga</x:v>
      </x:c>
      <x:c r="S235" s="18" t="str">
        <x:v>2026-07-27</x:v>
      </x:c>
      <x:c r="T235" s="18" t="str">
        <x:v>Public Announcement of Liquidation Process</x:v>
      </x:c>
      <x:c r="U235" s="18" t="str"/>
      <x:c r="V235" s="18" t="str">
        <x:v>DEFINED_TERMINAL_OR_FEED_SCOPE</x:v>
      </x:c>
      <x:c r="W235" s="18" t="str">
        <x:v>national_ibbi_announcements.json — published records loaded</x:v>
      </x:c>
      <x:c r="X235" s="18" t="str"/>
      <x:c r="Y235" s="18" t="str"/>
      <x:c r="Z235" s="20" t="n">
        <x:v>434</x:v>
      </x:c>
      <x:c r="AA235" s="19" t="n">
        <x:f>IFERROR(TODAY()-DATEVALUE(C235),"")</x:f>
        <x:v>57</x:v>
      </x:c>
      <x:c r="AB235" s="21" t="n">
        <x:f>ROUND(COUNTA(A235:K235)/11*100,0)</x:f>
        <x:v>100</x:v>
      </x:c>
      <x:c r="AC235" s="18" t="str">
        <x:v>National Company Law Tribunal</x:v>
      </x:c>
      <x:c r="AD235" s="22" t="str">
        <x:v>https://ibbi.gov.in/uploads/announcement/036e7acd545d5b6537721f9bac397073.pdf</x:v>
      </x:c>
      <x:c r="AE235" s="18" t="str">
        <x:v>2026-07-15</x:v>
      </x:c>
      <x:c r="AF235" s="18" t="n">
        <x:v>46275.114583333336</x:v>
      </x:c>
      <x:c r="AG235" s="18" t="str">
        <x:v>retained_terminal</x:v>
      </x:c>
      <x:c r="AH235" s="18" t="str">
        <x:v>READY</x:v>
      </x:c>
    </x:row>
    <x:row r="236">
      <x:c r="A236" s="18" t="str">
        <x:v>NYT-47-dbc3c4ef2a268c7a</x:v>
      </x:c>
      <x:c r="B236" s="18" t="str">
        <x:v>NCLT / NCLAT (Insolvency) source coverage</x:v>
      </x:c>
      <x:c r="C236" s="18" t="str">
        <x:v>2026-07-12</x:v>
      </x:c>
      <x:c r="D236" s="18" t="n">
        <x:v>2026</x:v>
      </x:c>
      <x:c r="E236" s="18" t="str">
        <x:v>2026-07</x:v>
      </x:c>
      <x:c r="F236" s="18" t="str"/>
      <x:c r="G236" s="18" t="str">
        <x:v>Public Announcement of Corporate Insolvency Resolution Process</x:v>
      </x:c>
      <x:c r="H236" s="18" t="str"/>
      <x:c r="I236" s="18" t="str"/>
      <x:c r="J236" s="20" t="str"/>
      <x:c r="K236" s="18" t="str"/>
      <x:c r="L236" s="18" t="str"/>
      <x:c r="M236" s="18" t="str">
        <x:v>2026-07-12</x:v>
      </x:c>
      <x:c r="N236" s="18" t="str"/>
      <x:c r="O236" s="18" t="str">
        <x:v>ibbi_8ifakm</x:v>
      </x:c>
      <x:c r="P236" s="18" t="str">
        <x:v>Jeevan Jyoti Vanijya Limited</x:v>
      </x:c>
      <x:c r="Q236" s="18" t="str">
        <x:v>SUNSTAR REALTY DEVELOPMENT LIMITED</x:v>
      </x:c>
      <x:c r="R236" s="18" t="str">
        <x:v>Mr. Vinod Kumar Chaurasia</x:v>
      </x:c>
      <x:c r="S236" s="18" t="str">
        <x:v>2026-07-24</x:v>
      </x:c>
      <x:c r="T236" s="18" t="str">
        <x:v>Public Announcement of Corporate Insolvency Resolution Process</x:v>
      </x:c>
      <x:c r="U236" s="18" t="str"/>
      <x:c r="V236" s="18" t="str">
        <x:v>DEFINED_TERMINAL_OR_FEED_SCOPE</x:v>
      </x:c>
      <x:c r="W236" s="18" t="str">
        <x:v>national_ibbi_announcements.json — published records loaded</x:v>
      </x:c>
      <x:c r="X236" s="18" t="str"/>
      <x:c r="Y236" s="18" t="str"/>
      <x:c r="Z236" s="20" t="n">
        <x:v>434</x:v>
      </x:c>
      <x:c r="AA236" s="19" t="n">
        <x:f>IFERROR(TODAY()-DATEVALUE(C236),"")</x:f>
        <x:v>60</x:v>
      </x:c>
      <x:c r="AB236" s="21" t="n">
        <x:f>ROUND(COUNTA(A236:K236)/11*100,0)</x:f>
        <x:v>100</x:v>
      </x:c>
      <x:c r="AC236" s="18" t="str">
        <x:v>National Company Law Tribunal</x:v>
      </x:c>
      <x:c r="AD236" s="22" t="str">
        <x:v>https://ibbi.gov.in/uploads/announcement/9b8c249ebc8adedf296c5fa55231c3f5.pdf</x:v>
      </x:c>
      <x:c r="AE236" s="18" t="str">
        <x:v>2026-07-12</x:v>
      </x:c>
      <x:c r="AF236" s="18" t="n">
        <x:v>46275.114583333336</x:v>
      </x:c>
      <x:c r="AG236" s="18" t="str">
        <x:v>retained_terminal</x:v>
      </x:c>
      <x:c r="AH236" s="18" t="str">
        <x:v>READY</x:v>
      </x:c>
    </x:row>
    <x:row r="237">
      <x:c r="A237" s="18" t="str">
        <x:v>NYT-47-c15f846ea57c91ef</x:v>
      </x:c>
      <x:c r="B237" s="18" t="str">
        <x:v>NCLT / NCLAT (Insolvency) source coverage</x:v>
      </x:c>
      <x:c r="C237" s="18" t="str">
        <x:v>2026-07-12</x:v>
      </x:c>
      <x:c r="D237" s="18" t="n">
        <x:v>2026</x:v>
      </x:c>
      <x:c r="E237" s="18" t="str">
        <x:v>2026-07</x:v>
      </x:c>
      <x:c r="F237" s="18" t="str"/>
      <x:c r="G237" s="18" t="str">
        <x:v>Public Announcement of Corporate Insolvency Resolution Process</x:v>
      </x:c>
      <x:c r="H237" s="18" t="str"/>
      <x:c r="I237" s="18" t="str"/>
      <x:c r="J237" s="20" t="str"/>
      <x:c r="K237" s="18" t="str"/>
      <x:c r="L237" s="18" t="str"/>
      <x:c r="M237" s="18" t="str">
        <x:v>2026-07-12</x:v>
      </x:c>
      <x:c r="N237" s="18" t="str"/>
      <x:c r="O237" s="18" t="str">
        <x:v>ibbi_l9fsdu</x:v>
      </x:c>
      <x:c r="P237" s="18" t="str">
        <x:v>UNITY SMALL FINANCE BANK LTD.</x:v>
      </x:c>
      <x:c r="Q237" s="18" t="str">
        <x:v>BRIGHT WESTECH SOLUTION PRIVATE LIMITED</x:v>
      </x:c>
      <x:c r="R237" s="18" t="str">
        <x:v>Mr. Sapan Mohan Garg</x:v>
      </x:c>
      <x:c r="S237" s="18" t="str">
        <x:v>2026-07-24</x:v>
      </x:c>
      <x:c r="T237" s="18" t="str">
        <x:v>Public Announcement of Corporate Insolvency Resolution Process</x:v>
      </x:c>
      <x:c r="U237" s="18" t="str"/>
      <x:c r="V237" s="18" t="str">
        <x:v>DEFINED_TERMINAL_OR_FEED_SCOPE</x:v>
      </x:c>
      <x:c r="W237" s="18" t="str">
        <x:v>national_ibbi_announcements.json — published records loaded</x:v>
      </x:c>
      <x:c r="X237" s="18" t="str"/>
      <x:c r="Y237" s="18" t="str"/>
      <x:c r="Z237" s="20" t="n">
        <x:v>434</x:v>
      </x:c>
      <x:c r="AA237" s="19" t="n">
        <x:f>IFERROR(TODAY()-DATEVALUE(C237),"")</x:f>
        <x:v>60</x:v>
      </x:c>
      <x:c r="AB237" s="21" t="n">
        <x:f>ROUND(COUNTA(A237:K237)/11*100,0)</x:f>
        <x:v>100</x:v>
      </x:c>
      <x:c r="AC237" s="18" t="str">
        <x:v>National Company Law Tribunal</x:v>
      </x:c>
      <x:c r="AD237" s="22" t="str">
        <x:v>https://ibbi.gov.in/uploads/announcement/2026-07-13-181850-uglj4-bef86e1aa2c2ba6b73d3a481f88c6c4e.pdf</x:v>
      </x:c>
      <x:c r="AE237" s="18" t="str">
        <x:v>2026-07-12</x:v>
      </x:c>
      <x:c r="AF237" s="18" t="n">
        <x:v>46275.114583333336</x:v>
      </x:c>
      <x:c r="AG237" s="18" t="str">
        <x:v>retained_terminal</x:v>
      </x:c>
      <x:c r="AH237" s="18" t="str">
        <x:v>READY</x:v>
      </x:c>
    </x:row>
    <x:row r="238">
      <x:c r="A238" s="18" t="str">
        <x:v>NYT-47-5de8cc740cfce40b</x:v>
      </x:c>
      <x:c r="B238" s="18" t="str">
        <x:v>NCLT / NCLAT (Insolvency) source coverage</x:v>
      </x:c>
      <x:c r="C238" s="18" t="str">
        <x:v>2026-07-11</x:v>
      </x:c>
      <x:c r="D238" s="18" t="n">
        <x:v>2026</x:v>
      </x:c>
      <x:c r="E238" s="18" t="str">
        <x:v>2026-07</x:v>
      </x:c>
      <x:c r="F238" s="18" t="str"/>
      <x:c r="G238" s="18" t="str">
        <x:v>Public Announcement of Corporate Insolvency Resolution Process</x:v>
      </x:c>
      <x:c r="H238" s="18" t="str"/>
      <x:c r="I238" s="18" t="str"/>
      <x:c r="J238" s="20" t="str"/>
      <x:c r="K238" s="18" t="str"/>
      <x:c r="L238" s="18" t="str"/>
      <x:c r="M238" s="18" t="str">
        <x:v>2026-07-11</x:v>
      </x:c>
      <x:c r="N238" s="18" t="str"/>
      <x:c r="O238" s="18" t="str">
        <x:v>ibbi_d44mbq</x:v>
      </x:c>
      <x:c r="P238" s="18" t="str">
        <x:v>Ram Chandran Traders Pvt Ltd</x:v>
      </x:c>
      <x:c r="Q238" s="18" t="str">
        <x:v>RAM CHANDRAN TRADERS PRIVATE LIMITED</x:v>
      </x:c>
      <x:c r="R238" s="18" t="str">
        <x:v>K.J.VINOD</x:v>
      </x:c>
      <x:c r="S238" s="18" t="str">
        <x:v>2026-07-24</x:v>
      </x:c>
      <x:c r="T238" s="18" t="str">
        <x:v>Public Announcement of Corporate Insolvency Resolution Process</x:v>
      </x:c>
      <x:c r="U238" s="18" t="str"/>
      <x:c r="V238" s="18" t="str">
        <x:v>DEFINED_TERMINAL_OR_FEED_SCOPE</x:v>
      </x:c>
      <x:c r="W238" s="18" t="str">
        <x:v>national_ibbi_announcements.json — published records loaded</x:v>
      </x:c>
      <x:c r="X238" s="18" t="str"/>
      <x:c r="Y238" s="18" t="str"/>
      <x:c r="Z238" s="20" t="n">
        <x:v>434</x:v>
      </x:c>
      <x:c r="AA238" s="19" t="n">
        <x:f>IFERROR(TODAY()-DATEVALUE(C238),"")</x:f>
        <x:v>61</x:v>
      </x:c>
      <x:c r="AB238" s="21" t="n">
        <x:f>ROUND(COUNTA(A238:K238)/11*100,0)</x:f>
        <x:v>100</x:v>
      </x:c>
      <x:c r="AC238" s="18" t="str">
        <x:v>National Company Law Tribunal</x:v>
      </x:c>
      <x:c r="AD238" s="22" t="str">
        <x:v>https://ibbi.gov.in/uploads/announcement/ff996e240f7bfe99169e327584d84b49.pdf</x:v>
      </x:c>
      <x:c r="AE238" s="18" t="str">
        <x:v>2026-07-11</x:v>
      </x:c>
      <x:c r="AF238" s="18" t="n">
        <x:v>46275.114583333336</x:v>
      </x:c>
      <x:c r="AG238" s="18" t="str">
        <x:v>retained_terminal</x:v>
      </x:c>
      <x:c r="AH238" s="18" t="str">
        <x:v>READY</x:v>
      </x:c>
    </x:row>
    <x:row r="239">
      <x:c r="A239" s="18" t="str">
        <x:v>NYT-47-54c73d3ac9113cc6</x:v>
      </x:c>
      <x:c r="B239" s="18" t="str">
        <x:v>NCLT / NCLAT (Insolvency) source coverage</x:v>
      </x:c>
      <x:c r="C239" s="18" t="str">
        <x:v>2026-07-11</x:v>
      </x:c>
      <x:c r="D239" s="18" t="n">
        <x:v>2026</x:v>
      </x:c>
      <x:c r="E239" s="18" t="str">
        <x:v>2026-07</x:v>
      </x:c>
      <x:c r="F239" s="18" t="str"/>
      <x:c r="G239" s="18" t="str">
        <x:v>Public Announcement of Corporate Insolvency Resolution Process</x:v>
      </x:c>
      <x:c r="H239" s="18" t="str"/>
      <x:c r="I239" s="18" t="str"/>
      <x:c r="J239" s="20" t="str"/>
      <x:c r="K239" s="18" t="str"/>
      <x:c r="L239" s="18" t="str"/>
      <x:c r="M239" s="18" t="str">
        <x:v>2026-07-11</x:v>
      </x:c>
      <x:c r="N239" s="18" t="str"/>
      <x:c r="O239" s="18" t="str">
        <x:v>ibbi_37ztje</x:v>
      </x:c>
      <x:c r="P239" s="18" t="str">
        <x:v>Indian Overseas Bank</x:v>
      </x:c>
      <x:c r="Q239" s="18" t="str">
        <x:v>Mhow Ghatabill Toll Roads Private Limited</x:v>
      </x:c>
      <x:c r="R239" s="18" t="str">
        <x:v>Akhil Ahuja</x:v>
      </x:c>
      <x:c r="S239" s="18" t="str">
        <x:v>2026-07-23</x:v>
      </x:c>
      <x:c r="T239" s="18" t="str">
        <x:v>Public Announcement of Corporate Insolvency Resolution Process</x:v>
      </x:c>
      <x:c r="U239" s="18" t="str"/>
      <x:c r="V239" s="18" t="str">
        <x:v>DEFINED_TERMINAL_OR_FEED_SCOPE</x:v>
      </x:c>
      <x:c r="W239" s="18" t="str">
        <x:v>national_ibbi_announcements.json — published records loaded</x:v>
      </x:c>
      <x:c r="X239" s="18" t="str"/>
      <x:c r="Y239" s="18" t="str"/>
      <x:c r="Z239" s="20" t="n">
        <x:v>434</x:v>
      </x:c>
      <x:c r="AA239" s="19" t="n">
        <x:f>IFERROR(TODAY()-DATEVALUE(C239),"")</x:f>
        <x:v>61</x:v>
      </x:c>
      <x:c r="AB239" s="21" t="n">
        <x:f>ROUND(COUNTA(A239:K239)/11*100,0)</x:f>
        <x:v>100</x:v>
      </x:c>
      <x:c r="AC239" s="18" t="str">
        <x:v>National Company Law Tribunal</x:v>
      </x:c>
      <x:c r="AD239" s="22" t="str">
        <x:v>https://ibbi.gov.in/uploads/announcement/0905bbb89f626081c2918d0368afe0fd.pdf</x:v>
      </x:c>
      <x:c r="AE239" s="18" t="str">
        <x:v>2026-07-11</x:v>
      </x:c>
      <x:c r="AF239" s="18" t="n">
        <x:v>46275.114583333336</x:v>
      </x:c>
      <x:c r="AG239" s="18" t="str">
        <x:v>retained_terminal</x:v>
      </x:c>
      <x:c r="AH239" s="18" t="str">
        <x:v>READY</x:v>
      </x:c>
    </x:row>
    <x:row r="240">
      <x:c r="A240" s="18" t="str">
        <x:v>NYT-47-f3da3fd53b4aff9a</x:v>
      </x:c>
      <x:c r="B240" s="18" t="str">
        <x:v>NCLT / NCLAT (Insolvency) source coverage</x:v>
      </x:c>
      <x:c r="C240" s="18" t="str">
        <x:v>2026-07-11</x:v>
      </x:c>
      <x:c r="D240" s="18" t="n">
        <x:v>2026</x:v>
      </x:c>
      <x:c r="E240" s="18" t="str">
        <x:v>2026-07</x:v>
      </x:c>
      <x:c r="F240" s="18" t="str"/>
      <x:c r="G240" s="18" t="str">
        <x:v>Public Announcement of Corporate Insolvency Resolution Process</x:v>
      </x:c>
      <x:c r="H240" s="18" t="str"/>
      <x:c r="I240" s="18" t="str"/>
      <x:c r="J240" s="20" t="str"/>
      <x:c r="K240" s="18" t="str"/>
      <x:c r="L240" s="18" t="str"/>
      <x:c r="M240" s="18" t="str">
        <x:v>2026-07-11</x:v>
      </x:c>
      <x:c r="N240" s="18" t="str"/>
      <x:c r="O240" s="18" t="str">
        <x:v>ibbi_1q7iwq0</x:v>
      </x:c>
      <x:c r="P240" s="18" t="str">
        <x:v>NARINDRA &amp; NARINDRA STEEL CORPORATION</x:v>
      </x:c>
      <x:c r="Q240" s="18" t="str">
        <x:v>SWADESH GREEN INFRA LIMITED</x:v>
      </x:c>
      <x:c r="R240" s="18" t="str">
        <x:v>Niraj Kumar</x:v>
      </x:c>
      <x:c r="S240" s="18" t="str">
        <x:v>2026-07-22</x:v>
      </x:c>
      <x:c r="T240" s="18" t="str">
        <x:v>Public Announcement of Corporate Insolvency Resolution Process</x:v>
      </x:c>
      <x:c r="U240" s="18" t="str"/>
      <x:c r="V240" s="18" t="str">
        <x:v>DEFINED_TERMINAL_OR_FEED_SCOPE</x:v>
      </x:c>
      <x:c r="W240" s="18" t="str">
        <x:v>national_ibbi_announcements.json — published records loaded</x:v>
      </x:c>
      <x:c r="X240" s="18" t="str"/>
      <x:c r="Y240" s="18" t="str"/>
      <x:c r="Z240" s="20" t="n">
        <x:v>434</x:v>
      </x:c>
      <x:c r="AA240" s="19" t="n">
        <x:f>IFERROR(TODAY()-DATEVALUE(C240),"")</x:f>
        <x:v>61</x:v>
      </x:c>
      <x:c r="AB240" s="21" t="n">
        <x:f>ROUND(COUNTA(A240:K240)/11*100,0)</x:f>
        <x:v>100</x:v>
      </x:c>
      <x:c r="AC240" s="18" t="str">
        <x:v>National Company Law Tribunal</x:v>
      </x:c>
      <x:c r="AD240" s="22" t="str">
        <x:v>https://ibbi.gov.in/uploads/announcement/29d8660e03df150c96024f9b436d3dff.pdf</x:v>
      </x:c>
      <x:c r="AE240" s="18" t="str">
        <x:v>2026-07-11</x:v>
      </x:c>
      <x:c r="AF240" s="18" t="n">
        <x:v>46275.114583333336</x:v>
      </x:c>
      <x:c r="AG240" s="18" t="str">
        <x:v>retained_terminal</x:v>
      </x:c>
      <x:c r="AH240" s="18" t="str">
        <x:v>READY</x:v>
      </x:c>
    </x:row>
    <x:row r="241">
      <x:c r="A241" s="18" t="str">
        <x:v>NYT-47-4e003fd7e06dbefe</x:v>
      </x:c>
      <x:c r="B241" s="18" t="str">
        <x:v>NCLT / NCLAT (Insolvency) source coverage</x:v>
      </x:c>
      <x:c r="C241" s="18" t="str">
        <x:v>2026-07-11</x:v>
      </x:c>
      <x:c r="D241" s="18" t="n">
        <x:v>2026</x:v>
      </x:c>
      <x:c r="E241" s="18" t="str">
        <x:v>2026-07</x:v>
      </x:c>
      <x:c r="F241" s="18" t="str"/>
      <x:c r="G241" s="18" t="str">
        <x:v>Public Announcement of Corporate Insolvency Resolution Process</x:v>
      </x:c>
      <x:c r="H241" s="18" t="str"/>
      <x:c r="I241" s="18" t="str"/>
      <x:c r="J241" s="20" t="str"/>
      <x:c r="K241" s="18" t="str"/>
      <x:c r="L241" s="18" t="str"/>
      <x:c r="M241" s="18" t="str">
        <x:v>2026-07-11</x:v>
      </x:c>
      <x:c r="N241" s="18" t="str"/>
      <x:c r="O241" s="18" t="str">
        <x:v>ibbi_1m6f6h</x:v>
      </x:c>
      <x:c r="P241" s="18" t="str">
        <x:v>SREI EQUIPMENT FINANCE LIMITED</x:v>
      </x:c>
      <x:c r="Q241" s="18" t="str">
        <x:v>FNM PROPERTY SERVICES PRIVATE LIMITED</x:v>
      </x:c>
      <x:c r="R241" s="18" t="str">
        <x:v>Mr. Manish Agarwal</x:v>
      </x:c>
      <x:c r="S241" s="18" t="str">
        <x:v>2026-07-22</x:v>
      </x:c>
      <x:c r="T241" s="18" t="str">
        <x:v>Public Announcement of Corporate Insolvency Resolution Process</x:v>
      </x:c>
      <x:c r="U241" s="18" t="str"/>
      <x:c r="V241" s="18" t="str">
        <x:v>DEFINED_TERMINAL_OR_FEED_SCOPE</x:v>
      </x:c>
      <x:c r="W241" s="18" t="str">
        <x:v>national_ibbi_announcements.json — published records loaded</x:v>
      </x:c>
      <x:c r="X241" s="18" t="str"/>
      <x:c r="Y241" s="18" t="str"/>
      <x:c r="Z241" s="20" t="n">
        <x:v>434</x:v>
      </x:c>
      <x:c r="AA241" s="19" t="n">
        <x:f>IFERROR(TODAY()-DATEVALUE(C241),"")</x:f>
        <x:v>61</x:v>
      </x:c>
      <x:c r="AB241" s="21" t="n">
        <x:f>ROUND(COUNTA(A241:K241)/11*100,0)</x:f>
        <x:v>100</x:v>
      </x:c>
      <x:c r="AC241" s="18" t="str">
        <x:v>National Company Law Tribunal</x:v>
      </x:c>
      <x:c r="AD241" s="22" t="str">
        <x:v>https://ibbi.gov.in/uploads/announcement/a8e3bf5f30da4bdbc22c54fe215b9fca.pdf</x:v>
      </x:c>
      <x:c r="AE241" s="18" t="str">
        <x:v>2026-07-11</x:v>
      </x:c>
      <x:c r="AF241" s="18" t="n">
        <x:v>46275.114583333336</x:v>
      </x:c>
      <x:c r="AG241" s="18" t="str">
        <x:v>retained_terminal</x:v>
      </x:c>
      <x:c r="AH241" s="18" t="str">
        <x:v>READY</x:v>
      </x:c>
    </x:row>
    <x:row r="242">
      <x:c r="A242" s="18" t="str">
        <x:v>NYT-47-fdf94d9f97803e50</x:v>
      </x:c>
      <x:c r="B242" s="18" t="str">
        <x:v>NCLT / NCLAT (Insolvency) source coverage</x:v>
      </x:c>
      <x:c r="C242" s="18" t="str">
        <x:v>2026-07-11</x:v>
      </x:c>
      <x:c r="D242" s="18" t="n">
        <x:v>2026</x:v>
      </x:c>
      <x:c r="E242" s="18" t="str">
        <x:v>2026-07</x:v>
      </x:c>
      <x:c r="F242" s="18" t="str"/>
      <x:c r="G242" s="18" t="str">
        <x:v>Public Announcement of Corporate Insolvency Resolution Process</x:v>
      </x:c>
      <x:c r="H242" s="18" t="str"/>
      <x:c r="I242" s="18" t="str"/>
      <x:c r="J242" s="20" t="str"/>
      <x:c r="K242" s="18" t="str"/>
      <x:c r="L242" s="18" t="str"/>
      <x:c r="M242" s="18" t="str">
        <x:v>2026-07-11</x:v>
      </x:c>
      <x:c r="N242" s="18" t="str"/>
      <x:c r="O242" s="18" t="str">
        <x:v>ibbi_tw25wo</x:v>
      </x:c>
      <x:c r="P242" s="18" t="str">
        <x:v>Resurgent India Special Situations Fund</x:v>
      </x:c>
      <x:c r="Q242" s="18" t="str">
        <x:v>Future Consumer Limited</x:v>
      </x:c>
      <x:c r="R242" s="18" t="str">
        <x:v>Mr. Avil Jerome Menezes</x:v>
      </x:c>
      <x:c r="S242" s="18" t="str">
        <x:v>2026-07-22</x:v>
      </x:c>
      <x:c r="T242" s="18" t="str">
        <x:v>Public Announcement of Corporate Insolvency Resolution Process</x:v>
      </x:c>
      <x:c r="U242" s="18" t="str"/>
      <x:c r="V242" s="18" t="str">
        <x:v>DEFINED_TERMINAL_OR_FEED_SCOPE</x:v>
      </x:c>
      <x:c r="W242" s="18" t="str">
        <x:v>national_ibbi_announcements.json — published records loaded</x:v>
      </x:c>
      <x:c r="X242" s="18" t="str"/>
      <x:c r="Y242" s="18" t="str"/>
      <x:c r="Z242" s="20" t="n">
        <x:v>434</x:v>
      </x:c>
      <x:c r="AA242" s="19" t="n">
        <x:f>IFERROR(TODAY()-DATEVALUE(C242),"")</x:f>
        <x:v>61</x:v>
      </x:c>
      <x:c r="AB242" s="21" t="n">
        <x:f>ROUND(COUNTA(A242:K242)/11*100,0)</x:f>
        <x:v>100</x:v>
      </x:c>
      <x:c r="AC242" s="18" t="str">
        <x:v>National Company Law Tribunal</x:v>
      </x:c>
      <x:c r="AD242" s="22" t="str">
        <x:v>https://ibbi.gov.in/uploads/announcement/9d7de9bc21b1883d378c1e501561d1e3.pdf</x:v>
      </x:c>
      <x:c r="AE242" s="18" t="str">
        <x:v>2026-07-11</x:v>
      </x:c>
      <x:c r="AF242" s="18" t="n">
        <x:v>46275.114583333336</x:v>
      </x:c>
      <x:c r="AG242" s="18" t="str">
        <x:v>retained_terminal</x:v>
      </x:c>
      <x:c r="AH242" s="18" t="str">
        <x:v>READY</x:v>
      </x:c>
    </x:row>
    <x:row r="243">
      <x:c r="A243" s="18" t="str">
        <x:v>NYT-47-622979f251011d7f</x:v>
      </x:c>
      <x:c r="B243" s="18" t="str">
        <x:v>NCLT / NCLAT (Insolvency) source coverage</x:v>
      </x:c>
      <x:c r="C243" s="18" t="str">
        <x:v>2026-07-11</x:v>
      </x:c>
      <x:c r="D243" s="18" t="n">
        <x:v>2026</x:v>
      </x:c>
      <x:c r="E243" s="18" t="str">
        <x:v>2026-07</x:v>
      </x:c>
      <x:c r="F243" s="18" t="str"/>
      <x:c r="G243" s="18" t="str">
        <x:v>Public Announcement of Corporate Insolvency Resolution Process</x:v>
      </x:c>
      <x:c r="H243" s="18" t="str"/>
      <x:c r="I243" s="18" t="str"/>
      <x:c r="J243" s="20" t="str"/>
      <x:c r="K243" s="18" t="str"/>
      <x:c r="L243" s="18" t="str"/>
      <x:c r="M243" s="18" t="str">
        <x:v>2026-07-11</x:v>
      </x:c>
      <x:c r="N243" s="18" t="str"/>
      <x:c r="O243" s="18" t="str">
        <x:v>ibbi_gxk1kk</x:v>
      </x:c>
      <x:c r="P243" s="18" t="str">
        <x:v>Anchor Mark Private Limited</x:v>
      </x:c>
      <x:c r="Q243" s="18" t="str">
        <x:v>JRN PHARMA AND LABORATORIES LLP</x:v>
      </x:c>
      <x:c r="R243" s="18" t="str">
        <x:v>Mr. Purshotam Gaggar</x:v>
      </x:c>
      <x:c r="S243" s="18" t="str">
        <x:v>2026-07-22</x:v>
      </x:c>
      <x:c r="T243" s="18" t="str">
        <x:v>Public Announcement of Corporate Insolvency Resolution Process</x:v>
      </x:c>
      <x:c r="U243" s="18" t="str"/>
      <x:c r="V243" s="18" t="str">
        <x:v>DEFINED_TERMINAL_OR_FEED_SCOPE</x:v>
      </x:c>
      <x:c r="W243" s="18" t="str">
        <x:v>national_ibbi_announcements.json — published records loaded</x:v>
      </x:c>
      <x:c r="X243" s="18" t="str"/>
      <x:c r="Y243" s="18" t="str"/>
      <x:c r="Z243" s="20" t="n">
        <x:v>434</x:v>
      </x:c>
      <x:c r="AA243" s="19" t="n">
        <x:f>IFERROR(TODAY()-DATEVALUE(C243),"")</x:f>
        <x:v>61</x:v>
      </x:c>
      <x:c r="AB243" s="21" t="n">
        <x:f>ROUND(COUNTA(A243:K243)/11*100,0)</x:f>
        <x:v>100</x:v>
      </x:c>
      <x:c r="AC243" s="18" t="str">
        <x:v>National Company Law Tribunal</x:v>
      </x:c>
      <x:c r="AD243" s="22" t="str">
        <x:v>https://ibbi.gov.in/uploads/announcement/2026-07-13-122913-q9k28-96e9d17d7d38ab75db0335e63861d283.pdf</x:v>
      </x:c>
      <x:c r="AE243" s="18" t="str">
        <x:v>2026-07-11</x:v>
      </x:c>
      <x:c r="AF243" s="18" t="n">
        <x:v>46275.114583333336</x:v>
      </x:c>
      <x:c r="AG243" s="18" t="str">
        <x:v>retained_terminal</x:v>
      </x:c>
      <x:c r="AH243" s="18" t="str">
        <x:v>READY</x:v>
      </x:c>
    </x:row>
    <x:row r="244">
      <x:c r="A244" s="18" t="str">
        <x:v>NYT-47-c220940b25a7c45f</x:v>
      </x:c>
      <x:c r="B244" s="18" t="str">
        <x:v>NCLT / NCLAT (Insolvency) source coverage</x:v>
      </x:c>
      <x:c r="C244" s="18" t="str">
        <x:v>2026-07-11</x:v>
      </x:c>
      <x:c r="D244" s="18" t="n">
        <x:v>2026</x:v>
      </x:c>
      <x:c r="E244" s="18" t="str">
        <x:v>2026-07</x:v>
      </x:c>
      <x:c r="F244" s="18" t="str"/>
      <x:c r="G244" s="18" t="str">
        <x:v>Public Announcement of Corporate Insolvency Resolution Process</x:v>
      </x:c>
      <x:c r="H244" s="18" t="str"/>
      <x:c r="I244" s="18" t="str"/>
      <x:c r="J244" s="20" t="str"/>
      <x:c r="K244" s="18" t="str"/>
      <x:c r="L244" s="18" t="str"/>
      <x:c r="M244" s="18" t="str">
        <x:v>2026-07-11</x:v>
      </x:c>
      <x:c r="N244" s="18" t="str"/>
      <x:c r="O244" s="18" t="str">
        <x:v>ibbi_ovithi</x:v>
      </x:c>
      <x:c r="P244" s="18" t="str">
        <x:v>Influx Agrotech Private Limited</x:v>
      </x:c>
      <x:c r="Q244" s="18" t="str">
        <x:v>INFLUX AGROTECH PRIVATE LIMITED</x:v>
      </x:c>
      <x:c r="R244" s="18" t="str">
        <x:v>Mr. Udaykumar Bhaskar Bhat</x:v>
      </x:c>
      <x:c r="S244" s="18" t="str">
        <x:v>2026-07-23</x:v>
      </x:c>
      <x:c r="T244" s="18" t="str">
        <x:v>Public Announcement of Corporate Insolvency Resolution Process</x:v>
      </x:c>
      <x:c r="U244" s="18" t="str"/>
      <x:c r="V244" s="18" t="str">
        <x:v>DEFINED_TERMINAL_OR_FEED_SCOPE</x:v>
      </x:c>
      <x:c r="W244" s="18" t="str">
        <x:v>national_ibbi_announcements.json — published records loaded</x:v>
      </x:c>
      <x:c r="X244" s="18" t="str"/>
      <x:c r="Y244" s="18" t="str"/>
      <x:c r="Z244" s="20" t="n">
        <x:v>434</x:v>
      </x:c>
      <x:c r="AA244" s="19" t="n">
        <x:f>IFERROR(TODAY()-DATEVALUE(C244),"")</x:f>
        <x:v>61</x:v>
      </x:c>
      <x:c r="AB244" s="21" t="n">
        <x:f>ROUND(COUNTA(A244:K244)/11*100,0)</x:f>
        <x:v>100</x:v>
      </x:c>
      <x:c r="AC244" s="18" t="str">
        <x:v>National Company Law Tribunal</x:v>
      </x:c>
      <x:c r="AD244" s="22" t="str">
        <x:v>https://ibbi.gov.in/uploads/announcement/2026-07-14-193939-snu9y-bfc2942a4e8cdc41dc94773c219b4035.pdf</x:v>
      </x:c>
      <x:c r="AE244" s="18" t="str">
        <x:v>2026-07-11</x:v>
      </x:c>
      <x:c r="AF244" s="18" t="n">
        <x:v>46275.114583333336</x:v>
      </x:c>
      <x:c r="AG244" s="18" t="str">
        <x:v>retained_terminal</x:v>
      </x:c>
      <x:c r="AH244" s="18" t="str">
        <x:v>READY</x:v>
      </x:c>
    </x:row>
    <x:row r="245">
      <x:c r="A245" s="18" t="str">
        <x:v>NYT-47-5577a531ed2106ef</x:v>
      </x:c>
      <x:c r="B245" s="18" t="str">
        <x:v>NCLT / NCLAT (Insolvency) source coverage</x:v>
      </x:c>
      <x:c r="C245" s="18" t="str">
        <x:v>2026-07-11</x:v>
      </x:c>
      <x:c r="D245" s="18" t="n">
        <x:v>2026</x:v>
      </x:c>
      <x:c r="E245" s="18" t="str">
        <x:v>2026-07</x:v>
      </x:c>
      <x:c r="F245" s="18" t="str"/>
      <x:c r="G245" s="18" t="str">
        <x:v>Public Announcement of Corporate Insolvency Resolution Process</x:v>
      </x:c>
      <x:c r="H245" s="18" t="str"/>
      <x:c r="I245" s="18" t="str"/>
      <x:c r="J245" s="20" t="str"/>
      <x:c r="K245" s="18" t="str"/>
      <x:c r="L245" s="18" t="str"/>
      <x:c r="M245" s="18" t="str">
        <x:v>2026-07-11</x:v>
      </x:c>
      <x:c r="N245" s="18" t="str"/>
      <x:c r="O245" s="18" t="str">
        <x:v>ibbi_19au28l</x:v>
      </x:c>
      <x:c r="P245" s="18" t="str">
        <x:v>NICIA FOOD AND DRINKS PRIVATE LIMITED</x:v>
      </x:c>
      <x:c r="Q245" s="18" t="str">
        <x:v>NICIA FOOD AND DRINKS PRIVATE LIMITED</x:v>
      </x:c>
      <x:c r="R245" s="18" t="str">
        <x:v>Mr. Shailendra Singh</x:v>
      </x:c>
      <x:c r="S245" s="18" t="str">
        <x:v>2026-07-24</x:v>
      </x:c>
      <x:c r="T245" s="18" t="str">
        <x:v>Public Announcement of Corporate Insolvency Resolution Process</x:v>
      </x:c>
      <x:c r="U245" s="18" t="str"/>
      <x:c r="V245" s="18" t="str">
        <x:v>DEFINED_TERMINAL_OR_FEED_SCOPE</x:v>
      </x:c>
      <x:c r="W245" s="18" t="str">
        <x:v>national_ibbi_announcements.json — published records loaded</x:v>
      </x:c>
      <x:c r="X245" s="18" t="str"/>
      <x:c r="Y245" s="18" t="str"/>
      <x:c r="Z245" s="20" t="n">
        <x:v>434</x:v>
      </x:c>
      <x:c r="AA245" s="19" t="n">
        <x:f>IFERROR(TODAY()-DATEVALUE(C245),"")</x:f>
        <x:v>61</x:v>
      </x:c>
      <x:c r="AB245" s="21" t="n">
        <x:f>ROUND(COUNTA(A245:K245)/11*100,0)</x:f>
        <x:v>100</x:v>
      </x:c>
      <x:c r="AC245" s="18" t="str">
        <x:v>National Company Law Tribunal</x:v>
      </x:c>
      <x:c r="AD245" s="22" t="str">
        <x:v>https://ibbi.gov.in/uploads/announcement/882033cc5186f936aba0e7b675411f96.pdf</x:v>
      </x:c>
      <x:c r="AE245" s="18" t="str">
        <x:v>2026-07-11</x:v>
      </x:c>
      <x:c r="AF245" s="18" t="n">
        <x:v>46275.114583333336</x:v>
      </x:c>
      <x:c r="AG245" s="18" t="str">
        <x:v>retained_terminal</x:v>
      </x:c>
      <x:c r="AH245" s="18" t="str">
        <x:v>READY</x:v>
      </x:c>
    </x:row>
    <x:row r="246">
      <x:c r="A246" s="18" t="str">
        <x:v>NYT-47-dde5aa12c99d8beb</x:v>
      </x:c>
      <x:c r="B246" s="18" t="str">
        <x:v>NCLT / NCLAT (Insolvency) source coverage</x:v>
      </x:c>
      <x:c r="C246" s="18" t="str">
        <x:v>2026-07-11</x:v>
      </x:c>
      <x:c r="D246" s="18" t="n">
        <x:v>2026</x:v>
      </x:c>
      <x:c r="E246" s="18" t="str">
        <x:v>2026-07</x:v>
      </x:c>
      <x:c r="F246" s="18" t="str"/>
      <x:c r="G246" s="18" t="str">
        <x:v>Public Announcement of Corporate Insolvency Resolution Process</x:v>
      </x:c>
      <x:c r="H246" s="18" t="str"/>
      <x:c r="I246" s="18" t="str"/>
      <x:c r="J246" s="20" t="str"/>
      <x:c r="K246" s="18" t="str"/>
      <x:c r="L246" s="18" t="str"/>
      <x:c r="M246" s="18" t="str">
        <x:v>2026-07-11</x:v>
      </x:c>
      <x:c r="N246" s="18" t="str"/>
      <x:c r="O246" s="18" t="str">
        <x:v>ibbi_u5f918</x:v>
      </x:c>
      <x:c r="P246" s="18" t="str">
        <x:v>DAON AUTO PARTS INDIA PRIVATE LIMITED</x:v>
      </x:c>
      <x:c r="Q246" s="18" t="str">
        <x:v>DAON AUTO PARTS INDIA PRIVATE LIMITED</x:v>
      </x:c>
      <x:c r="R246" s="18" t="str">
        <x:v>Sandeep Kothari</x:v>
      </x:c>
      <x:c r="S246" s="18" t="str">
        <x:v>2026-07-23</x:v>
      </x:c>
      <x:c r="T246" s="18" t="str">
        <x:v>Public Announcement of Corporate Insolvency Resolution Process</x:v>
      </x:c>
      <x:c r="U246" s="18" t="str"/>
      <x:c r="V246" s="18" t="str">
        <x:v>DEFINED_TERMINAL_OR_FEED_SCOPE</x:v>
      </x:c>
      <x:c r="W246" s="18" t="str">
        <x:v>national_ibbi_announcements.json — published records loaded</x:v>
      </x:c>
      <x:c r="X246" s="18" t="str"/>
      <x:c r="Y246" s="18" t="str"/>
      <x:c r="Z246" s="20" t="n">
        <x:v>434</x:v>
      </x:c>
      <x:c r="AA246" s="19" t="n">
        <x:f>IFERROR(TODAY()-DATEVALUE(C246),"")</x:f>
        <x:v>61</x:v>
      </x:c>
      <x:c r="AB246" s="21" t="n">
        <x:f>ROUND(COUNTA(A246:K246)/11*100,0)</x:f>
        <x:v>100</x:v>
      </x:c>
      <x:c r="AC246" s="18" t="str">
        <x:v>National Company Law Tribunal</x:v>
      </x:c>
      <x:c r="AD246" s="22" t="str">
        <x:v>https://ibbi.gov.in/uploads/announcement/ee49205d5753ac0093a3a03355a2e915.pdf</x:v>
      </x:c>
      <x:c r="AE246" s="18" t="str">
        <x:v>2026-07-11</x:v>
      </x:c>
      <x:c r="AF246" s="18" t="n">
        <x:v>46275.114583333336</x:v>
      </x:c>
      <x:c r="AG246" s="18" t="str">
        <x:v>retained_terminal</x:v>
      </x:c>
      <x:c r="AH246" s="18" t="str">
        <x:v>READY</x:v>
      </x:c>
    </x:row>
    <x:row r="247">
      <x:c r="A247" s="18" t="str">
        <x:v>NYT-47-7726fa034c6fb2e3</x:v>
      </x:c>
      <x:c r="B247" s="18" t="str">
        <x:v>NCLT / NCLAT (Insolvency) source coverage</x:v>
      </x:c>
      <x:c r="C247" s="18" t="str">
        <x:v>2026-07-11</x:v>
      </x:c>
      <x:c r="D247" s="18" t="n">
        <x:v>2026</x:v>
      </x:c>
      <x:c r="E247" s="18" t="str">
        <x:v>2026-07</x:v>
      </x:c>
      <x:c r="F247" s="18" t="str"/>
      <x:c r="G247" s="18" t="str">
        <x:v>Public Announcement of Corporate Insolvency Resolution Process</x:v>
      </x:c>
      <x:c r="H247" s="18" t="str"/>
      <x:c r="I247" s="18" t="str"/>
      <x:c r="J247" s="20" t="str"/>
      <x:c r="K247" s="18" t="str"/>
      <x:c r="L247" s="18" t="str"/>
      <x:c r="M247" s="18" t="str">
        <x:v>2026-07-11</x:v>
      </x:c>
      <x:c r="N247" s="18" t="str"/>
      <x:c r="O247" s="18" t="str">
        <x:v>ibbi_shocx2</x:v>
      </x:c>
      <x:c r="P247" s="18" t="str">
        <x:v>Akkme Food Craft Limited</x:v>
      </x:c>
      <x:c r="Q247" s="18" t="str">
        <x:v>REGAL ENTERPRISES LTD</x:v>
      </x:c>
      <x:c r="R247" s="18" t="str">
        <x:v>SANDEEP AGRAWAL</x:v>
      </x:c>
      <x:c r="S247" s="18" t="str">
        <x:v>2026-07-23</x:v>
      </x:c>
      <x:c r="T247" s="18" t="str">
        <x:v>Public Announcement of Corporate Insolvency Resolution Process</x:v>
      </x:c>
      <x:c r="U247" s="18" t="str"/>
      <x:c r="V247" s="18" t="str">
        <x:v>DEFINED_TERMINAL_OR_FEED_SCOPE</x:v>
      </x:c>
      <x:c r="W247" s="18" t="str">
        <x:v>national_ibbi_announcements.json — published records loaded</x:v>
      </x:c>
      <x:c r="X247" s="18" t="str"/>
      <x:c r="Y247" s="18" t="str"/>
      <x:c r="Z247" s="20" t="n">
        <x:v>434</x:v>
      </x:c>
      <x:c r="AA247" s="19" t="n">
        <x:f>IFERROR(TODAY()-DATEVALUE(C247),"")</x:f>
        <x:v>61</x:v>
      </x:c>
      <x:c r="AB247" s="21" t="n">
        <x:f>ROUND(COUNTA(A247:K247)/11*100,0)</x:f>
        <x:v>100</x:v>
      </x:c>
      <x:c r="AC247" s="18" t="str">
        <x:v>National Company Law Tribunal</x:v>
      </x:c>
      <x:c r="AD247" s="22" t="str">
        <x:v>https://ibbi.gov.in/uploads/announcement/2026-07-13-182829-wnvl0-996b8343ce9fba0a5eda69e66ea5a8a0.pdf</x:v>
      </x:c>
      <x:c r="AE247" s="18" t="str">
        <x:v>2026-07-11</x:v>
      </x:c>
      <x:c r="AF247" s="18" t="n">
        <x:v>46275.114583333336</x:v>
      </x:c>
      <x:c r="AG247" s="18" t="str">
        <x:v>retained_terminal</x:v>
      </x:c>
      <x:c r="AH247" s="18" t="str">
        <x:v>READY</x:v>
      </x:c>
    </x:row>
    <x:row r="248">
      <x:c r="A248" s="18" t="str">
        <x:v>NYT-47-d0cccad00e2b2d77</x:v>
      </x:c>
      <x:c r="B248" s="18" t="str">
        <x:v>NCLT / NCLAT (Insolvency) source coverage</x:v>
      </x:c>
      <x:c r="C248" s="18" t="str">
        <x:v>2026-07-10</x:v>
      </x:c>
      <x:c r="D248" s="18" t="n">
        <x:v>2026</x:v>
      </x:c>
      <x:c r="E248" s="18" t="str">
        <x:v>2026-07</x:v>
      </x:c>
      <x:c r="F248" s="18" t="str"/>
      <x:c r="G248" s="18" t="str">
        <x:v>Public Announcement of Liquidation Process</x:v>
      </x:c>
      <x:c r="H248" s="18" t="str"/>
      <x:c r="I248" s="18" t="str"/>
      <x:c r="J248" s="20" t="str"/>
      <x:c r="K248" s="18" t="str"/>
      <x:c r="L248" s="18" t="str"/>
      <x:c r="M248" s="18" t="str">
        <x:v>2026-07-10</x:v>
      </x:c>
      <x:c r="N248" s="18" t="str"/>
      <x:c r="O248" s="18" t="str">
        <x:v>ibbi_16zfghj</x:v>
      </x:c>
      <x:c r="P248" s="18" t="str">
        <x:v>OVERSEAS INFRASTRUCTURE ALLIANCE (I) PVT. LTD</x:v>
      </x:c>
      <x:c r="Q248" s="18" t="str">
        <x:v>MCRAYGOR MECHANICALS PRIVATE LIMITED</x:v>
      </x:c>
      <x:c r="R248" s="18" t="str">
        <x:v>Mr. Naveen Kumar Jain</x:v>
      </x:c>
      <x:c r="S248" s="18" t="str">
        <x:v>2026-08-06</x:v>
      </x:c>
      <x:c r="T248" s="18" t="str">
        <x:v>Public Announcement of Liquidation Process</x:v>
      </x:c>
      <x:c r="U248" s="18" t="str"/>
      <x:c r="V248" s="18" t="str">
        <x:v>DEFINED_TERMINAL_OR_FEED_SCOPE</x:v>
      </x:c>
      <x:c r="W248" s="18" t="str">
        <x:v>national_ibbi_announcements.json — published records loaded</x:v>
      </x:c>
      <x:c r="X248" s="18" t="str"/>
      <x:c r="Y248" s="18" t="str"/>
      <x:c r="Z248" s="20" t="n">
        <x:v>434</x:v>
      </x:c>
      <x:c r="AA248" s="19" t="n">
        <x:f>IFERROR(TODAY()-DATEVALUE(C248),"")</x:f>
        <x:v>62</x:v>
      </x:c>
      <x:c r="AB248" s="21" t="n">
        <x:f>ROUND(COUNTA(A248:K248)/11*100,0)</x:f>
        <x:v>100</x:v>
      </x:c>
      <x:c r="AC248" s="18" t="str">
        <x:v>National Company Law Tribunal</x:v>
      </x:c>
      <x:c r="AD248" s="22" t="str">
        <x:v>https://ibbi.gov.in/uploads/announcement/2607a0d44b21e0146cdf410998bd61da.pdf</x:v>
      </x:c>
      <x:c r="AE248" s="18" t="str">
        <x:v>2026-07-10</x:v>
      </x:c>
      <x:c r="AF248" s="18" t="n">
        <x:v>46275.114583333336</x:v>
      </x:c>
      <x:c r="AG248" s="18" t="str">
        <x:v>retained_terminal</x:v>
      </x:c>
      <x:c r="AH248" s="18" t="str">
        <x:v>READY</x:v>
      </x:c>
    </x:row>
    <x:row r="249">
      <x:c r="A249" s="18" t="str">
        <x:v>NYT-47-caf7ac179434e21e</x:v>
      </x:c>
      <x:c r="B249" s="18" t="str">
        <x:v>NCLT / NCLAT (Insolvency) source coverage</x:v>
      </x:c>
      <x:c r="C249" s="18" t="str">
        <x:v>2026-07-10</x:v>
      </x:c>
      <x:c r="D249" s="18" t="n">
        <x:v>2026</x:v>
      </x:c>
      <x:c r="E249" s="18" t="str">
        <x:v>2026-07</x:v>
      </x:c>
      <x:c r="F249" s="18" t="str"/>
      <x:c r="G249" s="18" t="str">
        <x:v>Public Announcement of Corporate Insolvency Resolution Process</x:v>
      </x:c>
      <x:c r="H249" s="18" t="str"/>
      <x:c r="I249" s="18" t="str"/>
      <x:c r="J249" s="20" t="str"/>
      <x:c r="K249" s="18" t="str"/>
      <x:c r="L249" s="18" t="str"/>
      <x:c r="M249" s="18" t="str">
        <x:v>2026-07-10</x:v>
      </x:c>
      <x:c r="N249" s="18" t="str"/>
      <x:c r="O249" s="18" t="str">
        <x:v>ibbi_1ti9do8</x:v>
      </x:c>
      <x:c r="P249" s="18" t="str">
        <x:v>Grimus Exports Private Limited</x:v>
      </x:c>
      <x:c r="Q249" s="18" t="str">
        <x:v>SUNIMA STEEL MARKETING PRIVATE LIMITED</x:v>
      </x:c>
      <x:c r="R249" s="18" t="str">
        <x:v>TANVEER ILAHI</x:v>
      </x:c>
      <x:c r="S249" s="18" t="str">
        <x:v>2026-07-22</x:v>
      </x:c>
      <x:c r="T249" s="18" t="str">
        <x:v>Public Announcement of Corporate Insolvency Resolution Process</x:v>
      </x:c>
      <x:c r="U249" s="18" t="str"/>
      <x:c r="V249" s="18" t="str">
        <x:v>DEFINED_TERMINAL_OR_FEED_SCOPE</x:v>
      </x:c>
      <x:c r="W249" s="18" t="str">
        <x:v>national_ibbi_announcements.json — published records loaded</x:v>
      </x:c>
      <x:c r="X249" s="18" t="str"/>
      <x:c r="Y249" s="18" t="str"/>
      <x:c r="Z249" s="20" t="n">
        <x:v>434</x:v>
      </x:c>
      <x:c r="AA249" s="19" t="n">
        <x:f>IFERROR(TODAY()-DATEVALUE(C249),"")</x:f>
        <x:v>62</x:v>
      </x:c>
      <x:c r="AB249" s="21" t="n">
        <x:f>ROUND(COUNTA(A249:K249)/11*100,0)</x:f>
        <x:v>100</x:v>
      </x:c>
      <x:c r="AC249" s="18" t="str">
        <x:v>National Company Law Tribunal</x:v>
      </x:c>
      <x:c r="AD249" s="22" t="str">
        <x:v>https://ibbi.gov.in/uploads/announcement/d5d384a7ba6fbedcfc639a8d5d3b5879.pdf</x:v>
      </x:c>
      <x:c r="AE249" s="18" t="str">
        <x:v>2026-07-10</x:v>
      </x:c>
      <x:c r="AF249" s="18" t="n">
        <x:v>46275.114583333336</x:v>
      </x:c>
      <x:c r="AG249" s="18" t="str">
        <x:v>retained_terminal</x:v>
      </x:c>
      <x:c r="AH249" s="18" t="str">
        <x:v>READY</x:v>
      </x:c>
    </x:row>
    <x:row r="250">
      <x:c r="A250" s="18" t="str">
        <x:v>NYT-47-a727262c78cc0f88</x:v>
      </x:c>
      <x:c r="B250" s="18" t="str">
        <x:v>NCLT / NCLAT (Insolvency) source coverage</x:v>
      </x:c>
      <x:c r="C250" s="18" t="str">
        <x:v>2026-07-10</x:v>
      </x:c>
      <x:c r="D250" s="18" t="n">
        <x:v>2026</x:v>
      </x:c>
      <x:c r="E250" s="18" t="str">
        <x:v>2026-07</x:v>
      </x:c>
      <x:c r="F250" s="18" t="str"/>
      <x:c r="G250" s="18" t="str">
        <x:v>Public Announcement of Liquidation Process</x:v>
      </x:c>
      <x:c r="H250" s="18" t="str"/>
      <x:c r="I250" s="18" t="str"/>
      <x:c r="J250" s="20" t="str"/>
      <x:c r="K250" s="18" t="str"/>
      <x:c r="L250" s="18" t="str"/>
      <x:c r="M250" s="18" t="str">
        <x:v>2026-07-10</x:v>
      </x:c>
      <x:c r="N250" s="18" t="str"/>
      <x:c r="O250" s="18" t="str">
        <x:v>ibbi_1sqqb1i</x:v>
      </x:c>
      <x:c r="P250" s="18" t="str">
        <x:v>Umesh Kumar Sharma</x:v>
      </x:c>
      <x:c r="Q250" s="18" t="str">
        <x:v>PUNJ SECURITY &amp; HOUSE KEEPING SERVICES PRIVATE LIMITED</x:v>
      </x:c>
      <x:c r="R250" s="18" t="str">
        <x:v>Ms. Maya Gupta</x:v>
      </x:c>
      <x:c r="S250" s="18" t="str">
        <x:v>2026-07-21</x:v>
      </x:c>
      <x:c r="T250" s="18" t="str">
        <x:v>Public Announcement of Liquidation Process</x:v>
      </x:c>
      <x:c r="U250" s="18" t="str"/>
      <x:c r="V250" s="18" t="str">
        <x:v>DEFINED_TERMINAL_OR_FEED_SCOPE</x:v>
      </x:c>
      <x:c r="W250" s="18" t="str">
        <x:v>national_ibbi_announcements.json — published records loaded</x:v>
      </x:c>
      <x:c r="X250" s="18" t="str"/>
      <x:c r="Y250" s="18" t="str"/>
      <x:c r="Z250" s="20" t="n">
        <x:v>434</x:v>
      </x:c>
      <x:c r="AA250" s="19" t="n">
        <x:f>IFERROR(TODAY()-DATEVALUE(C250),"")</x:f>
        <x:v>62</x:v>
      </x:c>
      <x:c r="AB250" s="21" t="n">
        <x:f>ROUND(COUNTA(A250:K250)/11*100,0)</x:f>
        <x:v>100</x:v>
      </x:c>
      <x:c r="AC250" s="18" t="str">
        <x:v>National Company Law Tribunal</x:v>
      </x:c>
      <x:c r="AD250" s="22" t="str">
        <x:v>https://ibbi.gov.in/uploads/announcement/2026-07-14-131842-rewxg-84c7df06791f233e2ceea33209bcd6c4.pdf</x:v>
      </x:c>
      <x:c r="AE250" s="18" t="str">
        <x:v>2026-07-10</x:v>
      </x:c>
      <x:c r="AF250" s="18" t="n">
        <x:v>46275.114583333336</x:v>
      </x:c>
      <x:c r="AG250" s="18" t="str">
        <x:v>retained_terminal</x:v>
      </x:c>
      <x:c r="AH250" s="18" t="str">
        <x:v>READY</x:v>
      </x:c>
    </x:row>
    <x:row r="251">
      <x:c r="A251" s="18" t="str">
        <x:v>NYT-47-bc254985756bfb1c</x:v>
      </x:c>
      <x:c r="B251" s="18" t="str">
        <x:v>NCLT / NCLAT (Insolvency) source coverage</x:v>
      </x:c>
      <x:c r="C251" s="18" t="str">
        <x:v>2026-07-09</x:v>
      </x:c>
      <x:c r="D251" s="18" t="n">
        <x:v>2026</x:v>
      </x:c>
      <x:c r="E251" s="18" t="str">
        <x:v>2026-07</x:v>
      </x:c>
      <x:c r="F251" s="18" t="str"/>
      <x:c r="G251" s="18" t="str">
        <x:v>Public Announcement of Corporate Insolvency Resolution Process</x:v>
      </x:c>
      <x:c r="H251" s="18" t="str"/>
      <x:c r="I251" s="18" t="str"/>
      <x:c r="J251" s="20" t="str"/>
      <x:c r="K251" s="18" t="str"/>
      <x:c r="L251" s="18" t="str"/>
      <x:c r="M251" s="18" t="str">
        <x:v>2026-07-09</x:v>
      </x:c>
      <x:c r="N251" s="18" t="str"/>
      <x:c r="O251" s="18" t="str">
        <x:v>ibbi_vnk6le</x:v>
      </x:c>
      <x:c r="P251" s="18" t="str">
        <x:v>The South Indian Bank Limited</x:v>
      </x:c>
      <x:c r="Q251" s="18" t="str">
        <x:v>ROYAL DRY FRUITS PRIVATE LIMITED</x:v>
      </x:c>
      <x:c r="R251" s="18" t="str">
        <x:v>Siddhant Agrawal</x:v>
      </x:c>
      <x:c r="S251" s="18" t="str">
        <x:v>2026-07-21</x:v>
      </x:c>
      <x:c r="T251" s="18" t="str">
        <x:v>Public Announcement of Corporate Insolvency Resolution Process</x:v>
      </x:c>
      <x:c r="U251" s="18" t="str"/>
      <x:c r="V251" s="18" t="str">
        <x:v>DEFINED_TERMINAL_OR_FEED_SCOPE</x:v>
      </x:c>
      <x:c r="W251" s="18" t="str">
        <x:v>national_ibbi_announcements.json — published records loaded</x:v>
      </x:c>
      <x:c r="X251" s="18" t="str"/>
      <x:c r="Y251" s="18" t="str"/>
      <x:c r="Z251" s="20" t="n">
        <x:v>434</x:v>
      </x:c>
      <x:c r="AA251" s="19" t="n">
        <x:f>IFERROR(TODAY()-DATEVALUE(C251),"")</x:f>
        <x:v>63</x:v>
      </x:c>
      <x:c r="AB251" s="21" t="n">
        <x:f>ROUND(COUNTA(A251:K251)/11*100,0)</x:f>
        <x:v>100</x:v>
      </x:c>
      <x:c r="AC251" s="18" t="str">
        <x:v>National Company Law Tribunal</x:v>
      </x:c>
      <x:c r="AD251" s="22" t="str">
        <x:v>https://ibbi.gov.in/uploads/announcement/2026-07-10-180540-qy7nc-5c06ce6c0111806ecfd4fbad7e27f559.pdf</x:v>
      </x:c>
      <x:c r="AE251" s="18" t="str">
        <x:v>2026-07-09</x:v>
      </x:c>
      <x:c r="AF251" s="18" t="n">
        <x:v>46275.114583333336</x:v>
      </x:c>
      <x:c r="AG251" s="18" t="str">
        <x:v>retained_terminal</x:v>
      </x:c>
      <x:c r="AH251" s="18" t="str">
        <x:v>READY</x:v>
      </x:c>
    </x:row>
    <x:row r="252">
      <x:c r="A252" s="18" t="str">
        <x:v>NYT-47-afe3235616d8bb16</x:v>
      </x:c>
      <x:c r="B252" s="18" t="str">
        <x:v>NCLT / NCLAT (Insolvency) source coverage</x:v>
      </x:c>
      <x:c r="C252" s="18" t="str">
        <x:v>2026-07-09</x:v>
      </x:c>
      <x:c r="D252" s="18" t="n">
        <x:v>2026</x:v>
      </x:c>
      <x:c r="E252" s="18" t="str">
        <x:v>2026-07</x:v>
      </x:c>
      <x:c r="F252" s="18" t="str"/>
      <x:c r="G252" s="18" t="str">
        <x:v>Public Announcement of Liquidation Process</x:v>
      </x:c>
      <x:c r="H252" s="18" t="str"/>
      <x:c r="I252" s="18" t="str"/>
      <x:c r="J252" s="20" t="str"/>
      <x:c r="K252" s="18" t="str"/>
      <x:c r="L252" s="18" t="str"/>
      <x:c r="M252" s="18" t="str">
        <x:v>2026-07-09</x:v>
      </x:c>
      <x:c r="N252" s="18" t="str"/>
      <x:c r="O252" s="18" t="str">
        <x:v>ibbi_1t5jtpf</x:v>
      </x:c>
      <x:c r="P252" s="18" t="str">
        <x:v>Vichare Loginext Private Limited</x:v>
      </x:c>
      <x:c r="Q252" s="18" t="str">
        <x:v>VICHARE EXPRESS &amp; LOGISTICS PRIVATE LIMITED</x:v>
      </x:c>
      <x:c r="R252" s="18" t="str">
        <x:v>Mr. Piyush Kisanlal Jani</x:v>
      </x:c>
      <x:c r="S252" s="18" t="str">
        <x:v>2026-07-21</x:v>
      </x:c>
      <x:c r="T252" s="18" t="str">
        <x:v>Public Announcement of Liquidation Process</x:v>
      </x:c>
      <x:c r="U252" s="18" t="str"/>
      <x:c r="V252" s="18" t="str">
        <x:v>DEFINED_TERMINAL_OR_FEED_SCOPE</x:v>
      </x:c>
      <x:c r="W252" s="18" t="str">
        <x:v>national_ibbi_announcements.json — published records loaded</x:v>
      </x:c>
      <x:c r="X252" s="18" t="str"/>
      <x:c r="Y252" s="18" t="str"/>
      <x:c r="Z252" s="20" t="n">
        <x:v>434</x:v>
      </x:c>
      <x:c r="AA252" s="19" t="n">
        <x:f>IFERROR(TODAY()-DATEVALUE(C252),"")</x:f>
        <x:v>63</x:v>
      </x:c>
      <x:c r="AB252" s="21" t="n">
        <x:f>ROUND(COUNTA(A252:K252)/11*100,0)</x:f>
        <x:v>100</x:v>
      </x:c>
      <x:c r="AC252" s="18" t="str">
        <x:v>National Company Law Tribunal</x:v>
      </x:c>
      <x:c r="AD252" s="22" t="str">
        <x:v>https://ibbi.gov.in/uploads/announcement/1441f212cbd8274916c13ed8daf5ba4e.pdf</x:v>
      </x:c>
      <x:c r="AE252" s="18" t="str">
        <x:v>2026-07-09</x:v>
      </x:c>
      <x:c r="AF252" s="18" t="n">
        <x:v>46275.114583333336</x:v>
      </x:c>
      <x:c r="AG252" s="18" t="str">
        <x:v>retained_terminal</x:v>
      </x:c>
      <x:c r="AH252" s="18" t="str">
        <x:v>READY</x:v>
      </x:c>
    </x:row>
    <x:row r="253">
      <x:c r="A253" s="18" t="str">
        <x:v>NYT-47-1615b9be2ef94d9c</x:v>
      </x:c>
      <x:c r="B253" s="18" t="str">
        <x:v>NCLT / NCLAT (Insolvency) source coverage</x:v>
      </x:c>
      <x:c r="C253" s="18" t="str">
        <x:v>2026-07-09</x:v>
      </x:c>
      <x:c r="D253" s="18" t="n">
        <x:v>2026</x:v>
      </x:c>
      <x:c r="E253" s="18" t="str">
        <x:v>2026-07</x:v>
      </x:c>
      <x:c r="F253" s="18" t="str"/>
      <x:c r="G253" s="18" t="str">
        <x:v>Public Announcement of Liquidation Process</x:v>
      </x:c>
      <x:c r="H253" s="18" t="str"/>
      <x:c r="I253" s="18" t="str"/>
      <x:c r="J253" s="20" t="str"/>
      <x:c r="K253" s="18" t="str"/>
      <x:c r="L253" s="18" t="str"/>
      <x:c r="M253" s="18" t="str">
        <x:v>2026-07-09</x:v>
      </x:c>
      <x:c r="N253" s="18" t="str"/>
      <x:c r="O253" s="18" t="str">
        <x:v>ibbi_1kt3sfh</x:v>
      </x:c>
      <x:c r="P253" s="18" t="str">
        <x:v>DILEEP K P</x:v>
      </x:c>
      <x:c r="Q253" s="18" t="str">
        <x:v>DAVANI SILKS PRIVATE LIMITED</x:v>
      </x:c>
      <x:c r="R253" s="18" t="str">
        <x:v>Mr. Dileep K P</x:v>
      </x:c>
      <x:c r="S253" s="18" t="str">
        <x:v>2026-07-30</x:v>
      </x:c>
      <x:c r="T253" s="18" t="str">
        <x:v>Public Announcement of Liquidation Process</x:v>
      </x:c>
      <x:c r="U253" s="18" t="str"/>
      <x:c r="V253" s="18" t="str">
        <x:v>DEFINED_TERMINAL_OR_FEED_SCOPE</x:v>
      </x:c>
      <x:c r="W253" s="18" t="str">
        <x:v>national_ibbi_announcements.json — published records loaded</x:v>
      </x:c>
      <x:c r="X253" s="18" t="str"/>
      <x:c r="Y253" s="18" t="str"/>
      <x:c r="Z253" s="20" t="n">
        <x:v>434</x:v>
      </x:c>
      <x:c r="AA253" s="19" t="n">
        <x:f>IFERROR(TODAY()-DATEVALUE(C253),"")</x:f>
        <x:v>63</x:v>
      </x:c>
      <x:c r="AB253" s="21" t="n">
        <x:f>ROUND(COUNTA(A253:K253)/11*100,0)</x:f>
        <x:v>100</x:v>
      </x:c>
      <x:c r="AC253" s="18" t="str">
        <x:v>National Company Law Tribunal</x:v>
      </x:c>
      <x:c r="AD253" s="22" t="str">
        <x:v>https://ibbi.gov.in/uploads/announcement/e832335bd420fe6cd75154172440facf.pdf</x:v>
      </x:c>
      <x:c r="AE253" s="18" t="str">
        <x:v>2026-07-09</x:v>
      </x:c>
      <x:c r="AF253" s="18" t="n">
        <x:v>46275.114583333336</x:v>
      </x:c>
      <x:c r="AG253" s="18" t="str">
        <x:v>retained_terminal</x:v>
      </x:c>
      <x:c r="AH253" s="18" t="str">
        <x:v>READY</x:v>
      </x:c>
    </x:row>
    <x:row r="254">
      <x:c r="A254" s="18" t="str">
        <x:v>NYT-47-8fecfea4c572a692</x:v>
      </x:c>
      <x:c r="B254" s="18" t="str">
        <x:v>NCLT / NCLAT (Insolvency) source coverage</x:v>
      </x:c>
      <x:c r="C254" s="18" t="str">
        <x:v>2026-07-08</x:v>
      </x:c>
      <x:c r="D254" s="18" t="n">
        <x:v>2026</x:v>
      </x:c>
      <x:c r="E254" s="18" t="str">
        <x:v>2026-07</x:v>
      </x:c>
      <x:c r="F254" s="18" t="str"/>
      <x:c r="G254" s="18" t="str">
        <x:v>Public Announcement of Corporate Insolvency Resolution Process</x:v>
      </x:c>
      <x:c r="H254" s="18" t="str"/>
      <x:c r="I254" s="18" t="str"/>
      <x:c r="J254" s="20" t="str"/>
      <x:c r="K254" s="18" t="str"/>
      <x:c r="L254" s="18" t="str"/>
      <x:c r="M254" s="18" t="str">
        <x:v>2026-07-08</x:v>
      </x:c>
      <x:c r="N254" s="18" t="str"/>
      <x:c r="O254" s="18" t="str">
        <x:v>ibbi_wb5inu</x:v>
      </x:c>
      <x:c r="P254" s="18" t="str">
        <x:v>DCB Bank Limited</x:v>
      </x:c>
      <x:c r="Q254" s="18" t="str">
        <x:v>KALKA HOME DEVELOPERS PRIVATE LIMITED</x:v>
      </x:c>
      <x:c r="R254" s="18" t="str">
        <x:v>Mr. Vikram Kumar</x:v>
      </x:c>
      <x:c r="S254" s="18" t="str">
        <x:v>2026-07-18</x:v>
      </x:c>
      <x:c r="T254" s="18" t="str">
        <x:v>Public Announcement of Corporate Insolvency Resolution Process</x:v>
      </x:c>
      <x:c r="U254" s="18" t="str"/>
      <x:c r="V254" s="18" t="str">
        <x:v>DEFINED_TERMINAL_OR_FEED_SCOPE</x:v>
      </x:c>
      <x:c r="W254" s="18" t="str">
        <x:v>national_ibbi_announcements.json — published records loaded</x:v>
      </x:c>
      <x:c r="X254" s="18" t="str"/>
      <x:c r="Y254" s="18" t="str"/>
      <x:c r="Z254" s="20" t="n">
        <x:v>434</x:v>
      </x:c>
      <x:c r="AA254" s="19" t="n">
        <x:f>IFERROR(TODAY()-DATEVALUE(C254),"")</x:f>
        <x:v>64</x:v>
      </x:c>
      <x:c r="AB254" s="21" t="n">
        <x:f>ROUND(COUNTA(A254:K254)/11*100,0)</x:f>
        <x:v>100</x:v>
      </x:c>
      <x:c r="AC254" s="18" t="str">
        <x:v>National Company Law Tribunal</x:v>
      </x:c>
      <x:c r="AD254" s="22" t="str">
        <x:v>https://ibbi.gov.in/uploads/announcement/70be8cae53bbd4a18eb96af328078606.pdf</x:v>
      </x:c>
      <x:c r="AE254" s="18" t="str">
        <x:v>2026-07-08</x:v>
      </x:c>
      <x:c r="AF254" s="18" t="n">
        <x:v>46275.114583333336</x:v>
      </x:c>
      <x:c r="AG254" s="18" t="str">
        <x:v>retained_terminal</x:v>
      </x:c>
      <x:c r="AH254" s="18" t="str">
        <x:v>READY</x:v>
      </x:c>
    </x:row>
    <x:row r="255">
      <x:c r="A255" s="18" t="str">
        <x:v>NYT-47-f28d91fd8a9bd298</x:v>
      </x:c>
      <x:c r="B255" s="18" t="str">
        <x:v>NCLT / NCLAT (Insolvency) source coverage</x:v>
      </x:c>
      <x:c r="C255" s="18" t="str">
        <x:v>2026-07-08</x:v>
      </x:c>
      <x:c r="D255" s="18" t="n">
        <x:v>2026</x:v>
      </x:c>
      <x:c r="E255" s="18" t="str">
        <x:v>2026-07</x:v>
      </x:c>
      <x:c r="F255" s="18" t="str"/>
      <x:c r="G255" s="18" t="str">
        <x:v>Public Announcement of Corporate Insolvency Resolution Process</x:v>
      </x:c>
      <x:c r="H255" s="18" t="str"/>
      <x:c r="I255" s="18" t="str"/>
      <x:c r="J255" s="20" t="str"/>
      <x:c r="K255" s="18" t="str"/>
      <x:c r="L255" s="18" t="str"/>
      <x:c r="M255" s="18" t="str">
        <x:v>2026-07-08</x:v>
      </x:c>
      <x:c r="N255" s="18" t="str"/>
      <x:c r="O255" s="18" t="str">
        <x:v>ibbi_1a99y6</x:v>
      </x:c>
      <x:c r="P255" s="18" t="str">
        <x:v>Tatad Nayan Gautambhai,</x:v>
      </x:c>
      <x:c r="Q255" s="18" t="str">
        <x:v>PRADHIN LIMITED</x:v>
      </x:c>
      <x:c r="R255" s="18" t="str">
        <x:v>Rajesh Jasti</x:v>
      </x:c>
      <x:c r="S255" s="18" t="str">
        <x:v>2026-07-20</x:v>
      </x:c>
      <x:c r="T255" s="18" t="str">
        <x:v>Public Announcement of Corporate Insolvency Resolution Process</x:v>
      </x:c>
      <x:c r="U255" s="18" t="str"/>
      <x:c r="V255" s="18" t="str">
        <x:v>DEFINED_TERMINAL_OR_FEED_SCOPE</x:v>
      </x:c>
      <x:c r="W255" s="18" t="str">
        <x:v>national_ibbi_announcements.json — published records loaded</x:v>
      </x:c>
      <x:c r="X255" s="18" t="str"/>
      <x:c r="Y255" s="18" t="str"/>
      <x:c r="Z255" s="20" t="n">
        <x:v>434</x:v>
      </x:c>
      <x:c r="AA255" s="19" t="n">
        <x:f>IFERROR(TODAY()-DATEVALUE(C255),"")</x:f>
        <x:v>64</x:v>
      </x:c>
      <x:c r="AB255" s="21" t="n">
        <x:f>ROUND(COUNTA(A255:K255)/11*100,0)</x:f>
        <x:v>100</x:v>
      </x:c>
      <x:c r="AC255" s="18" t="str">
        <x:v>National Company Law Tribunal</x:v>
      </x:c>
      <x:c r="AD255" s="22" t="str">
        <x:v>https://ibbi.gov.in/uploads/announcement/2026-07-14-232810-sb3wa-5c06ce6c0111806ecfd4fbad7e27f559.pdf</x:v>
      </x:c>
      <x:c r="AE255" s="18" t="str">
        <x:v>2026-07-08</x:v>
      </x:c>
      <x:c r="AF255" s="18" t="n">
        <x:v>46275.114583333336</x:v>
      </x:c>
      <x:c r="AG255" s="18" t="str">
        <x:v>retained_terminal</x:v>
      </x:c>
      <x:c r="AH255" s="18" t="str">
        <x:v>READY</x:v>
      </x:c>
    </x:row>
    <x:row r="256">
      <x:c r="A256" s="18" t="str">
        <x:v>NYT-47-947cd5cacfbe9257</x:v>
      </x:c>
      <x:c r="B256" s="18" t="str">
        <x:v>NCLT / NCLAT (Insolvency) source coverage</x:v>
      </x:c>
      <x:c r="C256" s="18" t="str">
        <x:v>2026-07-08</x:v>
      </x:c>
      <x:c r="D256" s="18" t="n">
        <x:v>2026</x:v>
      </x:c>
      <x:c r="E256" s="18" t="str">
        <x:v>2026-07</x:v>
      </x:c>
      <x:c r="F256" s="18" t="str"/>
      <x:c r="G256" s="18" t="str">
        <x:v>Public Announcement of Corporate Insolvency Resolution Process</x:v>
      </x:c>
      <x:c r="H256" s="18" t="str"/>
      <x:c r="I256" s="18" t="str"/>
      <x:c r="J256" s="20" t="str"/>
      <x:c r="K256" s="18" t="str"/>
      <x:c r="L256" s="18" t="str"/>
      <x:c r="M256" s="18" t="str">
        <x:v>2026-07-08</x:v>
      </x:c>
      <x:c r="N256" s="18" t="str"/>
      <x:c r="O256" s="18" t="str">
        <x:v>ibbi_g2w44j</x:v>
      </x:c>
      <x:c r="P256" s="18" t="str">
        <x:v>Vanshita Transport</x:v>
      </x:c>
      <x:c r="Q256" s="18" t="str">
        <x:v>MONTECARLO LIMITED</x:v>
      </x:c>
      <x:c r="R256" s="18" t="str">
        <x:v>Sanjaykumar Jitendralal Shah</x:v>
      </x:c>
      <x:c r="S256" s="18" t="str">
        <x:v>2026-07-21</x:v>
      </x:c>
      <x:c r="T256" s="18" t="str">
        <x:v>Public Announcement of Corporate Insolvency Resolution Process</x:v>
      </x:c>
      <x:c r="U256" s="18" t="str"/>
      <x:c r="V256" s="18" t="str">
        <x:v>DEFINED_TERMINAL_OR_FEED_SCOPE</x:v>
      </x:c>
      <x:c r="W256" s="18" t="str">
        <x:v>national_ibbi_announcements.json — published records loaded</x:v>
      </x:c>
      <x:c r="X256" s="18" t="str"/>
      <x:c r="Y256" s="18" t="str"/>
      <x:c r="Z256" s="20" t="n">
        <x:v>434</x:v>
      </x:c>
      <x:c r="AA256" s="19" t="n">
        <x:f>IFERROR(TODAY()-DATEVALUE(C256),"")</x:f>
        <x:v>64</x:v>
      </x:c>
      <x:c r="AB256" s="21" t="n">
        <x:f>ROUND(COUNTA(A256:K256)/11*100,0)</x:f>
        <x:v>100</x:v>
      </x:c>
      <x:c r="AC256" s="18" t="str">
        <x:v>National Company Law Tribunal</x:v>
      </x:c>
      <x:c r="AD256" s="22" t="str">
        <x:v>https://ibbi.gov.in/uploads/announcement/2026-07-08-121402-uz2y5-a5b26badcc57f4df0658daf39397f048.pdf</x:v>
      </x:c>
      <x:c r="AE256" s="18" t="str">
        <x:v>2026-07-08</x:v>
      </x:c>
      <x:c r="AF256" s="18" t="n">
        <x:v>46275.114583333336</x:v>
      </x:c>
      <x:c r="AG256" s="18" t="str">
        <x:v>retained_terminal</x:v>
      </x:c>
      <x:c r="AH256" s="18" t="str">
        <x:v>READY</x:v>
      </x:c>
    </x:row>
    <x:row r="257">
      <x:c r="A257" s="18" t="str">
        <x:v>NYT-47-0359d33abcaa200c</x:v>
      </x:c>
      <x:c r="B257" s="18" t="str">
        <x:v>NCLT / NCLAT (Insolvency) source coverage</x:v>
      </x:c>
      <x:c r="C257" s="18" t="str">
        <x:v>2026-07-08</x:v>
      </x:c>
      <x:c r="D257" s="18" t="n">
        <x:v>2026</x:v>
      </x:c>
      <x:c r="E257" s="18" t="str">
        <x:v>2026-07</x:v>
      </x:c>
      <x:c r="F257" s="18" t="str"/>
      <x:c r="G257" s="18" t="str">
        <x:v>Public Announcement of Corporate Insolvency Resolution Process</x:v>
      </x:c>
      <x:c r="H257" s="18" t="str"/>
      <x:c r="I257" s="18" t="str"/>
      <x:c r="J257" s="20" t="str"/>
      <x:c r="K257" s="18" t="str"/>
      <x:c r="L257" s="18" t="str"/>
      <x:c r="M257" s="18" t="str">
        <x:v>2026-07-08</x:v>
      </x:c>
      <x:c r="N257" s="18" t="str"/>
      <x:c r="O257" s="18" t="str">
        <x:v>ibbi_hc4nm2</x:v>
      </x:c>
      <x:c r="P257" s="18" t="str">
        <x:v>Arpith Jain G, Proprietor Mayikh Fabric</x:v>
      </x:c>
      <x:c r="Q257" s="18" t="str">
        <x:v>THARUN TEXSPIN MILLS PRIVATE LIMITED</x:v>
      </x:c>
      <x:c r="R257" s="18" t="str">
        <x:v>Mr. Kathiresan Nachimuthu</x:v>
      </x:c>
      <x:c r="S257" s="18" t="str">
        <x:v>2026-07-21</x:v>
      </x:c>
      <x:c r="T257" s="18" t="str">
        <x:v>Public Announcement of Corporate Insolvency Resolution Process</x:v>
      </x:c>
      <x:c r="U257" s="18" t="str"/>
      <x:c r="V257" s="18" t="str">
        <x:v>DEFINED_TERMINAL_OR_FEED_SCOPE</x:v>
      </x:c>
      <x:c r="W257" s="18" t="str">
        <x:v>national_ibbi_announcements.json — published records loaded</x:v>
      </x:c>
      <x:c r="X257" s="18" t="str"/>
      <x:c r="Y257" s="18" t="str"/>
      <x:c r="Z257" s="20" t="n">
        <x:v>434</x:v>
      </x:c>
      <x:c r="AA257" s="19" t="n">
        <x:f>IFERROR(TODAY()-DATEVALUE(C257),"")</x:f>
        <x:v>64</x:v>
      </x:c>
      <x:c r="AB257" s="21" t="n">
        <x:f>ROUND(COUNTA(A257:K257)/11*100,0)</x:f>
        <x:v>100</x:v>
      </x:c>
      <x:c r="AC257" s="18" t="str">
        <x:v>National Company Law Tribunal</x:v>
      </x:c>
      <x:c r="AD257" s="22" t="str">
        <x:v>https://ibbi.gov.in/uploads/announcement/4bc299e5eea6aac56ccaf09a9c67eb9f.pdf</x:v>
      </x:c>
      <x:c r="AE257" s="18" t="str">
        <x:v>2026-07-08</x:v>
      </x:c>
      <x:c r="AF257" s="18" t="n">
        <x:v>46275.114583333336</x:v>
      </x:c>
      <x:c r="AG257" s="18" t="str">
        <x:v>retained_terminal</x:v>
      </x:c>
      <x:c r="AH257" s="18" t="str">
        <x:v>READY</x:v>
      </x:c>
    </x:row>
    <x:row r="258">
      <x:c r="A258" s="18" t="str">
        <x:v>NYT-47-d3b429a961681ae9</x:v>
      </x:c>
      <x:c r="B258" s="18" t="str">
        <x:v>NCLT / NCLAT (Insolvency) source coverage</x:v>
      </x:c>
      <x:c r="C258" s="18" t="str">
        <x:v>2026-07-08</x:v>
      </x:c>
      <x:c r="D258" s="18" t="n">
        <x:v>2026</x:v>
      </x:c>
      <x:c r="E258" s="18" t="str">
        <x:v>2026-07</x:v>
      </x:c>
      <x:c r="F258" s="18" t="str"/>
      <x:c r="G258" s="18" t="str">
        <x:v>Public Announcement of Corporate Insolvency Resolution Process</x:v>
      </x:c>
      <x:c r="H258" s="18" t="str"/>
      <x:c r="I258" s="18" t="str"/>
      <x:c r="J258" s="20" t="str"/>
      <x:c r="K258" s="18" t="str"/>
      <x:c r="L258" s="18" t="str"/>
      <x:c r="M258" s="18" t="str">
        <x:v>2026-07-08</x:v>
      </x:c>
      <x:c r="N258" s="18" t="str"/>
      <x:c r="O258" s="18" t="str">
        <x:v>ibbi_13ncfq8</x:v>
      </x:c>
      <x:c r="P258" s="18" t="str">
        <x:v>B. Jain Pharmaceuticals Private Limited</x:v>
      </x:c>
      <x:c r="Q258" s="18" t="str">
        <x:v>AMISHI CONSUMER TECHNOLOGIES PRIVATE LIMITED</x:v>
      </x:c>
      <x:c r="R258" s="18" t="str">
        <x:v>Amit Talwar</x:v>
      </x:c>
      <x:c r="S258" s="18" t="str">
        <x:v>2026-07-21</x:v>
      </x:c>
      <x:c r="T258" s="18" t="str">
        <x:v>Public Announcement of Corporate Insolvency Resolution Process</x:v>
      </x:c>
      <x:c r="U258" s="18" t="str"/>
      <x:c r="V258" s="18" t="str">
        <x:v>DEFINED_TERMINAL_OR_FEED_SCOPE</x:v>
      </x:c>
      <x:c r="W258" s="18" t="str">
        <x:v>national_ibbi_announcements.json — published records loaded</x:v>
      </x:c>
      <x:c r="X258" s="18" t="str"/>
      <x:c r="Y258" s="18" t="str"/>
      <x:c r="Z258" s="20" t="n">
        <x:v>434</x:v>
      </x:c>
      <x:c r="AA258" s="19" t="n">
        <x:f>IFERROR(TODAY()-DATEVALUE(C258),"")</x:f>
        <x:v>64</x:v>
      </x:c>
      <x:c r="AB258" s="21" t="n">
        <x:f>ROUND(COUNTA(A258:K258)/11*100,0)</x:f>
        <x:v>100</x:v>
      </x:c>
      <x:c r="AC258" s="18" t="str">
        <x:v>National Company Law Tribunal</x:v>
      </x:c>
      <x:c r="AD258" s="22" t="str">
        <x:v>https://ibbi.gov.in/uploads/announcement/3274b86b9a96006bd5a56f6d39590b7e.pdf</x:v>
      </x:c>
      <x:c r="AE258" s="18" t="str">
        <x:v>2026-07-08</x:v>
      </x:c>
      <x:c r="AF258" s="18" t="n">
        <x:v>46275.114583333336</x:v>
      </x:c>
      <x:c r="AG258" s="18" t="str">
        <x:v>retained_terminal</x:v>
      </x:c>
      <x:c r="AH258" s="18" t="str">
        <x:v>READY</x:v>
      </x:c>
    </x:row>
    <x:row r="259">
      <x:c r="A259" s="18" t="str">
        <x:v>NYT-47-a9cedf3035842ab6</x:v>
      </x:c>
      <x:c r="B259" s="18" t="str">
        <x:v>NCLT / NCLAT (Insolvency) source coverage</x:v>
      </x:c>
      <x:c r="C259" s="18" t="str">
        <x:v>2026-07-07</x:v>
      </x:c>
      <x:c r="D259" s="18" t="n">
        <x:v>2026</x:v>
      </x:c>
      <x:c r="E259" s="18" t="str">
        <x:v>2026-07</x:v>
      </x:c>
      <x:c r="F259" s="18" t="str"/>
      <x:c r="G259" s="18" t="str">
        <x:v>Public Announcement of Corporate Insolvency Resolution Process</x:v>
      </x:c>
      <x:c r="H259" s="18" t="str"/>
      <x:c r="I259" s="18" t="str"/>
      <x:c r="J259" s="20" t="str"/>
      <x:c r="K259" s="18" t="str"/>
      <x:c r="L259" s="18" t="str"/>
      <x:c r="M259" s="18" t="str">
        <x:v>2026-07-07</x:v>
      </x:c>
      <x:c r="N259" s="18" t="str"/>
      <x:c r="O259" s="18" t="str">
        <x:v>ibbi_14swux0</x:v>
      </x:c>
      <x:c r="P259" s="18" t="str">
        <x:v>Insta Capital Private Limited</x:v>
      </x:c>
      <x:c r="Q259" s="18" t="str">
        <x:v>KMS MONDIALLE PRIVATE LIMITED</x:v>
      </x:c>
      <x:c r="R259" s="18" t="str">
        <x:v>Mr. Rajeev Mannadiar</x:v>
      </x:c>
      <x:c r="S259" s="18" t="str">
        <x:v>2026-07-21</x:v>
      </x:c>
      <x:c r="T259" s="18" t="str">
        <x:v>Public Announcement of Corporate Insolvency Resolution Process</x:v>
      </x:c>
      <x:c r="U259" s="18" t="str"/>
      <x:c r="V259" s="18" t="str">
        <x:v>DEFINED_TERMINAL_OR_FEED_SCOPE</x:v>
      </x:c>
      <x:c r="W259" s="18" t="str">
        <x:v>national_ibbi_announcements.json — published records loaded</x:v>
      </x:c>
      <x:c r="X259" s="18" t="str"/>
      <x:c r="Y259" s="18" t="str"/>
      <x:c r="Z259" s="20" t="n">
        <x:v>434</x:v>
      </x:c>
      <x:c r="AA259" s="19" t="n">
        <x:f>IFERROR(TODAY()-DATEVALUE(C259),"")</x:f>
        <x:v>65</x:v>
      </x:c>
      <x:c r="AB259" s="21" t="n">
        <x:f>ROUND(COUNTA(A259:K259)/11*100,0)</x:f>
        <x:v>100</x:v>
      </x:c>
      <x:c r="AC259" s="18" t="str">
        <x:v>National Company Law Tribunal</x:v>
      </x:c>
      <x:c r="AD259" s="22" t="str">
        <x:v>https://ibbi.gov.in/uploads/announcement/511bad41b8b35f345938a1e17f3e8062.pdf</x:v>
      </x:c>
      <x:c r="AE259" s="18" t="str">
        <x:v>2026-07-07</x:v>
      </x:c>
      <x:c r="AF259" s="18" t="n">
        <x:v>46275.114583333336</x:v>
      </x:c>
      <x:c r="AG259" s="18" t="str">
        <x:v>retained_terminal</x:v>
      </x:c>
      <x:c r="AH259" s="18" t="str">
        <x:v>READY</x:v>
      </x:c>
    </x:row>
    <x:row r="260">
      <x:c r="A260" s="18" t="str">
        <x:v>NYT-47-80fbeaa65a421f31</x:v>
      </x:c>
      <x:c r="B260" s="18" t="str">
        <x:v>NCLT / NCLAT (Insolvency) source coverage</x:v>
      </x:c>
      <x:c r="C260" s="18" t="str">
        <x:v>2026-07-07</x:v>
      </x:c>
      <x:c r="D260" s="18" t="n">
        <x:v>2026</x:v>
      </x:c>
      <x:c r="E260" s="18" t="str">
        <x:v>2026-07</x:v>
      </x:c>
      <x:c r="F260" s="18" t="str"/>
      <x:c r="G260" s="18" t="str">
        <x:v>Public Announcement of Voluntary Liquidation Process</x:v>
      </x:c>
      <x:c r="H260" s="18" t="str"/>
      <x:c r="I260" s="18" t="str"/>
      <x:c r="J260" s="20" t="str"/>
      <x:c r="K260" s="18" t="str"/>
      <x:c r="L260" s="18" t="str"/>
      <x:c r="M260" s="18" t="str">
        <x:v>2026-07-07</x:v>
      </x:c>
      <x:c r="N260" s="18" t="str"/>
      <x:c r="O260" s="18" t="str">
        <x:v>ibbi_1dr8yko</x:v>
      </x:c>
      <x:c r="P260" s="18" t="str">
        <x:v>BRIDGETALENT PRIVATE LIMITED</x:v>
      </x:c>
      <x:c r="Q260" s="18" t="str">
        <x:v>BRIDGETALENT PRIVATE LIMITED</x:v>
      </x:c>
      <x:c r="R260" s="18" t="str">
        <x:v>Ms. Varsha Shyamprasad Limaye</x:v>
      </x:c>
      <x:c r="S260" s="18" t="str">
        <x:v>2026-08-06</x:v>
      </x:c>
      <x:c r="T260" s="18" t="str">
        <x:v>Public Announcement of Voluntary Liquidation Process</x:v>
      </x:c>
      <x:c r="U260" s="18" t="str"/>
      <x:c r="V260" s="18" t="str">
        <x:v>DEFINED_TERMINAL_OR_FEED_SCOPE</x:v>
      </x:c>
      <x:c r="W260" s="18" t="str">
        <x:v>national_ibbi_announcements.json — published records loaded</x:v>
      </x:c>
      <x:c r="X260" s="18" t="str"/>
      <x:c r="Y260" s="18" t="str"/>
      <x:c r="Z260" s="20" t="n">
        <x:v>434</x:v>
      </x:c>
      <x:c r="AA260" s="19" t="n">
        <x:f>IFERROR(TODAY()-DATEVALUE(C260),"")</x:f>
        <x:v>65</x:v>
      </x:c>
      <x:c r="AB260" s="21" t="n">
        <x:f>ROUND(COUNTA(A260:K260)/11*100,0)</x:f>
        <x:v>100</x:v>
      </x:c>
      <x:c r="AC260" s="18" t="str">
        <x:v>National Company Law Tribunal</x:v>
      </x:c>
      <x:c r="AD260" s="22" t="str">
        <x:v>https://ibbi.gov.in/uploads/announcement/471d4fed98a092cb5b8c534034e21f46.pdf</x:v>
      </x:c>
      <x:c r="AE260" s="18" t="str">
        <x:v>2026-07-07</x:v>
      </x:c>
      <x:c r="AF260" s="18" t="n">
        <x:v>46275.114583333336</x:v>
      </x:c>
      <x:c r="AG260" s="18" t="str">
        <x:v>retained_terminal</x:v>
      </x:c>
      <x:c r="AH260" s="18" t="str">
        <x:v>READY</x:v>
      </x:c>
    </x:row>
    <x:row r="261">
      <x:c r="A261" s="18" t="str">
        <x:v>NYT-47-6c246fe0e17f9440</x:v>
      </x:c>
      <x:c r="B261" s="18" t="str">
        <x:v>NCLT / NCLAT (Insolvency) source coverage</x:v>
      </x:c>
      <x:c r="C261" s="18" t="str">
        <x:v>2026-07-07</x:v>
      </x:c>
      <x:c r="D261" s="18" t="n">
        <x:v>2026</x:v>
      </x:c>
      <x:c r="E261" s="18" t="str">
        <x:v>2026-07</x:v>
      </x:c>
      <x:c r="F261" s="18" t="str"/>
      <x:c r="G261" s="18" t="str">
        <x:v>Public Announcement of Liquidation Process</x:v>
      </x:c>
      <x:c r="H261" s="18" t="str"/>
      <x:c r="I261" s="18" t="str"/>
      <x:c r="J261" s="20" t="str"/>
      <x:c r="K261" s="18" t="str"/>
      <x:c r="L261" s="18" t="str"/>
      <x:c r="M261" s="18" t="str">
        <x:v>2026-07-07</x:v>
      </x:c>
      <x:c r="N261" s="18" t="str"/>
      <x:c r="O261" s="18" t="str">
        <x:v>ibbi_1mrs21o</x:v>
      </x:c>
      <x:c r="P261" s="18" t="str">
        <x:v>Mr Arun Kishanlal Bagaria</x:v>
      </x:c>
      <x:c r="Q261" s="18" t="str">
        <x:v>VIAROMANAA FASHIONS (INDIA) PRIVATE LIMITED</x:v>
      </x:c>
      <x:c r="R261" s="18" t="str">
        <x:v>Mr. Chetan T. Shah</x:v>
      </x:c>
      <x:c r="S261" s="18" t="str">
        <x:v>2026-07-10</x:v>
      </x:c>
      <x:c r="T261" s="18" t="str">
        <x:v>Public Announcement of Liquidation Process</x:v>
      </x:c>
      <x:c r="U261" s="18" t="str"/>
      <x:c r="V261" s="18" t="str">
        <x:v>DEFINED_TERMINAL_OR_FEED_SCOPE</x:v>
      </x:c>
      <x:c r="W261" s="18" t="str">
        <x:v>national_ibbi_announcements.json — published records loaded</x:v>
      </x:c>
      <x:c r="X261" s="18" t="str"/>
      <x:c r="Y261" s="18" t="str"/>
      <x:c r="Z261" s="20" t="n">
        <x:v>434</x:v>
      </x:c>
      <x:c r="AA261" s="19" t="n">
        <x:f>IFERROR(TODAY()-DATEVALUE(C261),"")</x:f>
        <x:v>65</x:v>
      </x:c>
      <x:c r="AB261" s="21" t="n">
        <x:f>ROUND(COUNTA(A261:K261)/11*100,0)</x:f>
        <x:v>100</x:v>
      </x:c>
      <x:c r="AC261" s="18" t="str">
        <x:v>National Company Law Tribunal</x:v>
      </x:c>
      <x:c r="AD261" s="22" t="str">
        <x:v>https://ibbi.gov.in/uploads/announcement/d5c64fd2e12a57e658f3be37dc8a1fc5.pdf</x:v>
      </x:c>
      <x:c r="AE261" s="18" t="str">
        <x:v>2026-07-07</x:v>
      </x:c>
      <x:c r="AF261" s="18" t="n">
        <x:v>46275.114583333336</x:v>
      </x:c>
      <x:c r="AG261" s="18" t="str">
        <x:v>retained_terminal</x:v>
      </x:c>
      <x:c r="AH261" s="18" t="str">
        <x:v>READY</x:v>
      </x:c>
    </x:row>
    <x:row r="262">
      <x:c r="A262" s="18" t="str">
        <x:v>NYT-47-bf55a94e11c9856c</x:v>
      </x:c>
      <x:c r="B262" s="18" t="str">
        <x:v>NCLT / NCLAT (Insolvency) source coverage</x:v>
      </x:c>
      <x:c r="C262" s="18" t="str">
        <x:v>2026-07-06</x:v>
      </x:c>
      <x:c r="D262" s="18" t="n">
        <x:v>2026</x:v>
      </x:c>
      <x:c r="E262" s="18" t="str">
        <x:v>2026-07</x:v>
      </x:c>
      <x:c r="F262" s="18" t="str"/>
      <x:c r="G262" s="18" t="str">
        <x:v>Public Announcement of Voluntary Liquidation Process</x:v>
      </x:c>
      <x:c r="H262" s="18" t="str"/>
      <x:c r="I262" s="18" t="str"/>
      <x:c r="J262" s="20" t="str"/>
      <x:c r="K262" s="18" t="str"/>
      <x:c r="L262" s="18" t="str"/>
      <x:c r="M262" s="18" t="str">
        <x:v>2026-07-06</x:v>
      </x:c>
      <x:c r="N262" s="18" t="str"/>
      <x:c r="O262" s="18" t="str">
        <x:v>ibbi_whrg7h</x:v>
      </x:c>
      <x:c r="P262" s="18" t="str">
        <x:v>TCI Research Private Limited</x:v>
      </x:c>
      <x:c r="Q262" s="18" t="str">
        <x:v>TCI RESEARCH PRIVATE LIMITED</x:v>
      </x:c>
      <x:c r="R262" s="18" t="str">
        <x:v>Mr. Ratnakar Shetty</x:v>
      </x:c>
      <x:c r="S262" s="18" t="str">
        <x:v>2026-08-01</x:v>
      </x:c>
      <x:c r="T262" s="18" t="str">
        <x:v>Public Announcement of Voluntary Liquidation Process</x:v>
      </x:c>
      <x:c r="U262" s="18" t="str"/>
      <x:c r="V262" s="18" t="str">
        <x:v>DEFINED_TERMINAL_OR_FEED_SCOPE</x:v>
      </x:c>
      <x:c r="W262" s="18" t="str">
        <x:v>national_ibbi_announcements.json — published records loaded</x:v>
      </x:c>
      <x:c r="X262" s="18" t="str"/>
      <x:c r="Y262" s="18" t="str"/>
      <x:c r="Z262" s="20" t="n">
        <x:v>434</x:v>
      </x:c>
      <x:c r="AA262" s="19" t="n">
        <x:f>IFERROR(TODAY()-DATEVALUE(C262),"")</x:f>
        <x:v>66</x:v>
      </x:c>
      <x:c r="AB262" s="21" t="n">
        <x:f>ROUND(COUNTA(A262:K262)/11*100,0)</x:f>
        <x:v>100</x:v>
      </x:c>
      <x:c r="AC262" s="18" t="str">
        <x:v>National Company Law Tribunal</x:v>
      </x:c>
      <x:c r="AD262" s="22" t="str">
        <x:v>https://ibbi.gov.in/uploads/announcement/4c27caf362dc64a3246804d61762a1e8.pdf</x:v>
      </x:c>
      <x:c r="AE262" s="18" t="str">
        <x:v>2026-07-06</x:v>
      </x:c>
      <x:c r="AF262" s="18" t="n">
        <x:v>46275.114583333336</x:v>
      </x:c>
      <x:c r="AG262" s="18" t="str">
        <x:v>retained_terminal</x:v>
      </x:c>
      <x:c r="AH262" s="18" t="str">
        <x:v>READY</x:v>
      </x:c>
    </x:row>
    <x:row r="263">
      <x:c r="A263" s="18" t="str">
        <x:v>NYT-47-28f895b43a5a1e24</x:v>
      </x:c>
      <x:c r="B263" s="18" t="str">
        <x:v>NCLT / NCLAT (Insolvency) source coverage</x:v>
      </x:c>
      <x:c r="C263" s="18" t="str">
        <x:v>2026-07-05</x:v>
      </x:c>
      <x:c r="D263" s="18" t="n">
        <x:v>2026</x:v>
      </x:c>
      <x:c r="E263" s="18" t="str">
        <x:v>2026-07</x:v>
      </x:c>
      <x:c r="F263" s="18" t="str"/>
      <x:c r="G263" s="18" t="str">
        <x:v>Public Announcement of Corporate Insolvency Resolution Process</x:v>
      </x:c>
      <x:c r="H263" s="18" t="str"/>
      <x:c r="I263" s="18" t="str"/>
      <x:c r="J263" s="20" t="str"/>
      <x:c r="K263" s="18" t="str"/>
      <x:c r="L263" s="18" t="str"/>
      <x:c r="M263" s="18" t="str">
        <x:v>2026-07-05</x:v>
      </x:c>
      <x:c r="N263" s="18" t="str"/>
      <x:c r="O263" s="18" t="str">
        <x:v>ibbi_fla8pj</x:v>
      </x:c>
      <x:c r="P263" s="18" t="str">
        <x:v>Hon'ble NCLT Amaravati Bench</x:v>
      </x:c>
      <x:c r="Q263" s="18" t="str">
        <x:v>BLACKBURN FUELS PRIVATE LIMITED</x:v>
      </x:c>
      <x:c r="R263" s="18" t="str">
        <x:v>MYLAVARAPU SUJATA</x:v>
      </x:c>
      <x:c r="S263" s="18" t="str">
        <x:v>2026-07-14</x:v>
      </x:c>
      <x:c r="T263" s="18" t="str">
        <x:v>Public Announcement of Corporate Insolvency Resolution Process</x:v>
      </x:c>
      <x:c r="U263" s="18" t="str"/>
      <x:c r="V263" s="18" t="str">
        <x:v>DEFINED_TERMINAL_OR_FEED_SCOPE</x:v>
      </x:c>
      <x:c r="W263" s="18" t="str">
        <x:v>national_ibbi_announcements.json — published records loaded</x:v>
      </x:c>
      <x:c r="X263" s="18" t="str"/>
      <x:c r="Y263" s="18" t="str"/>
      <x:c r="Z263" s="20" t="n">
        <x:v>434</x:v>
      </x:c>
      <x:c r="AA263" s="19" t="n">
        <x:f>IFERROR(TODAY()-DATEVALUE(C263),"")</x:f>
        <x:v>67</x:v>
      </x:c>
      <x:c r="AB263" s="21" t="n">
        <x:f>ROUND(COUNTA(A263:K263)/11*100,0)</x:f>
        <x:v>100</x:v>
      </x:c>
      <x:c r="AC263" s="18" t="str">
        <x:v>National Company Law Tribunal</x:v>
      </x:c>
      <x:c r="AD263" s="22" t="str">
        <x:v>https://ibbi.gov.in/uploads/announcement/c8b484893f0760c54ba1b76a53119cbe.pdf</x:v>
      </x:c>
      <x:c r="AE263" s="18" t="str">
        <x:v>2026-07-05</x:v>
      </x:c>
      <x:c r="AF263" s="18" t="n">
        <x:v>46275.114583333336</x:v>
      </x:c>
      <x:c r="AG263" s="18" t="str">
        <x:v>retained_terminal</x:v>
      </x:c>
      <x:c r="AH263" s="18" t="str">
        <x:v>READY</x:v>
      </x:c>
    </x:row>
    <x:row r="264">
      <x:c r="A264" s="18" t="str">
        <x:v>NYT-47-b97bf4c6b3de6648</x:v>
      </x:c>
      <x:c r="B264" s="18" t="str">
        <x:v>NCLT / NCLAT (Insolvency) source coverage</x:v>
      </x:c>
      <x:c r="C264" s="18" t="str">
        <x:v>2026-07-04</x:v>
      </x:c>
      <x:c r="D264" s="18" t="n">
        <x:v>2026</x:v>
      </x:c>
      <x:c r="E264" s="18" t="str">
        <x:v>2026-07</x:v>
      </x:c>
      <x:c r="F264" s="18" t="str"/>
      <x:c r="G264" s="18" t="str">
        <x:v>Public Announcement of Liquidation Process</x:v>
      </x:c>
      <x:c r="H264" s="18" t="str"/>
      <x:c r="I264" s="18" t="str"/>
      <x:c r="J264" s="20" t="str"/>
      <x:c r="K264" s="18" t="str"/>
      <x:c r="L264" s="18" t="str"/>
      <x:c r="M264" s="18" t="str">
        <x:v>2026-07-04</x:v>
      </x:c>
      <x:c r="N264" s="18" t="str"/>
      <x:c r="O264" s="18" t="str">
        <x:v>ibbi_1b42grt</x:v>
      </x:c>
      <x:c r="P264" s="18" t="str">
        <x:v>Immix Trade Private Limited</x:v>
      </x:c>
      <x:c r="Q264" s="18" t="str">
        <x:v>Sunrise Properties Prviate Limited</x:v>
      </x:c>
      <x:c r="R264" s="18" t="str">
        <x:v>Siddhant Agrawal</x:v>
      </x:c>
      <x:c r="S264" s="18" t="str">
        <x:v>2026-07-15</x:v>
      </x:c>
      <x:c r="T264" s="18" t="str">
        <x:v>Public Announcement of Liquidation Process</x:v>
      </x:c>
      <x:c r="U264" s="18" t="str"/>
      <x:c r="V264" s="18" t="str">
        <x:v>DEFINED_TERMINAL_OR_FEED_SCOPE</x:v>
      </x:c>
      <x:c r="W264" s="18" t="str">
        <x:v>national_ibbi_announcements.json — published records loaded</x:v>
      </x:c>
      <x:c r="X264" s="18" t="str"/>
      <x:c r="Y264" s="18" t="str"/>
      <x:c r="Z264" s="20" t="n">
        <x:v>434</x:v>
      </x:c>
      <x:c r="AA264" s="19" t="n">
        <x:f>IFERROR(TODAY()-DATEVALUE(C264),"")</x:f>
        <x:v>68</x:v>
      </x:c>
      <x:c r="AB264" s="21" t="n">
        <x:f>ROUND(COUNTA(A264:K264)/11*100,0)</x:f>
        <x:v>100</x:v>
      </x:c>
      <x:c r="AC264" s="18" t="str">
        <x:v>National Company Law Tribunal</x:v>
      </x:c>
      <x:c r="AD264" s="22" t="str">
        <x:v>https://ibbi.gov.in/uploads/announcement/2026-07-07-104401-gbmoj-5c06ce6c0111806ecfd4fbad7e27f559.pdf</x:v>
      </x:c>
      <x:c r="AE264" s="18" t="str">
        <x:v>2026-07-04</x:v>
      </x:c>
      <x:c r="AF264" s="18" t="n">
        <x:v>46275.114583333336</x:v>
      </x:c>
      <x:c r="AG264" s="18" t="str">
        <x:v>retained_terminal</x:v>
      </x:c>
      <x:c r="AH264" s="18" t="str">
        <x:v>READY</x:v>
      </x:c>
    </x:row>
    <x:row r="265">
      <x:c r="A265" s="18" t="str">
        <x:v>NYT-47-fe0095b9db835a4b</x:v>
      </x:c>
      <x:c r="B265" s="18" t="str">
        <x:v>NCLT / NCLAT (Insolvency) source coverage</x:v>
      </x:c>
      <x:c r="C265" s="18" t="str">
        <x:v>2026-07-04</x:v>
      </x:c>
      <x:c r="D265" s="18" t="n">
        <x:v>2026</x:v>
      </x:c>
      <x:c r="E265" s="18" t="str">
        <x:v>2026-07</x:v>
      </x:c>
      <x:c r="F265" s="18" t="str"/>
      <x:c r="G265" s="18" t="str">
        <x:v>Public Announcement of Corporate Insolvency Resolution Process</x:v>
      </x:c>
      <x:c r="H265" s="18" t="str"/>
      <x:c r="I265" s="18" t="str"/>
      <x:c r="J265" s="20" t="str"/>
      <x:c r="K265" s="18" t="str"/>
      <x:c r="L265" s="18" t="str"/>
      <x:c r="M265" s="18" t="str">
        <x:v>2026-07-04</x:v>
      </x:c>
      <x:c r="N265" s="18" t="str"/>
      <x:c r="O265" s="18" t="str">
        <x:v>ibbi_1koc9tz</x:v>
      </x:c>
      <x:c r="P265" s="18" t="str">
        <x:v>ICICI Bank Ltd.</x:v>
      </x:c>
      <x:c r="Q265" s="18" t="str">
        <x:v>Creativity at Best Technologies Limited</x:v>
      </x:c>
      <x:c r="R265" s="18" t="str">
        <x:v>Mr. Anil Kohli</x:v>
      </x:c>
      <x:c r="S265" s="18" t="str">
        <x:v>2026-07-16</x:v>
      </x:c>
      <x:c r="T265" s="18" t="str">
        <x:v>Public Announcement of Corporate Insolvency Resolution Process</x:v>
      </x:c>
      <x:c r="U265" s="18" t="str"/>
      <x:c r="V265" s="18" t="str">
        <x:v>DEFINED_TERMINAL_OR_FEED_SCOPE</x:v>
      </x:c>
      <x:c r="W265" s="18" t="str">
        <x:v>national_ibbi_announcements.json — published records loaded</x:v>
      </x:c>
      <x:c r="X265" s="18" t="str"/>
      <x:c r="Y265" s="18" t="str"/>
      <x:c r="Z265" s="20" t="n">
        <x:v>434</x:v>
      </x:c>
      <x:c r="AA265" s="19" t="n">
        <x:f>IFERROR(TODAY()-DATEVALUE(C265),"")</x:f>
        <x:v>68</x:v>
      </x:c>
      <x:c r="AB265" s="21" t="n">
        <x:f>ROUND(COUNTA(A265:K265)/11*100,0)</x:f>
        <x:v>100</x:v>
      </x:c>
      <x:c r="AC265" s="18" t="str">
        <x:v>National Company Law Tribunal</x:v>
      </x:c>
      <x:c r="AD265" s="22" t="str">
        <x:v>https://ibbi.gov.in/uploads/announcement/416464132d47a422c935955a055a20b3.pdf</x:v>
      </x:c>
      <x:c r="AE265" s="18" t="str">
        <x:v>2026-07-04</x:v>
      </x:c>
      <x:c r="AF265" s="18" t="n">
        <x:v>46275.114583333336</x:v>
      </x:c>
      <x:c r="AG265" s="18" t="str">
        <x:v>retained_terminal</x:v>
      </x:c>
      <x:c r="AH265" s="18" t="str">
        <x:v>READY</x:v>
      </x:c>
    </x:row>
    <x:row r="266">
      <x:c r="A266" s="18" t="str">
        <x:v>NYT-47-1ee19ff6fd66fc62</x:v>
      </x:c>
      <x:c r="B266" s="18" t="str">
        <x:v>NCLT / NCLAT (Insolvency) source coverage</x:v>
      </x:c>
      <x:c r="C266" s="18" t="str">
        <x:v>2026-07-04</x:v>
      </x:c>
      <x:c r="D266" s="18" t="n">
        <x:v>2026</x:v>
      </x:c>
      <x:c r="E266" s="18" t="str">
        <x:v>2026-07</x:v>
      </x:c>
      <x:c r="F266" s="18" t="str"/>
      <x:c r="G266" s="18" t="str">
        <x:v>Public Announcement of Corporate Insolvency Resolution Process</x:v>
      </x:c>
      <x:c r="H266" s="18" t="str"/>
      <x:c r="I266" s="18" t="str"/>
      <x:c r="J266" s="20" t="str"/>
      <x:c r="K266" s="18" t="str"/>
      <x:c r="L266" s="18" t="str"/>
      <x:c r="M266" s="18" t="str">
        <x:v>2026-07-04</x:v>
      </x:c>
      <x:c r="N266" s="18" t="str"/>
      <x:c r="O266" s="18" t="str">
        <x:v>ibbi_15ks21e</x:v>
      </x:c>
      <x:c r="P266" s="18" t="str">
        <x:v>PASHUPATI FACILITY AND MANAGEMENT SERVICE PRIVATE LIMITED</x:v>
      </x:c>
      <x:c r="Q266" s="18" t="str">
        <x:v>PRODOT MEDIA PRIVATE LIMITED</x:v>
      </x:c>
      <x:c r="R266" s="18" t="str">
        <x:v>Mr. Rajiv Bajaj</x:v>
      </x:c>
      <x:c r="S266" s="18" t="str">
        <x:v>2026-07-14</x:v>
      </x:c>
      <x:c r="T266" s="18" t="str">
        <x:v>Public Announcement of Corporate Insolvency Resolution Process</x:v>
      </x:c>
      <x:c r="U266" s="18" t="str"/>
      <x:c r="V266" s="18" t="str">
        <x:v>DEFINED_TERMINAL_OR_FEED_SCOPE</x:v>
      </x:c>
      <x:c r="W266" s="18" t="str">
        <x:v>national_ibbi_announcements.json — published records loaded</x:v>
      </x:c>
      <x:c r="X266" s="18" t="str"/>
      <x:c r="Y266" s="18" t="str"/>
      <x:c r="Z266" s="20" t="n">
        <x:v>434</x:v>
      </x:c>
      <x:c r="AA266" s="19" t="n">
        <x:f>IFERROR(TODAY()-DATEVALUE(C266),"")</x:f>
        <x:v>68</x:v>
      </x:c>
      <x:c r="AB266" s="21" t="n">
        <x:f>ROUND(COUNTA(A266:K266)/11*100,0)</x:f>
        <x:v>100</x:v>
      </x:c>
      <x:c r="AC266" s="18" t="str">
        <x:v>National Company Law Tribunal</x:v>
      </x:c>
      <x:c r="AD266" s="22" t="str">
        <x:v>https://ibbi.gov.in/uploads/announcement/b34ebcaf690971dddf900f42dfdaf901.pdf</x:v>
      </x:c>
      <x:c r="AE266" s="18" t="str">
        <x:v>2026-07-04</x:v>
      </x:c>
      <x:c r="AF266" s="18" t="n">
        <x:v>46275.114583333336</x:v>
      </x:c>
      <x:c r="AG266" s="18" t="str">
        <x:v>retained_terminal</x:v>
      </x:c>
      <x:c r="AH266" s="18" t="str">
        <x:v>READY</x:v>
      </x:c>
    </x:row>
    <x:row r="267">
      <x:c r="A267" s="18" t="str">
        <x:v>NYT-47-805f8098d426dc63</x:v>
      </x:c>
      <x:c r="B267" s="18" t="str">
        <x:v>NCLT / NCLAT (Insolvency) source coverage</x:v>
      </x:c>
      <x:c r="C267" s="18" t="str">
        <x:v>2026-07-04</x:v>
      </x:c>
      <x:c r="D267" s="18" t="n">
        <x:v>2026</x:v>
      </x:c>
      <x:c r="E267" s="18" t="str">
        <x:v>2026-07</x:v>
      </x:c>
      <x:c r="F267" s="18" t="str"/>
      <x:c r="G267" s="18" t="str">
        <x:v>Public Announcement of Liquidation Process</x:v>
      </x:c>
      <x:c r="H267" s="18" t="str"/>
      <x:c r="I267" s="18" t="str"/>
      <x:c r="J267" s="20" t="str"/>
      <x:c r="K267" s="18" t="str"/>
      <x:c r="L267" s="18" t="str"/>
      <x:c r="M267" s="18" t="str">
        <x:v>2026-07-04</x:v>
      </x:c>
      <x:c r="N267" s="18" t="str"/>
      <x:c r="O267" s="18" t="str">
        <x:v>ibbi_k9xisw</x:v>
      </x:c>
      <x:c r="P267" s="18" t="str">
        <x:v>One 97 Communication Ltd</x:v>
      </x:c>
      <x:c r="Q267" s="18" t="str">
        <x:v>GOETC PRIVATE LIMITED</x:v>
      </x:c>
      <x:c r="R267" s="18" t="str">
        <x:v>HARALAHALLI SHEKARAPPA CHANDRASEKAR</x:v>
      </x:c>
      <x:c r="S267" s="18" t="str">
        <x:v>2026-07-30</x:v>
      </x:c>
      <x:c r="T267" s="18" t="str">
        <x:v>Public Announcement of Liquidation Process</x:v>
      </x:c>
      <x:c r="U267" s="18" t="str"/>
      <x:c r="V267" s="18" t="str">
        <x:v>DEFINED_TERMINAL_OR_FEED_SCOPE</x:v>
      </x:c>
      <x:c r="W267" s="18" t="str">
        <x:v>national_ibbi_announcements.json — published records loaded</x:v>
      </x:c>
      <x:c r="X267" s="18" t="str"/>
      <x:c r="Y267" s="18" t="str"/>
      <x:c r="Z267" s="20" t="n">
        <x:v>434</x:v>
      </x:c>
      <x:c r="AA267" s="19" t="n">
        <x:f>IFERROR(TODAY()-DATEVALUE(C267),"")</x:f>
        <x:v>68</x:v>
      </x:c>
      <x:c r="AB267" s="21" t="n">
        <x:f>ROUND(COUNTA(A267:K267)/11*100,0)</x:f>
        <x:v>100</x:v>
      </x:c>
      <x:c r="AC267" s="18" t="str">
        <x:v>National Company Law Tribunal</x:v>
      </x:c>
      <x:c r="AD267" s="22" t="str">
        <x:v>https://ibbi.gov.in/uploads/announcement/8e86750d7a64f45d6349a245a4269976.pdf</x:v>
      </x:c>
      <x:c r="AE267" s="18" t="str">
        <x:v>2026-07-04</x:v>
      </x:c>
      <x:c r="AF267" s="18" t="n">
        <x:v>46275.114583333336</x:v>
      </x:c>
      <x:c r="AG267" s="18" t="str">
        <x:v>retained_terminal</x:v>
      </x:c>
      <x:c r="AH267" s="18" t="str">
        <x:v>READY</x:v>
      </x:c>
    </x:row>
    <x:row r="268">
      <x:c r="A268" s="18" t="str">
        <x:v>NYT-47-eb1c5689be020b6a</x:v>
      </x:c>
      <x:c r="B268" s="18" t="str">
        <x:v>NCLT / NCLAT (Insolvency) source coverage</x:v>
      </x:c>
      <x:c r="C268" s="18" t="str">
        <x:v>2026-07-04</x:v>
      </x:c>
      <x:c r="D268" s="18" t="n">
        <x:v>2026</x:v>
      </x:c>
      <x:c r="E268" s="18" t="str">
        <x:v>2026-07</x:v>
      </x:c>
      <x:c r="F268" s="18" t="str"/>
      <x:c r="G268" s="18" t="str">
        <x:v>Public Announcement of Corporate Insolvency Resolution Process</x:v>
      </x:c>
      <x:c r="H268" s="18" t="str"/>
      <x:c r="I268" s="18" t="str"/>
      <x:c r="J268" s="20" t="str"/>
      <x:c r="K268" s="18" t="str"/>
      <x:c r="L268" s="18" t="str"/>
      <x:c r="M268" s="18" t="str">
        <x:v>2026-07-04</x:v>
      </x:c>
      <x:c r="N268" s="18" t="str"/>
      <x:c r="O268" s="18" t="str">
        <x:v>ibbi_o7te1w</x:v>
      </x:c>
      <x:c r="P268" s="18" t="str">
        <x:v>PASHUPATI FACILITY AND MANAGEMENT SERVICE PRIVATE LIMITED</x:v>
      </x:c>
      <x:c r="Q268" s="18" t="str">
        <x:v>OJAAN REALTY PRIVATE LIMITED</x:v>
      </x:c>
      <x:c r="R268" s="18" t="str">
        <x:v>Mr. Rajiv Bajaj</x:v>
      </x:c>
      <x:c r="S268" s="18" t="str">
        <x:v>2026-07-14</x:v>
      </x:c>
      <x:c r="T268" s="18" t="str">
        <x:v>Public Announcement of Corporate Insolvency Resolution Process</x:v>
      </x:c>
      <x:c r="U268" s="18" t="str"/>
      <x:c r="V268" s="18" t="str">
        <x:v>DEFINED_TERMINAL_OR_FEED_SCOPE</x:v>
      </x:c>
      <x:c r="W268" s="18" t="str">
        <x:v>national_ibbi_announcements.json — published records loaded</x:v>
      </x:c>
      <x:c r="X268" s="18" t="str"/>
      <x:c r="Y268" s="18" t="str"/>
      <x:c r="Z268" s="20" t="n">
        <x:v>434</x:v>
      </x:c>
      <x:c r="AA268" s="19" t="n">
        <x:f>IFERROR(TODAY()-DATEVALUE(C268),"")</x:f>
        <x:v>68</x:v>
      </x:c>
      <x:c r="AB268" s="21" t="n">
        <x:f>ROUND(COUNTA(A268:K268)/11*100,0)</x:f>
        <x:v>100</x:v>
      </x:c>
      <x:c r="AC268" s="18" t="str">
        <x:v>National Company Law Tribunal</x:v>
      </x:c>
      <x:c r="AD268" s="22" t="str">
        <x:v>https://ibbi.gov.in/uploads/announcement/2026-07-04-165607-6ng9u-b665ca9c76161e1e81bb575684e3f64c.pdf</x:v>
      </x:c>
      <x:c r="AE268" s="18" t="str">
        <x:v>2026-07-04</x:v>
      </x:c>
      <x:c r="AF268" s="18" t="n">
        <x:v>46275.114583333336</x:v>
      </x:c>
      <x:c r="AG268" s="18" t="str">
        <x:v>retained_terminal</x:v>
      </x:c>
      <x:c r="AH268" s="18" t="str">
        <x:v>READY</x:v>
      </x:c>
    </x:row>
    <x:row r="269">
      <x:c r="A269" s="18" t="str">
        <x:v>NYT-47-fba537a1db6ef3b8</x:v>
      </x:c>
      <x:c r="B269" s="18" t="str">
        <x:v>NCLT / NCLAT (Insolvency) source coverage</x:v>
      </x:c>
      <x:c r="C269" s="18" t="str">
        <x:v>2026-07-04</x:v>
      </x:c>
      <x:c r="D269" s="18" t="n">
        <x:v>2026</x:v>
      </x:c>
      <x:c r="E269" s="18" t="str">
        <x:v>2026-07</x:v>
      </x:c>
      <x:c r="F269" s="18" t="str"/>
      <x:c r="G269" s="18" t="str">
        <x:v>Public Announcement of Corporate Insolvency Resolution Process</x:v>
      </x:c>
      <x:c r="H269" s="18" t="str"/>
      <x:c r="I269" s="18" t="str"/>
      <x:c r="J269" s="20" t="str"/>
      <x:c r="K269" s="18" t="str"/>
      <x:c r="L269" s="18" t="str"/>
      <x:c r="M269" s="18" t="str">
        <x:v>2026-07-04</x:v>
      </x:c>
      <x:c r="N269" s="18" t="str"/>
      <x:c r="O269" s="18" t="str">
        <x:v>ibbi_12a5si4</x:v>
      </x:c>
      <x:c r="P269" s="18" t="str">
        <x:v>Vinsan Credit &amp; Securities Limited</x:v>
      </x:c>
      <x:c r="Q269" s="18" t="str">
        <x:v>M.U. BUILDCON PRIVATE LIMITED</x:v>
      </x:c>
      <x:c r="R269" s="18" t="str">
        <x:v>Ms. Deepa Gupta</x:v>
      </x:c>
      <x:c r="S269" s="18" t="str">
        <x:v>2026-07-14</x:v>
      </x:c>
      <x:c r="T269" s="18" t="str">
        <x:v>Public Announcement of Corporate Insolvency Resolution Process</x:v>
      </x:c>
      <x:c r="U269" s="18" t="str"/>
      <x:c r="V269" s="18" t="str">
        <x:v>DEFINED_TERMINAL_OR_FEED_SCOPE</x:v>
      </x:c>
      <x:c r="W269" s="18" t="str">
        <x:v>national_ibbi_announcements.json — published records loaded</x:v>
      </x:c>
      <x:c r="X269" s="18" t="str"/>
      <x:c r="Y269" s="18" t="str"/>
      <x:c r="Z269" s="20" t="n">
        <x:v>434</x:v>
      </x:c>
      <x:c r="AA269" s="19" t="n">
        <x:f>IFERROR(TODAY()-DATEVALUE(C269),"")</x:f>
        <x:v>68</x:v>
      </x:c>
      <x:c r="AB269" s="21" t="n">
        <x:f>ROUND(COUNTA(A269:K269)/11*100,0)</x:f>
        <x:v>100</x:v>
      </x:c>
      <x:c r="AC269" s="18" t="str">
        <x:v>National Company Law Tribunal</x:v>
      </x:c>
      <x:c r="AD269" s="22" t="str">
        <x:v>https://ibbi.gov.in/uploads/announcement/c3c734e804e16f149be341b29706a5b3.pdf</x:v>
      </x:c>
      <x:c r="AE269" s="18" t="str">
        <x:v>2026-07-04</x:v>
      </x:c>
      <x:c r="AF269" s="18" t="n">
        <x:v>46275.114583333336</x:v>
      </x:c>
      <x:c r="AG269" s="18" t="str">
        <x:v>retained_terminal</x:v>
      </x:c>
      <x:c r="AH269" s="18" t="str">
        <x:v>READY</x:v>
      </x:c>
    </x:row>
    <x:row r="270">
      <x:c r="A270" s="18" t="str">
        <x:v>NYT-47-837b45a92cca2eb7</x:v>
      </x:c>
      <x:c r="B270" s="18" t="str">
        <x:v>NCLT / NCLAT (Insolvency) source coverage</x:v>
      </x:c>
      <x:c r="C270" s="18" t="str">
        <x:v>2026-07-04</x:v>
      </x:c>
      <x:c r="D270" s="18" t="n">
        <x:v>2026</x:v>
      </x:c>
      <x:c r="E270" s="18" t="str">
        <x:v>2026-07</x:v>
      </x:c>
      <x:c r="F270" s="18" t="str"/>
      <x:c r="G270" s="18" t="str">
        <x:v>Public Announcement of Corporate Insolvency Resolution Process</x:v>
      </x:c>
      <x:c r="H270" s="18" t="str"/>
      <x:c r="I270" s="18" t="str"/>
      <x:c r="J270" s="20" t="str"/>
      <x:c r="K270" s="18" t="str"/>
      <x:c r="L270" s="18" t="str"/>
      <x:c r="M270" s="18" t="str">
        <x:v>2026-07-04</x:v>
      </x:c>
      <x:c r="N270" s="18" t="str"/>
      <x:c r="O270" s="18" t="str">
        <x:v>ibbi_9pw9g8</x:v>
      </x:c>
      <x:c r="P270" s="18" t="str">
        <x:v>J And K Integrated Textile Park Ltd</x:v>
      </x:c>
      <x:c r="Q270" s="18" t="str">
        <x:v>ORBIT SPINNING PRIVATE LIMITED</x:v>
      </x:c>
      <x:c r="R270" s="18" t="str">
        <x:v>Rajeev Sharma</x:v>
      </x:c>
      <x:c r="S270" s="18" t="str">
        <x:v>2026-07-15</x:v>
      </x:c>
      <x:c r="T270" s="18" t="str">
        <x:v>Public Announcement of Corporate Insolvency Resolution Process</x:v>
      </x:c>
      <x:c r="U270" s="18" t="str"/>
      <x:c r="V270" s="18" t="str">
        <x:v>DEFINED_TERMINAL_OR_FEED_SCOPE</x:v>
      </x:c>
      <x:c r="W270" s="18" t="str">
        <x:v>national_ibbi_announcements.json — published records loaded</x:v>
      </x:c>
      <x:c r="X270" s="18" t="str"/>
      <x:c r="Y270" s="18" t="str"/>
      <x:c r="Z270" s="20" t="n">
        <x:v>434</x:v>
      </x:c>
      <x:c r="AA270" s="19" t="n">
        <x:f>IFERROR(TODAY()-DATEVALUE(C270),"")</x:f>
        <x:v>68</x:v>
      </x:c>
      <x:c r="AB270" s="21" t="n">
        <x:f>ROUND(COUNTA(A270:K270)/11*100,0)</x:f>
        <x:v>100</x:v>
      </x:c>
      <x:c r="AC270" s="18" t="str">
        <x:v>National Company Law Tribunal</x:v>
      </x:c>
      <x:c r="AD270" s="22" t="str">
        <x:v>https://ibbi.gov.in/uploads/announcement/30ecb86fd4f40a515e09ebe234ef4e0b.pdf</x:v>
      </x:c>
      <x:c r="AE270" s="18" t="str">
        <x:v>2026-07-04</x:v>
      </x:c>
      <x:c r="AF270" s="18" t="n">
        <x:v>46275.114583333336</x:v>
      </x:c>
      <x:c r="AG270" s="18" t="str">
        <x:v>retained_terminal</x:v>
      </x:c>
      <x:c r="AH270" s="18" t="str">
        <x:v>READY</x:v>
      </x:c>
    </x:row>
    <x:row r="271">
      <x:c r="A271" s="18" t="str">
        <x:v>NYT-47-f1d83f8bf5e021c1</x:v>
      </x:c>
      <x:c r="B271" s="18" t="str">
        <x:v>NCLT / NCLAT (Insolvency) source coverage</x:v>
      </x:c>
      <x:c r="C271" s="18" t="str">
        <x:v>2026-07-04</x:v>
      </x:c>
      <x:c r="D271" s="18" t="n">
        <x:v>2026</x:v>
      </x:c>
      <x:c r="E271" s="18" t="str">
        <x:v>2026-07</x:v>
      </x:c>
      <x:c r="F271" s="18" t="str"/>
      <x:c r="G271" s="18" t="str">
        <x:v>Public Announcement of Corporate Insolvency Resolution Process</x:v>
      </x:c>
      <x:c r="H271" s="18" t="str"/>
      <x:c r="I271" s="18" t="str"/>
      <x:c r="J271" s="20" t="str"/>
      <x:c r="K271" s="18" t="str"/>
      <x:c r="L271" s="18" t="str"/>
      <x:c r="M271" s="18" t="str">
        <x:v>2026-07-04</x:v>
      </x:c>
      <x:c r="N271" s="18" t="str"/>
      <x:c r="O271" s="18" t="str">
        <x:v>ibbi_hsfxl9</x:v>
      </x:c>
      <x:c r="P271" s="18" t="str">
        <x:v>J And K Integrated Textile Park Ltd</x:v>
      </x:c>
      <x:c r="Q271" s="18" t="str">
        <x:v>CHENAB INDUSTRIES PRIVATE LIMITED</x:v>
      </x:c>
      <x:c r="R271" s="18" t="str">
        <x:v>Rajeev Sharma</x:v>
      </x:c>
      <x:c r="S271" s="18" t="str">
        <x:v>2026-07-15</x:v>
      </x:c>
      <x:c r="T271" s="18" t="str">
        <x:v>Public Announcement of Corporate Insolvency Resolution Process</x:v>
      </x:c>
      <x:c r="U271" s="18" t="str"/>
      <x:c r="V271" s="18" t="str">
        <x:v>DEFINED_TERMINAL_OR_FEED_SCOPE</x:v>
      </x:c>
      <x:c r="W271" s="18" t="str">
        <x:v>national_ibbi_announcements.json — published records loaded</x:v>
      </x:c>
      <x:c r="X271" s="18" t="str"/>
      <x:c r="Y271" s="18" t="str"/>
      <x:c r="Z271" s="20" t="n">
        <x:v>434</x:v>
      </x:c>
      <x:c r="AA271" s="19" t="n">
        <x:f>IFERROR(TODAY()-DATEVALUE(C271),"")</x:f>
        <x:v>68</x:v>
      </x:c>
      <x:c r="AB271" s="21" t="n">
        <x:f>ROUND(COUNTA(A271:K271)/11*100,0)</x:f>
        <x:v>100</x:v>
      </x:c>
      <x:c r="AC271" s="18" t="str">
        <x:v>National Company Law Tribunal</x:v>
      </x:c>
      <x:c r="AD271" s="22" t="str">
        <x:v>https://ibbi.gov.in/uploads/announcement/36e51529d63d28a75dd5380958a75989.pdf</x:v>
      </x:c>
      <x:c r="AE271" s="18" t="str">
        <x:v>2026-07-04</x:v>
      </x:c>
      <x:c r="AF271" s="18" t="n">
        <x:v>46275.114583333336</x:v>
      </x:c>
      <x:c r="AG271" s="18" t="str">
        <x:v>retained_terminal</x:v>
      </x:c>
      <x:c r="AH271" s="18" t="str">
        <x:v>READY</x:v>
      </x:c>
    </x:row>
    <x:row r="272">
      <x:c r="A272" s="18" t="str">
        <x:v>NYT-47-9a99198d6b013581</x:v>
      </x:c>
      <x:c r="B272" s="18" t="str">
        <x:v>NCLT / NCLAT (Insolvency) source coverage</x:v>
      </x:c>
      <x:c r="C272" s="18" t="str">
        <x:v>2026-07-04</x:v>
      </x:c>
      <x:c r="D272" s="18" t="n">
        <x:v>2026</x:v>
      </x:c>
      <x:c r="E272" s="18" t="str">
        <x:v>2026-07</x:v>
      </x:c>
      <x:c r="F272" s="18" t="str"/>
      <x:c r="G272" s="18" t="str">
        <x:v>Public Announcement of Corporate Insolvency Resolution Process</x:v>
      </x:c>
      <x:c r="H272" s="18" t="str"/>
      <x:c r="I272" s="18" t="str"/>
      <x:c r="J272" s="20" t="str"/>
      <x:c r="K272" s="18" t="str"/>
      <x:c r="L272" s="18" t="str"/>
      <x:c r="M272" s="18" t="str">
        <x:v>2026-07-04</x:v>
      </x:c>
      <x:c r="N272" s="18" t="str"/>
      <x:c r="O272" s="18" t="str">
        <x:v>ibbi_crpz4d</x:v>
      </x:c>
      <x:c r="P272" s="18" t="str">
        <x:v>J And K Integrated Textile Park Ltd</x:v>
      </x:c>
      <x:c r="Q272" s="18" t="str">
        <x:v>TOPLON INDUSTRIES PRIVATE LIMITED</x:v>
      </x:c>
      <x:c r="R272" s="18" t="str">
        <x:v>Rajeev Sharma</x:v>
      </x:c>
      <x:c r="S272" s="18" t="str">
        <x:v>2026-07-15</x:v>
      </x:c>
      <x:c r="T272" s="18" t="str">
        <x:v>Public Announcement of Corporate Insolvency Resolution Process</x:v>
      </x:c>
      <x:c r="U272" s="18" t="str"/>
      <x:c r="V272" s="18" t="str">
        <x:v>DEFINED_TERMINAL_OR_FEED_SCOPE</x:v>
      </x:c>
      <x:c r="W272" s="18" t="str">
        <x:v>national_ibbi_announcements.json — published records loaded</x:v>
      </x:c>
      <x:c r="X272" s="18" t="str"/>
      <x:c r="Y272" s="18" t="str"/>
      <x:c r="Z272" s="20" t="n">
        <x:v>434</x:v>
      </x:c>
      <x:c r="AA272" s="19" t="n">
        <x:f>IFERROR(TODAY()-DATEVALUE(C272),"")</x:f>
        <x:v>68</x:v>
      </x:c>
      <x:c r="AB272" s="21" t="n">
        <x:f>ROUND(COUNTA(A272:K272)/11*100,0)</x:f>
        <x:v>100</x:v>
      </x:c>
      <x:c r="AC272" s="18" t="str">
        <x:v>National Company Law Tribunal</x:v>
      </x:c>
      <x:c r="AD272" s="22" t="str">
        <x:v>https://ibbi.gov.in/uploads/announcement/ba48ea00a6cdd4ae724fd748904f89b4.pdf</x:v>
      </x:c>
      <x:c r="AE272" s="18" t="str">
        <x:v>2026-07-04</x:v>
      </x:c>
      <x:c r="AF272" s="18" t="n">
        <x:v>46275.114583333336</x:v>
      </x:c>
      <x:c r="AG272" s="18" t="str">
        <x:v>retained_terminal</x:v>
      </x:c>
      <x:c r="AH272" s="18" t="str">
        <x:v>READY</x:v>
      </x:c>
    </x:row>
    <x:row r="273">
      <x:c r="A273" s="18" t="str">
        <x:v>NYT-47-debf1ffc133c0a45</x:v>
      </x:c>
      <x:c r="B273" s="18" t="str">
        <x:v>NCLT / NCLAT (Insolvency) source coverage</x:v>
      </x:c>
      <x:c r="C273" s="18" t="str">
        <x:v>2026-07-04</x:v>
      </x:c>
      <x:c r="D273" s="18" t="n">
        <x:v>2026</x:v>
      </x:c>
      <x:c r="E273" s="18" t="str">
        <x:v>2026-07</x:v>
      </x:c>
      <x:c r="F273" s="18" t="str"/>
      <x:c r="G273" s="18" t="str">
        <x:v>Public Announcement of Corporate Insolvency Resolution Process</x:v>
      </x:c>
      <x:c r="H273" s="18" t="str"/>
      <x:c r="I273" s="18" t="str"/>
      <x:c r="J273" s="20" t="str"/>
      <x:c r="K273" s="18" t="str"/>
      <x:c r="L273" s="18" t="str"/>
      <x:c r="M273" s="18" t="str">
        <x:v>2026-07-04</x:v>
      </x:c>
      <x:c r="N273" s="18" t="str"/>
      <x:c r="O273" s="18" t="str">
        <x:v>ibbi_mr5dqc</x:v>
      </x:c>
      <x:c r="P273" s="18" t="str">
        <x:v>J And K Integrated Textile Park Ltd</x:v>
      </x:c>
      <x:c r="Q273" s="18" t="str">
        <x:v>GREEN TEXTORIUM PRIVATE LIMITED</x:v>
      </x:c>
      <x:c r="R273" s="18" t="str">
        <x:v>Rajeev Sharma</x:v>
      </x:c>
      <x:c r="S273" s="18" t="str">
        <x:v>2026-07-15</x:v>
      </x:c>
      <x:c r="T273" s="18" t="str">
        <x:v>Public Announcement of Corporate Insolvency Resolution Process</x:v>
      </x:c>
      <x:c r="U273" s="18" t="str"/>
      <x:c r="V273" s="18" t="str">
        <x:v>DEFINED_TERMINAL_OR_FEED_SCOPE</x:v>
      </x:c>
      <x:c r="W273" s="18" t="str">
        <x:v>national_ibbi_announcements.json — published records loaded</x:v>
      </x:c>
      <x:c r="X273" s="18" t="str"/>
      <x:c r="Y273" s="18" t="str"/>
      <x:c r="Z273" s="20" t="n">
        <x:v>434</x:v>
      </x:c>
      <x:c r="AA273" s="19" t="n">
        <x:f>IFERROR(TODAY()-DATEVALUE(C273),"")</x:f>
        <x:v>68</x:v>
      </x:c>
      <x:c r="AB273" s="21" t="n">
        <x:f>ROUND(COUNTA(A273:K273)/11*100,0)</x:f>
        <x:v>100</x:v>
      </x:c>
      <x:c r="AC273" s="18" t="str">
        <x:v>National Company Law Tribunal</x:v>
      </x:c>
      <x:c r="AD273" s="22" t="str">
        <x:v>https://ibbi.gov.in/uploads/announcement/b6913e3abfd282f79a68716d8aa4bd29.pdf</x:v>
      </x:c>
      <x:c r="AE273" s="18" t="str">
        <x:v>2026-07-04</x:v>
      </x:c>
      <x:c r="AF273" s="18" t="n">
        <x:v>46275.114583333336</x:v>
      </x:c>
      <x:c r="AG273" s="18" t="str">
        <x:v>retained_terminal</x:v>
      </x:c>
      <x:c r="AH273" s="18" t="str">
        <x:v>READY</x:v>
      </x:c>
    </x:row>
    <x:row r="274">
      <x:c r="A274" s="18" t="str">
        <x:v>NYT-47-5d0f9e230c362aef</x:v>
      </x:c>
      <x:c r="B274" s="18" t="str">
        <x:v>NCLT / NCLAT (Insolvency) source coverage</x:v>
      </x:c>
      <x:c r="C274" s="18" t="str">
        <x:v>2026-07-04</x:v>
      </x:c>
      <x:c r="D274" s="18" t="n">
        <x:v>2026</x:v>
      </x:c>
      <x:c r="E274" s="18" t="str">
        <x:v>2026-07</x:v>
      </x:c>
      <x:c r="F274" s="18" t="str"/>
      <x:c r="G274" s="18" t="str">
        <x:v>Public Announcement of Corporate Insolvency Resolution Process</x:v>
      </x:c>
      <x:c r="H274" s="18" t="str"/>
      <x:c r="I274" s="18" t="str"/>
      <x:c r="J274" s="20" t="str"/>
      <x:c r="K274" s="18" t="str"/>
      <x:c r="L274" s="18" t="str"/>
      <x:c r="M274" s="18" t="str">
        <x:v>2026-07-04</x:v>
      </x:c>
      <x:c r="N274" s="18" t="str"/>
      <x:c r="O274" s="18" t="str">
        <x:v>ibbi_1o3d8nq</x:v>
      </x:c>
      <x:c r="P274" s="18" t="str">
        <x:v>J And K Integrated Textile Park Ltd</x:v>
      </x:c>
      <x:c r="Q274" s="18" t="str">
        <x:v>SILKLON PROCESSORS PRIVATE LIMITED</x:v>
      </x:c>
      <x:c r="R274" s="18" t="str">
        <x:v>Rajeev Sharma</x:v>
      </x:c>
      <x:c r="S274" s="18" t="str">
        <x:v>2026-07-15</x:v>
      </x:c>
      <x:c r="T274" s="18" t="str">
        <x:v>Public Announcement of Corporate Insolvency Resolution Process</x:v>
      </x:c>
      <x:c r="U274" s="18" t="str"/>
      <x:c r="V274" s="18" t="str">
        <x:v>DEFINED_TERMINAL_OR_FEED_SCOPE</x:v>
      </x:c>
      <x:c r="W274" s="18" t="str">
        <x:v>national_ibbi_announcements.json — published records loaded</x:v>
      </x:c>
      <x:c r="X274" s="18" t="str"/>
      <x:c r="Y274" s="18" t="str"/>
      <x:c r="Z274" s="20" t="n">
        <x:v>434</x:v>
      </x:c>
      <x:c r="AA274" s="19" t="n">
        <x:f>IFERROR(TODAY()-DATEVALUE(C274),"")</x:f>
        <x:v>68</x:v>
      </x:c>
      <x:c r="AB274" s="21" t="n">
        <x:f>ROUND(COUNTA(A274:K274)/11*100,0)</x:f>
        <x:v>100</x:v>
      </x:c>
      <x:c r="AC274" s="18" t="str">
        <x:v>National Company Law Tribunal</x:v>
      </x:c>
      <x:c r="AD274" s="22" t="str">
        <x:v>https://ibbi.gov.in/uploads/announcement/adab6982c24973308b6baf04fb3e4e06.pdf</x:v>
      </x:c>
      <x:c r="AE274" s="18" t="str">
        <x:v>2026-07-04</x:v>
      </x:c>
      <x:c r="AF274" s="18" t="n">
        <x:v>46275.114583333336</x:v>
      </x:c>
      <x:c r="AG274" s="18" t="str">
        <x:v>retained_terminal</x:v>
      </x:c>
      <x:c r="AH274" s="18" t="str">
        <x:v>READY</x:v>
      </x:c>
    </x:row>
    <x:row r="275">
      <x:c r="A275" s="18" t="str">
        <x:v>NYT-47-70e56156bf2bd280</x:v>
      </x:c>
      <x:c r="B275" s="18" t="str">
        <x:v>NCLT / NCLAT (Insolvency) source coverage</x:v>
      </x:c>
      <x:c r="C275" s="18" t="str">
        <x:v>2026-07-03</x:v>
      </x:c>
      <x:c r="D275" s="18" t="n">
        <x:v>2026</x:v>
      </x:c>
      <x:c r="E275" s="18" t="str">
        <x:v>2026-07</x:v>
      </x:c>
      <x:c r="F275" s="18" t="str"/>
      <x:c r="G275" s="18" t="str">
        <x:v>Public Announcement of Corporate Insolvency Resolution Process</x:v>
      </x:c>
      <x:c r="H275" s="18" t="str"/>
      <x:c r="I275" s="18" t="str"/>
      <x:c r="J275" s="20" t="str"/>
      <x:c r="K275" s="18" t="str"/>
      <x:c r="L275" s="18" t="str"/>
      <x:c r="M275" s="18" t="str">
        <x:v>2026-07-03</x:v>
      </x:c>
      <x:c r="N275" s="18" t="str"/>
      <x:c r="O275" s="18" t="str">
        <x:v>ibbi_1avaxpo</x:v>
      </x:c>
      <x:c r="P275" s="18" t="str">
        <x:v>Jigar Joshi</x:v>
      </x:c>
      <x:c r="Q275" s="18" t="str">
        <x:v>STC VENTURES PRIVATE LIMITED</x:v>
      </x:c>
      <x:c r="R275" s="18" t="str">
        <x:v>PURUSOTTAM BEHERA</x:v>
      </x:c>
      <x:c r="S275" s="18" t="str">
        <x:v>2026-07-14</x:v>
      </x:c>
      <x:c r="T275" s="18" t="str">
        <x:v>Public Announcement of Corporate Insolvency Resolution Process</x:v>
      </x:c>
      <x:c r="U275" s="18" t="str"/>
      <x:c r="V275" s="18" t="str">
        <x:v>DEFINED_TERMINAL_OR_FEED_SCOPE</x:v>
      </x:c>
      <x:c r="W275" s="18" t="str">
        <x:v>national_ibbi_announcements.json — published records loaded</x:v>
      </x:c>
      <x:c r="X275" s="18" t="str"/>
      <x:c r="Y275" s="18" t="str"/>
      <x:c r="Z275" s="20" t="n">
        <x:v>434</x:v>
      </x:c>
      <x:c r="AA275" s="19" t="n">
        <x:f>IFERROR(TODAY()-DATEVALUE(C275),"")</x:f>
        <x:v>69</x:v>
      </x:c>
      <x:c r="AB275" s="21" t="n">
        <x:f>ROUND(COUNTA(A275:K275)/11*100,0)</x:f>
        <x:v>100</x:v>
      </x:c>
      <x:c r="AC275" s="18" t="str">
        <x:v>National Company Law Tribunal</x:v>
      </x:c>
      <x:c r="AD275" s="22" t="str">
        <x:v>https://ibbi.gov.in/uploads/announcement/2026-07-04-123925-py0rc-06f6a489209115c5cef3f45036aad3ec.pdf</x:v>
      </x:c>
      <x:c r="AE275" s="18" t="str">
        <x:v>2026-07-03</x:v>
      </x:c>
      <x:c r="AF275" s="18" t="n">
        <x:v>46275.114583333336</x:v>
      </x:c>
      <x:c r="AG275" s="18" t="str">
        <x:v>retained_terminal</x:v>
      </x:c>
      <x:c r="AH275" s="18" t="str">
        <x:v>READY</x:v>
      </x:c>
    </x:row>
    <x:row r="276">
      <x:c r="A276" s="18" t="str">
        <x:v>NYT-47-b192400b2329be06</x:v>
      </x:c>
      <x:c r="B276" s="18" t="str">
        <x:v>NCLT / NCLAT (Insolvency) source coverage</x:v>
      </x:c>
      <x:c r="C276" s="18" t="str">
        <x:v>2026-07-03</x:v>
      </x:c>
      <x:c r="D276" s="18" t="n">
        <x:v>2026</x:v>
      </x:c>
      <x:c r="E276" s="18" t="str">
        <x:v>2026-07</x:v>
      </x:c>
      <x:c r="F276" s="18" t="str"/>
      <x:c r="G276" s="18" t="str">
        <x:v>Public Announcement of Corporate Insolvency Resolution Process</x:v>
      </x:c>
      <x:c r="H276" s="18" t="str"/>
      <x:c r="I276" s="18" t="str"/>
      <x:c r="J276" s="20" t="str"/>
      <x:c r="K276" s="18" t="str"/>
      <x:c r="L276" s="18" t="str"/>
      <x:c r="M276" s="18" t="str">
        <x:v>2026-07-03</x:v>
      </x:c>
      <x:c r="N276" s="18" t="str"/>
      <x:c r="O276" s="18" t="str">
        <x:v>ibbi_5zdopr</x:v>
      </x:c>
      <x:c r="P276" s="18" t="str">
        <x:v>Bank of Maharashtra</x:v>
      </x:c>
      <x:c r="Q276" s="18" t="str">
        <x:v>DNR INDIA AUTOTECH PRIVATE LIMITED</x:v>
      </x:c>
      <x:c r="R276" s="18" t="str">
        <x:v>Mr. Mangesh Vitthal Kekre</x:v>
      </x:c>
      <x:c r="S276" s="18" t="str">
        <x:v>2026-07-14</x:v>
      </x:c>
      <x:c r="T276" s="18" t="str">
        <x:v>Public Announcement of Corporate Insolvency Resolution Process</x:v>
      </x:c>
      <x:c r="U276" s="18" t="str"/>
      <x:c r="V276" s="18" t="str">
        <x:v>DEFINED_TERMINAL_OR_FEED_SCOPE</x:v>
      </x:c>
      <x:c r="W276" s="18" t="str">
        <x:v>national_ibbi_announcements.json — published records loaded</x:v>
      </x:c>
      <x:c r="X276" s="18" t="str"/>
      <x:c r="Y276" s="18" t="str"/>
      <x:c r="Z276" s="20" t="n">
        <x:v>434</x:v>
      </x:c>
      <x:c r="AA276" s="19" t="n">
        <x:f>IFERROR(TODAY()-DATEVALUE(C276),"")</x:f>
        <x:v>69</x:v>
      </x:c>
      <x:c r="AB276" s="21" t="n">
        <x:f>ROUND(COUNTA(A276:K276)/11*100,0)</x:f>
        <x:v>100</x:v>
      </x:c>
      <x:c r="AC276" s="18" t="str">
        <x:v>National Company Law Tribunal</x:v>
      </x:c>
      <x:c r="AD276" s="22" t="str">
        <x:v>https://ibbi.gov.in/uploads/announcement/2026-07-03-124638-8pujg-4a3a2fb4b2a0828e0702e8362e066ebf.pdf</x:v>
      </x:c>
      <x:c r="AE276" s="18" t="str">
        <x:v>2026-07-03</x:v>
      </x:c>
      <x:c r="AF276" s="18" t="n">
        <x:v>46275.114583333336</x:v>
      </x:c>
      <x:c r="AG276" s="18" t="str">
        <x:v>retained_terminal</x:v>
      </x:c>
      <x:c r="AH276" s="18" t="str">
        <x:v>READY</x:v>
      </x:c>
    </x:row>
    <x:row r="277">
      <x:c r="A277" s="18" t="str">
        <x:v>NYT-47-092c1b4978e0364a</x:v>
      </x:c>
      <x:c r="B277" s="18" t="str">
        <x:v>NCLT / NCLAT (Insolvency) source coverage</x:v>
      </x:c>
      <x:c r="C277" s="18" t="str">
        <x:v>2026-07-03</x:v>
      </x:c>
      <x:c r="D277" s="18" t="n">
        <x:v>2026</x:v>
      </x:c>
      <x:c r="E277" s="18" t="str">
        <x:v>2026-07</x:v>
      </x:c>
      <x:c r="F277" s="18" t="str"/>
      <x:c r="G277" s="18" t="str">
        <x:v>Public Announcement of Corporate Insolvency Resolution Process</x:v>
      </x:c>
      <x:c r="H277" s="18" t="str"/>
      <x:c r="I277" s="18" t="str"/>
      <x:c r="J277" s="20" t="str"/>
      <x:c r="K277" s="18" t="str"/>
      <x:c r="L277" s="18" t="str"/>
      <x:c r="M277" s="18" t="str">
        <x:v>2026-07-03</x:v>
      </x:c>
      <x:c r="N277" s="18" t="str"/>
      <x:c r="O277" s="18" t="str">
        <x:v>ibbi_j5liuk</x:v>
      </x:c>
      <x:c r="P277" s="18" t="str">
        <x:v>IIFL Home Finance Limited</x:v>
      </x:c>
      <x:c r="Q277" s="18" t="str">
        <x:v>J - SEVENTY ONE PROPERTIES &amp; PICTURES PRIVATE LIMITED</x:v>
      </x:c>
      <x:c r="R277" s="18" t="str">
        <x:v>Mr. Kamal Agarwal</x:v>
      </x:c>
      <x:c r="S277" s="18" t="str">
        <x:v>2026-07-14</x:v>
      </x:c>
      <x:c r="T277" s="18" t="str">
        <x:v>Public Announcement of Corporate Insolvency Resolution Process</x:v>
      </x:c>
      <x:c r="U277" s="18" t="str"/>
      <x:c r="V277" s="18" t="str">
        <x:v>DEFINED_TERMINAL_OR_FEED_SCOPE</x:v>
      </x:c>
      <x:c r="W277" s="18" t="str">
        <x:v>national_ibbi_announcements.json — published records loaded</x:v>
      </x:c>
      <x:c r="X277" s="18" t="str"/>
      <x:c r="Y277" s="18" t="str"/>
      <x:c r="Z277" s="20" t="n">
        <x:v>434</x:v>
      </x:c>
      <x:c r="AA277" s="19" t="n">
        <x:f>IFERROR(TODAY()-DATEVALUE(C277),"")</x:f>
        <x:v>69</x:v>
      </x:c>
      <x:c r="AB277" s="21" t="n">
        <x:f>ROUND(COUNTA(A277:K277)/11*100,0)</x:f>
        <x:v>100</x:v>
      </x:c>
      <x:c r="AC277" s="18" t="str">
        <x:v>National Company Law Tribunal</x:v>
      </x:c>
      <x:c r="AD277" s="22" t="str">
        <x:v>https://ibbi.gov.in/uploads/announcement/d53e5265046e5e04c972c60074bbabbb.pdf</x:v>
      </x:c>
      <x:c r="AE277" s="18" t="str">
        <x:v>2026-07-03</x:v>
      </x:c>
      <x:c r="AF277" s="18" t="n">
        <x:v>46275.114583333336</x:v>
      </x:c>
      <x:c r="AG277" s="18" t="str">
        <x:v>retained_terminal</x:v>
      </x:c>
      <x:c r="AH277" s="18" t="str">
        <x:v>READY</x:v>
      </x:c>
    </x:row>
    <x:row r="278">
      <x:c r="A278" s="18" t="str">
        <x:v>NYT-47-6100cdeb768b657b</x:v>
      </x:c>
      <x:c r="B278" s="18" t="str">
        <x:v>NCLT / NCLAT (Insolvency) source coverage</x:v>
      </x:c>
      <x:c r="C278" s="18" t="str">
        <x:v>2026-07-03</x:v>
      </x:c>
      <x:c r="D278" s="18" t="n">
        <x:v>2026</x:v>
      </x:c>
      <x:c r="E278" s="18" t="str">
        <x:v>2026-07</x:v>
      </x:c>
      <x:c r="F278" s="18" t="str"/>
      <x:c r="G278" s="18" t="str">
        <x:v>Public Announcement of Voluntary Liquidation Process</x:v>
      </x:c>
      <x:c r="H278" s="18" t="str"/>
      <x:c r="I278" s="18" t="str"/>
      <x:c r="J278" s="20" t="str"/>
      <x:c r="K278" s="18" t="str"/>
      <x:c r="L278" s="18" t="str"/>
      <x:c r="M278" s="18" t="str">
        <x:v>2026-07-03</x:v>
      </x:c>
      <x:c r="N278" s="18" t="str"/>
      <x:c r="O278" s="18" t="str">
        <x:v>ibbi_t5uva7</x:v>
      </x:c>
      <x:c r="P278" s="18" t="str">
        <x:v>LYNX TOOLS &amp; COMPONENTS PRIVATE LIMITED</x:v>
      </x:c>
      <x:c r="Q278" s="18" t="str">
        <x:v>LYNX TOOLS &amp; COMPONENTS PRIVATE LIMITED</x:v>
      </x:c>
      <x:c r="R278" s="18" t="str">
        <x:v>Deepak Gupta</x:v>
      </x:c>
      <x:c r="S278" s="18" t="str">
        <x:v>2026-07-31</x:v>
      </x:c>
      <x:c r="T278" s="18" t="str">
        <x:v>Public Announcement of Voluntary Liquidation Process</x:v>
      </x:c>
      <x:c r="U278" s="18" t="str"/>
      <x:c r="V278" s="18" t="str">
        <x:v>DEFINED_TERMINAL_OR_FEED_SCOPE</x:v>
      </x:c>
      <x:c r="W278" s="18" t="str">
        <x:v>national_ibbi_announcements.json — published records loaded</x:v>
      </x:c>
      <x:c r="X278" s="18" t="str"/>
      <x:c r="Y278" s="18" t="str"/>
      <x:c r="Z278" s="20" t="n">
        <x:v>434</x:v>
      </x:c>
      <x:c r="AA278" s="19" t="n">
        <x:f>IFERROR(TODAY()-DATEVALUE(C278),"")</x:f>
        <x:v>69</x:v>
      </x:c>
      <x:c r="AB278" s="21" t="n">
        <x:f>ROUND(COUNTA(A278:K278)/11*100,0)</x:f>
        <x:v>100</x:v>
      </x:c>
      <x:c r="AC278" s="18" t="str">
        <x:v>National Company Law Tribunal</x:v>
      </x:c>
      <x:c r="AD278" s="22" t="str">
        <x:v>https://ibbi.gov.in/uploads/announcement/2026-07-04-162415-g9yej-98c5f06cf88d4cbd2e5775e7d51029e8.pdf</x:v>
      </x:c>
      <x:c r="AE278" s="18" t="str">
        <x:v>2026-07-03</x:v>
      </x:c>
      <x:c r="AF278" s="18" t="n">
        <x:v>46275.114583333336</x:v>
      </x:c>
      <x:c r="AG278" s="18" t="str">
        <x:v>retained_terminal</x:v>
      </x:c>
      <x:c r="AH278" s="18" t="str">
        <x:v>READY</x:v>
      </x:c>
    </x:row>
    <x:row r="279">
      <x:c r="A279" s="18" t="str">
        <x:v>NYT-47-92e566b6a2ac28f8</x:v>
      </x:c>
      <x:c r="B279" s="18" t="str">
        <x:v>NCLT / NCLAT (Insolvency) source coverage</x:v>
      </x:c>
      <x:c r="C279" s="18" t="str">
        <x:v>2026-07-03</x:v>
      </x:c>
      <x:c r="D279" s="18" t="n">
        <x:v>2026</x:v>
      </x:c>
      <x:c r="E279" s="18" t="str">
        <x:v>2026-07</x:v>
      </x:c>
      <x:c r="F279" s="18" t="str"/>
      <x:c r="G279" s="18" t="str">
        <x:v>Public Announcement of Corporate Insolvency Resolution Process</x:v>
      </x:c>
      <x:c r="H279" s="18" t="str"/>
      <x:c r="I279" s="18" t="str"/>
      <x:c r="J279" s="20" t="str"/>
      <x:c r="K279" s="18" t="str"/>
      <x:c r="L279" s="18" t="str"/>
      <x:c r="M279" s="18" t="str">
        <x:v>2026-07-03</x:v>
      </x:c>
      <x:c r="N279" s="18" t="str"/>
      <x:c r="O279" s="18" t="str">
        <x:v>ibbi_opr3qo</x:v>
      </x:c>
      <x:c r="P279" s="18" t="str">
        <x:v>Ashiana Ispat Limited</x:v>
      </x:c>
      <x:c r="Q279" s="18" t="str">
        <x:v>ASHIANA ISPAT LIMITED</x:v>
      </x:c>
      <x:c r="R279" s="18" t="str">
        <x:v>Mr. Prashant Agrawal</x:v>
      </x:c>
      <x:c r="S279" s="18" t="str">
        <x:v>2026-07-17</x:v>
      </x:c>
      <x:c r="T279" s="18" t="str">
        <x:v>Public Announcement of Corporate Insolvency Resolution Process</x:v>
      </x:c>
      <x:c r="U279" s="18" t="str"/>
      <x:c r="V279" s="18" t="str">
        <x:v>DEFINED_TERMINAL_OR_FEED_SCOPE</x:v>
      </x:c>
      <x:c r="W279" s="18" t="str">
        <x:v>national_ibbi_announcements.json — published records loaded</x:v>
      </x:c>
      <x:c r="X279" s="18" t="str"/>
      <x:c r="Y279" s="18" t="str"/>
      <x:c r="Z279" s="20" t="n">
        <x:v>434</x:v>
      </x:c>
      <x:c r="AA279" s="19" t="n">
        <x:f>IFERROR(TODAY()-DATEVALUE(C279),"")</x:f>
        <x:v>69</x:v>
      </x:c>
      <x:c r="AB279" s="21" t="n">
        <x:f>ROUND(COUNTA(A279:K279)/11*100,0)</x:f>
        <x:v>100</x:v>
      </x:c>
      <x:c r="AC279" s="18" t="str">
        <x:v>National Company Law Tribunal</x:v>
      </x:c>
      <x:c r="AD279" s="22" t="str">
        <x:v>https://ibbi.gov.in/uploads/announcement/2026-07-06-131202-3mw64-94e323ecd8d24d0237da922422f03ab0.pdf</x:v>
      </x:c>
      <x:c r="AE279" s="18" t="str">
        <x:v>2026-07-03</x:v>
      </x:c>
      <x:c r="AF279" s="18" t="n">
        <x:v>46275.114583333336</x:v>
      </x:c>
      <x:c r="AG279" s="18" t="str">
        <x:v>retained_terminal</x:v>
      </x:c>
      <x:c r="AH279" s="18" t="str">
        <x:v>READY</x:v>
      </x:c>
    </x:row>
    <x:row r="280">
      <x:c r="A280" s="18" t="str">
        <x:v>NYT-47-b53881acc77105ad</x:v>
      </x:c>
      <x:c r="B280" s="18" t="str">
        <x:v>NCLT / NCLAT (Insolvency) source coverage</x:v>
      </x:c>
      <x:c r="C280" s="18" t="str">
        <x:v>2026-07-03</x:v>
      </x:c>
      <x:c r="D280" s="18" t="n">
        <x:v>2026</x:v>
      </x:c>
      <x:c r="E280" s="18" t="str">
        <x:v>2026-07</x:v>
      </x:c>
      <x:c r="F280" s="18" t="str"/>
      <x:c r="G280" s="18" t="str">
        <x:v>Public Announcement of Corporate Insolvency Resolution Process</x:v>
      </x:c>
      <x:c r="H280" s="18" t="str"/>
      <x:c r="I280" s="18" t="str"/>
      <x:c r="J280" s="20" t="str"/>
      <x:c r="K280" s="18" t="str"/>
      <x:c r="L280" s="18" t="str"/>
      <x:c r="M280" s="18" t="str">
        <x:v>2026-07-03</x:v>
      </x:c>
      <x:c r="N280" s="18" t="str"/>
      <x:c r="O280" s="18" t="str">
        <x:v>ibbi_1gvocp9</x:v>
      </x:c>
      <x:c r="P280" s="18" t="str">
        <x:v>Om Prakash Somani &amp; Ors.</x:v>
      </x:c>
      <x:c r="Q280" s="18" t="str">
        <x:v>VMN STONES PRIVATE LIMITED</x:v>
      </x:c>
      <x:c r="R280" s="18" t="str">
        <x:v>Mr. Vikas Rajvanshi</x:v>
      </x:c>
      <x:c r="S280" s="18" t="str">
        <x:v>2026-07-15</x:v>
      </x:c>
      <x:c r="T280" s="18" t="str">
        <x:v>Public Announcement of Corporate Insolvency Resolution Process</x:v>
      </x:c>
      <x:c r="U280" s="18" t="str"/>
      <x:c r="V280" s="18" t="str">
        <x:v>DEFINED_TERMINAL_OR_FEED_SCOPE</x:v>
      </x:c>
      <x:c r="W280" s="18" t="str">
        <x:v>national_ibbi_announcements.json — published records loaded</x:v>
      </x:c>
      <x:c r="X280" s="18" t="str"/>
      <x:c r="Y280" s="18" t="str"/>
      <x:c r="Z280" s="20" t="n">
        <x:v>434</x:v>
      </x:c>
      <x:c r="AA280" s="19" t="n">
        <x:f>IFERROR(TODAY()-DATEVALUE(C280),"")</x:f>
        <x:v>69</x:v>
      </x:c>
      <x:c r="AB280" s="21" t="n">
        <x:f>ROUND(COUNTA(A280:K280)/11*100,0)</x:f>
        <x:v>100</x:v>
      </x:c>
      <x:c r="AC280" s="18" t="str">
        <x:v>National Company Law Tribunal</x:v>
      </x:c>
      <x:c r="AD280" s="22" t="str">
        <x:v>https://ibbi.gov.in/uploads/announcement/2026-07-08-130155-rlvon-eccee956feb8ccc508f0d00b78a9f09a.pdf</x:v>
      </x:c>
      <x:c r="AE280" s="18" t="str">
        <x:v>2026-07-03</x:v>
      </x:c>
      <x:c r="AF280" s="18" t="n">
        <x:v>46275.114583333336</x:v>
      </x:c>
      <x:c r="AG280" s="18" t="str">
        <x:v>retained_terminal</x:v>
      </x:c>
      <x:c r="AH280" s="18" t="str">
        <x:v>READY</x:v>
      </x:c>
    </x:row>
    <x:row r="281">
      <x:c r="A281" s="18" t="str">
        <x:v>NYT-47-28dacf2d0d45fd74</x:v>
      </x:c>
      <x:c r="B281" s="18" t="str">
        <x:v>NCLT / NCLAT (Insolvency) source coverage</x:v>
      </x:c>
      <x:c r="C281" s="18" t="str">
        <x:v>2026-07-03</x:v>
      </x:c>
      <x:c r="D281" s="18" t="n">
        <x:v>2026</x:v>
      </x:c>
      <x:c r="E281" s="18" t="str">
        <x:v>2026-07</x:v>
      </x:c>
      <x:c r="F281" s="18" t="str"/>
      <x:c r="G281" s="18" t="str">
        <x:v>Public Announcement of Voluntary Liquidation Process</x:v>
      </x:c>
      <x:c r="H281" s="18" t="str"/>
      <x:c r="I281" s="18" t="str"/>
      <x:c r="J281" s="20" t="str"/>
      <x:c r="K281" s="18" t="str"/>
      <x:c r="L281" s="18" t="str"/>
      <x:c r="M281" s="18" t="str">
        <x:v>2026-07-03</x:v>
      </x:c>
      <x:c r="N281" s="18" t="str"/>
      <x:c r="O281" s="18" t="str">
        <x:v>ibbi_1u5hyy4</x:v>
      </x:c>
      <x:c r="P281" s="18" t="str">
        <x:v>COMDE-DERENDA INDIA PRIVATE LIMITED</x:v>
      </x:c>
      <x:c r="Q281" s="18" t="str">
        <x:v>COMDE-DERENDA INDIA PRIVATE LIMITED</x:v>
      </x:c>
      <x:c r="R281" s="18" t="str">
        <x:v>Rushikesh Subhash Kanhed</x:v>
      </x:c>
      <x:c r="S281" s="18" t="str">
        <x:v>2026-07-14</x:v>
      </x:c>
      <x:c r="T281" s="18" t="str">
        <x:v>Public Announcement of Voluntary Liquidation Process</x:v>
      </x:c>
      <x:c r="U281" s="18" t="str"/>
      <x:c r="V281" s="18" t="str">
        <x:v>DEFINED_TERMINAL_OR_FEED_SCOPE</x:v>
      </x:c>
      <x:c r="W281" s="18" t="str">
        <x:v>national_ibbi_announcements.json — published records loaded</x:v>
      </x:c>
      <x:c r="X281" s="18" t="str"/>
      <x:c r="Y281" s="18" t="str"/>
      <x:c r="Z281" s="20" t="n">
        <x:v>434</x:v>
      </x:c>
      <x:c r="AA281" s="19" t="n">
        <x:f>IFERROR(TODAY()-DATEVALUE(C281),"")</x:f>
        <x:v>69</x:v>
      </x:c>
      <x:c r="AB281" s="21" t="n">
        <x:f>ROUND(COUNTA(A281:K281)/11*100,0)</x:f>
        <x:v>100</x:v>
      </x:c>
      <x:c r="AC281" s="18" t="str">
        <x:v>National Company Law Tribunal</x:v>
      </x:c>
      <x:c r="AD281" s="22" t="str">
        <x:v>https://ibbi.gov.in/uploads/announcement/4d36de05403fa4f346f9bf6d91d260f0.jpg</x:v>
      </x:c>
      <x:c r="AE281" s="18" t="str">
        <x:v>2026-07-03</x:v>
      </x:c>
      <x:c r="AF281" s="18" t="n">
        <x:v>46275.114583333336</x:v>
      </x:c>
      <x:c r="AG281" s="18" t="str">
        <x:v>retained_terminal</x:v>
      </x:c>
      <x:c r="AH281" s="18" t="str">
        <x:v>READY</x:v>
      </x:c>
    </x:row>
    <x:row r="282">
      <x:c r="A282" s="18" t="str">
        <x:v>NYT-47-935e8369e68a3791</x:v>
      </x:c>
      <x:c r="B282" s="18" t="str">
        <x:v>NCLT / NCLAT (Insolvency) source coverage</x:v>
      </x:c>
      <x:c r="C282" s="18" t="str">
        <x:v>2026-07-03</x:v>
      </x:c>
      <x:c r="D282" s="18" t="n">
        <x:v>2026</x:v>
      </x:c>
      <x:c r="E282" s="18" t="str">
        <x:v>2026-07</x:v>
      </x:c>
      <x:c r="F282" s="18" t="str"/>
      <x:c r="G282" s="18" t="str">
        <x:v>Public Announcement of Corporate Insolvency Resolution Process</x:v>
      </x:c>
      <x:c r="H282" s="18" t="str"/>
      <x:c r="I282" s="18" t="str"/>
      <x:c r="J282" s="20" t="str"/>
      <x:c r="K282" s="18" t="str"/>
      <x:c r="L282" s="18" t="str"/>
      <x:c r="M282" s="18" t="str">
        <x:v>2026-07-03</x:v>
      </x:c>
      <x:c r="N282" s="18" t="str"/>
      <x:c r="O282" s="18" t="str">
        <x:v>ibbi_1sbup88</x:v>
      </x:c>
      <x:c r="P282" s="18" t="str">
        <x:v>Anantha PVC Pipes Private Limited</x:v>
      </x:c>
      <x:c r="Q282" s="18" t="str">
        <x:v>SP COAL RESOURCES PRIVATE LIMITED</x:v>
      </x:c>
      <x:c r="R282" s="18" t="str">
        <x:v>Chitra Perinkulam Ragavan</x:v>
      </x:c>
      <x:c r="S282" s="18" t="str">
        <x:v>2026-07-14</x:v>
      </x:c>
      <x:c r="T282" s="18" t="str">
        <x:v>Public Announcement of Corporate Insolvency Resolution Process</x:v>
      </x:c>
      <x:c r="U282" s="18" t="str"/>
      <x:c r="V282" s="18" t="str">
        <x:v>DEFINED_TERMINAL_OR_FEED_SCOPE</x:v>
      </x:c>
      <x:c r="W282" s="18" t="str">
        <x:v>national_ibbi_announcements.json — published records loaded</x:v>
      </x:c>
      <x:c r="X282" s="18" t="str"/>
      <x:c r="Y282" s="18" t="str"/>
      <x:c r="Z282" s="20" t="n">
        <x:v>434</x:v>
      </x:c>
      <x:c r="AA282" s="19" t="n">
        <x:f>IFERROR(TODAY()-DATEVALUE(C282),"")</x:f>
        <x:v>69</x:v>
      </x:c>
      <x:c r="AB282" s="21" t="n">
        <x:f>ROUND(COUNTA(A282:K282)/11*100,0)</x:f>
        <x:v>100</x:v>
      </x:c>
      <x:c r="AC282" s="18" t="str">
        <x:v>National Company Law Tribunal</x:v>
      </x:c>
      <x:c r="AD282" s="22" t="str">
        <x:v>https://ibbi.gov.in/uploads/announcement/8303d5d135bf89c95ea182f81c5d2d40.pdf</x:v>
      </x:c>
      <x:c r="AE282" s="18" t="str">
        <x:v>2026-07-03</x:v>
      </x:c>
      <x:c r="AF282" s="18" t="n">
        <x:v>46275.114583333336</x:v>
      </x:c>
      <x:c r="AG282" s="18" t="str">
        <x:v>retained_terminal</x:v>
      </x:c>
      <x:c r="AH282" s="18" t="str">
        <x:v>READY</x:v>
      </x:c>
    </x:row>
    <x:row r="283">
      <x:c r="A283" s="18" t="str">
        <x:v>NYT-47-150dd8fde5e7835c</x:v>
      </x:c>
      <x:c r="B283" s="18" t="str">
        <x:v>NCLT / NCLAT (Insolvency) source coverage</x:v>
      </x:c>
      <x:c r="C283" s="18" t="str">
        <x:v>2026-07-02</x:v>
      </x:c>
      <x:c r="D283" s="18" t="n">
        <x:v>2026</x:v>
      </x:c>
      <x:c r="E283" s="18" t="str">
        <x:v>2026-07</x:v>
      </x:c>
      <x:c r="F283" s="18" t="str"/>
      <x:c r="G283" s="18" t="str">
        <x:v>Public Announcement of Liquidation Process</x:v>
      </x:c>
      <x:c r="H283" s="18" t="str"/>
      <x:c r="I283" s="18" t="str"/>
      <x:c r="J283" s="20" t="str"/>
      <x:c r="K283" s="18" t="str"/>
      <x:c r="L283" s="18" t="str"/>
      <x:c r="M283" s="18" t="str">
        <x:v>2026-07-02</x:v>
      </x:c>
      <x:c r="N283" s="18" t="str"/>
      <x:c r="O283" s="18" t="str">
        <x:v>ibbi_16mzxf4</x:v>
      </x:c>
      <x:c r="P283" s="18" t="str">
        <x:v>Axis Bank Limited</x:v>
      </x:c>
      <x:c r="Q283" s="18" t="str">
        <x:v>MIDAS PETROCHEM PRIVATE LIMITED</x:v>
      </x:c>
      <x:c r="R283" s="18" t="str">
        <x:v>Mr. Shreyansh Jain</x:v>
      </x:c>
      <x:c r="S283" s="18" t="str">
        <x:v>2026-07-08</x:v>
      </x:c>
      <x:c r="T283" s="18" t="str">
        <x:v>Public Announcement of Liquidation Process</x:v>
      </x:c>
      <x:c r="U283" s="18" t="str"/>
      <x:c r="V283" s="18" t="str">
        <x:v>DEFINED_TERMINAL_OR_FEED_SCOPE</x:v>
      </x:c>
      <x:c r="W283" s="18" t="str">
        <x:v>national_ibbi_announcements.json — published records loaded</x:v>
      </x:c>
      <x:c r="X283" s="18" t="str"/>
      <x:c r="Y283" s="18" t="str"/>
      <x:c r="Z283" s="20" t="n">
        <x:v>434</x:v>
      </x:c>
      <x:c r="AA283" s="19" t="n">
        <x:f>IFERROR(TODAY()-DATEVALUE(C283),"")</x:f>
        <x:v>70</x:v>
      </x:c>
      <x:c r="AB283" s="21" t="n">
        <x:f>ROUND(COUNTA(A283:K283)/11*100,0)</x:f>
        <x:v>100</x:v>
      </x:c>
      <x:c r="AC283" s="18" t="str">
        <x:v>National Company Law Tribunal</x:v>
      </x:c>
      <x:c r="AD283" s="22" t="str">
        <x:v>https://ibbi.gov.in/uploads/announcement/9c78ef50fbf488921ae9c6dfe5b7e191.pdf</x:v>
      </x:c>
      <x:c r="AE283" s="18" t="str">
        <x:v>2026-07-02</x:v>
      </x:c>
      <x:c r="AF283" s="18" t="n">
        <x:v>46275.114583333336</x:v>
      </x:c>
      <x:c r="AG283" s="18" t="str">
        <x:v>retained_terminal</x:v>
      </x:c>
      <x:c r="AH283" s="18" t="str">
        <x:v>READY</x:v>
      </x:c>
    </x:row>
    <x:row r="284">
      <x:c r="A284" s="18" t="str">
        <x:v>NYT-47-67863e28bfb2a18f</x:v>
      </x:c>
      <x:c r="B284" s="18" t="str">
        <x:v>NCLT / NCLAT (Insolvency) source coverage</x:v>
      </x:c>
      <x:c r="C284" s="18" t="str">
        <x:v>2026-07-02</x:v>
      </x:c>
      <x:c r="D284" s="18" t="n">
        <x:v>2026</x:v>
      </x:c>
      <x:c r="E284" s="18" t="str">
        <x:v>2026-07</x:v>
      </x:c>
      <x:c r="F284" s="18" t="str"/>
      <x:c r="G284" s="18" t="str">
        <x:v>Public Announcement of Corporate Insolvency Resolution Process</x:v>
      </x:c>
      <x:c r="H284" s="18" t="str"/>
      <x:c r="I284" s="18" t="str"/>
      <x:c r="J284" s="20" t="str"/>
      <x:c r="K284" s="18" t="str"/>
      <x:c r="L284" s="18" t="str"/>
      <x:c r="M284" s="18" t="str">
        <x:v>2026-07-02</x:v>
      </x:c>
      <x:c r="N284" s="18" t="str"/>
      <x:c r="O284" s="18" t="str">
        <x:v>ibbi_1ibzuh3</x:v>
      </x:c>
      <x:c r="P284" s="18" t="str">
        <x:v>JRG Engineering Polymers Private Limited</x:v>
      </x:c>
      <x:c r="Q284" s="18" t="str">
        <x:v>PARADISE PLASTICS ENTERPRISES LIMITED</x:v>
      </x:c>
      <x:c r="R284" s="18" t="str">
        <x:v>Namrata Amol Randeri</x:v>
      </x:c>
      <x:c r="S284" s="18" t="str">
        <x:v>2026-07-15</x:v>
      </x:c>
      <x:c r="T284" s="18" t="str">
        <x:v>Public Announcement of Corporate Insolvency Resolution Process</x:v>
      </x:c>
      <x:c r="U284" s="18" t="str"/>
      <x:c r="V284" s="18" t="str">
        <x:v>DEFINED_TERMINAL_OR_FEED_SCOPE</x:v>
      </x:c>
      <x:c r="W284" s="18" t="str">
        <x:v>national_ibbi_announcements.json — published records loaded</x:v>
      </x:c>
      <x:c r="X284" s="18" t="str"/>
      <x:c r="Y284" s="18" t="str"/>
      <x:c r="Z284" s="20" t="n">
        <x:v>434</x:v>
      </x:c>
      <x:c r="AA284" s="19" t="n">
        <x:f>IFERROR(TODAY()-DATEVALUE(C284),"")</x:f>
        <x:v>70</x:v>
      </x:c>
      <x:c r="AB284" s="21" t="n">
        <x:f>ROUND(COUNTA(A284:K284)/11*100,0)</x:f>
        <x:v>100</x:v>
      </x:c>
      <x:c r="AC284" s="18" t="str">
        <x:v>National Company Law Tribunal</x:v>
      </x:c>
      <x:c r="AD284" s="22" t="str">
        <x:v>https://ibbi.gov.in/uploads/announcement/e479f05d0f1c070fb0ff3a9b33b993fd.pdf</x:v>
      </x:c>
      <x:c r="AE284" s="18" t="str">
        <x:v>2026-07-02</x:v>
      </x:c>
      <x:c r="AF284" s="18" t="n">
        <x:v>46275.114583333336</x:v>
      </x:c>
      <x:c r="AG284" s="18" t="str">
        <x:v>retained_terminal</x:v>
      </x:c>
      <x:c r="AH284" s="18" t="str">
        <x:v>READY</x:v>
      </x:c>
    </x:row>
    <x:row r="285">
      <x:c r="A285" s="18" t="str">
        <x:v>NYT-47-905275e1a19333f5</x:v>
      </x:c>
      <x:c r="B285" s="18" t="str">
        <x:v>NCLT / NCLAT (Insolvency) source coverage</x:v>
      </x:c>
      <x:c r="C285" s="18" t="str">
        <x:v>2026-07-02</x:v>
      </x:c>
      <x:c r="D285" s="18" t="n">
        <x:v>2026</x:v>
      </x:c>
      <x:c r="E285" s="18" t="str">
        <x:v>2026-07</x:v>
      </x:c>
      <x:c r="F285" s="18" t="str"/>
      <x:c r="G285" s="18" t="str">
        <x:v>Public Announcement of Corporate Insolvency Resolution Process</x:v>
      </x:c>
      <x:c r="H285" s="18" t="str"/>
      <x:c r="I285" s="18" t="str"/>
      <x:c r="J285" s="20" t="str"/>
      <x:c r="K285" s="18" t="str"/>
      <x:c r="L285" s="18" t="str"/>
      <x:c r="M285" s="18" t="str">
        <x:v>2026-07-02</x:v>
      </x:c>
      <x:c r="N285" s="18" t="str"/>
      <x:c r="O285" s="18" t="str">
        <x:v>ibbi_1h209hq</x:v>
      </x:c>
      <x:c r="P285" s="18" t="str">
        <x:v>NTEX Transportation Services Private Limited</x:v>
      </x:c>
      <x:c r="Q285" s="18" t="str">
        <x:v>Agriallx Ventures Private Limited</x:v>
      </x:c>
      <x:c r="R285" s="18" t="str">
        <x:v>Mr. Lalit Kumar Dangi</x:v>
      </x:c>
      <x:c r="S285" s="18" t="str">
        <x:v>2026-07-14</x:v>
      </x:c>
      <x:c r="T285" s="18" t="str">
        <x:v>Public Announcement of Corporate Insolvency Resolution Process</x:v>
      </x:c>
      <x:c r="U285" s="18" t="str"/>
      <x:c r="V285" s="18" t="str">
        <x:v>DEFINED_TERMINAL_OR_FEED_SCOPE</x:v>
      </x:c>
      <x:c r="W285" s="18" t="str">
        <x:v>national_ibbi_announcements.json — published records loaded</x:v>
      </x:c>
      <x:c r="X285" s="18" t="str"/>
      <x:c r="Y285" s="18" t="str"/>
      <x:c r="Z285" s="20" t="n">
        <x:v>434</x:v>
      </x:c>
      <x:c r="AA285" s="19" t="n">
        <x:f>IFERROR(TODAY()-DATEVALUE(C285),"")</x:f>
        <x:v>70</x:v>
      </x:c>
      <x:c r="AB285" s="21" t="n">
        <x:f>ROUND(COUNTA(A285:K285)/11*100,0)</x:f>
        <x:v>100</x:v>
      </x:c>
      <x:c r="AC285" s="18" t="str">
        <x:v>National Company Law Tribunal</x:v>
      </x:c>
      <x:c r="AD285" s="22" t="str">
        <x:v>https://ibbi.gov.in/uploads/announcement/e1a3c84ccb785f5868a8b24338b4d999.pdf</x:v>
      </x:c>
      <x:c r="AE285" s="18" t="str">
        <x:v>2026-07-02</x:v>
      </x:c>
      <x:c r="AF285" s="18" t="n">
        <x:v>46275.114583333336</x:v>
      </x:c>
      <x:c r="AG285" s="18" t="str">
        <x:v>retained_terminal</x:v>
      </x:c>
      <x:c r="AH285" s="18" t="str">
        <x:v>READY</x:v>
      </x:c>
    </x:row>
    <x:row r="286">
      <x:c r="A286" s="18" t="str">
        <x:v>NYT-47-9aa2533efbb75571</x:v>
      </x:c>
      <x:c r="B286" s="18" t="str">
        <x:v>NCLT / NCLAT (Insolvency) source coverage</x:v>
      </x:c>
      <x:c r="C286" s="18" t="str">
        <x:v>2026-07-01</x:v>
      </x:c>
      <x:c r="D286" s="18" t="n">
        <x:v>2026</x:v>
      </x:c>
      <x:c r="E286" s="18" t="str">
        <x:v>2026-07</x:v>
      </x:c>
      <x:c r="F286" s="18" t="str"/>
      <x:c r="G286" s="18" t="str">
        <x:v>Public Announcement of Voluntary Liquidation Process</x:v>
      </x:c>
      <x:c r="H286" s="18" t="str"/>
      <x:c r="I286" s="18" t="str"/>
      <x:c r="J286" s="20" t="str"/>
      <x:c r="K286" s="18" t="str"/>
      <x:c r="L286" s="18" t="str"/>
      <x:c r="M286" s="18" t="str">
        <x:v>2026-07-01</x:v>
      </x:c>
      <x:c r="N286" s="18" t="str"/>
      <x:c r="O286" s="18" t="str">
        <x:v>ibbi_vh6h9t</x:v>
      </x:c>
      <x:c r="P286" s="18" t="str">
        <x:v>NA</x:v>
      </x:c>
      <x:c r="Q286" s="18" t="str">
        <x:v>AYSHWARYA SEA FOOD LLP</x:v>
      </x:c>
      <x:c r="R286" s="18" t="str">
        <x:v>Mr. Chandrasekhar Sagutoor</x:v>
      </x:c>
      <x:c r="S286" s="18" t="str">
        <x:v>2026-07-29</x:v>
      </x:c>
      <x:c r="T286" s="18" t="str">
        <x:v>Public Announcement of Voluntary Liquidation Process</x:v>
      </x:c>
      <x:c r="U286" s="18" t="str"/>
      <x:c r="V286" s="18" t="str">
        <x:v>DEFINED_TERMINAL_OR_FEED_SCOPE</x:v>
      </x:c>
      <x:c r="W286" s="18" t="str">
        <x:v>national_ibbi_announcements.json — published records loaded</x:v>
      </x:c>
      <x:c r="X286" s="18" t="str"/>
      <x:c r="Y286" s="18" t="str"/>
      <x:c r="Z286" s="20" t="n">
        <x:v>434</x:v>
      </x:c>
      <x:c r="AA286" s="19" t="n">
        <x:f>IFERROR(TODAY()-DATEVALUE(C286),"")</x:f>
        <x:v>71</x:v>
      </x:c>
      <x:c r="AB286" s="21" t="n">
        <x:f>ROUND(COUNTA(A286:K286)/11*100,0)</x:f>
        <x:v>100</x:v>
      </x:c>
      <x:c r="AC286" s="18" t="str">
        <x:v>National Company Law Tribunal</x:v>
      </x:c>
      <x:c r="AD286" s="22" t="str">
        <x:v>https://ibbi.gov.in/uploads/announcement/b0d9e1a3722f723f7233cc686d8a2591.pdf</x:v>
      </x:c>
      <x:c r="AE286" s="18" t="str">
        <x:v>2026-07-01</x:v>
      </x:c>
      <x:c r="AF286" s="18" t="n">
        <x:v>46275.114583333336</x:v>
      </x:c>
      <x:c r="AG286" s="18" t="str">
        <x:v>retained_terminal</x:v>
      </x:c>
      <x:c r="AH286" s="18" t="str">
        <x:v>READY</x:v>
      </x:c>
    </x:row>
    <x:row r="287">
      <x:c r="A287" s="18" t="str">
        <x:v>NYT-47-35c29d0d5f390ed8</x:v>
      </x:c>
      <x:c r="B287" s="18" t="str">
        <x:v>NCLT / NCLAT (Insolvency) source coverage</x:v>
      </x:c>
      <x:c r="C287" s="18" t="str">
        <x:v>2026-06-30</x:v>
      </x:c>
      <x:c r="D287" s="18" t="n">
        <x:v>2026</x:v>
      </x:c>
      <x:c r="E287" s="18" t="str">
        <x:v>2026-06</x:v>
      </x:c>
      <x:c r="F287" s="18" t="str"/>
      <x:c r="G287" s="18" t="str">
        <x:v>Public Announcement of Corporate Insolvency Resolution Process</x:v>
      </x:c>
      <x:c r="H287" s="18" t="str"/>
      <x:c r="I287" s="18" t="str"/>
      <x:c r="J287" s="20" t="str"/>
      <x:c r="K287" s="18" t="str"/>
      <x:c r="L287" s="18" t="str"/>
      <x:c r="M287" s="18" t="str">
        <x:v>2026-06-30</x:v>
      </x:c>
      <x:c r="N287" s="18" t="str"/>
      <x:c r="O287" s="18" t="str">
        <x:v>ibbi_bf7aln</x:v>
      </x:c>
      <x:c r="P287" s="18" t="str">
        <x:v>JDM Udyog Private Limited</x:v>
      </x:c>
      <x:c r="Q287" s="18" t="str">
        <x:v>DIGI CABLECOMM SERVICES PRIVATE LIMITED</x:v>
      </x:c>
      <x:c r="R287" s="18" t="str">
        <x:v>Mr. Hansraj Jaria</x:v>
      </x:c>
      <x:c r="S287" s="18" t="str">
        <x:v>2026-07-13</x:v>
      </x:c>
      <x:c r="T287" s="18" t="str">
        <x:v>Public Announcement of Corporate Insolvency Resolution Process</x:v>
      </x:c>
      <x:c r="U287" s="18" t="str"/>
      <x:c r="V287" s="18" t="str">
        <x:v>DEFINED_TERMINAL_OR_FEED_SCOPE</x:v>
      </x:c>
      <x:c r="W287" s="18" t="str">
        <x:v>national_ibbi_announcements.json — published records loaded</x:v>
      </x:c>
      <x:c r="X287" s="18" t="str"/>
      <x:c r="Y287" s="18" t="str"/>
      <x:c r="Z287" s="20" t="n">
        <x:v>434</x:v>
      </x:c>
      <x:c r="AA287" s="19" t="n">
        <x:f>IFERROR(TODAY()-DATEVALUE(C287),"")</x:f>
        <x:v>72</x:v>
      </x:c>
      <x:c r="AB287" s="21" t="n">
        <x:f>ROUND(COUNTA(A287:K287)/11*100,0)</x:f>
        <x:v>100</x:v>
      </x:c>
      <x:c r="AC287" s="18" t="str">
        <x:v>National Company Law Tribunal</x:v>
      </x:c>
      <x:c r="AD287" s="22" t="str">
        <x:v>https://ibbi.gov.in/uploads/announcement/2026-07-01-173443-ryh5c-8f62efc24670b2fdaed62470891ff494.pdf</x:v>
      </x:c>
      <x:c r="AE287" s="18" t="str">
        <x:v>2026-06-30</x:v>
      </x:c>
      <x:c r="AF287" s="18" t="n">
        <x:v>46275.114583333336</x:v>
      </x:c>
      <x:c r="AG287" s="18" t="str">
        <x:v>retained_terminal</x:v>
      </x:c>
      <x:c r="AH287" s="18" t="str">
        <x:v>READY</x:v>
      </x:c>
    </x:row>
    <x:row r="288">
      <x:c r="A288" s="18" t="str">
        <x:v>NYT-47-ac07443139ebc96f</x:v>
      </x:c>
      <x:c r="B288" s="18" t="str">
        <x:v>NCLT / NCLAT (Insolvency) source coverage</x:v>
      </x:c>
      <x:c r="C288" s="18" t="str">
        <x:v>2026-06-28</x:v>
      </x:c>
      <x:c r="D288" s="18" t="n">
        <x:v>2026</x:v>
      </x:c>
      <x:c r="E288" s="18" t="str">
        <x:v>2026-06</x:v>
      </x:c>
      <x:c r="F288" s="18" t="str"/>
      <x:c r="G288" s="18" t="str">
        <x:v>Public Announcement of Corporate Insolvency Resolution Process</x:v>
      </x:c>
      <x:c r="H288" s="18" t="str"/>
      <x:c r="I288" s="18" t="str"/>
      <x:c r="J288" s="20" t="str"/>
      <x:c r="K288" s="18" t="str"/>
      <x:c r="L288" s="18" t="str"/>
      <x:c r="M288" s="18" t="str">
        <x:v>2026-06-28</x:v>
      </x:c>
      <x:c r="N288" s="18" t="str"/>
      <x:c r="O288" s="18" t="str">
        <x:v>ibbi_okman7</x:v>
      </x:c>
      <x:c r="P288" s="18" t="str">
        <x:v>Mehsana Food Tradelinkers Private Limited</x:v>
      </x:c>
      <x:c r="Q288" s="18" t="str">
        <x:v>Mehsana Dairy and Food Products Limited</x:v>
      </x:c>
      <x:c r="R288" s="18" t="str">
        <x:v>Mr. Atul Tandon</x:v>
      </x:c>
      <x:c r="S288" s="18" t="str">
        <x:v>2026-07-09</x:v>
      </x:c>
      <x:c r="T288" s="18" t="str">
        <x:v>Public Announcement of Corporate Insolvency Resolution Process</x:v>
      </x:c>
      <x:c r="U288" s="18" t="str"/>
      <x:c r="V288" s="18" t="str">
        <x:v>DEFINED_TERMINAL_OR_FEED_SCOPE</x:v>
      </x:c>
      <x:c r="W288" s="18" t="str">
        <x:v>national_ibbi_announcements.json — published records loaded</x:v>
      </x:c>
      <x:c r="X288" s="18" t="str"/>
      <x:c r="Y288" s="18" t="str"/>
      <x:c r="Z288" s="20" t="n">
        <x:v>434</x:v>
      </x:c>
      <x:c r="AA288" s="19" t="n">
        <x:f>IFERROR(TODAY()-DATEVALUE(C288),"")</x:f>
        <x:v>74</x:v>
      </x:c>
      <x:c r="AB288" s="21" t="n">
        <x:f>ROUND(COUNTA(A288:K288)/11*100,0)</x:f>
        <x:v>100</x:v>
      </x:c>
      <x:c r="AC288" s="18" t="str">
        <x:v>National Company Law Tribunal</x:v>
      </x:c>
      <x:c r="AD288" s="22" t="str">
        <x:v>https://ibbi.gov.in/uploads/announcement/97f5e0cdf0fb4edc658903addf3f1ede.pdf</x:v>
      </x:c>
      <x:c r="AE288" s="18" t="str">
        <x:v>2026-06-28</x:v>
      </x:c>
      <x:c r="AF288" s="18" t="n">
        <x:v>46275.114583333336</x:v>
      </x:c>
      <x:c r="AG288" s="18" t="str">
        <x:v>retained_terminal</x:v>
      </x:c>
      <x:c r="AH288" s="18" t="str">
        <x:v>READY</x:v>
      </x:c>
    </x:row>
    <x:row r="289">
      <x:c r="A289" s="18" t="str">
        <x:v>NYT-47-dafdbd73300b5587</x:v>
      </x:c>
      <x:c r="B289" s="18" t="str">
        <x:v>NCLT / NCLAT (Insolvency) source coverage</x:v>
      </x:c>
      <x:c r="C289" s="18" t="str">
        <x:v>2026-06-27</x:v>
      </x:c>
      <x:c r="D289" s="18" t="n">
        <x:v>2026</x:v>
      </x:c>
      <x:c r="E289" s="18" t="str">
        <x:v>2026-06</x:v>
      </x:c>
      <x:c r="F289" s="18" t="str"/>
      <x:c r="G289" s="18" t="str">
        <x:v>Public Announcement of Corporate Insolvency Resolution Process</x:v>
      </x:c>
      <x:c r="H289" s="18" t="str"/>
      <x:c r="I289" s="18" t="str"/>
      <x:c r="J289" s="20" t="str"/>
      <x:c r="K289" s="18" t="str"/>
      <x:c r="L289" s="18" t="str"/>
      <x:c r="M289" s="18" t="str">
        <x:v>2026-06-27</x:v>
      </x:c>
      <x:c r="N289" s="18" t="str"/>
      <x:c r="O289" s="18" t="str">
        <x:v>ibbi_m5tz1h</x:v>
      </x:c>
      <x:c r="P289" s="18" t="str">
        <x:v>Union Bank of India</x:v>
      </x:c>
      <x:c r="Q289" s="18" t="str">
        <x:v>OMKARA VIJAYALAKSHMI STRIPS PRIVATE LIMITED</x:v>
      </x:c>
      <x:c r="R289" s="18" t="str">
        <x:v>Neha Jain Nemani</x:v>
      </x:c>
      <x:c r="S289" s="18" t="str">
        <x:v>2026-07-07</x:v>
      </x:c>
      <x:c r="T289" s="18" t="str">
        <x:v>Public Announcement of Corporate Insolvency Resolution Process</x:v>
      </x:c>
      <x:c r="U289" s="18" t="str"/>
      <x:c r="V289" s="18" t="str">
        <x:v>DEFINED_TERMINAL_OR_FEED_SCOPE</x:v>
      </x:c>
      <x:c r="W289" s="18" t="str">
        <x:v>national_ibbi_announcements.json — published records loaded</x:v>
      </x:c>
      <x:c r="X289" s="18" t="str"/>
      <x:c r="Y289" s="18" t="str"/>
      <x:c r="Z289" s="20" t="n">
        <x:v>434</x:v>
      </x:c>
      <x:c r="AA289" s="19" t="n">
        <x:f>IFERROR(TODAY()-DATEVALUE(C289),"")</x:f>
        <x:v>75</x:v>
      </x:c>
      <x:c r="AB289" s="21" t="n">
        <x:f>ROUND(COUNTA(A289:K289)/11*100,0)</x:f>
        <x:v>100</x:v>
      </x:c>
      <x:c r="AC289" s="18" t="str">
        <x:v>National Company Law Tribunal</x:v>
      </x:c>
      <x:c r="AD289" s="22" t="str">
        <x:v>https://ibbi.gov.in/uploads/announcement/ff470158450b40cc4a322ae97f7a1e6e.pdf</x:v>
      </x:c>
      <x:c r="AE289" s="18" t="str">
        <x:v>2026-06-27</x:v>
      </x:c>
      <x:c r="AF289" s="18" t="n">
        <x:v>46275.114583333336</x:v>
      </x:c>
      <x:c r="AG289" s="18" t="str">
        <x:v>retained_terminal</x:v>
      </x:c>
      <x:c r="AH289" s="18" t="str">
        <x:v>READY</x:v>
      </x:c>
    </x:row>
    <x:row r="290">
      <x:c r="A290" s="18" t="str">
        <x:v>NYT-47-e032182871fdc217</x:v>
      </x:c>
      <x:c r="B290" s="18" t="str">
        <x:v>NCLT / NCLAT (Insolvency) source coverage</x:v>
      </x:c>
      <x:c r="C290" s="18" t="str">
        <x:v>2026-06-27</x:v>
      </x:c>
      <x:c r="D290" s="18" t="n">
        <x:v>2026</x:v>
      </x:c>
      <x:c r="E290" s="18" t="str">
        <x:v>2026-06</x:v>
      </x:c>
      <x:c r="F290" s="18" t="str"/>
      <x:c r="G290" s="18" t="str">
        <x:v>Public Announcement of Voluntary Liquidation Process</x:v>
      </x:c>
      <x:c r="H290" s="18" t="str"/>
      <x:c r="I290" s="18" t="str"/>
      <x:c r="J290" s="20" t="str"/>
      <x:c r="K290" s="18" t="str"/>
      <x:c r="L290" s="18" t="str"/>
      <x:c r="M290" s="18" t="str">
        <x:v>2026-06-27</x:v>
      </x:c>
      <x:c r="N290" s="18" t="str"/>
      <x:c r="O290" s="18" t="str">
        <x:v>ibbi_4jyquj</x:v>
      </x:c>
      <x:c r="P290" s="18" t="str">
        <x:v>INNOVATIVIEW FINANCE PRIVATE LIMITED</x:v>
      </x:c>
      <x:c r="Q290" s="18" t="str">
        <x:v>INNOVATIVIEW FINANCE PRIVATE LIMITED</x:v>
      </x:c>
      <x:c r="R290" s="18" t="str">
        <x:v>LOVENEET HANDA</x:v>
      </x:c>
      <x:c r="S290" s="18" t="str">
        <x:v>2026-07-23</x:v>
      </x:c>
      <x:c r="T290" s="18" t="str">
        <x:v>Public Announcement of Voluntary Liquidation Process</x:v>
      </x:c>
      <x:c r="U290" s="18" t="str"/>
      <x:c r="V290" s="18" t="str">
        <x:v>DEFINED_TERMINAL_OR_FEED_SCOPE</x:v>
      </x:c>
      <x:c r="W290" s="18" t="str">
        <x:v>national_ibbi_announcements.json — published records loaded</x:v>
      </x:c>
      <x:c r="X290" s="18" t="str"/>
      <x:c r="Y290" s="18" t="str"/>
      <x:c r="Z290" s="20" t="n">
        <x:v>434</x:v>
      </x:c>
      <x:c r="AA290" s="19" t="n">
        <x:f>IFERROR(TODAY()-DATEVALUE(C290),"")</x:f>
        <x:v>75</x:v>
      </x:c>
      <x:c r="AB290" s="21" t="n">
        <x:f>ROUND(COUNTA(A290:K290)/11*100,0)</x:f>
        <x:v>100</x:v>
      </x:c>
      <x:c r="AC290" s="18" t="str">
        <x:v>National Company Law Tribunal</x:v>
      </x:c>
      <x:c r="AD290" s="22" t="str">
        <x:v>https://ibbi.gov.in/uploads/announcement/7253cf730acd9f69c1ab23488c7fe0a5.pdf</x:v>
      </x:c>
      <x:c r="AE290" s="18" t="str">
        <x:v>2026-06-27</x:v>
      </x:c>
      <x:c r="AF290" s="18" t="n">
        <x:v>46275.114583333336</x:v>
      </x:c>
      <x:c r="AG290" s="18" t="str">
        <x:v>retained_terminal</x:v>
      </x:c>
      <x:c r="AH290" s="18" t="str">
        <x:v>READY</x:v>
      </x:c>
    </x:row>
    <x:row r="291">
      <x:c r="A291" s="18" t="str">
        <x:v>NYT-47-995f480bf2757405</x:v>
      </x:c>
      <x:c r="B291" s="18" t="str">
        <x:v>NCLT / NCLAT (Insolvency) source coverage</x:v>
      </x:c>
      <x:c r="C291" s="18" t="str">
        <x:v>2026-06-27</x:v>
      </x:c>
      <x:c r="D291" s="18" t="n">
        <x:v>2026</x:v>
      </x:c>
      <x:c r="E291" s="18" t="str">
        <x:v>2026-06</x:v>
      </x:c>
      <x:c r="F291" s="18" t="str"/>
      <x:c r="G291" s="18" t="str">
        <x:v>Public Announcement of Liquidation Process</x:v>
      </x:c>
      <x:c r="H291" s="18" t="str"/>
      <x:c r="I291" s="18" t="str"/>
      <x:c r="J291" s="20" t="str"/>
      <x:c r="K291" s="18" t="str"/>
      <x:c r="L291" s="18" t="str"/>
      <x:c r="M291" s="18" t="str">
        <x:v>2026-06-27</x:v>
      </x:c>
      <x:c r="N291" s="18" t="str"/>
      <x:c r="O291" s="18" t="str">
        <x:v>ibbi_1wv5u6c</x:v>
      </x:c>
      <x:c r="P291" s="18" t="str">
        <x:v>State Bank of India</x:v>
      </x:c>
      <x:c r="Q291" s="18" t="str">
        <x:v>AARYA INDUSTRIAL PRODUCTS PRIVATE LIMITED</x:v>
      </x:c>
      <x:c r="R291" s="18" t="str">
        <x:v>Tripti Agarwal</x:v>
      </x:c>
      <x:c r="S291" s="18" t="str">
        <x:v>2026-07-22</x:v>
      </x:c>
      <x:c r="T291" s="18" t="str">
        <x:v>Public Announcement of Liquidation Process</x:v>
      </x:c>
      <x:c r="U291" s="18" t="str"/>
      <x:c r="V291" s="18" t="str">
        <x:v>DEFINED_TERMINAL_OR_FEED_SCOPE</x:v>
      </x:c>
      <x:c r="W291" s="18" t="str">
        <x:v>national_ibbi_announcements.json — published records loaded</x:v>
      </x:c>
      <x:c r="X291" s="18" t="str"/>
      <x:c r="Y291" s="18" t="str"/>
      <x:c r="Z291" s="20" t="n">
        <x:v>434</x:v>
      </x:c>
      <x:c r="AA291" s="19" t="n">
        <x:f>IFERROR(TODAY()-DATEVALUE(C291),"")</x:f>
        <x:v>75</x:v>
      </x:c>
      <x:c r="AB291" s="21" t="n">
        <x:f>ROUND(COUNTA(A291:K291)/11*100,0)</x:f>
        <x:v>100</x:v>
      </x:c>
      <x:c r="AC291" s="18" t="str">
        <x:v>National Company Law Tribunal</x:v>
      </x:c>
      <x:c r="AD291" s="22" t="str">
        <x:v>https://ibbi.gov.in/uploads/announcement/92f41fd0d383d12e8d2670dc1e2eaf71.pdf</x:v>
      </x:c>
      <x:c r="AE291" s="18" t="str">
        <x:v>2026-06-27</x:v>
      </x:c>
      <x:c r="AF291" s="18" t="n">
        <x:v>46275.114583333336</x:v>
      </x:c>
      <x:c r="AG291" s="18" t="str">
        <x:v>retained_terminal</x:v>
      </x:c>
      <x:c r="AH291" s="18" t="str">
        <x:v>READY</x:v>
      </x:c>
    </x:row>
    <x:row r="292">
      <x:c r="A292" s="18" t="str">
        <x:v>NYT-47-750c88c4030cfa21</x:v>
      </x:c>
      <x:c r="B292" s="18" t="str">
        <x:v>NCLT / NCLAT (Insolvency) source coverage</x:v>
      </x:c>
      <x:c r="C292" s="18" t="str">
        <x:v>2026-06-27</x:v>
      </x:c>
      <x:c r="D292" s="18" t="n">
        <x:v>2026</x:v>
      </x:c>
      <x:c r="E292" s="18" t="str">
        <x:v>2026-06</x:v>
      </x:c>
      <x:c r="F292" s="18" t="str"/>
      <x:c r="G292" s="18" t="str">
        <x:v>Public Announcement of Corporate Insolvency Resolution Process</x:v>
      </x:c>
      <x:c r="H292" s="18" t="str"/>
      <x:c r="I292" s="18" t="str"/>
      <x:c r="J292" s="20" t="str"/>
      <x:c r="K292" s="18" t="str"/>
      <x:c r="L292" s="18" t="str"/>
      <x:c r="M292" s="18" t="str">
        <x:v>2026-06-27</x:v>
      </x:c>
      <x:c r="N292" s="18" t="str"/>
      <x:c r="O292" s="18" t="str">
        <x:v>ibbi_7az76i</x:v>
      </x:c>
      <x:c r="P292" s="18" t="str">
        <x:v>State Bank of India</x:v>
      </x:c>
      <x:c r="Q292" s="18" t="str">
        <x:v>BHUBANESHWARI SEAFOOD PRIVATE LIMITED</x:v>
      </x:c>
      <x:c r="R292" s="18" t="str">
        <x:v>Tripti Agarwal</x:v>
      </x:c>
      <x:c r="S292" s="18" t="str">
        <x:v>2026-07-08</x:v>
      </x:c>
      <x:c r="T292" s="18" t="str">
        <x:v>Public Announcement of Corporate Insolvency Resolution Process</x:v>
      </x:c>
      <x:c r="U292" s="18" t="str"/>
      <x:c r="V292" s="18" t="str">
        <x:v>DEFINED_TERMINAL_OR_FEED_SCOPE</x:v>
      </x:c>
      <x:c r="W292" s="18" t="str">
        <x:v>national_ibbi_announcements.json — published records loaded</x:v>
      </x:c>
      <x:c r="X292" s="18" t="str"/>
      <x:c r="Y292" s="18" t="str"/>
      <x:c r="Z292" s="20" t="n">
        <x:v>434</x:v>
      </x:c>
      <x:c r="AA292" s="19" t="n">
        <x:f>IFERROR(TODAY()-DATEVALUE(C292),"")</x:f>
        <x:v>75</x:v>
      </x:c>
      <x:c r="AB292" s="21" t="n">
        <x:f>ROUND(COUNTA(A292:K292)/11*100,0)</x:f>
        <x:v>100</x:v>
      </x:c>
      <x:c r="AC292" s="18" t="str">
        <x:v>National Company Law Tribunal</x:v>
      </x:c>
      <x:c r="AD292" s="22" t="str">
        <x:v>https://ibbi.gov.in/uploads/announcement/4e5edeaa4c1bbfb5a7f87f60480dd899.pdf</x:v>
      </x:c>
      <x:c r="AE292" s="18" t="str">
        <x:v>2026-06-27</x:v>
      </x:c>
      <x:c r="AF292" s="18" t="n">
        <x:v>46275.114583333336</x:v>
      </x:c>
      <x:c r="AG292" s="18" t="str">
        <x:v>retained_terminal</x:v>
      </x:c>
      <x:c r="AH292" s="18" t="str">
        <x:v>READY</x:v>
      </x:c>
    </x:row>
    <x:row r="293">
      <x:c r="A293" s="18" t="str">
        <x:v>NYT-47-46e3f33e6ff66476</x:v>
      </x:c>
      <x:c r="B293" s="18" t="str">
        <x:v>NCLT / NCLAT (Insolvency) source coverage</x:v>
      </x:c>
      <x:c r="C293" s="18" t="str">
        <x:v>2026-06-27</x:v>
      </x:c>
      <x:c r="D293" s="18" t="n">
        <x:v>2026</x:v>
      </x:c>
      <x:c r="E293" s="18" t="str">
        <x:v>2026-06</x:v>
      </x:c>
      <x:c r="F293" s="18" t="str"/>
      <x:c r="G293" s="18" t="str">
        <x:v>Public Announcement of Corporate Insolvency Resolution Process</x:v>
      </x:c>
      <x:c r="H293" s="18" t="str"/>
      <x:c r="I293" s="18" t="str"/>
      <x:c r="J293" s="20" t="str"/>
      <x:c r="K293" s="18" t="str"/>
      <x:c r="L293" s="18" t="str"/>
      <x:c r="M293" s="18" t="str">
        <x:v>2026-06-27</x:v>
      </x:c>
      <x:c r="N293" s="18" t="str"/>
      <x:c r="O293" s="18" t="str">
        <x:v>ibbi_1cf2grx</x:v>
      </x:c>
      <x:c r="P293" s="18" t="str">
        <x:v>State Bank of India</x:v>
      </x:c>
      <x:c r="Q293" s="18" t="str">
        <x:v>G M INFINITE DWELLING INDIA PRIVATE LIMITED</x:v>
      </x:c>
      <x:c r="R293" s="18" t="str">
        <x:v>Mr. Madhusudhana Reddy Maligi</x:v>
      </x:c>
      <x:c r="S293" s="18" t="str">
        <x:v>2026-07-11</x:v>
      </x:c>
      <x:c r="T293" s="18" t="str">
        <x:v>Public Announcement of Corporate Insolvency Resolution Process</x:v>
      </x:c>
      <x:c r="U293" s="18" t="str"/>
      <x:c r="V293" s="18" t="str">
        <x:v>DEFINED_TERMINAL_OR_FEED_SCOPE</x:v>
      </x:c>
      <x:c r="W293" s="18" t="str">
        <x:v>national_ibbi_announcements.json — published records loaded</x:v>
      </x:c>
      <x:c r="X293" s="18" t="str"/>
      <x:c r="Y293" s="18" t="str"/>
      <x:c r="Z293" s="20" t="n">
        <x:v>434</x:v>
      </x:c>
      <x:c r="AA293" s="19" t="n">
        <x:f>IFERROR(TODAY()-DATEVALUE(C293),"")</x:f>
        <x:v>75</x:v>
      </x:c>
      <x:c r="AB293" s="21" t="n">
        <x:f>ROUND(COUNTA(A293:K293)/11*100,0)</x:f>
        <x:v>100</x:v>
      </x:c>
      <x:c r="AC293" s="18" t="str">
        <x:v>National Company Law Tribunal</x:v>
      </x:c>
      <x:c r="AD293" s="22" t="str">
        <x:v>https://ibbi.gov.in/uploads/announcement/2026-07-02-163433-z7sat-c95c9b2a4ff43aecccec3ecb17e51ed1.pdf</x:v>
      </x:c>
      <x:c r="AE293" s="18" t="str">
        <x:v>2026-06-27</x:v>
      </x:c>
      <x:c r="AF293" s="18" t="n">
        <x:v>46275.114583333336</x:v>
      </x:c>
      <x:c r="AG293" s="18" t="str">
        <x:v>retained_terminal</x:v>
      </x:c>
      <x:c r="AH293" s="18" t="str">
        <x:v>READY</x:v>
      </x:c>
    </x:row>
    <x:row r="294">
      <x:c r="A294" s="18" t="str">
        <x:v>NYT-47-f10618960be38294</x:v>
      </x:c>
      <x:c r="B294" s="18" t="str">
        <x:v>NCLT / NCLAT (Insolvency) source coverage</x:v>
      </x:c>
      <x:c r="C294" s="18" t="str">
        <x:v>2026-06-27</x:v>
      </x:c>
      <x:c r="D294" s="18" t="n">
        <x:v>2026</x:v>
      </x:c>
      <x:c r="E294" s="18" t="str">
        <x:v>2026-06</x:v>
      </x:c>
      <x:c r="F294" s="18" t="str"/>
      <x:c r="G294" s="18" t="str">
        <x:v>Public Announcement of Corporate Insolvency Resolution Process</x:v>
      </x:c>
      <x:c r="H294" s="18" t="str"/>
      <x:c r="I294" s="18" t="str"/>
      <x:c r="J294" s="20" t="str"/>
      <x:c r="K294" s="18" t="str"/>
      <x:c r="L294" s="18" t="str"/>
      <x:c r="M294" s="18" t="str">
        <x:v>2026-06-27</x:v>
      </x:c>
      <x:c r="N294" s="18" t="str"/>
      <x:c r="O294" s="18" t="str">
        <x:v>ibbi_1mscex5</x:v>
      </x:c>
      <x:c r="P294" s="18" t="str">
        <x:v>Alta Performance Materials India LLP</x:v>
      </x:c>
      <x:c r="Q294" s="18" t="str">
        <x:v>CMT MECHANISED SYSTEM PRIVATE LIMITED</x:v>
      </x:c>
      <x:c r="R294" s="18" t="str">
        <x:v>Mr. Mohit Chawla</x:v>
      </x:c>
      <x:c r="S294" s="18" t="str">
        <x:v>2026-07-09</x:v>
      </x:c>
      <x:c r="T294" s="18" t="str">
        <x:v>Public Announcement of Corporate Insolvency Resolution Process</x:v>
      </x:c>
      <x:c r="U294" s="18" t="str"/>
      <x:c r="V294" s="18" t="str">
        <x:v>DEFINED_TERMINAL_OR_FEED_SCOPE</x:v>
      </x:c>
      <x:c r="W294" s="18" t="str">
        <x:v>national_ibbi_announcements.json — published records loaded</x:v>
      </x:c>
      <x:c r="X294" s="18" t="str"/>
      <x:c r="Y294" s="18" t="str"/>
      <x:c r="Z294" s="20" t="n">
        <x:v>434</x:v>
      </x:c>
      <x:c r="AA294" s="19" t="n">
        <x:f>IFERROR(TODAY()-DATEVALUE(C294),"")</x:f>
        <x:v>75</x:v>
      </x:c>
      <x:c r="AB294" s="21" t="n">
        <x:f>ROUND(COUNTA(A294:K294)/11*100,0)</x:f>
        <x:v>100</x:v>
      </x:c>
      <x:c r="AC294" s="18" t="str">
        <x:v>National Company Law Tribunal</x:v>
      </x:c>
      <x:c r="AD294" s="22" t="str">
        <x:v>https://ibbi.gov.in/uploads/announcement/2026-07-01-140404-lmzd5-bef86e1aa2c2ba6b73d3a481f88c6c4e.pdf</x:v>
      </x:c>
      <x:c r="AE294" s="18" t="str">
        <x:v>2026-06-27</x:v>
      </x:c>
      <x:c r="AF294" s="18" t="n">
        <x:v>46275.114583333336</x:v>
      </x:c>
      <x:c r="AG294" s="18" t="str">
        <x:v>retained_terminal</x:v>
      </x:c>
      <x:c r="AH294" s="18" t="str">
        <x:v>READY</x:v>
      </x:c>
    </x:row>
    <x:row r="295">
      <x:c r="A295" s="18" t="str">
        <x:v>NYT-47-b45d1574754c601a</x:v>
      </x:c>
      <x:c r="B295" s="18" t="str">
        <x:v>NCLT / NCLAT (Insolvency) source coverage</x:v>
      </x:c>
      <x:c r="C295" s="18" t="str">
        <x:v>2026-06-27</x:v>
      </x:c>
      <x:c r="D295" s="18" t="n">
        <x:v>2026</x:v>
      </x:c>
      <x:c r="E295" s="18" t="str">
        <x:v>2026-06</x:v>
      </x:c>
      <x:c r="F295" s="18" t="str"/>
      <x:c r="G295" s="18" t="str">
        <x:v>Public Announcement of Voluntary Liquidation Process</x:v>
      </x:c>
      <x:c r="H295" s="18" t="str"/>
      <x:c r="I295" s="18" t="str"/>
      <x:c r="J295" s="20" t="str"/>
      <x:c r="K295" s="18" t="str"/>
      <x:c r="L295" s="18" t="str"/>
      <x:c r="M295" s="18" t="str">
        <x:v>2026-06-27</x:v>
      </x:c>
      <x:c r="N295" s="18" t="str"/>
      <x:c r="O295" s="18" t="str">
        <x:v>ibbi_1gxq21y</x:v>
      </x:c>
      <x:c r="P295" s="18" t="str">
        <x:v>SGAF TECHNOLOGIES INDIA PRIVATE LIMITED</x:v>
      </x:c>
      <x:c r="Q295" s="18" t="str">
        <x:v>SGAF TECHNOLOGIES INDIA PRIVATE LIMITED</x:v>
      </x:c>
      <x:c r="R295" s="18" t="str">
        <x:v>Shrishti Garg</x:v>
      </x:c>
      <x:c r="S295" s="18" t="str">
        <x:v>2026-07-24</x:v>
      </x:c>
      <x:c r="T295" s="18" t="str">
        <x:v>Public Announcement of Voluntary Liquidation Process</x:v>
      </x:c>
      <x:c r="U295" s="18" t="str"/>
      <x:c r="V295" s="18" t="str">
        <x:v>DEFINED_TERMINAL_OR_FEED_SCOPE</x:v>
      </x:c>
      <x:c r="W295" s="18" t="str">
        <x:v>national_ibbi_announcements.json — published records loaded</x:v>
      </x:c>
      <x:c r="X295" s="18" t="str"/>
      <x:c r="Y295" s="18" t="str"/>
      <x:c r="Z295" s="20" t="n">
        <x:v>434</x:v>
      </x:c>
      <x:c r="AA295" s="19" t="n">
        <x:f>IFERROR(TODAY()-DATEVALUE(C295),"")</x:f>
        <x:v>75</x:v>
      </x:c>
      <x:c r="AB295" s="21" t="n">
        <x:f>ROUND(COUNTA(A295:K295)/11*100,0)</x:f>
        <x:v>100</x:v>
      </x:c>
      <x:c r="AC295" s="18" t="str">
        <x:v>National Company Law Tribunal</x:v>
      </x:c>
      <x:c r="AD295" s="22" t="str">
        <x:v>https://ibbi.gov.in/uploads/announcement/2026-06-30-172106-qogc6-5c06ce6c0111806ecfd4fbad7e27f559.pdf</x:v>
      </x:c>
      <x:c r="AE295" s="18" t="str">
        <x:v>2026-06-27</x:v>
      </x:c>
      <x:c r="AF295" s="18" t="n">
        <x:v>46275.114583333336</x:v>
      </x:c>
      <x:c r="AG295" s="18" t="str">
        <x:v>retained_terminal</x:v>
      </x:c>
      <x:c r="AH295" s="18" t="str">
        <x:v>READY</x:v>
      </x:c>
    </x:row>
    <x:row r="296">
      <x:c r="A296" s="18" t="str">
        <x:v>NYT-47-1f4b6809702f9aba</x:v>
      </x:c>
      <x:c r="B296" s="18" t="str">
        <x:v>NCLT / NCLAT (Insolvency) source coverage</x:v>
      </x:c>
      <x:c r="C296" s="18" t="str">
        <x:v>2026-06-27</x:v>
      </x:c>
      <x:c r="D296" s="18" t="n">
        <x:v>2026</x:v>
      </x:c>
      <x:c r="E296" s="18" t="str">
        <x:v>2026-06</x:v>
      </x:c>
      <x:c r="F296" s="18" t="str"/>
      <x:c r="G296" s="18" t="str">
        <x:v>Public Announcement of Corporate Insolvency Resolution Process</x:v>
      </x:c>
      <x:c r="H296" s="18" t="str"/>
      <x:c r="I296" s="18" t="str"/>
      <x:c r="J296" s="20" t="str"/>
      <x:c r="K296" s="18" t="str"/>
      <x:c r="L296" s="18" t="str"/>
      <x:c r="M296" s="18" t="str">
        <x:v>2026-06-27</x:v>
      </x:c>
      <x:c r="N296" s="18" t="str"/>
      <x:c r="O296" s="18" t="str">
        <x:v>ibbi_1hk5f3k</x:v>
      </x:c>
      <x:c r="P296" s="18" t="str">
        <x:v>Alankar Commotrade Private Limited</x:v>
      </x:c>
      <x:c r="Q296" s="18" t="str">
        <x:v>SWADESHI MERCHANTS PRIVATE LIMITED</x:v>
      </x:c>
      <x:c r="R296" s="18" t="str">
        <x:v>Mr. Sudipta Ghosh</x:v>
      </x:c>
      <x:c r="S296" s="18" t="str">
        <x:v>2026-07-06</x:v>
      </x:c>
      <x:c r="T296" s="18" t="str">
        <x:v>Public Announcement of Corporate Insolvency Resolution Process</x:v>
      </x:c>
      <x:c r="U296" s="18" t="str"/>
      <x:c r="V296" s="18" t="str">
        <x:v>DEFINED_TERMINAL_OR_FEED_SCOPE</x:v>
      </x:c>
      <x:c r="W296" s="18" t="str">
        <x:v>national_ibbi_announcements.json — published records loaded</x:v>
      </x:c>
      <x:c r="X296" s="18" t="str"/>
      <x:c r="Y296" s="18" t="str"/>
      <x:c r="Z296" s="20" t="n">
        <x:v>434</x:v>
      </x:c>
      <x:c r="AA296" s="19" t="n">
        <x:f>IFERROR(TODAY()-DATEVALUE(C296),"")</x:f>
        <x:v>75</x:v>
      </x:c>
      <x:c r="AB296" s="21" t="n">
        <x:f>ROUND(COUNTA(A296:K296)/11*100,0)</x:f>
        <x:v>100</x:v>
      </x:c>
      <x:c r="AC296" s="18" t="str">
        <x:v>National Company Law Tribunal</x:v>
      </x:c>
      <x:c r="AD296" s="22" t="str">
        <x:v>https://ibbi.gov.in/uploads/announcement/2026-06-30-170220-m8we5-3b2339050f45f034ee0fda92f65f1263.pdf</x:v>
      </x:c>
      <x:c r="AE296" s="18" t="str">
        <x:v>2026-06-27</x:v>
      </x:c>
      <x:c r="AF296" s="18" t="n">
        <x:v>46275.114583333336</x:v>
      </x:c>
      <x:c r="AG296" s="18" t="str">
        <x:v>retained_terminal</x:v>
      </x:c>
      <x:c r="AH296" s="18" t="str">
        <x:v>READY</x:v>
      </x:c>
    </x:row>
    <x:row r="297">
      <x:c r="A297" s="18" t="str">
        <x:v>NYT-47-becf165391a9b88b</x:v>
      </x:c>
      <x:c r="B297" s="18" t="str">
        <x:v>NCLT / NCLAT (Insolvency) source coverage</x:v>
      </x:c>
      <x:c r="C297" s="18" t="str">
        <x:v>2026-06-27</x:v>
      </x:c>
      <x:c r="D297" s="18" t="n">
        <x:v>2026</x:v>
      </x:c>
      <x:c r="E297" s="18" t="str">
        <x:v>2026-06</x:v>
      </x:c>
      <x:c r="F297" s="18" t="str"/>
      <x:c r="G297" s="18" t="str">
        <x:v>Public Announcement of Corporate Insolvency Resolution Process</x:v>
      </x:c>
      <x:c r="H297" s="18" t="str"/>
      <x:c r="I297" s="18" t="str"/>
      <x:c r="J297" s="20" t="str"/>
      <x:c r="K297" s="18" t="str"/>
      <x:c r="L297" s="18" t="str"/>
      <x:c r="M297" s="18" t="str">
        <x:v>2026-06-27</x:v>
      </x:c>
      <x:c r="N297" s="18" t="str"/>
      <x:c r="O297" s="18" t="str">
        <x:v>ibbi_yqgpjt</x:v>
      </x:c>
      <x:c r="P297" s="18" t="str">
        <x:v>Union Bank of India</x:v>
      </x:c>
      <x:c r="Q297" s="18" t="str">
        <x:v>PRATHAM-HEERA SALES PRIVATE LIMITED</x:v>
      </x:c>
      <x:c r="R297" s="18" t="str">
        <x:v>Mr. Arihant Nenawati</x:v>
      </x:c>
      <x:c r="S297" s="18" t="str">
        <x:v>2026-07-09</x:v>
      </x:c>
      <x:c r="T297" s="18" t="str">
        <x:v>Public Announcement of Corporate Insolvency Resolution Process</x:v>
      </x:c>
      <x:c r="U297" s="18" t="str"/>
      <x:c r="V297" s="18" t="str">
        <x:v>DEFINED_TERMINAL_OR_FEED_SCOPE</x:v>
      </x:c>
      <x:c r="W297" s="18" t="str">
        <x:v>national_ibbi_announcements.json — published records loaded</x:v>
      </x:c>
      <x:c r="X297" s="18" t="str"/>
      <x:c r="Y297" s="18" t="str"/>
      <x:c r="Z297" s="20" t="n">
        <x:v>434</x:v>
      </x:c>
      <x:c r="AA297" s="19" t="n">
        <x:f>IFERROR(TODAY()-DATEVALUE(C297),"")</x:f>
        <x:v>75</x:v>
      </x:c>
      <x:c r="AB297" s="21" t="n">
        <x:f>ROUND(COUNTA(A297:K297)/11*100,0)</x:f>
        <x:v>100</x:v>
      </x:c>
      <x:c r="AC297" s="18" t="str">
        <x:v>National Company Law Tribunal</x:v>
      </x:c>
      <x:c r="AD297" s="22" t="str">
        <x:v>https://ibbi.gov.in/uploads/announcement/2026-06-30-141918-25sno-70eaa973055d31a891f9636607afaae1.pdf</x:v>
      </x:c>
      <x:c r="AE297" s="18" t="str">
        <x:v>2026-06-27</x:v>
      </x:c>
      <x:c r="AF297" s="18" t="n">
        <x:v>46275.114583333336</x:v>
      </x:c>
      <x:c r="AG297" s="18" t="str">
        <x:v>retained_terminal</x:v>
      </x:c>
      <x:c r="AH297" s="18" t="str">
        <x:v>READY</x:v>
      </x:c>
    </x:row>
    <x:row r="298">
      <x:c r="A298" s="18" t="str">
        <x:v>NYT-47-9869426cf43af642</x:v>
      </x:c>
      <x:c r="B298" s="18" t="str">
        <x:v>NCLT / NCLAT (Insolvency) source coverage</x:v>
      </x:c>
      <x:c r="C298" s="18" t="str">
        <x:v>2026-06-26</x:v>
      </x:c>
      <x:c r="D298" s="18" t="n">
        <x:v>2026</x:v>
      </x:c>
      <x:c r="E298" s="18" t="str">
        <x:v>2026-06</x:v>
      </x:c>
      <x:c r="F298" s="18" t="str"/>
      <x:c r="G298" s="18" t="str">
        <x:v>Public Announcement of Corporate Insolvency Resolution Process</x:v>
      </x:c>
      <x:c r="H298" s="18" t="str"/>
      <x:c r="I298" s="18" t="str"/>
      <x:c r="J298" s="20" t="str"/>
      <x:c r="K298" s="18" t="str"/>
      <x:c r="L298" s="18" t="str"/>
      <x:c r="M298" s="18" t="str">
        <x:v>2026-06-26</x:v>
      </x:c>
      <x:c r="N298" s="18" t="str"/>
      <x:c r="O298" s="18" t="str">
        <x:v>ibbi_u06qc2</x:v>
      </x:c>
      <x:c r="P298" s="18" t="str">
        <x:v>State Bank of India</x:v>
      </x:c>
      <x:c r="Q298" s="18" t="str">
        <x:v>VARIDHI COTSPIN PRIVATE LIMITED</x:v>
      </x:c>
      <x:c r="R298" s="18" t="str">
        <x:v>Mr. Prawincharan Prafulcharan Dwary</x:v>
      </x:c>
      <x:c r="S298" s="18" t="str">
        <x:v>2026-07-09</x:v>
      </x:c>
      <x:c r="T298" s="18" t="str">
        <x:v>Public Announcement of Corporate Insolvency Resolution Process</x:v>
      </x:c>
      <x:c r="U298" s="18" t="str"/>
      <x:c r="V298" s="18" t="str">
        <x:v>DEFINED_TERMINAL_OR_FEED_SCOPE</x:v>
      </x:c>
      <x:c r="W298" s="18" t="str">
        <x:v>national_ibbi_announcements.json — published records loaded</x:v>
      </x:c>
      <x:c r="X298" s="18" t="str"/>
      <x:c r="Y298" s="18" t="str"/>
      <x:c r="Z298" s="20" t="n">
        <x:v>434</x:v>
      </x:c>
      <x:c r="AA298" s="19" t="n">
        <x:f>IFERROR(TODAY()-DATEVALUE(C298),"")</x:f>
        <x:v>76</x:v>
      </x:c>
      <x:c r="AB298" s="21" t="n">
        <x:f>ROUND(COUNTA(A298:K298)/11*100,0)</x:f>
        <x:v>100</x:v>
      </x:c>
      <x:c r="AC298" s="18" t="str">
        <x:v>National Company Law Tribunal</x:v>
      </x:c>
      <x:c r="AD298" s="22" t="str">
        <x:v>https://ibbi.gov.in/uploads/announcement/62a148c11d7dc0b2c01992a99b46dc47.pdf</x:v>
      </x:c>
      <x:c r="AE298" s="18" t="str">
        <x:v>2026-06-26</x:v>
      </x:c>
      <x:c r="AF298" s="18" t="n">
        <x:v>46275.114583333336</x:v>
      </x:c>
      <x:c r="AG298" s="18" t="str">
        <x:v>retained_terminal</x:v>
      </x:c>
      <x:c r="AH298" s="18" t="str">
        <x:v>READY</x:v>
      </x:c>
    </x:row>
    <x:row r="299">
      <x:c r="A299" s="18" t="str">
        <x:v>NYT-47-8ca86a8e446894ae</x:v>
      </x:c>
      <x:c r="B299" s="18" t="str">
        <x:v>NCLT / NCLAT (Insolvency) source coverage</x:v>
      </x:c>
      <x:c r="C299" s="18" t="str">
        <x:v>2026-06-26</x:v>
      </x:c>
      <x:c r="D299" s="18" t="n">
        <x:v>2026</x:v>
      </x:c>
      <x:c r="E299" s="18" t="str">
        <x:v>2026-06</x:v>
      </x:c>
      <x:c r="F299" s="18" t="str"/>
      <x:c r="G299" s="18" t="str">
        <x:v>Public Announcement of Corporate Insolvency Resolution Process</x:v>
      </x:c>
      <x:c r="H299" s="18" t="str"/>
      <x:c r="I299" s="18" t="str"/>
      <x:c r="J299" s="20" t="str"/>
      <x:c r="K299" s="18" t="str"/>
      <x:c r="L299" s="18" t="str"/>
      <x:c r="M299" s="18" t="str">
        <x:v>2026-06-26</x:v>
      </x:c>
      <x:c r="N299" s="18" t="str"/>
      <x:c r="O299" s="18" t="str">
        <x:v>ibbi_iunqni</x:v>
      </x:c>
      <x:c r="P299" s="18" t="str">
        <x:v>Jai Ambe Spares Private Limited</x:v>
      </x:c>
      <x:c r="Q299" s="18" t="str">
        <x:v>JAI AMBE SPARES PRIVATE LIMITED</x:v>
      </x:c>
      <x:c r="R299" s="18" t="str">
        <x:v>Harsh Firoda</x:v>
      </x:c>
      <x:c r="S299" s="18" t="str">
        <x:v>2026-07-07</x:v>
      </x:c>
      <x:c r="T299" s="18" t="str">
        <x:v>Public Announcement of Corporate Insolvency Resolution Process</x:v>
      </x:c>
      <x:c r="U299" s="18" t="str"/>
      <x:c r="V299" s="18" t="str">
        <x:v>DEFINED_TERMINAL_OR_FEED_SCOPE</x:v>
      </x:c>
      <x:c r="W299" s="18" t="str">
        <x:v>national_ibbi_announcements.json — published records loaded</x:v>
      </x:c>
      <x:c r="X299" s="18" t="str"/>
      <x:c r="Y299" s="18" t="str"/>
      <x:c r="Z299" s="20" t="n">
        <x:v>434</x:v>
      </x:c>
      <x:c r="AA299" s="19" t="n">
        <x:f>IFERROR(TODAY()-DATEVALUE(C299),"")</x:f>
        <x:v>76</x:v>
      </x:c>
      <x:c r="AB299" s="21" t="n">
        <x:f>ROUND(COUNTA(A299:K299)/11*100,0)</x:f>
        <x:v>100</x:v>
      </x:c>
      <x:c r="AC299" s="18" t="str">
        <x:v>National Company Law Tribunal</x:v>
      </x:c>
      <x:c r="AD299" s="22" t="str">
        <x:v>https://ibbi.gov.in/uploads/announcement/44751ace692f4cb16c3453c0de8c98cd.pdf</x:v>
      </x:c>
      <x:c r="AE299" s="18" t="str">
        <x:v>2026-06-26</x:v>
      </x:c>
      <x:c r="AF299" s="18" t="n">
        <x:v>46275.114583333336</x:v>
      </x:c>
      <x:c r="AG299" s="18" t="str">
        <x:v>retained_terminal</x:v>
      </x:c>
      <x:c r="AH299" s="18" t="str">
        <x:v>READY</x:v>
      </x:c>
    </x:row>
    <x:row r="300">
      <x:c r="A300" s="18" t="str">
        <x:v>NYT-47-35c547fa0be7f284</x:v>
      </x:c>
      <x:c r="B300" s="18" t="str">
        <x:v>NCLT / NCLAT (Insolvency) source coverage</x:v>
      </x:c>
      <x:c r="C300" s="18" t="str">
        <x:v>2026-06-25</x:v>
      </x:c>
      <x:c r="D300" s="18" t="n">
        <x:v>2026</x:v>
      </x:c>
      <x:c r="E300" s="18" t="str">
        <x:v>2026-06</x:v>
      </x:c>
      <x:c r="F300" s="18" t="str"/>
      <x:c r="G300" s="18" t="str">
        <x:v>Public Announcement of Corporate Insolvency Resolution Process</x:v>
      </x:c>
      <x:c r="H300" s="18" t="str"/>
      <x:c r="I300" s="18" t="str"/>
      <x:c r="J300" s="20" t="str"/>
      <x:c r="K300" s="18" t="str"/>
      <x:c r="L300" s="18" t="str"/>
      <x:c r="M300" s="18" t="str">
        <x:v>2026-06-25</x:v>
      </x:c>
      <x:c r="N300" s="18" t="str"/>
      <x:c r="O300" s="18" t="str">
        <x:v>ibbi_1v33p4z</x:v>
      </x:c>
      <x:c r="P300" s="18" t="str">
        <x:v>Canara Bank</x:v>
      </x:c>
      <x:c r="Q300" s="18" t="str">
        <x:v>SAKET PROMOTERS LIMITED</x:v>
      </x:c>
      <x:c r="R300" s="18" t="str">
        <x:v>Mr. Pratim Bayal</x:v>
      </x:c>
      <x:c r="S300" s="18" t="str">
        <x:v>2026-07-08</x:v>
      </x:c>
      <x:c r="T300" s="18" t="str">
        <x:v>Public Announcement of Corporate Insolvency Resolution Process</x:v>
      </x:c>
      <x:c r="U300" s="18" t="str"/>
      <x:c r="V300" s="18" t="str">
        <x:v>DEFINED_TERMINAL_OR_FEED_SCOPE</x:v>
      </x:c>
      <x:c r="W300" s="18" t="str">
        <x:v>national_ibbi_announcements.json — published records loaded</x:v>
      </x:c>
      <x:c r="X300" s="18" t="str"/>
      <x:c r="Y300" s="18" t="str"/>
      <x:c r="Z300" s="20" t="n">
        <x:v>434</x:v>
      </x:c>
      <x:c r="AA300" s="19" t="n">
        <x:f>IFERROR(TODAY()-DATEVALUE(C300),"")</x:f>
        <x:v>77</x:v>
      </x:c>
      <x:c r="AB300" s="21" t="n">
        <x:f>ROUND(COUNTA(A300:K300)/11*100,0)</x:f>
        <x:v>100</x:v>
      </x:c>
      <x:c r="AC300" s="18" t="str">
        <x:v>National Company Law Tribunal</x:v>
      </x:c>
      <x:c r="AD300" s="22" t="str">
        <x:v>https://ibbi.gov.in/uploads/announcement/ab35146e8e7d9ce807ace56eca36b282.pdf</x:v>
      </x:c>
      <x:c r="AE300" s="18" t="str">
        <x:v>2026-06-25</x:v>
      </x:c>
      <x:c r="AF300" s="18" t="n">
        <x:v>46275.114583333336</x:v>
      </x:c>
      <x:c r="AG300" s="18" t="str">
        <x:v>retained_terminal</x:v>
      </x:c>
      <x:c r="AH300" s="18" t="str">
        <x:v>READY</x:v>
      </x:c>
    </x:row>
    <x:row r="301">
      <x:c r="A301" s="18" t="str">
        <x:v>NYT-47-e86e3b1a9b18fb8e</x:v>
      </x:c>
      <x:c r="B301" s="18" t="str">
        <x:v>NCLT / NCLAT (Insolvency) source coverage</x:v>
      </x:c>
      <x:c r="C301" s="18" t="str">
        <x:v>2026-06-25</x:v>
      </x:c>
      <x:c r="D301" s="18" t="n">
        <x:v>2026</x:v>
      </x:c>
      <x:c r="E301" s="18" t="str">
        <x:v>2026-06</x:v>
      </x:c>
      <x:c r="F301" s="18" t="str"/>
      <x:c r="G301" s="18" t="str">
        <x:v>Public Announcement of Corporate Insolvency Resolution Process</x:v>
      </x:c>
      <x:c r="H301" s="18" t="str"/>
      <x:c r="I301" s="18" t="str"/>
      <x:c r="J301" s="20" t="str"/>
      <x:c r="K301" s="18" t="str"/>
      <x:c r="L301" s="18" t="str"/>
      <x:c r="M301" s="18" t="str">
        <x:v>2026-06-25</x:v>
      </x:c>
      <x:c r="N301" s="18" t="str"/>
      <x:c r="O301" s="18" t="str">
        <x:v>ibbi_1yxd2h8</x:v>
      </x:c>
      <x:c r="P301" s="18" t="str">
        <x:v>Debdip Ghosh, Director of CD</x:v>
      </x:c>
      <x:c r="Q301" s="18" t="str">
        <x:v>UNITED MASTERBATCHES PRIVATE LIMITED</x:v>
      </x:c>
      <x:c r="R301" s="18" t="str">
        <x:v>PRATAP MUKHERJEE</x:v>
      </x:c>
      <x:c r="S301" s="18" t="str">
        <x:v>2026-07-07</x:v>
      </x:c>
      <x:c r="T301" s="18" t="str">
        <x:v>Public Announcement of Corporate Insolvency Resolution Process</x:v>
      </x:c>
      <x:c r="U301" s="18" t="str"/>
      <x:c r="V301" s="18" t="str">
        <x:v>DEFINED_TERMINAL_OR_FEED_SCOPE</x:v>
      </x:c>
      <x:c r="W301" s="18" t="str">
        <x:v>national_ibbi_announcements.json — published records loaded</x:v>
      </x:c>
      <x:c r="X301" s="18" t="str"/>
      <x:c r="Y301" s="18" t="str"/>
      <x:c r="Z301" s="20" t="n">
        <x:v>434</x:v>
      </x:c>
      <x:c r="AA301" s="19" t="n">
        <x:f>IFERROR(TODAY()-DATEVALUE(C301),"")</x:f>
        <x:v>77</x:v>
      </x:c>
      <x:c r="AB301" s="21" t="n">
        <x:f>ROUND(COUNTA(A301:K301)/11*100,0)</x:f>
        <x:v>100</x:v>
      </x:c>
      <x:c r="AC301" s="18" t="str">
        <x:v>National Company Law Tribunal</x:v>
      </x:c>
      <x:c r="AD301" s="22" t="str">
        <x:v>https://ibbi.gov.in/uploads/announcement/d8644377624b1fcf2fc38afeacacf083.pdf</x:v>
      </x:c>
      <x:c r="AE301" s="18" t="str">
        <x:v>2026-06-25</x:v>
      </x:c>
      <x:c r="AF301" s="18" t="n">
        <x:v>46275.114583333336</x:v>
      </x:c>
      <x:c r="AG301" s="18" t="str">
        <x:v>retained_terminal</x:v>
      </x:c>
      <x:c r="AH301" s="18" t="str">
        <x:v>READY</x:v>
      </x:c>
    </x:row>
    <x:row r="302">
      <x:c r="A302" s="18" t="str">
        <x:v>NYT-47-7dabbc9ea63e90bb</x:v>
      </x:c>
      <x:c r="B302" s="18" t="str">
        <x:v>NCLT / NCLAT (Insolvency) source coverage</x:v>
      </x:c>
      <x:c r="C302" s="18" t="str">
        <x:v>2026-06-25</x:v>
      </x:c>
      <x:c r="D302" s="18" t="n">
        <x:v>2026</x:v>
      </x:c>
      <x:c r="E302" s="18" t="str">
        <x:v>2026-06</x:v>
      </x:c>
      <x:c r="F302" s="18" t="str"/>
      <x:c r="G302" s="18" t="str">
        <x:v>Public Announcement of Corporate Insolvency Resolution Process</x:v>
      </x:c>
      <x:c r="H302" s="18" t="str"/>
      <x:c r="I302" s="18" t="str"/>
      <x:c r="J302" s="20" t="str"/>
      <x:c r="K302" s="18" t="str"/>
      <x:c r="L302" s="18" t="str"/>
      <x:c r="M302" s="18" t="str">
        <x:v>2026-06-25</x:v>
      </x:c>
      <x:c r="N302" s="18" t="str"/>
      <x:c r="O302" s="18" t="str">
        <x:v>ibbi_1ysifgc</x:v>
      </x:c>
      <x:c r="P302" s="18" t="str">
        <x:v>Bank Of India</x:v>
      </x:c>
      <x:c r="Q302" s="18" t="str">
        <x:v>SUPREME ENGINEERING LIMITED</x:v>
      </x:c>
      <x:c r="R302" s="18" t="str">
        <x:v>Mr. S. Gopalakrishnan</x:v>
      </x:c>
      <x:c r="S302" s="18" t="str">
        <x:v>2026-07-08</x:v>
      </x:c>
      <x:c r="T302" s="18" t="str">
        <x:v>Public Announcement of Corporate Insolvency Resolution Process</x:v>
      </x:c>
      <x:c r="U302" s="18" t="str"/>
      <x:c r="V302" s="18" t="str">
        <x:v>DEFINED_TERMINAL_OR_FEED_SCOPE</x:v>
      </x:c>
      <x:c r="W302" s="18" t="str">
        <x:v>national_ibbi_announcements.json — published records loaded</x:v>
      </x:c>
      <x:c r="X302" s="18" t="str"/>
      <x:c r="Y302" s="18" t="str"/>
      <x:c r="Z302" s="20" t="n">
        <x:v>434</x:v>
      </x:c>
      <x:c r="AA302" s="19" t="n">
        <x:f>IFERROR(TODAY()-DATEVALUE(C302),"")</x:f>
        <x:v>77</x:v>
      </x:c>
      <x:c r="AB302" s="21" t="n">
        <x:f>ROUND(COUNTA(A302:K302)/11*100,0)</x:f>
        <x:v>100</x:v>
      </x:c>
      <x:c r="AC302" s="18" t="str">
        <x:v>National Company Law Tribunal</x:v>
      </x:c>
      <x:c r="AD302" s="22" t="str">
        <x:v>https://ibbi.gov.in/uploads/announcement/13e1fa337c00e67c9fe384b8692a2977.pdf</x:v>
      </x:c>
      <x:c r="AE302" s="18" t="str">
        <x:v>2026-06-25</x:v>
      </x:c>
      <x:c r="AF302" s="18" t="n">
        <x:v>46275.114583333336</x:v>
      </x:c>
      <x:c r="AG302" s="18" t="str">
        <x:v>retained_terminal</x:v>
      </x:c>
      <x:c r="AH302" s="18" t="str">
        <x:v>READY</x:v>
      </x:c>
    </x:row>
    <x:row r="303">
      <x:c r="A303" s="18" t="str">
        <x:v>NYT-47-9aaf033c0582bfff</x:v>
      </x:c>
      <x:c r="B303" s="18" t="str">
        <x:v>NCLT / NCLAT (Insolvency) source coverage</x:v>
      </x:c>
      <x:c r="C303" s="18" t="str">
        <x:v>2026-06-25</x:v>
      </x:c>
      <x:c r="D303" s="18" t="n">
        <x:v>2026</x:v>
      </x:c>
      <x:c r="E303" s="18" t="str">
        <x:v>2026-06</x:v>
      </x:c>
      <x:c r="F303" s="18" t="str"/>
      <x:c r="G303" s="18" t="str">
        <x:v>Public Announcement of Voluntary Liquidation Process</x:v>
      </x:c>
      <x:c r="H303" s="18" t="str"/>
      <x:c r="I303" s="18" t="str"/>
      <x:c r="J303" s="20" t="str"/>
      <x:c r="K303" s="18" t="str"/>
      <x:c r="L303" s="18" t="str"/>
      <x:c r="M303" s="18" t="str">
        <x:v>2026-06-25</x:v>
      </x:c>
      <x:c r="N303" s="18" t="str"/>
      <x:c r="O303" s="18" t="str">
        <x:v>ibbi_11z0ngt</x:v>
      </x:c>
      <x:c r="P303" s="18" t="str">
        <x:v>Jagdish Ahuja</x:v>
      </x:c>
      <x:c r="Q303" s="18" t="str">
        <x:v>BONDCONNECT SECURITIES PRIVATE LIMITED</x:v>
      </x:c>
      <x:c r="R303" s="18" t="str">
        <x:v>Mr. Jagdish Ratanlal Ahuja</x:v>
      </x:c>
      <x:c r="S303" s="18" t="str">
        <x:v>2026-07-23</x:v>
      </x:c>
      <x:c r="T303" s="18" t="str">
        <x:v>Public Announcement of Voluntary Liquidation Process</x:v>
      </x:c>
      <x:c r="U303" s="18" t="str"/>
      <x:c r="V303" s="18" t="str">
        <x:v>DEFINED_TERMINAL_OR_FEED_SCOPE</x:v>
      </x:c>
      <x:c r="W303" s="18" t="str">
        <x:v>national_ibbi_announcements.json — published records loaded</x:v>
      </x:c>
      <x:c r="X303" s="18" t="str"/>
      <x:c r="Y303" s="18" t="str"/>
      <x:c r="Z303" s="20" t="n">
        <x:v>434</x:v>
      </x:c>
      <x:c r="AA303" s="19" t="n">
        <x:f>IFERROR(TODAY()-DATEVALUE(C303),"")</x:f>
        <x:v>77</x:v>
      </x:c>
      <x:c r="AB303" s="21" t="n">
        <x:f>ROUND(COUNTA(A303:K303)/11*100,0)</x:f>
        <x:v>100</x:v>
      </x:c>
      <x:c r="AC303" s="18" t="str">
        <x:v>National Company Law Tribunal</x:v>
      </x:c>
      <x:c r="AD303" s="22" t="str">
        <x:v>https://ibbi.gov.in/uploads/announcement/2026-06-25-175956-u570a-b0f8dd4979166093b9a0b13788c9d6f5.pdf</x:v>
      </x:c>
      <x:c r="AE303" s="18" t="str">
        <x:v>2026-06-25</x:v>
      </x:c>
      <x:c r="AF303" s="18" t="n">
        <x:v>46275.114583333336</x:v>
      </x:c>
      <x:c r="AG303" s="18" t="str">
        <x:v>retained_terminal</x:v>
      </x:c>
      <x:c r="AH303" s="18" t="str">
        <x:v>READY</x:v>
      </x:c>
    </x:row>
    <x:row r="304">
      <x:c r="A304" s="18" t="str">
        <x:v>NYT-47-fa4d9231b4ebc685</x:v>
      </x:c>
      <x:c r="B304" s="18" t="str">
        <x:v>NCLT / NCLAT (Insolvency) source coverage</x:v>
      </x:c>
      <x:c r="C304" s="18" t="str">
        <x:v>2026-06-25</x:v>
      </x:c>
      <x:c r="D304" s="18" t="n">
        <x:v>2026</x:v>
      </x:c>
      <x:c r="E304" s="18" t="str">
        <x:v>2026-06</x:v>
      </x:c>
      <x:c r="F304" s="18" t="str"/>
      <x:c r="G304" s="18" t="str">
        <x:v>Public Announcement of Corporate Insolvency Resolution Process</x:v>
      </x:c>
      <x:c r="H304" s="18" t="str"/>
      <x:c r="I304" s="18" t="str"/>
      <x:c r="J304" s="20" t="str"/>
      <x:c r="K304" s="18" t="str"/>
      <x:c r="L304" s="18" t="str"/>
      <x:c r="M304" s="18" t="str">
        <x:v>2026-06-25</x:v>
      </x:c>
      <x:c r="N304" s="18" t="str"/>
      <x:c r="O304" s="18" t="str">
        <x:v>ibbi_gpnriv</x:v>
      </x:c>
      <x:c r="P304" s="18" t="str">
        <x:v>Advantagesai Projects Private Limited</x:v>
      </x:c>
      <x:c r="Q304" s="18" t="str">
        <x:v>AKSHAY TECHFORGE PRIVATE LIMITED</x:v>
      </x:c>
      <x:c r="R304" s="18" t="str">
        <x:v>Mr. Swapnil Mukund Agrawal</x:v>
      </x:c>
      <x:c r="S304" s="18" t="str">
        <x:v>2026-07-06</x:v>
      </x:c>
      <x:c r="T304" s="18" t="str">
        <x:v>Public Announcement of Corporate Insolvency Resolution Process</x:v>
      </x:c>
      <x:c r="U304" s="18" t="str"/>
      <x:c r="V304" s="18" t="str">
        <x:v>DEFINED_TERMINAL_OR_FEED_SCOPE</x:v>
      </x:c>
      <x:c r="W304" s="18" t="str">
        <x:v>national_ibbi_announcements.json — published records loaded</x:v>
      </x:c>
      <x:c r="X304" s="18" t="str"/>
      <x:c r="Y304" s="18" t="str"/>
      <x:c r="Z304" s="20" t="n">
        <x:v>434</x:v>
      </x:c>
      <x:c r="AA304" s="19" t="n">
        <x:f>IFERROR(TODAY()-DATEVALUE(C304),"")</x:f>
        <x:v>77</x:v>
      </x:c>
      <x:c r="AB304" s="21" t="n">
        <x:f>ROUND(COUNTA(A304:K304)/11*100,0)</x:f>
        <x:v>100</x:v>
      </x:c>
      <x:c r="AC304" s="18" t="str">
        <x:v>National Company Law Tribunal</x:v>
      </x:c>
      <x:c r="AD304" s="22" t="str">
        <x:v>https://ibbi.gov.in/uploads/announcement/301d8858303bfbea16e56c9c863e7634.pdf</x:v>
      </x:c>
      <x:c r="AE304" s="18" t="str">
        <x:v>2026-06-25</x:v>
      </x:c>
      <x:c r="AF304" s="18" t="n">
        <x:v>46275.114583333336</x:v>
      </x:c>
      <x:c r="AG304" s="18" t="str">
        <x:v>retained_terminal</x:v>
      </x:c>
      <x:c r="AH304" s="18" t="str">
        <x:v>READY</x:v>
      </x:c>
    </x:row>
    <x:row r="305">
      <x:c r="A305" s="18" t="str">
        <x:v>NYT-47-4069dd1f4e0a5cad</x:v>
      </x:c>
      <x:c r="B305" s="18" t="str">
        <x:v>NCLT / NCLAT (Insolvency) source coverage</x:v>
      </x:c>
      <x:c r="C305" s="18" t="str">
        <x:v>2026-06-25</x:v>
      </x:c>
      <x:c r="D305" s="18" t="n">
        <x:v>2026</x:v>
      </x:c>
      <x:c r="E305" s="18" t="str">
        <x:v>2026-06</x:v>
      </x:c>
      <x:c r="F305" s="18" t="str"/>
      <x:c r="G305" s="18" t="str">
        <x:v>Public Announcement of Voluntary Liquidation Process</x:v>
      </x:c>
      <x:c r="H305" s="18" t="str"/>
      <x:c r="I305" s="18" t="str"/>
      <x:c r="J305" s="20" t="str"/>
      <x:c r="K305" s="18" t="str"/>
      <x:c r="L305" s="18" t="str"/>
      <x:c r="M305" s="18" t="str">
        <x:v>2026-06-25</x:v>
      </x:c>
      <x:c r="N305" s="18" t="str"/>
      <x:c r="O305" s="18" t="str">
        <x:v>ibbi_ctm4le</x:v>
      </x:c>
      <x:c r="P305" s="18" t="str">
        <x:v>LOCK &amp; LOCK LIVING SOLUTIONS INDIA PRIVATE LIMITED</x:v>
      </x:c>
      <x:c r="Q305" s="18" t="str">
        <x:v>LOCK &amp; LOCK LIVING SOLUTIONS INDIA PRIVATE LIMITED</x:v>
      </x:c>
      <x:c r="R305" s="18" t="str">
        <x:v>Mutharasapuram Ganesan Chandrasekaran</x:v>
      </x:c>
      <x:c r="S305" s="18" t="str">
        <x:v>2026-07-20</x:v>
      </x:c>
      <x:c r="T305" s="18" t="str">
        <x:v>Public Announcement of Voluntary Liquidation Process</x:v>
      </x:c>
      <x:c r="U305" s="18" t="str"/>
      <x:c r="V305" s="18" t="str">
        <x:v>DEFINED_TERMINAL_OR_FEED_SCOPE</x:v>
      </x:c>
      <x:c r="W305" s="18" t="str">
        <x:v>national_ibbi_announcements.json — published records loaded</x:v>
      </x:c>
      <x:c r="X305" s="18" t="str"/>
      <x:c r="Y305" s="18" t="str"/>
      <x:c r="Z305" s="20" t="n">
        <x:v>434</x:v>
      </x:c>
      <x:c r="AA305" s="19" t="n">
        <x:f>IFERROR(TODAY()-DATEVALUE(C305),"")</x:f>
        <x:v>77</x:v>
      </x:c>
      <x:c r="AB305" s="21" t="n">
        <x:f>ROUND(COUNTA(A305:K305)/11*100,0)</x:f>
        <x:v>100</x:v>
      </x:c>
      <x:c r="AC305" s="18" t="str">
        <x:v>National Company Law Tribunal</x:v>
      </x:c>
      <x:c r="AD305" s="22" t="str">
        <x:v>https://ibbi.gov.in/uploads/announcement/2026-06-30-154130-r4ewx-0d65dd614598b95b773e0e74f6924af4.pdf</x:v>
      </x:c>
      <x:c r="AE305" s="18" t="str">
        <x:v>2026-06-25</x:v>
      </x:c>
      <x:c r="AF305" s="18" t="n">
        <x:v>46275.114583333336</x:v>
      </x:c>
      <x:c r="AG305" s="18" t="str">
        <x:v>retained_terminal</x:v>
      </x:c>
      <x:c r="AH305" s="18" t="str">
        <x:v>READY</x:v>
      </x:c>
    </x:row>
    <x:row r="306">
      <x:c r="A306" s="18" t="str">
        <x:v>NYT-47-18e122297b11fa03</x:v>
      </x:c>
      <x:c r="B306" s="18" t="str">
        <x:v>NCLT / NCLAT (Insolvency) source coverage</x:v>
      </x:c>
      <x:c r="C306" s="18" t="str">
        <x:v>2026-06-25</x:v>
      </x:c>
      <x:c r="D306" s="18" t="n">
        <x:v>2026</x:v>
      </x:c>
      <x:c r="E306" s="18" t="str">
        <x:v>2026-06</x:v>
      </x:c>
      <x:c r="F306" s="18" t="str"/>
      <x:c r="G306" s="18" t="str">
        <x:v>Public Announcement of Corporate Insolvency Resolution Process</x:v>
      </x:c>
      <x:c r="H306" s="18" t="str"/>
      <x:c r="I306" s="18" t="str"/>
      <x:c r="J306" s="20" t="str"/>
      <x:c r="K306" s="18" t="str"/>
      <x:c r="L306" s="18" t="str"/>
      <x:c r="M306" s="18" t="str">
        <x:v>2026-06-25</x:v>
      </x:c>
      <x:c r="N306" s="18" t="str"/>
      <x:c r="O306" s="18" t="str">
        <x:v>ibbi_15uhyim</x:v>
      </x:c>
      <x:c r="P306" s="18" t="str">
        <x:v>OM TRANNS INFRA CORPORATION PVT LTD</x:v>
      </x:c>
      <x:c r="Q306" s="18" t="str">
        <x:v>EVERRENEW ENERGY PRIVATE LIMITED</x:v>
      </x:c>
      <x:c r="R306" s="18" t="str">
        <x:v>S Kangayan</x:v>
      </x:c>
      <x:c r="S306" s="18" t="str">
        <x:v>2026-07-02</x:v>
      </x:c>
      <x:c r="T306" s="18" t="str">
        <x:v>Public Announcement of Corporate Insolvency Resolution Process</x:v>
      </x:c>
      <x:c r="U306" s="18" t="str"/>
      <x:c r="V306" s="18" t="str">
        <x:v>DEFINED_TERMINAL_OR_FEED_SCOPE</x:v>
      </x:c>
      <x:c r="W306" s="18" t="str">
        <x:v>national_ibbi_announcements.json — published records loaded</x:v>
      </x:c>
      <x:c r="X306" s="18" t="str"/>
      <x:c r="Y306" s="18" t="str"/>
      <x:c r="Z306" s="20" t="n">
        <x:v>434</x:v>
      </x:c>
      <x:c r="AA306" s="19" t="n">
        <x:f>IFERROR(TODAY()-DATEVALUE(C306),"")</x:f>
        <x:v>77</x:v>
      </x:c>
      <x:c r="AB306" s="21" t="n">
        <x:f>ROUND(COUNTA(A306:K306)/11*100,0)</x:f>
        <x:v>100</x:v>
      </x:c>
      <x:c r="AC306" s="18" t="str">
        <x:v>National Company Law Tribunal</x:v>
      </x:c>
      <x:c r="AD306" s="22" t="str">
        <x:v>https://ibbi.gov.in/uploads/announcement/67cd16943726c16b5e0f7b32a64449df.docx</x:v>
      </x:c>
      <x:c r="AE306" s="18" t="str">
        <x:v>2026-06-25</x:v>
      </x:c>
      <x:c r="AF306" s="18" t="n">
        <x:v>46275.114583333336</x:v>
      </x:c>
      <x:c r="AG306" s="18" t="str">
        <x:v>retained_terminal</x:v>
      </x:c>
      <x:c r="AH306" s="18" t="str">
        <x:v>READY</x:v>
      </x:c>
    </x:row>
    <x:row r="307">
      <x:c r="A307" s="18" t="str">
        <x:v>NYT-47-3aa47e390ed665d7</x:v>
      </x:c>
      <x:c r="B307" s="18" t="str">
        <x:v>NCLT / NCLAT (Insolvency) source coverage</x:v>
      </x:c>
      <x:c r="C307" s="18" t="str">
        <x:v>2026-06-24</x:v>
      </x:c>
      <x:c r="D307" s="18" t="n">
        <x:v>2026</x:v>
      </x:c>
      <x:c r="E307" s="18" t="str">
        <x:v>2026-06</x:v>
      </x:c>
      <x:c r="F307" s="18" t="str"/>
      <x:c r="G307" s="18" t="str">
        <x:v>Public Announcement of Liquidation Process</x:v>
      </x:c>
      <x:c r="H307" s="18" t="str"/>
      <x:c r="I307" s="18" t="str"/>
      <x:c r="J307" s="20" t="str"/>
      <x:c r="K307" s="18" t="str"/>
      <x:c r="L307" s="18" t="str"/>
      <x:c r="M307" s="18" t="str">
        <x:v>2026-06-24</x:v>
      </x:c>
      <x:c r="N307" s="18" t="str"/>
      <x:c r="O307" s="18" t="str">
        <x:v>ibbi_15hg2p9</x:v>
      </x:c>
      <x:c r="P307" s="18" t="str">
        <x:v>THE ADMINISTRATOR OF THE SPECIFIED UNDERTAKING OF THE UNIT TRUST OF INDIA</x:v>
      </x:c>
      <x:c r="Q307" s="18" t="str">
        <x:v>USHA INDIA LIMITED</x:v>
      </x:c>
      <x:c r="R307" s="18" t="str">
        <x:v>Mr. Avneesh Srivastava</x:v>
      </x:c>
      <x:c r="S307" s="18" t="str">
        <x:v>2026-07-06</x:v>
      </x:c>
      <x:c r="T307" s="18" t="str">
        <x:v>Public Announcement of Liquidation Process</x:v>
      </x:c>
      <x:c r="U307" s="18" t="str"/>
      <x:c r="V307" s="18" t="str">
        <x:v>DEFINED_TERMINAL_OR_FEED_SCOPE</x:v>
      </x:c>
      <x:c r="W307" s="18" t="str">
        <x:v>national_ibbi_announcements.json — published records loaded</x:v>
      </x:c>
      <x:c r="X307" s="18" t="str"/>
      <x:c r="Y307" s="18" t="str"/>
      <x:c r="Z307" s="20" t="n">
        <x:v>434</x:v>
      </x:c>
      <x:c r="AA307" s="19" t="n">
        <x:f>IFERROR(TODAY()-DATEVALUE(C307),"")</x:f>
        <x:v>78</x:v>
      </x:c>
      <x:c r="AB307" s="21" t="n">
        <x:f>ROUND(COUNTA(A307:K307)/11*100,0)</x:f>
        <x:v>100</x:v>
      </x:c>
      <x:c r="AC307" s="18" t="str">
        <x:v>National Company Law Tribunal</x:v>
      </x:c>
      <x:c r="AD307" s="22" t="str">
        <x:v>https://ibbi.gov.in/uploads/announcement/2026-06-25-185304-ld35n-dad99b550e5a14a5b432786296e9c60e.pdf</x:v>
      </x:c>
      <x:c r="AE307" s="18" t="str">
        <x:v>2026-06-24</x:v>
      </x:c>
      <x:c r="AF307" s="18" t="n">
        <x:v>46275.114583333336</x:v>
      </x:c>
      <x:c r="AG307" s="18" t="str">
        <x:v>retained_terminal</x:v>
      </x:c>
      <x:c r="AH307" s="18" t="str">
        <x:v>READY</x:v>
      </x:c>
    </x:row>
    <x:row r="308">
      <x:c r="A308" s="18" t="str">
        <x:v>NYT-47-c005f9903c7157c8</x:v>
      </x:c>
      <x:c r="B308" s="18" t="str">
        <x:v>NCLT / NCLAT (Insolvency) source coverage</x:v>
      </x:c>
      <x:c r="C308" s="18" t="str">
        <x:v>2026-06-23</x:v>
      </x:c>
      <x:c r="D308" s="18" t="n">
        <x:v>2026</x:v>
      </x:c>
      <x:c r="E308" s="18" t="str">
        <x:v>2026-06</x:v>
      </x:c>
      <x:c r="F308" s="18" t="str"/>
      <x:c r="G308" s="18" t="str">
        <x:v>Public Announcement of Liquidation Process</x:v>
      </x:c>
      <x:c r="H308" s="18" t="str"/>
      <x:c r="I308" s="18" t="str"/>
      <x:c r="J308" s="20" t="str"/>
      <x:c r="K308" s="18" t="str"/>
      <x:c r="L308" s="18" t="str"/>
      <x:c r="M308" s="18" t="str">
        <x:v>2026-06-23</x:v>
      </x:c>
      <x:c r="N308" s="18" t="str"/>
      <x:c r="O308" s="18" t="str">
        <x:v>ibbi_3vhkb</x:v>
      </x:c>
      <x:c r="P308" s="18" t="str">
        <x:v>AUBURN DIGITAL SOLUTIONS PRIVATE LIMITED</x:v>
      </x:c>
      <x:c r="Q308" s="18" t="str">
        <x:v>GIGS MEDIA PRIVATE LIMITED</x:v>
      </x:c>
      <x:c r="R308" s="18" t="str">
        <x:v>KUNAL JAYANT WAJE</x:v>
      </x:c>
      <x:c r="S308" s="18" t="str">
        <x:v>2026-06-29</x:v>
      </x:c>
      <x:c r="T308" s="18" t="str">
        <x:v>Public Announcement of Liquidation Process</x:v>
      </x:c>
      <x:c r="U308" s="18" t="str"/>
      <x:c r="V308" s="18" t="str">
        <x:v>DEFINED_TERMINAL_OR_FEED_SCOPE</x:v>
      </x:c>
      <x:c r="W308" s="18" t="str">
        <x:v>national_ibbi_announcements.json — published records loaded</x:v>
      </x:c>
      <x:c r="X308" s="18" t="str"/>
      <x:c r="Y308" s="18" t="str"/>
      <x:c r="Z308" s="20" t="n">
        <x:v>434</x:v>
      </x:c>
      <x:c r="AA308" s="19" t="n">
        <x:f>IFERROR(TODAY()-DATEVALUE(C308),"")</x:f>
        <x:v>79</x:v>
      </x:c>
      <x:c r="AB308" s="21" t="n">
        <x:f>ROUND(COUNTA(A308:K308)/11*100,0)</x:f>
        <x:v>100</x:v>
      </x:c>
      <x:c r="AC308" s="18" t="str">
        <x:v>National Company Law Tribunal</x:v>
      </x:c>
      <x:c r="AD308" s="22" t="str">
        <x:v>https://ibbi.gov.in/uploads/announcement/2026-06-26-210526-9fxwc-96e9d17d7d38ab75db0335e63861d283.pdf</x:v>
      </x:c>
      <x:c r="AE308" s="18" t="str">
        <x:v>2026-06-23</x:v>
      </x:c>
      <x:c r="AF308" s="18" t="n">
        <x:v>46275.114583333336</x:v>
      </x:c>
      <x:c r="AG308" s="18" t="str">
        <x:v>retained_terminal</x:v>
      </x:c>
      <x:c r="AH308" s="18" t="str">
        <x:v>READY</x:v>
      </x:c>
    </x:row>
    <x:row r="309">
      <x:c r="A309" s="18" t="str">
        <x:v>NYT-47-fb4cc96ada440b94</x:v>
      </x:c>
      <x:c r="B309" s="18" t="str">
        <x:v>NCLT / NCLAT (Insolvency) source coverage</x:v>
      </x:c>
      <x:c r="C309" s="18" t="str">
        <x:v>2026-06-23</x:v>
      </x:c>
      <x:c r="D309" s="18" t="n">
        <x:v>2026</x:v>
      </x:c>
      <x:c r="E309" s="18" t="str">
        <x:v>2026-06</x:v>
      </x:c>
      <x:c r="F309" s="18" t="str"/>
      <x:c r="G309" s="18" t="str">
        <x:v>Public Announcement of Corporate Insolvency Resolution Process</x:v>
      </x:c>
      <x:c r="H309" s="18" t="str"/>
      <x:c r="I309" s="18" t="str"/>
      <x:c r="J309" s="20" t="str"/>
      <x:c r="K309" s="18" t="str"/>
      <x:c r="L309" s="18" t="str"/>
      <x:c r="M309" s="18" t="str">
        <x:v>2026-06-23</x:v>
      </x:c>
      <x:c r="N309" s="18" t="str"/>
      <x:c r="O309" s="18" t="str">
        <x:v>ibbi_b6jqgq</x:v>
      </x:c>
      <x:c r="P309" s="18" t="str">
        <x:v>Dharmendrakumar Sumatichandra Sheth</x:v>
      </x:c>
      <x:c r="Q309" s="18" t="str">
        <x:v>GALAXY IEC INDIA PRIVATE LIMITED</x:v>
      </x:c>
      <x:c r="R309" s="18" t="str">
        <x:v>Mr. Krishna Gopal Ratanlal Maheshwari</x:v>
      </x:c>
      <x:c r="S309" s="18" t="str">
        <x:v>2026-07-06</x:v>
      </x:c>
      <x:c r="T309" s="18" t="str">
        <x:v>Public Announcement of Corporate Insolvency Resolution Process</x:v>
      </x:c>
      <x:c r="U309" s="18" t="str"/>
      <x:c r="V309" s="18" t="str">
        <x:v>DEFINED_TERMINAL_OR_FEED_SCOPE</x:v>
      </x:c>
      <x:c r="W309" s="18" t="str">
        <x:v>national_ibbi_announcements.json — published records loaded</x:v>
      </x:c>
      <x:c r="X309" s="18" t="str"/>
      <x:c r="Y309" s="18" t="str"/>
      <x:c r="Z309" s="20" t="n">
        <x:v>434</x:v>
      </x:c>
      <x:c r="AA309" s="19" t="n">
        <x:f>IFERROR(TODAY()-DATEVALUE(C309),"")</x:f>
        <x:v>79</x:v>
      </x:c>
      <x:c r="AB309" s="21" t="n">
        <x:f>ROUND(COUNTA(A309:K309)/11*100,0)</x:f>
        <x:v>100</x:v>
      </x:c>
      <x:c r="AC309" s="18" t="str">
        <x:v>National Company Law Tribunal</x:v>
      </x:c>
      <x:c r="AD309" s="22" t="str">
        <x:v>https://ibbi.gov.in/uploads/announcement/a7850f347091f926f179d569cda5fba3.pdf</x:v>
      </x:c>
      <x:c r="AE309" s="18" t="str">
        <x:v>2026-06-23</x:v>
      </x:c>
      <x:c r="AF309" s="18" t="n">
        <x:v>46275.114583333336</x:v>
      </x:c>
      <x:c r="AG309" s="18" t="str">
        <x:v>retained_terminal</x:v>
      </x:c>
      <x:c r="AH309" s="18" t="str">
        <x:v>READY</x:v>
      </x:c>
    </x:row>
    <x:row r="310">
      <x:c r="A310" s="18" t="str">
        <x:v>NYT-47-5af1bcd8291a70ec</x:v>
      </x:c>
      <x:c r="B310" s="18" t="str">
        <x:v>NCLT / NCLAT (Insolvency) source coverage</x:v>
      </x:c>
      <x:c r="C310" s="18" t="str">
        <x:v>2026-06-23</x:v>
      </x:c>
      <x:c r="D310" s="18" t="n">
        <x:v>2026</x:v>
      </x:c>
      <x:c r="E310" s="18" t="str">
        <x:v>2026-06</x:v>
      </x:c>
      <x:c r="F310" s="18" t="str"/>
      <x:c r="G310" s="18" t="str">
        <x:v>Public Announcement of Voluntary Liquidation Process</x:v>
      </x:c>
      <x:c r="H310" s="18" t="str"/>
      <x:c r="I310" s="18" t="str"/>
      <x:c r="J310" s="20" t="str"/>
      <x:c r="K310" s="18" t="str"/>
      <x:c r="L310" s="18" t="str"/>
      <x:c r="M310" s="18" t="str">
        <x:v>2026-06-23</x:v>
      </x:c>
      <x:c r="N310" s="18" t="str"/>
      <x:c r="O310" s="18" t="str">
        <x:v>ibbi_1gd9ipc</x:v>
      </x:c>
      <x:c r="P310" s="18" t="str">
        <x:v>VINIT NAGAR</x:v>
      </x:c>
      <x:c r="Q310" s="18" t="str">
        <x:v>MAA ALU PANEL (INDIA) PRIVATE LIMITED</x:v>
      </x:c>
      <x:c r="R310" s="18" t="str">
        <x:v>Vinit Nagar</x:v>
      </x:c>
      <x:c r="S310" s="18" t="str">
        <x:v>2026-07-19</x:v>
      </x:c>
      <x:c r="T310" s="18" t="str">
        <x:v>Public Announcement of Voluntary Liquidation Process</x:v>
      </x:c>
      <x:c r="U310" s="18" t="str"/>
      <x:c r="V310" s="18" t="str">
        <x:v>DEFINED_TERMINAL_OR_FEED_SCOPE</x:v>
      </x:c>
      <x:c r="W310" s="18" t="str">
        <x:v>national_ibbi_announcements.json — published records loaded</x:v>
      </x:c>
      <x:c r="X310" s="18" t="str"/>
      <x:c r="Y310" s="18" t="str"/>
      <x:c r="Z310" s="20" t="n">
        <x:v>434</x:v>
      </x:c>
      <x:c r="AA310" s="19" t="n">
        <x:f>IFERROR(TODAY()-DATEVALUE(C310),"")</x:f>
        <x:v>79</x:v>
      </x:c>
      <x:c r="AB310" s="21" t="n">
        <x:f>ROUND(COUNTA(A310:K310)/11*100,0)</x:f>
        <x:v>100</x:v>
      </x:c>
      <x:c r="AC310" s="18" t="str">
        <x:v>National Company Law Tribunal</x:v>
      </x:c>
      <x:c r="AD310" s="22" t="str">
        <x:v>https://ibbi.gov.in/uploads/announcement/5d6920e184e0a16ccf95b82bbf35cfdb.pdf</x:v>
      </x:c>
      <x:c r="AE310" s="18" t="str">
        <x:v>2026-06-23</x:v>
      </x:c>
      <x:c r="AF310" s="18" t="n">
        <x:v>46275.114583333336</x:v>
      </x:c>
      <x:c r="AG310" s="18" t="str">
        <x:v>retained_terminal</x:v>
      </x:c>
      <x:c r="AH310" s="18" t="str">
        <x:v>READY</x:v>
      </x:c>
    </x:row>
    <x:row r="311">
      <x:c r="A311" s="18" t="str">
        <x:v>NYT-47-fbecf1f0d785600a</x:v>
      </x:c>
      <x:c r="B311" s="18" t="str">
        <x:v>NCLT / NCLAT (Insolvency) source coverage</x:v>
      </x:c>
      <x:c r="C311" s="18" t="str">
        <x:v>2026-06-22</x:v>
      </x:c>
      <x:c r="D311" s="18" t="n">
        <x:v>2026</x:v>
      </x:c>
      <x:c r="E311" s="18" t="str">
        <x:v>2026-06</x:v>
      </x:c>
      <x:c r="F311" s="18" t="str"/>
      <x:c r="G311" s="18" t="str">
        <x:v>Public Announcement of Corporate Insolvency Resolution Process</x:v>
      </x:c>
      <x:c r="H311" s="18" t="str"/>
      <x:c r="I311" s="18" t="str"/>
      <x:c r="J311" s="20" t="str"/>
      <x:c r="K311" s="18" t="str"/>
      <x:c r="L311" s="18" t="str"/>
      <x:c r="M311" s="18" t="str">
        <x:v>2026-06-22</x:v>
      </x:c>
      <x:c r="N311" s="18" t="str"/>
      <x:c r="O311" s="18" t="str">
        <x:v>ibbi_z6vrm3</x:v>
      </x:c>
      <x:c r="P311" s="18" t="str">
        <x:v>Union Bank of India</x:v>
      </x:c>
      <x:c r="Q311" s="18" t="str">
        <x:v>RASHMI REALTY BUILDERS PRIVATE LIMITED</x:v>
      </x:c>
      <x:c r="R311" s="18" t="str">
        <x:v>PURUSOTTAM BEHERA</x:v>
      </x:c>
      <x:c r="S311" s="18" t="str">
        <x:v>2026-07-03</x:v>
      </x:c>
      <x:c r="T311" s="18" t="str">
        <x:v>Public Announcement of Corporate Insolvency Resolution Process</x:v>
      </x:c>
      <x:c r="U311" s="18" t="str"/>
      <x:c r="V311" s="18" t="str">
        <x:v>DEFINED_TERMINAL_OR_FEED_SCOPE</x:v>
      </x:c>
      <x:c r="W311" s="18" t="str">
        <x:v>national_ibbi_announcements.json — published records loaded</x:v>
      </x:c>
      <x:c r="X311" s="18" t="str"/>
      <x:c r="Y311" s="18" t="str"/>
      <x:c r="Z311" s="20" t="n">
        <x:v>434</x:v>
      </x:c>
      <x:c r="AA311" s="19" t="n">
        <x:f>IFERROR(TODAY()-DATEVALUE(C311),"")</x:f>
        <x:v>80</x:v>
      </x:c>
      <x:c r="AB311" s="21" t="n">
        <x:f>ROUND(COUNTA(A311:K311)/11*100,0)</x:f>
        <x:v>100</x:v>
      </x:c>
      <x:c r="AC311" s="18" t="str">
        <x:v>National Company Law Tribunal</x:v>
      </x:c>
      <x:c r="AD311" s="22" t="str">
        <x:v>https://ibbi.gov.in/uploads/announcement/8b383ba6afc75f4b846232f6b3a94bca.pdf</x:v>
      </x:c>
      <x:c r="AE311" s="18" t="str">
        <x:v>2026-06-22</x:v>
      </x:c>
      <x:c r="AF311" s="18" t="n">
        <x:v>46275.114583333336</x:v>
      </x:c>
      <x:c r="AG311" s="18" t="str">
        <x:v>retained_terminal</x:v>
      </x:c>
      <x:c r="AH311" s="18" t="str">
        <x:v>READY</x:v>
      </x:c>
    </x:row>
    <x:row r="312">
      <x:c r="A312" s="18" t="str">
        <x:v>NYT-47-d71e7438b346b5bc</x:v>
      </x:c>
      <x:c r="B312" s="18" t="str">
        <x:v>NCLT / NCLAT (Insolvency) source coverage</x:v>
      </x:c>
      <x:c r="C312" s="18" t="str">
        <x:v>2026-06-22</x:v>
      </x:c>
      <x:c r="D312" s="18" t="n">
        <x:v>2026</x:v>
      </x:c>
      <x:c r="E312" s="18" t="str">
        <x:v>2026-06</x:v>
      </x:c>
      <x:c r="F312" s="18" t="str"/>
      <x:c r="G312" s="18" t="str">
        <x:v>Public Announcement of Liquidation Process</x:v>
      </x:c>
      <x:c r="H312" s="18" t="str"/>
      <x:c r="I312" s="18" t="str"/>
      <x:c r="J312" s="20" t="str"/>
      <x:c r="K312" s="18" t="str"/>
      <x:c r="L312" s="18" t="str"/>
      <x:c r="M312" s="18" t="str">
        <x:v>2026-06-22</x:v>
      </x:c>
      <x:c r="N312" s="18" t="str"/>
      <x:c r="O312" s="18" t="str">
        <x:v>ibbi_1y6uddw</x:v>
      </x:c>
      <x:c r="P312" s="18" t="str">
        <x:v>UNION BANK OF INDIA</x:v>
      </x:c>
      <x:c r="Q312" s="18" t="str">
        <x:v>SRI RAVICHANDRA TEXTILES PRIVATE LIMITED</x:v>
      </x:c>
      <x:c r="R312" s="18" t="str">
        <x:v>SRINIVAS GUDLA RAO</x:v>
      </x:c>
      <x:c r="S312" s="18" t="str">
        <x:v>2026-07-02</x:v>
      </x:c>
      <x:c r="T312" s="18" t="str">
        <x:v>Public Announcement of Liquidation Process</x:v>
      </x:c>
      <x:c r="U312" s="18" t="str"/>
      <x:c r="V312" s="18" t="str">
        <x:v>DEFINED_TERMINAL_OR_FEED_SCOPE</x:v>
      </x:c>
      <x:c r="W312" s="18" t="str">
        <x:v>national_ibbi_announcements.json — published records loaded</x:v>
      </x:c>
      <x:c r="X312" s="18" t="str"/>
      <x:c r="Y312" s="18" t="str"/>
      <x:c r="Z312" s="20" t="n">
        <x:v>434</x:v>
      </x:c>
      <x:c r="AA312" s="19" t="n">
        <x:f>IFERROR(TODAY()-DATEVALUE(C312),"")</x:f>
        <x:v>80</x:v>
      </x:c>
      <x:c r="AB312" s="21" t="n">
        <x:f>ROUND(COUNTA(A312:K312)/11*100,0)</x:f>
        <x:v>100</x:v>
      </x:c>
      <x:c r="AC312" s="18" t="str">
        <x:v>National Company Law Tribunal</x:v>
      </x:c>
      <x:c r="AD312" s="22" t="str">
        <x:v>https://ibbi.gov.in/uploads/announcement/b5b0d3859932bc1683574d835a17efc6.pdf</x:v>
      </x:c>
      <x:c r="AE312" s="18" t="str">
        <x:v>2026-06-22</x:v>
      </x:c>
      <x:c r="AF312" s="18" t="n">
        <x:v>46275.114583333336</x:v>
      </x:c>
      <x:c r="AG312" s="18" t="str">
        <x:v>retained_terminal</x:v>
      </x:c>
      <x:c r="AH312" s="18" t="str">
        <x:v>READY</x:v>
      </x:c>
    </x:row>
    <x:row r="313">
      <x:c r="A313" s="18" t="str">
        <x:v>NYT-47-b168f6e75537777c</x:v>
      </x:c>
      <x:c r="B313" s="18" t="str">
        <x:v>NCLT / NCLAT (Insolvency) source coverage</x:v>
      </x:c>
      <x:c r="C313" s="18" t="str">
        <x:v>2026-06-21</x:v>
      </x:c>
      <x:c r="D313" s="18" t="n">
        <x:v>2026</x:v>
      </x:c>
      <x:c r="E313" s="18" t="str">
        <x:v>2026-06</x:v>
      </x:c>
      <x:c r="F313" s="18" t="str"/>
      <x:c r="G313" s="18" t="str">
        <x:v>Public Announcement of Corporate Insolvency Resolution Process</x:v>
      </x:c>
      <x:c r="H313" s="18" t="str"/>
      <x:c r="I313" s="18" t="str"/>
      <x:c r="J313" s="20" t="str"/>
      <x:c r="K313" s="18" t="str"/>
      <x:c r="L313" s="18" t="str"/>
      <x:c r="M313" s="18" t="str">
        <x:v>2026-06-21</x:v>
      </x:c>
      <x:c r="N313" s="18" t="str"/>
      <x:c r="O313" s="18" t="str">
        <x:v>ibbi_1ogst8p</x:v>
      </x:c>
      <x:c r="P313" s="18" t="str">
        <x:v>Tripti Agarwal</x:v>
      </x:c>
      <x:c r="Q313" s="18" t="str">
        <x:v>VIKRAM SOLAR LIMITED</x:v>
      </x:c>
      <x:c r="R313" s="18" t="str">
        <x:v>Tripti Agarwal</x:v>
      </x:c>
      <x:c r="S313" s="18" t="str">
        <x:v>2026-07-02</x:v>
      </x:c>
      <x:c r="T313" s="18" t="str">
        <x:v>Public Announcement of Corporate Insolvency Resolution Process</x:v>
      </x:c>
      <x:c r="U313" s="18" t="str"/>
      <x:c r="V313" s="18" t="str">
        <x:v>DEFINED_TERMINAL_OR_FEED_SCOPE</x:v>
      </x:c>
      <x:c r="W313" s="18" t="str">
        <x:v>national_ibbi_announcements.json — published records loaded</x:v>
      </x:c>
      <x:c r="X313" s="18" t="str"/>
      <x:c r="Y313" s="18" t="str"/>
      <x:c r="Z313" s="20" t="n">
        <x:v>434</x:v>
      </x:c>
      <x:c r="AA313" s="19" t="n">
        <x:f>IFERROR(TODAY()-DATEVALUE(C313),"")</x:f>
        <x:v>81</x:v>
      </x:c>
      <x:c r="AB313" s="21" t="n">
        <x:f>ROUND(COUNTA(A313:K313)/11*100,0)</x:f>
        <x:v>100</x:v>
      </x:c>
      <x:c r="AC313" s="18" t="str">
        <x:v>National Company Law Tribunal</x:v>
      </x:c>
      <x:c r="AD313" s="22" t="str">
        <x:v>https://ibbi.gov.in/uploads/announcement/187c1719a09264a12cb9a74c398595bd.pdf</x:v>
      </x:c>
      <x:c r="AE313" s="18" t="str">
        <x:v>2026-06-21</x:v>
      </x:c>
      <x:c r="AF313" s="18" t="n">
        <x:v>46275.114583333336</x:v>
      </x:c>
      <x:c r="AG313" s="18" t="str">
        <x:v>retained_terminal</x:v>
      </x:c>
      <x:c r="AH313" s="18" t="str">
        <x:v>READY</x:v>
      </x:c>
    </x:row>
    <x:row r="314">
      <x:c r="A314" s="18" t="str">
        <x:v>NYT-47-ef07aaffe6653658</x:v>
      </x:c>
      <x:c r="B314" s="18" t="str">
        <x:v>NCLT / NCLAT (Insolvency) source coverage</x:v>
      </x:c>
      <x:c r="C314" s="18" t="str">
        <x:v>2026-06-20</x:v>
      </x:c>
      <x:c r="D314" s="18" t="n">
        <x:v>2026</x:v>
      </x:c>
      <x:c r="E314" s="18" t="str">
        <x:v>2026-06</x:v>
      </x:c>
      <x:c r="F314" s="18" t="str"/>
      <x:c r="G314" s="18" t="str">
        <x:v>Public Announcement of Corporate Insolvency Resolution Process</x:v>
      </x:c>
      <x:c r="H314" s="18" t="str"/>
      <x:c r="I314" s="18" t="str"/>
      <x:c r="J314" s="20" t="str"/>
      <x:c r="K314" s="18" t="str"/>
      <x:c r="L314" s="18" t="str"/>
      <x:c r="M314" s="18" t="str">
        <x:v>2026-06-20</x:v>
      </x:c>
      <x:c r="N314" s="18" t="str"/>
      <x:c r="O314" s="18" t="str">
        <x:v>ibbi_jhk81g</x:v>
      </x:c>
      <x:c r="P314" s="18" t="str">
        <x:v>Union Bank Of India</x:v>
      </x:c>
      <x:c r="Q314" s="18" t="str">
        <x:v>FUTURE BRANDS LIMITED</x:v>
      </x:c>
      <x:c r="R314" s="18" t="str">
        <x:v>Ms. Kanak Jani</x:v>
      </x:c>
      <x:c r="S314" s="18" t="str">
        <x:v>2026-06-30</x:v>
      </x:c>
      <x:c r="T314" s="18" t="str">
        <x:v>Public Announcement of Corporate Insolvency Resolution Process</x:v>
      </x:c>
      <x:c r="U314" s="18" t="str"/>
      <x:c r="V314" s="18" t="str">
        <x:v>DEFINED_TERMINAL_OR_FEED_SCOPE</x:v>
      </x:c>
      <x:c r="W314" s="18" t="str">
        <x:v>national_ibbi_announcements.json — published records loaded</x:v>
      </x:c>
      <x:c r="X314" s="18" t="str"/>
      <x:c r="Y314" s="18" t="str"/>
      <x:c r="Z314" s="20" t="n">
        <x:v>434</x:v>
      </x:c>
      <x:c r="AA314" s="19" t="n">
        <x:f>IFERROR(TODAY()-DATEVALUE(C314),"")</x:f>
        <x:v>82</x:v>
      </x:c>
      <x:c r="AB314" s="21" t="n">
        <x:f>ROUND(COUNTA(A314:K314)/11*100,0)</x:f>
        <x:v>100</x:v>
      </x:c>
      <x:c r="AC314" s="18" t="str">
        <x:v>National Company Law Tribunal</x:v>
      </x:c>
      <x:c r="AD314" s="22" t="str">
        <x:v>https://ibbi.gov.in/uploads/announcement/73708483209d0019bda4da50fdb66eaf.pdf</x:v>
      </x:c>
      <x:c r="AE314" s="18" t="str">
        <x:v>2026-06-20</x:v>
      </x:c>
      <x:c r="AF314" s="18" t="n">
        <x:v>46275.114583333336</x:v>
      </x:c>
      <x:c r="AG314" s="18" t="str">
        <x:v>retained_terminal</x:v>
      </x:c>
      <x:c r="AH314" s="18" t="str">
        <x:v>READY</x:v>
      </x:c>
    </x:row>
    <x:row r="315">
      <x:c r="A315" s="18" t="str">
        <x:v>NYT-47-4b34bd3287394169</x:v>
      </x:c>
      <x:c r="B315" s="18" t="str">
        <x:v>NCLT / NCLAT (Insolvency) source coverage</x:v>
      </x:c>
      <x:c r="C315" s="18" t="str">
        <x:v>2026-06-20</x:v>
      </x:c>
      <x:c r="D315" s="18" t="n">
        <x:v>2026</x:v>
      </x:c>
      <x:c r="E315" s="18" t="str">
        <x:v>2026-06</x:v>
      </x:c>
      <x:c r="F315" s="18" t="str"/>
      <x:c r="G315" s="18" t="str">
        <x:v>Public Announcement of Corporate Insolvency Resolution Process</x:v>
      </x:c>
      <x:c r="H315" s="18" t="str"/>
      <x:c r="I315" s="18" t="str"/>
      <x:c r="J315" s="20" t="str"/>
      <x:c r="K315" s="18" t="str"/>
      <x:c r="L315" s="18" t="str"/>
      <x:c r="M315" s="18" t="str">
        <x:v>2026-06-20</x:v>
      </x:c>
      <x:c r="N315" s="18" t="str"/>
      <x:c r="O315" s="18" t="str">
        <x:v>ibbi_13hypki</x:v>
      </x:c>
      <x:c r="P315" s="18" t="str">
        <x:v>IDBI Bank Limited</x:v>
      </x:c>
      <x:c r="Q315" s="18" t="str">
        <x:v>MINWOOL ROCK FIBERS LTD.</x:v>
      </x:c>
      <x:c r="R315" s="18" t="str">
        <x:v>Mr. Arun Kishanlal Bagaria</x:v>
      </x:c>
      <x:c r="S315" s="18" t="str">
        <x:v>2026-07-02</x:v>
      </x:c>
      <x:c r="T315" s="18" t="str">
        <x:v>Public Announcement of Corporate Insolvency Resolution Process</x:v>
      </x:c>
      <x:c r="U315" s="18" t="str"/>
      <x:c r="V315" s="18" t="str">
        <x:v>DEFINED_TERMINAL_OR_FEED_SCOPE</x:v>
      </x:c>
      <x:c r="W315" s="18" t="str">
        <x:v>national_ibbi_announcements.json — published records loaded</x:v>
      </x:c>
      <x:c r="X315" s="18" t="str"/>
      <x:c r="Y315" s="18" t="str"/>
      <x:c r="Z315" s="20" t="n">
        <x:v>434</x:v>
      </x:c>
      <x:c r="AA315" s="19" t="n">
        <x:f>IFERROR(TODAY()-DATEVALUE(C315),"")</x:f>
        <x:v>82</x:v>
      </x:c>
      <x:c r="AB315" s="21" t="n">
        <x:f>ROUND(COUNTA(A315:K315)/11*100,0)</x:f>
        <x:v>100</x:v>
      </x:c>
      <x:c r="AC315" s="18" t="str">
        <x:v>National Company Law Tribunal</x:v>
      </x:c>
      <x:c r="AD315" s="22" t="str">
        <x:v>https://ibbi.gov.in/uploads/announcement/0c6d3f4dc11d4f623470b14031dd4150.pdf</x:v>
      </x:c>
      <x:c r="AE315" s="18" t="str">
        <x:v>2026-06-20</x:v>
      </x:c>
      <x:c r="AF315" s="18" t="n">
        <x:v>46275.114583333336</x:v>
      </x:c>
      <x:c r="AG315" s="18" t="str">
        <x:v>retained_terminal</x:v>
      </x:c>
      <x:c r="AH315" s="18" t="str">
        <x:v>READY</x:v>
      </x:c>
    </x:row>
    <x:row r="316">
      <x:c r="A316" s="18" t="str">
        <x:v>NYT-47-589abbdd6cd591eb</x:v>
      </x:c>
      <x:c r="B316" s="18" t="str">
        <x:v>NCLT / NCLAT (Insolvency) source coverage</x:v>
      </x:c>
      <x:c r="C316" s="18" t="str">
        <x:v>2026-06-20</x:v>
      </x:c>
      <x:c r="D316" s="18" t="n">
        <x:v>2026</x:v>
      </x:c>
      <x:c r="E316" s="18" t="str">
        <x:v>2026-06</x:v>
      </x:c>
      <x:c r="F316" s="18" t="str"/>
      <x:c r="G316" s="18" t="str">
        <x:v>Public Announcement of Liquidation Process</x:v>
      </x:c>
      <x:c r="H316" s="18" t="str"/>
      <x:c r="I316" s="18" t="str"/>
      <x:c r="J316" s="20" t="str"/>
      <x:c r="K316" s="18" t="str"/>
      <x:c r="L316" s="18" t="str"/>
      <x:c r="M316" s="18" t="str">
        <x:v>2026-06-20</x:v>
      </x:c>
      <x:c r="N316" s="18" t="str"/>
      <x:c r="O316" s="18" t="str">
        <x:v>ibbi_2yegq5</x:v>
      </x:c>
      <x:c r="P316" s="18" t="str">
        <x:v>HCL Services Limited</x:v>
      </x:c>
      <x:c r="Q316" s="18" t="str">
        <x:v>UNIVERSAL COMMODITY EXCHANGE LIMITED</x:v>
      </x:c>
      <x:c r="R316" s="18" t="str">
        <x:v>JAYANT PRABHAKAR PIMPALGAONKAR</x:v>
      </x:c>
      <x:c r="S316" s="18" t="str">
        <x:v>2026-06-24</x:v>
      </x:c>
      <x:c r="T316" s="18" t="str">
        <x:v>Public Announcement of Liquidation Process</x:v>
      </x:c>
      <x:c r="U316" s="18" t="str"/>
      <x:c r="V316" s="18" t="str">
        <x:v>DEFINED_TERMINAL_OR_FEED_SCOPE</x:v>
      </x:c>
      <x:c r="W316" s="18" t="str">
        <x:v>national_ibbi_announcements.json — published records loaded</x:v>
      </x:c>
      <x:c r="X316" s="18" t="str"/>
      <x:c r="Y316" s="18" t="str"/>
      <x:c r="Z316" s="20" t="n">
        <x:v>434</x:v>
      </x:c>
      <x:c r="AA316" s="19" t="n">
        <x:f>IFERROR(TODAY()-DATEVALUE(C316),"")</x:f>
        <x:v>82</x:v>
      </x:c>
      <x:c r="AB316" s="21" t="n">
        <x:f>ROUND(COUNTA(A316:K316)/11*100,0)</x:f>
        <x:v>100</x:v>
      </x:c>
      <x:c r="AC316" s="18" t="str">
        <x:v>National Company Law Tribunal</x:v>
      </x:c>
      <x:c r="AD316" s="22" t="str">
        <x:v>https://ibbi.gov.in/uploads/announcement/de1559a8e4c9b4ced79246c414f88ae8.pdf</x:v>
      </x:c>
      <x:c r="AE316" s="18" t="str">
        <x:v>2026-06-20</x:v>
      </x:c>
      <x:c r="AF316" s="18" t="n">
        <x:v>46275.114583333336</x:v>
      </x:c>
      <x:c r="AG316" s="18" t="str">
        <x:v>retained_terminal</x:v>
      </x:c>
      <x:c r="AH316" s="18" t="str">
        <x:v>READY</x:v>
      </x:c>
    </x:row>
    <x:row r="317">
      <x:c r="A317" s="18" t="str">
        <x:v>NYT-47-b6c1af0f05037fff</x:v>
      </x:c>
      <x:c r="B317" s="18" t="str">
        <x:v>NCLT / NCLAT (Insolvency) source coverage</x:v>
      </x:c>
      <x:c r="C317" s="18" t="str">
        <x:v>2026-06-20</x:v>
      </x:c>
      <x:c r="D317" s="18" t="n">
        <x:v>2026</x:v>
      </x:c>
      <x:c r="E317" s="18" t="str">
        <x:v>2026-06</x:v>
      </x:c>
      <x:c r="F317" s="18" t="str"/>
      <x:c r="G317" s="18" t="str">
        <x:v>Public Announcement of Corporate Insolvency Resolution Process</x:v>
      </x:c>
      <x:c r="H317" s="18" t="str"/>
      <x:c r="I317" s="18" t="str"/>
      <x:c r="J317" s="20" t="str"/>
      <x:c r="K317" s="18" t="str"/>
      <x:c r="L317" s="18" t="str"/>
      <x:c r="M317" s="18" t="str">
        <x:v>2026-06-20</x:v>
      </x:c>
      <x:c r="N317" s="18" t="str"/>
      <x:c r="O317" s="18" t="str">
        <x:v>ibbi_1r6fo8a</x:v>
      </x:c>
      <x:c r="P317" s="18" t="str">
        <x:v>M/s. Shantanu Investments Pvt. Ltd.</x:v>
      </x:c>
      <x:c r="Q317" s="18" t="str">
        <x:v>AKSH OPTIFIBRE LIMITED</x:v>
      </x:c>
      <x:c r="R317" s="18" t="str">
        <x:v>Mr. Praveen Kumar Singhal</x:v>
      </x:c>
      <x:c r="S317" s="18" t="str">
        <x:v>2026-07-03</x:v>
      </x:c>
      <x:c r="T317" s="18" t="str">
        <x:v>Public Announcement of Corporate Insolvency Resolution Process</x:v>
      </x:c>
      <x:c r="U317" s="18" t="str"/>
      <x:c r="V317" s="18" t="str">
        <x:v>DEFINED_TERMINAL_OR_FEED_SCOPE</x:v>
      </x:c>
      <x:c r="W317" s="18" t="str">
        <x:v>national_ibbi_announcements.json — published records loaded</x:v>
      </x:c>
      <x:c r="X317" s="18" t="str"/>
      <x:c r="Y317" s="18" t="str"/>
      <x:c r="Z317" s="20" t="n">
        <x:v>434</x:v>
      </x:c>
      <x:c r="AA317" s="19" t="n">
        <x:f>IFERROR(TODAY()-DATEVALUE(C317),"")</x:f>
        <x:v>82</x:v>
      </x:c>
      <x:c r="AB317" s="21" t="n">
        <x:f>ROUND(COUNTA(A317:K317)/11*100,0)</x:f>
        <x:v>100</x:v>
      </x:c>
      <x:c r="AC317" s="18" t="str">
        <x:v>National Company Law Tribunal</x:v>
      </x:c>
      <x:c r="AD317" s="22" t="str">
        <x:v>https://ibbi.gov.in/uploads/announcement/6dffffaf98e2043e89405d07c08a7aca.pdf</x:v>
      </x:c>
      <x:c r="AE317" s="18" t="str">
        <x:v>2026-06-20</x:v>
      </x:c>
      <x:c r="AF317" s="18" t="n">
        <x:v>46275.114583333336</x:v>
      </x:c>
      <x:c r="AG317" s="18" t="str">
        <x:v>retained_terminal</x:v>
      </x:c>
      <x:c r="AH317" s="18" t="str">
        <x:v>READY</x:v>
      </x:c>
    </x:row>
    <x:row r="318">
      <x:c r="A318" s="18" t="str">
        <x:v>NYT-47-80620a2a3194bcf6</x:v>
      </x:c>
      <x:c r="B318" s="18" t="str">
        <x:v>NCLT / NCLAT (Insolvency) source coverage</x:v>
      </x:c>
      <x:c r="C318" s="18" t="str">
        <x:v>2026-06-20</x:v>
      </x:c>
      <x:c r="D318" s="18" t="n">
        <x:v>2026</x:v>
      </x:c>
      <x:c r="E318" s="18" t="str">
        <x:v>2026-06</x:v>
      </x:c>
      <x:c r="F318" s="18" t="str"/>
      <x:c r="G318" s="18" t="str">
        <x:v>Public Announcement of Liquidation Process</x:v>
      </x:c>
      <x:c r="H318" s="18" t="str"/>
      <x:c r="I318" s="18" t="str"/>
      <x:c r="J318" s="20" t="str"/>
      <x:c r="K318" s="18" t="str"/>
      <x:c r="L318" s="18" t="str"/>
      <x:c r="M318" s="18" t="str">
        <x:v>2026-06-20</x:v>
      </x:c>
      <x:c r="N318" s="18" t="str"/>
      <x:c r="O318" s="18" t="str">
        <x:v>ibbi_h8ur5o</x:v>
      </x:c>
      <x:c r="P318" s="18" t="str">
        <x:v>Mr. Hemendra Paliwal</x:v>
      </x:c>
      <x:c r="Q318" s="18" t="str">
        <x:v>ROHTAS BIO ENERGY LIMITED</x:v>
      </x:c>
      <x:c r="R318" s="18" t="str">
        <x:v>KAMAL KUMAR JADWANI</x:v>
      </x:c>
      <x:c r="S318" s="18" t="str">
        <x:v>2026-07-04</x:v>
      </x:c>
      <x:c r="T318" s="18" t="str">
        <x:v>Public Announcement of Liquidation Process</x:v>
      </x:c>
      <x:c r="U318" s="18" t="str"/>
      <x:c r="V318" s="18" t="str">
        <x:v>DEFINED_TERMINAL_OR_FEED_SCOPE</x:v>
      </x:c>
      <x:c r="W318" s="18" t="str">
        <x:v>national_ibbi_announcements.json — published records loaded</x:v>
      </x:c>
      <x:c r="X318" s="18" t="str"/>
      <x:c r="Y318" s="18" t="str"/>
      <x:c r="Z318" s="20" t="n">
        <x:v>434</x:v>
      </x:c>
      <x:c r="AA318" s="19" t="n">
        <x:f>IFERROR(TODAY()-DATEVALUE(C318),"")</x:f>
        <x:v>82</x:v>
      </x:c>
      <x:c r="AB318" s="21" t="n">
        <x:f>ROUND(COUNTA(A318:K318)/11*100,0)</x:f>
        <x:v>100</x:v>
      </x:c>
      <x:c r="AC318" s="18" t="str">
        <x:v>National Company Law Tribunal</x:v>
      </x:c>
      <x:c r="AD318" s="22" t="str">
        <x:v>https://ibbi.gov.in/uploads/announcement/2026-06-24-172118-okgh4-5dad8cc003e945e345e2a575cc014872.pdf</x:v>
      </x:c>
      <x:c r="AE318" s="18" t="str">
        <x:v>2026-06-20</x:v>
      </x:c>
      <x:c r="AF318" s="18" t="n">
        <x:v>46275.114583333336</x:v>
      </x:c>
      <x:c r="AG318" s="18" t="str">
        <x:v>retained_terminal</x:v>
      </x:c>
      <x:c r="AH318" s="18" t="str">
        <x:v>READY</x:v>
      </x:c>
    </x:row>
    <x:row r="319">
      <x:c r="A319" s="18" t="str">
        <x:v>NYT-47-8691b891f95f6141</x:v>
      </x:c>
      <x:c r="B319" s="18" t="str">
        <x:v>NCLT / NCLAT (Insolvency) source coverage</x:v>
      </x:c>
      <x:c r="C319" s="18" t="str">
        <x:v>2026-06-20</x:v>
      </x:c>
      <x:c r="D319" s="18" t="n">
        <x:v>2026</x:v>
      </x:c>
      <x:c r="E319" s="18" t="str">
        <x:v>2026-06</x:v>
      </x:c>
      <x:c r="F319" s="18" t="str"/>
      <x:c r="G319" s="18" t="str">
        <x:v>Public Announcement of Liquidation Process</x:v>
      </x:c>
      <x:c r="H319" s="18" t="str"/>
      <x:c r="I319" s="18" t="str"/>
      <x:c r="J319" s="20" t="str"/>
      <x:c r="K319" s="18" t="str"/>
      <x:c r="L319" s="18" t="str"/>
      <x:c r="M319" s="18" t="str">
        <x:v>2026-06-20</x:v>
      </x:c>
      <x:c r="N319" s="18" t="str"/>
      <x:c r="O319" s="18" t="str">
        <x:v>ibbi_31gpty</x:v>
      </x:c>
      <x:c r="P319" s="18" t="str">
        <x:v>Canara Bank</x:v>
      </x:c>
      <x:c r="Q319" s="18" t="str">
        <x:v>POMMYS GARMENTS (INDIA ) LIMITED</x:v>
      </x:c>
      <x:c r="R319" s="18" t="str">
        <x:v>Sridevi Sundari G</x:v>
      </x:c>
      <x:c r="S319" s="18" t="str">
        <x:v>2026-07-17</x:v>
      </x:c>
      <x:c r="T319" s="18" t="str">
        <x:v>Public Announcement of Liquidation Process</x:v>
      </x:c>
      <x:c r="U319" s="18" t="str"/>
      <x:c r="V319" s="18" t="str">
        <x:v>DEFINED_TERMINAL_OR_FEED_SCOPE</x:v>
      </x:c>
      <x:c r="W319" s="18" t="str">
        <x:v>national_ibbi_announcements.json — published records loaded</x:v>
      </x:c>
      <x:c r="X319" s="18" t="str"/>
      <x:c r="Y319" s="18" t="str"/>
      <x:c r="Z319" s="20" t="n">
        <x:v>434</x:v>
      </x:c>
      <x:c r="AA319" s="19" t="n">
        <x:f>IFERROR(TODAY()-DATEVALUE(C319),"")</x:f>
        <x:v>82</x:v>
      </x:c>
      <x:c r="AB319" s="21" t="n">
        <x:f>ROUND(COUNTA(A319:K319)/11*100,0)</x:f>
        <x:v>100</x:v>
      </x:c>
      <x:c r="AC319" s="18" t="str">
        <x:v>National Company Law Tribunal</x:v>
      </x:c>
      <x:c r="AD319" s="22" t="str">
        <x:v>https://ibbi.gov.in/uploads/announcement/0269f2712dce22b15d44685ada3a9f32.pdf</x:v>
      </x:c>
      <x:c r="AE319" s="18" t="str">
        <x:v>2026-06-20</x:v>
      </x:c>
      <x:c r="AF319" s="18" t="n">
        <x:v>46275.114583333336</x:v>
      </x:c>
      <x:c r="AG319" s="18" t="str">
        <x:v>retained_terminal</x:v>
      </x:c>
      <x:c r="AH319" s="18" t="str">
        <x:v>READY</x:v>
      </x:c>
    </x:row>
    <x:row r="320">
      <x:c r="A320" s="18" t="str">
        <x:v>NYT-47-47c9f995f5a79bc7</x:v>
      </x:c>
      <x:c r="B320" s="18" t="str">
        <x:v>NCLT / NCLAT (Insolvency) source coverage</x:v>
      </x:c>
      <x:c r="C320" s="18" t="str">
        <x:v>2026-06-20</x:v>
      </x:c>
      <x:c r="D320" s="18" t="n">
        <x:v>2026</x:v>
      </x:c>
      <x:c r="E320" s="18" t="str">
        <x:v>2026-06</x:v>
      </x:c>
      <x:c r="F320" s="18" t="str"/>
      <x:c r="G320" s="18" t="str">
        <x:v>Public Announcement of Voluntary Liquidation Process</x:v>
      </x:c>
      <x:c r="H320" s="18" t="str"/>
      <x:c r="I320" s="18" t="str"/>
      <x:c r="J320" s="20" t="str"/>
      <x:c r="K320" s="18" t="str"/>
      <x:c r="L320" s="18" t="str"/>
      <x:c r="M320" s="18" t="str">
        <x:v>2026-06-20</x:v>
      </x:c>
      <x:c r="N320" s="18" t="str"/>
      <x:c r="O320" s="18" t="str">
        <x:v>ibbi_1v0gznl</x:v>
      </x:c>
      <x:c r="P320" s="18" t="str">
        <x:v>MAHINDRA ELECTRICAL STEEL PRIVATE LIMITED</x:v>
      </x:c>
      <x:c r="Q320" s="18" t="str">
        <x:v>MAHINDRA ELECTRICAL STEEL PRIVATE LIMITED</x:v>
      </x:c>
      <x:c r="R320" s="18" t="str">
        <x:v>Mr. Anish Gupta</x:v>
      </x:c>
      <x:c r="S320" s="18" t="str">
        <x:v>2026-07-19</x:v>
      </x:c>
      <x:c r="T320" s="18" t="str">
        <x:v>Public Announcement of Voluntary Liquidation Process</x:v>
      </x:c>
      <x:c r="U320" s="18" t="str"/>
      <x:c r="V320" s="18" t="str">
        <x:v>DEFINED_TERMINAL_OR_FEED_SCOPE</x:v>
      </x:c>
      <x:c r="W320" s="18" t="str">
        <x:v>national_ibbi_announcements.json — published records loaded</x:v>
      </x:c>
      <x:c r="X320" s="18" t="str"/>
      <x:c r="Y320" s="18" t="str"/>
      <x:c r="Z320" s="20" t="n">
        <x:v>434</x:v>
      </x:c>
      <x:c r="AA320" s="19" t="n">
        <x:f>IFERROR(TODAY()-DATEVALUE(C320),"")</x:f>
        <x:v>82</x:v>
      </x:c>
      <x:c r="AB320" s="21" t="n">
        <x:f>ROUND(COUNTA(A320:K320)/11*100,0)</x:f>
        <x:v>100</x:v>
      </x:c>
      <x:c r="AC320" s="18" t="str">
        <x:v>National Company Law Tribunal</x:v>
      </x:c>
      <x:c r="AD320" s="22" t="str">
        <x:v>https://ibbi.gov.in/uploads/announcement/a4ffdbf00fd6f0a1ad53423bd4df86df.pdf</x:v>
      </x:c>
      <x:c r="AE320" s="18" t="str">
        <x:v>2026-06-20</x:v>
      </x:c>
      <x:c r="AF320" s="18" t="n">
        <x:v>46275.114583333336</x:v>
      </x:c>
      <x:c r="AG320" s="18" t="str">
        <x:v>retained_terminal</x:v>
      </x:c>
      <x:c r="AH320" s="18" t="str">
        <x:v>READY</x:v>
      </x:c>
    </x:row>
    <x:row r="321">
      <x:c r="A321" s="18" t="str">
        <x:v>NYT-47-7674d8cd54d70a1d</x:v>
      </x:c>
      <x:c r="B321" s="18" t="str">
        <x:v>NCLT / NCLAT (Insolvency) source coverage</x:v>
      </x:c>
      <x:c r="C321" s="18" t="str">
        <x:v>2026-06-20</x:v>
      </x:c>
      <x:c r="D321" s="18" t="n">
        <x:v>2026</x:v>
      </x:c>
      <x:c r="E321" s="18" t="str">
        <x:v>2026-06</x:v>
      </x:c>
      <x:c r="F321" s="18" t="str"/>
      <x:c r="G321" s="18" t="str">
        <x:v>Public Announcement of Corporate Insolvency Resolution Process</x:v>
      </x:c>
      <x:c r="H321" s="18" t="str"/>
      <x:c r="I321" s="18" t="str"/>
      <x:c r="J321" s="20" t="str"/>
      <x:c r="K321" s="18" t="str"/>
      <x:c r="L321" s="18" t="str"/>
      <x:c r="M321" s="18" t="str">
        <x:v>2026-06-20</x:v>
      </x:c>
      <x:c r="N321" s="18" t="str"/>
      <x:c r="O321" s="18" t="str">
        <x:v>ibbi_129qy7v</x:v>
      </x:c>
      <x:c r="P321" s="18" t="str">
        <x:v>Krishkan Investment Private Limited</x:v>
      </x:c>
      <x:c r="Q321" s="18" t="str">
        <x:v>UTKAL STEELS LIMITED.</x:v>
      </x:c>
      <x:c r="R321" s="18" t="str">
        <x:v>CA Pankaj Bhattad</x:v>
      </x:c>
      <x:c r="S321" s="18" t="str">
        <x:v>2026-07-01</x:v>
      </x:c>
      <x:c r="T321" s="18" t="str">
        <x:v>Public Announcement of Corporate Insolvency Resolution Process</x:v>
      </x:c>
      <x:c r="U321" s="18" t="str"/>
      <x:c r="V321" s="18" t="str">
        <x:v>DEFINED_TERMINAL_OR_FEED_SCOPE</x:v>
      </x:c>
      <x:c r="W321" s="18" t="str">
        <x:v>national_ibbi_announcements.json — published records loaded</x:v>
      </x:c>
      <x:c r="X321" s="18" t="str"/>
      <x:c r="Y321" s="18" t="str"/>
      <x:c r="Z321" s="20" t="n">
        <x:v>434</x:v>
      </x:c>
      <x:c r="AA321" s="19" t="n">
        <x:f>IFERROR(TODAY()-DATEVALUE(C321),"")</x:f>
        <x:v>82</x:v>
      </x:c>
      <x:c r="AB321" s="21" t="n">
        <x:f>ROUND(COUNTA(A321:K321)/11*100,0)</x:f>
        <x:v>100</x:v>
      </x:c>
      <x:c r="AC321" s="18" t="str">
        <x:v>National Company Law Tribunal</x:v>
      </x:c>
      <x:c r="AD321" s="22" t="str">
        <x:v>https://ibbi.gov.in/uploads/announcement/c14dcb8e09d5612fb4afdd0b7a332bab.pdf</x:v>
      </x:c>
      <x:c r="AE321" s="18" t="str">
        <x:v>2026-06-20</x:v>
      </x:c>
      <x:c r="AF321" s="18" t="n">
        <x:v>46275.114583333336</x:v>
      </x:c>
      <x:c r="AG321" s="18" t="str">
        <x:v>retained_terminal</x:v>
      </x:c>
      <x:c r="AH321" s="18" t="str">
        <x:v>READY</x:v>
      </x:c>
    </x:row>
    <x:row r="322">
      <x:c r="A322" s="18" t="str">
        <x:v>NYT-47-5102416a47285dd9</x:v>
      </x:c>
      <x:c r="B322" s="18" t="str">
        <x:v>NCLT / NCLAT (Insolvency) source coverage</x:v>
      </x:c>
      <x:c r="C322" s="18" t="str">
        <x:v>2026-06-20</x:v>
      </x:c>
      <x:c r="D322" s="18" t="n">
        <x:v>2026</x:v>
      </x:c>
      <x:c r="E322" s="18" t="str">
        <x:v>2026-06</x:v>
      </x:c>
      <x:c r="F322" s="18" t="str"/>
      <x:c r="G322" s="18" t="str">
        <x:v>Public Announcement of Corporate Insolvency Resolution Process</x:v>
      </x:c>
      <x:c r="H322" s="18" t="str"/>
      <x:c r="I322" s="18" t="str"/>
      <x:c r="J322" s="20" t="str"/>
      <x:c r="K322" s="18" t="str"/>
      <x:c r="L322" s="18" t="str"/>
      <x:c r="M322" s="18" t="str">
        <x:v>2026-06-20</x:v>
      </x:c>
      <x:c r="N322" s="18" t="str"/>
      <x:c r="O322" s="18" t="str">
        <x:v>ibbi_mdd7p</x:v>
      </x:c>
      <x:c r="P322" s="18" t="str">
        <x:v>IN2IT SYSTEMS &amp; SERVICES PVT LTD</x:v>
      </x:c>
      <x:c r="Q322" s="18" t="str">
        <x:v>IN2IT TECHNOLOGIES PRIVATE LIMITED</x:v>
      </x:c>
      <x:c r="R322" s="18" t="str">
        <x:v>ishant jain</x:v>
      </x:c>
      <x:c r="S322" s="18" t="str">
        <x:v>2026-07-02</x:v>
      </x:c>
      <x:c r="T322" s="18" t="str">
        <x:v>Public Announcement of Corporate Insolvency Resolution Process</x:v>
      </x:c>
      <x:c r="U322" s="18" t="str"/>
      <x:c r="V322" s="18" t="str">
        <x:v>DEFINED_TERMINAL_OR_FEED_SCOPE</x:v>
      </x:c>
      <x:c r="W322" s="18" t="str">
        <x:v>national_ibbi_announcements.json — published records loaded</x:v>
      </x:c>
      <x:c r="X322" s="18" t="str"/>
      <x:c r="Y322" s="18" t="str"/>
      <x:c r="Z322" s="20" t="n">
        <x:v>434</x:v>
      </x:c>
      <x:c r="AA322" s="19" t="n">
        <x:f>IFERROR(TODAY()-DATEVALUE(C322),"")</x:f>
        <x:v>82</x:v>
      </x:c>
      <x:c r="AB322" s="21" t="n">
        <x:f>ROUND(COUNTA(A322:K322)/11*100,0)</x:f>
        <x:v>100</x:v>
      </x:c>
      <x:c r="AC322" s="18" t="str">
        <x:v>National Company Law Tribunal</x:v>
      </x:c>
      <x:c r="AD322" s="22" t="str">
        <x:v>https://ibbi.gov.in/uploads/announcement/2026-06-21-094535-158mw-5c06ce6c0111806ecfd4fbad7e27f559.pdf</x:v>
      </x:c>
      <x:c r="AE322" s="18" t="str">
        <x:v>2026-06-20</x:v>
      </x:c>
      <x:c r="AF322" s="18" t="n">
        <x:v>46275.114583333336</x:v>
      </x:c>
      <x:c r="AG322" s="18" t="str">
        <x:v>retained_terminal</x:v>
      </x:c>
      <x:c r="AH322" s="18" t="str">
        <x:v>READY</x:v>
      </x:c>
    </x:row>
    <x:row r="323">
      <x:c r="A323" s="18" t="str">
        <x:v>NYT-47-2b87f61791b7b951</x:v>
      </x:c>
      <x:c r="B323" s="18" t="str">
        <x:v>NCLT / NCLAT (Insolvency) source coverage</x:v>
      </x:c>
      <x:c r="C323" s="18" t="str">
        <x:v>2026-06-20</x:v>
      </x:c>
      <x:c r="D323" s="18" t="n">
        <x:v>2026</x:v>
      </x:c>
      <x:c r="E323" s="18" t="str">
        <x:v>2026-06</x:v>
      </x:c>
      <x:c r="F323" s="18" t="str"/>
      <x:c r="G323" s="18" t="str">
        <x:v>Public Announcement of Liquidation Process</x:v>
      </x:c>
      <x:c r="H323" s="18" t="str"/>
      <x:c r="I323" s="18" t="str"/>
      <x:c r="J323" s="20" t="str"/>
      <x:c r="K323" s="18" t="str"/>
      <x:c r="L323" s="18" t="str"/>
      <x:c r="M323" s="18" t="str">
        <x:v>2026-06-20</x:v>
      </x:c>
      <x:c r="N323" s="18" t="str"/>
      <x:c r="O323" s="18" t="str">
        <x:v>ibbi_eczv4a</x:v>
      </x:c>
      <x:c r="P323" s="18" t="str">
        <x:v>Bank of Baroda</x:v>
      </x:c>
      <x:c r="Q323" s="18" t="str">
        <x:v>PRINTEK GRAPHIX (INDIA) PRIVATE LIMITED</x:v>
      </x:c>
      <x:c r="R323" s="18" t="str">
        <x:v>Mr. Pradeep Kumar Chakravarty</x:v>
      </x:c>
      <x:c r="S323" s="18" t="str">
        <x:v>2026-07-19</x:v>
      </x:c>
      <x:c r="T323" s="18" t="str">
        <x:v>Public Announcement of Liquidation Process</x:v>
      </x:c>
      <x:c r="U323" s="18" t="str"/>
      <x:c r="V323" s="18" t="str">
        <x:v>DEFINED_TERMINAL_OR_FEED_SCOPE</x:v>
      </x:c>
      <x:c r="W323" s="18" t="str">
        <x:v>national_ibbi_announcements.json — published records loaded</x:v>
      </x:c>
      <x:c r="X323" s="18" t="str"/>
      <x:c r="Y323" s="18" t="str"/>
      <x:c r="Z323" s="20" t="n">
        <x:v>434</x:v>
      </x:c>
      <x:c r="AA323" s="19" t="n">
        <x:f>IFERROR(TODAY()-DATEVALUE(C323),"")</x:f>
        <x:v>82</x:v>
      </x:c>
      <x:c r="AB323" s="21" t="n">
        <x:f>ROUND(COUNTA(A323:K323)/11*100,0)</x:f>
        <x:v>100</x:v>
      </x:c>
      <x:c r="AC323" s="18" t="str">
        <x:v>National Company Law Tribunal</x:v>
      </x:c>
      <x:c r="AD323" s="22" t="str">
        <x:v>https://ibbi.gov.in/uploads/announcement/6456821e7b1d581ba5d8f1bd9686ba80.pdf</x:v>
      </x:c>
      <x:c r="AE323" s="18" t="str">
        <x:v>2026-06-20</x:v>
      </x:c>
      <x:c r="AF323" s="18" t="n">
        <x:v>46275.114583333336</x:v>
      </x:c>
      <x:c r="AG323" s="18" t="str">
        <x:v>retained_terminal</x:v>
      </x:c>
      <x:c r="AH323" s="18" t="str">
        <x:v>READY</x:v>
      </x:c>
    </x:row>
    <x:row r="324">
      <x:c r="A324" s="18" t="str">
        <x:v>NYT-47-b8d32f4e07eba276</x:v>
      </x:c>
      <x:c r="B324" s="18" t="str">
        <x:v>NCLT / NCLAT (Insolvency) source coverage</x:v>
      </x:c>
      <x:c r="C324" s="18" t="str">
        <x:v>2026-06-20</x:v>
      </x:c>
      <x:c r="D324" s="18" t="n">
        <x:v>2026</x:v>
      </x:c>
      <x:c r="E324" s="18" t="str">
        <x:v>2026-06</x:v>
      </x:c>
      <x:c r="F324" s="18" t="str"/>
      <x:c r="G324" s="18" t="str">
        <x:v>Public Announcement of Corporate Insolvency Resolution Process</x:v>
      </x:c>
      <x:c r="H324" s="18" t="str"/>
      <x:c r="I324" s="18" t="str"/>
      <x:c r="J324" s="20" t="str"/>
      <x:c r="K324" s="18" t="str"/>
      <x:c r="L324" s="18" t="str"/>
      <x:c r="M324" s="18" t="str">
        <x:v>2026-06-20</x:v>
      </x:c>
      <x:c r="N324" s="18" t="str"/>
      <x:c r="O324" s="18" t="str">
        <x:v>ibbi_10cxfmn</x:v>
      </x:c>
      <x:c r="P324" s="18" t="str">
        <x:v>ONE 97 COMMUNICATION LIMITED</x:v>
      </x:c>
      <x:c r="Q324" s="18" t="str">
        <x:v>FABZEN TECHNOLOGIES PRIVATE LIMITED</x:v>
      </x:c>
      <x:c r="R324" s="18" t="str">
        <x:v>MANISH LALJI DAWDA</x:v>
      </x:c>
      <x:c r="S324" s="18" t="str">
        <x:v>2026-07-02</x:v>
      </x:c>
      <x:c r="T324" s="18" t="str">
        <x:v>Public Announcement of Corporate Insolvency Resolution Process</x:v>
      </x:c>
      <x:c r="U324" s="18" t="str"/>
      <x:c r="V324" s="18" t="str">
        <x:v>DEFINED_TERMINAL_OR_FEED_SCOPE</x:v>
      </x:c>
      <x:c r="W324" s="18" t="str">
        <x:v>national_ibbi_announcements.json — published records loaded</x:v>
      </x:c>
      <x:c r="X324" s="18" t="str"/>
      <x:c r="Y324" s="18" t="str"/>
      <x:c r="Z324" s="20" t="n">
        <x:v>434</x:v>
      </x:c>
      <x:c r="AA324" s="19" t="n">
        <x:f>IFERROR(TODAY()-DATEVALUE(C324),"")</x:f>
        <x:v>82</x:v>
      </x:c>
      <x:c r="AB324" s="21" t="n">
        <x:f>ROUND(COUNTA(A324:K324)/11*100,0)</x:f>
        <x:v>100</x:v>
      </x:c>
      <x:c r="AC324" s="18" t="str">
        <x:v>National Company Law Tribunal</x:v>
      </x:c>
      <x:c r="AD324" s="22" t="str">
        <x:v>https://ibbi.gov.in/uploads/announcement/147e3913122cc15366d179b095089617.pdf</x:v>
      </x:c>
      <x:c r="AE324" s="18" t="str">
        <x:v>2026-06-20</x:v>
      </x:c>
      <x:c r="AF324" s="18" t="n">
        <x:v>46275.114583333336</x:v>
      </x:c>
      <x:c r="AG324" s="18" t="str">
        <x:v>retained_terminal</x:v>
      </x:c>
      <x:c r="AH324" s="18" t="str">
        <x:v>READY</x:v>
      </x:c>
    </x:row>
    <x:row r="325">
      <x:c r="A325" s="18" t="str">
        <x:v>NYT-47-5bd76b61f59e778c</x:v>
      </x:c>
      <x:c r="B325" s="18" t="str">
        <x:v>NCLT / NCLAT (Insolvency) source coverage</x:v>
      </x:c>
      <x:c r="C325" s="18" t="str">
        <x:v>2026-06-20</x:v>
      </x:c>
      <x:c r="D325" s="18" t="n">
        <x:v>2026</x:v>
      </x:c>
      <x:c r="E325" s="18" t="str">
        <x:v>2026-06</x:v>
      </x:c>
      <x:c r="F325" s="18" t="str"/>
      <x:c r="G325" s="18" t="str">
        <x:v>Public Announcement of Corporate Insolvency Resolution Process</x:v>
      </x:c>
      <x:c r="H325" s="18" t="str"/>
      <x:c r="I325" s="18" t="str"/>
      <x:c r="J325" s="20" t="str"/>
      <x:c r="K325" s="18" t="str"/>
      <x:c r="L325" s="18" t="str"/>
      <x:c r="M325" s="18" t="str">
        <x:v>2026-06-20</x:v>
      </x:c>
      <x:c r="N325" s="18" t="str"/>
      <x:c r="O325" s="18" t="str">
        <x:v>ibbi_79pd1t</x:v>
      </x:c>
      <x:c r="P325" s="18" t="str">
        <x:v>Kotak Mahindra Bank Limited</x:v>
      </x:c>
      <x:c r="Q325" s="18" t="str">
        <x:v>SRI LAKSHMI NARASIMHA SPINNING MILLS (INDIA) PRIVATE LIMITED</x:v>
      </x:c>
      <x:c r="R325" s="18" t="str">
        <x:v>Mr. Ranjan Chakraborti</x:v>
      </x:c>
      <x:c r="S325" s="18" t="str">
        <x:v>2026-07-03</x:v>
      </x:c>
      <x:c r="T325" s="18" t="str">
        <x:v>Public Announcement of Corporate Insolvency Resolution Process</x:v>
      </x:c>
      <x:c r="U325" s="18" t="str"/>
      <x:c r="V325" s="18" t="str">
        <x:v>DEFINED_TERMINAL_OR_FEED_SCOPE</x:v>
      </x:c>
      <x:c r="W325" s="18" t="str">
        <x:v>national_ibbi_announcements.json — published records loaded</x:v>
      </x:c>
      <x:c r="X325" s="18" t="str"/>
      <x:c r="Y325" s="18" t="str"/>
      <x:c r="Z325" s="20" t="n">
        <x:v>434</x:v>
      </x:c>
      <x:c r="AA325" s="19" t="n">
        <x:f>IFERROR(TODAY()-DATEVALUE(C325),"")</x:f>
        <x:v>82</x:v>
      </x:c>
      <x:c r="AB325" s="21" t="n">
        <x:f>ROUND(COUNTA(A325:K325)/11*100,0)</x:f>
        <x:v>100</x:v>
      </x:c>
      <x:c r="AC325" s="18" t="str">
        <x:v>National Company Law Tribunal</x:v>
      </x:c>
      <x:c r="AD325" s="22" t="str">
        <x:v>https://ibbi.gov.in/uploads/announcement/3573bc12cd21116db3ba7093b8f724c6.pdf</x:v>
      </x:c>
      <x:c r="AE325" s="18" t="str">
        <x:v>2026-06-20</x:v>
      </x:c>
      <x:c r="AF325" s="18" t="n">
        <x:v>46275.114583333336</x:v>
      </x:c>
      <x:c r="AG325" s="18" t="str">
        <x:v>retained_terminal</x:v>
      </x:c>
      <x:c r="AH325" s="18" t="str">
        <x:v>READY</x:v>
      </x:c>
    </x:row>
    <x:row r="326">
      <x:c r="A326" s="18" t="str">
        <x:v>NYT-47-ba4147089f70510e</x:v>
      </x:c>
      <x:c r="B326" s="18" t="str">
        <x:v>NCLT / NCLAT (Insolvency) source coverage</x:v>
      </x:c>
      <x:c r="C326" s="18" t="str">
        <x:v>2026-06-19</x:v>
      </x:c>
      <x:c r="D326" s="18" t="n">
        <x:v>2026</x:v>
      </x:c>
      <x:c r="E326" s="18" t="str">
        <x:v>2026-06</x:v>
      </x:c>
      <x:c r="F326" s="18" t="str"/>
      <x:c r="G326" s="18" t="str">
        <x:v>Public Announcement of Liquidation Process</x:v>
      </x:c>
      <x:c r="H326" s="18" t="str"/>
      <x:c r="I326" s="18" t="str"/>
      <x:c r="J326" s="20" t="str"/>
      <x:c r="K326" s="18" t="str"/>
      <x:c r="L326" s="18" t="str"/>
      <x:c r="M326" s="18" t="str">
        <x:v>2026-06-19</x:v>
      </x:c>
      <x:c r="N326" s="18" t="str"/>
      <x:c r="O326" s="18" t="str">
        <x:v>ibbi_3o2ehp</x:v>
      </x:c>
      <x:c r="P326" s="18" t="str">
        <x:v>M/s Tushar Tradelink Private Limited</x:v>
      </x:c>
      <x:c r="Q326" s="18" t="str">
        <x:v>VIRATRA EXPORT PRIVATE LIMITED</x:v>
      </x:c>
      <x:c r="R326" s="18" t="str">
        <x:v>AJAY KUMAR ATOLIA</x:v>
      </x:c>
      <x:c r="S326" s="18" t="str">
        <x:v>2026-07-01</x:v>
      </x:c>
      <x:c r="T326" s="18" t="str">
        <x:v>Public Announcement of Liquidation Process</x:v>
      </x:c>
      <x:c r="U326" s="18" t="str"/>
      <x:c r="V326" s="18" t="str">
        <x:v>DEFINED_TERMINAL_OR_FEED_SCOPE</x:v>
      </x:c>
      <x:c r="W326" s="18" t="str">
        <x:v>national_ibbi_announcements.json — published records loaded</x:v>
      </x:c>
      <x:c r="X326" s="18" t="str"/>
      <x:c r="Y326" s="18" t="str"/>
      <x:c r="Z326" s="20" t="n">
        <x:v>434</x:v>
      </x:c>
      <x:c r="AA326" s="19" t="n">
        <x:f>IFERROR(TODAY()-DATEVALUE(C326),"")</x:f>
        <x:v>83</x:v>
      </x:c>
      <x:c r="AB326" s="21" t="n">
        <x:f>ROUND(COUNTA(A326:K326)/11*100,0)</x:f>
        <x:v>100</x:v>
      </x:c>
      <x:c r="AC326" s="18" t="str">
        <x:v>National Company Law Tribunal</x:v>
      </x:c>
      <x:c r="AD326" s="22" t="str">
        <x:v>https://ibbi.gov.in/uploads/announcement/9ef4397833bfdeab3ec9beb51eb0f9dc.pdf</x:v>
      </x:c>
      <x:c r="AE326" s="18" t="str">
        <x:v>2026-06-19</x:v>
      </x:c>
      <x:c r="AF326" s="18" t="n">
        <x:v>46275.114583333336</x:v>
      </x:c>
      <x:c r="AG326" s="18" t="str">
        <x:v>retained_terminal</x:v>
      </x:c>
      <x:c r="AH326" s="18" t="str">
        <x:v>READY</x:v>
      </x:c>
    </x:row>
    <x:row r="327">
      <x:c r="A327" s="18" t="str">
        <x:v>NYT-47-6ae63686515659a4</x:v>
      </x:c>
      <x:c r="B327" s="18" t="str">
        <x:v>NCLT / NCLAT (Insolvency) source coverage</x:v>
      </x:c>
      <x:c r="C327" s="18" t="str">
        <x:v>2026-06-19</x:v>
      </x:c>
      <x:c r="D327" s="18" t="n">
        <x:v>2026</x:v>
      </x:c>
      <x:c r="E327" s="18" t="str">
        <x:v>2026-06</x:v>
      </x:c>
      <x:c r="F327" s="18" t="str"/>
      <x:c r="G327" s="18" t="str">
        <x:v>Public Announcement of Voluntary Liquidation Process</x:v>
      </x:c>
      <x:c r="H327" s="18" t="str"/>
      <x:c r="I327" s="18" t="str"/>
      <x:c r="J327" s="20" t="str"/>
      <x:c r="K327" s="18" t="str"/>
      <x:c r="L327" s="18" t="str"/>
      <x:c r="M327" s="18" t="str">
        <x:v>2026-06-19</x:v>
      </x:c>
      <x:c r="N327" s="18" t="str"/>
      <x:c r="O327" s="18" t="str">
        <x:v>ibbi_l1v5xh</x:v>
      </x:c>
      <x:c r="P327" s="18" t="str">
        <x:v>True North Software Private Limited</x:v>
      </x:c>
      <x:c r="Q327" s="18" t="str">
        <x:v>TRUE NORTH SOFTWARE PRIVATE LIMITED</x:v>
      </x:c>
      <x:c r="R327" s="18" t="str">
        <x:v>Raghunath Bhandari</x:v>
      </x:c>
      <x:c r="S327" s="18" t="str">
        <x:v>2026-07-17</x:v>
      </x:c>
      <x:c r="T327" s="18" t="str">
        <x:v>Public Announcement of Voluntary Liquidation Process</x:v>
      </x:c>
      <x:c r="U327" s="18" t="str"/>
      <x:c r="V327" s="18" t="str">
        <x:v>DEFINED_TERMINAL_OR_FEED_SCOPE</x:v>
      </x:c>
      <x:c r="W327" s="18" t="str">
        <x:v>national_ibbi_announcements.json — published records loaded</x:v>
      </x:c>
      <x:c r="X327" s="18" t="str"/>
      <x:c r="Y327" s="18" t="str"/>
      <x:c r="Z327" s="20" t="n">
        <x:v>434</x:v>
      </x:c>
      <x:c r="AA327" s="19" t="n">
        <x:f>IFERROR(TODAY()-DATEVALUE(C327),"")</x:f>
        <x:v>83</x:v>
      </x:c>
      <x:c r="AB327" s="21" t="n">
        <x:f>ROUND(COUNTA(A327:K327)/11*100,0)</x:f>
        <x:v>100</x:v>
      </x:c>
      <x:c r="AC327" s="18" t="str">
        <x:v>National Company Law Tribunal</x:v>
      </x:c>
      <x:c r="AD327" s="22" t="str">
        <x:v>https://ibbi.gov.in/uploads/announcement/08b9a713880d3cda01dfeb1d3c21b41f.pdf</x:v>
      </x:c>
      <x:c r="AE327" s="18" t="str">
        <x:v>2026-06-19</x:v>
      </x:c>
      <x:c r="AF327" s="18" t="n">
        <x:v>46275.114583333336</x:v>
      </x:c>
      <x:c r="AG327" s="18" t="str">
        <x:v>retained_terminal</x:v>
      </x:c>
      <x:c r="AH327" s="18" t="str">
        <x:v>READY</x:v>
      </x:c>
    </x:row>
    <x:row r="328">
      <x:c r="A328" s="18" t="str">
        <x:v>NYT-47-3a9e22d2b445a8c2</x:v>
      </x:c>
      <x:c r="B328" s="18" t="str">
        <x:v>NCLT / NCLAT (Insolvency) source coverage</x:v>
      </x:c>
      <x:c r="C328" s="18" t="str">
        <x:v>2026-06-19</x:v>
      </x:c>
      <x:c r="D328" s="18" t="n">
        <x:v>2026</x:v>
      </x:c>
      <x:c r="E328" s="18" t="str">
        <x:v>2026-06</x:v>
      </x:c>
      <x:c r="F328" s="18" t="str"/>
      <x:c r="G328" s="18" t="str">
        <x:v>Public Announcement of Corporate Insolvency Resolution Process</x:v>
      </x:c>
      <x:c r="H328" s="18" t="str"/>
      <x:c r="I328" s="18" t="str"/>
      <x:c r="J328" s="20" t="str"/>
      <x:c r="K328" s="18" t="str"/>
      <x:c r="L328" s="18" t="str"/>
      <x:c r="M328" s="18" t="str">
        <x:v>2026-06-19</x:v>
      </x:c>
      <x:c r="N328" s="18" t="str"/>
      <x:c r="O328" s="18" t="str">
        <x:v>ibbi_d5syp2</x:v>
      </x:c>
      <x:c r="P328" s="18" t="str">
        <x:v>Central Bank of India</x:v>
      </x:c>
      <x:c r="Q328" s="18" t="str">
        <x:v>DEEPAK EDUCATION LIMITED</x:v>
      </x:c>
      <x:c r="R328" s="18" t="str">
        <x:v>Anil Kashi Drolia</x:v>
      </x:c>
      <x:c r="S328" s="18" t="str">
        <x:v>2026-07-01</x:v>
      </x:c>
      <x:c r="T328" s="18" t="str">
        <x:v>Public Announcement of Corporate Insolvency Resolution Process</x:v>
      </x:c>
      <x:c r="U328" s="18" t="str"/>
      <x:c r="V328" s="18" t="str">
        <x:v>DEFINED_TERMINAL_OR_FEED_SCOPE</x:v>
      </x:c>
      <x:c r="W328" s="18" t="str">
        <x:v>national_ibbi_announcements.json — published records loaded</x:v>
      </x:c>
      <x:c r="X328" s="18" t="str"/>
      <x:c r="Y328" s="18" t="str"/>
      <x:c r="Z328" s="20" t="n">
        <x:v>434</x:v>
      </x:c>
      <x:c r="AA328" s="19" t="n">
        <x:f>IFERROR(TODAY()-DATEVALUE(C328),"")</x:f>
        <x:v>83</x:v>
      </x:c>
      <x:c r="AB328" s="21" t="n">
        <x:f>ROUND(COUNTA(A328:K328)/11*100,0)</x:f>
        <x:v>100</x:v>
      </x:c>
      <x:c r="AC328" s="18" t="str">
        <x:v>National Company Law Tribunal</x:v>
      </x:c>
      <x:c r="AD328" s="22" t="str">
        <x:v>https://ibbi.gov.in/uploads/announcement/f7e7efc215617e651e4196cf20a11a2f.pdf</x:v>
      </x:c>
      <x:c r="AE328" s="18" t="str">
        <x:v>2026-06-19</x:v>
      </x:c>
      <x:c r="AF328" s="18" t="n">
        <x:v>46275.114583333336</x:v>
      </x:c>
      <x:c r="AG328" s="18" t="str">
        <x:v>retained_terminal</x:v>
      </x:c>
      <x:c r="AH328" s="18" t="str">
        <x:v>READY</x:v>
      </x:c>
    </x:row>
    <x:row r="329">
      <x:c r="A329" s="18" t="str">
        <x:v>NYT-47-8cad2414add29cbb</x:v>
      </x:c>
      <x:c r="B329" s="18" t="str">
        <x:v>NCLT / NCLAT (Insolvency) source coverage</x:v>
      </x:c>
      <x:c r="C329" s="18" t="str">
        <x:v>2026-06-19</x:v>
      </x:c>
      <x:c r="D329" s="18" t="n">
        <x:v>2026</x:v>
      </x:c>
      <x:c r="E329" s="18" t="str">
        <x:v>2026-06</x:v>
      </x:c>
      <x:c r="F329" s="18" t="str"/>
      <x:c r="G329" s="18" t="str">
        <x:v>Public Announcement of Corporate Insolvency Resolution Process</x:v>
      </x:c>
      <x:c r="H329" s="18" t="str"/>
      <x:c r="I329" s="18" t="str"/>
      <x:c r="J329" s="20" t="str"/>
      <x:c r="K329" s="18" t="str"/>
      <x:c r="L329" s="18" t="str"/>
      <x:c r="M329" s="18" t="str">
        <x:v>2026-06-19</x:v>
      </x:c>
      <x:c r="N329" s="18" t="str"/>
      <x:c r="O329" s="18" t="str">
        <x:v>ibbi_crv95i</x:v>
      </x:c>
      <x:c r="P329" s="18" t="str">
        <x:v>S K Enterprises</x:v>
      </x:c>
      <x:c r="Q329" s="18" t="str">
        <x:v>COSMOS FERROUS PRIVATE LIMITED</x:v>
      </x:c>
      <x:c r="R329" s="18" t="str">
        <x:v>Bhavna Bansal</x:v>
      </x:c>
      <x:c r="S329" s="18" t="str">
        <x:v>2026-06-30</x:v>
      </x:c>
      <x:c r="T329" s="18" t="str">
        <x:v>Public Announcement of Corporate Insolvency Resolution Process</x:v>
      </x:c>
      <x:c r="U329" s="18" t="str"/>
      <x:c r="V329" s="18" t="str">
        <x:v>DEFINED_TERMINAL_OR_FEED_SCOPE</x:v>
      </x:c>
      <x:c r="W329" s="18" t="str">
        <x:v>national_ibbi_announcements.json — published records loaded</x:v>
      </x:c>
      <x:c r="X329" s="18" t="str"/>
      <x:c r="Y329" s="18" t="str"/>
      <x:c r="Z329" s="20" t="n">
        <x:v>434</x:v>
      </x:c>
      <x:c r="AA329" s="19" t="n">
        <x:f>IFERROR(TODAY()-DATEVALUE(C329),"")</x:f>
        <x:v>83</x:v>
      </x:c>
      <x:c r="AB329" s="21" t="n">
        <x:f>ROUND(COUNTA(A329:K329)/11*100,0)</x:f>
        <x:v>100</x:v>
      </x:c>
      <x:c r="AC329" s="18" t="str">
        <x:v>National Company Law Tribunal</x:v>
      </x:c>
      <x:c r="AD329" s="22" t="str">
        <x:v>https://ibbi.gov.in/uploads/announcement/2026-06-22-160905-k80ae-5c06ce6c0111806ecfd4fbad7e27f559.pdf</x:v>
      </x:c>
      <x:c r="AE329" s="18" t="str">
        <x:v>2026-06-19</x:v>
      </x:c>
      <x:c r="AF329" s="18" t="n">
        <x:v>46275.114583333336</x:v>
      </x:c>
      <x:c r="AG329" s="18" t="str">
        <x:v>retained_terminal</x:v>
      </x:c>
      <x:c r="AH329" s="18" t="str">
        <x:v>READY</x:v>
      </x:c>
    </x:row>
    <x:row r="330">
      <x:c r="A330" s="18" t="str">
        <x:v>NYT-47-c9fa35688a5d74a8</x:v>
      </x:c>
      <x:c r="B330" s="18" t="str">
        <x:v>NCLT / NCLAT (Insolvency) source coverage</x:v>
      </x:c>
      <x:c r="C330" s="18" t="str">
        <x:v>2026-06-19</x:v>
      </x:c>
      <x:c r="D330" s="18" t="n">
        <x:v>2026</x:v>
      </x:c>
      <x:c r="E330" s="18" t="str">
        <x:v>2026-06</x:v>
      </x:c>
      <x:c r="F330" s="18" t="str"/>
      <x:c r="G330" s="18" t="str">
        <x:v>Public Announcement of Voluntary Liquidation Process</x:v>
      </x:c>
      <x:c r="H330" s="18" t="str"/>
      <x:c r="I330" s="18" t="str"/>
      <x:c r="J330" s="20" t="str"/>
      <x:c r="K330" s="18" t="str"/>
      <x:c r="L330" s="18" t="str"/>
      <x:c r="M330" s="18" t="str">
        <x:v>2026-06-19</x:v>
      </x:c>
      <x:c r="N330" s="18" t="str"/>
      <x:c r="O330" s="18" t="str">
        <x:v>ibbi_g2mpm4</x:v>
      </x:c>
      <x:c r="P330" s="18" t="str">
        <x:v>DAMODAR PRASAD GUPTA</x:v>
      </x:c>
      <x:c r="Q330" s="18" t="str">
        <x:v>EPISURF INDIA PRIVATE LIMITED</x:v>
      </x:c>
      <x:c r="R330" s="18" t="str">
        <x:v>DAMODAR PRASAD GUPTA</x:v>
      </x:c>
      <x:c r="S330" s="18" t="str">
        <x:v>2026-07-17</x:v>
      </x:c>
      <x:c r="T330" s="18" t="str">
        <x:v>Public Announcement of Voluntary Liquidation Process</x:v>
      </x:c>
      <x:c r="U330" s="18" t="str"/>
      <x:c r="V330" s="18" t="str">
        <x:v>DEFINED_TERMINAL_OR_FEED_SCOPE</x:v>
      </x:c>
      <x:c r="W330" s="18" t="str">
        <x:v>national_ibbi_announcements.json — published records loaded</x:v>
      </x:c>
      <x:c r="X330" s="18" t="str"/>
      <x:c r="Y330" s="18" t="str"/>
      <x:c r="Z330" s="20" t="n">
        <x:v>434</x:v>
      </x:c>
      <x:c r="AA330" s="19" t="n">
        <x:f>IFERROR(TODAY()-DATEVALUE(C330),"")</x:f>
        <x:v>83</x:v>
      </x:c>
      <x:c r="AB330" s="21" t="n">
        <x:f>ROUND(COUNTA(A330:K330)/11*100,0)</x:f>
        <x:v>100</x:v>
      </x:c>
      <x:c r="AC330" s="18" t="str">
        <x:v>National Company Law Tribunal</x:v>
      </x:c>
      <x:c r="AD330" s="22" t="str">
        <x:v>https://ibbi.gov.in/uploads/announcement/7e9addd09d2d83a7e7e9468132e1ab6a.pdf</x:v>
      </x:c>
      <x:c r="AE330" s="18" t="str">
        <x:v>2026-06-19</x:v>
      </x:c>
      <x:c r="AF330" s="18" t="n">
        <x:v>46275.114583333336</x:v>
      </x:c>
      <x:c r="AG330" s="18" t="str">
        <x:v>retained_terminal</x:v>
      </x:c>
      <x:c r="AH330" s="18" t="str">
        <x:v>READY</x:v>
      </x:c>
    </x:row>
    <x:row r="331">
      <x:c r="A331" s="18" t="str">
        <x:v>NYT-47-e6e28826f875cfe6</x:v>
      </x:c>
      <x:c r="B331" s="18" t="str">
        <x:v>NCLT / NCLAT (Insolvency) source coverage</x:v>
      </x:c>
      <x:c r="C331" s="18" t="str">
        <x:v>2026-06-18</x:v>
      </x:c>
      <x:c r="D331" s="18" t="n">
        <x:v>2026</x:v>
      </x:c>
      <x:c r="E331" s="18" t="str">
        <x:v>2026-06</x:v>
      </x:c>
      <x:c r="F331" s="18" t="str"/>
      <x:c r="G331" s="18" t="str">
        <x:v>Public Announcement of Voluntary Liquidation Process</x:v>
      </x:c>
      <x:c r="H331" s="18" t="str"/>
      <x:c r="I331" s="18" t="str"/>
      <x:c r="J331" s="20" t="str"/>
      <x:c r="K331" s="18" t="str"/>
      <x:c r="L331" s="18" t="str"/>
      <x:c r="M331" s="18" t="str">
        <x:v>2026-06-18</x:v>
      </x:c>
      <x:c r="N331" s="18" t="str"/>
      <x:c r="O331" s="18" t="str">
        <x:v>ibbi_47uiw5</x:v>
      </x:c>
      <x:c r="P331" s="18" t="str">
        <x:v>BER SARAI LABS PRIVATE LIMITED</x:v>
      </x:c>
      <x:c r="Q331" s="18" t="str">
        <x:v>BER SARAI LABS PRIVATE LIMITED</x:v>
      </x:c>
      <x:c r="R331" s="18" t="str">
        <x:v>Ms. Sumana Rao</x:v>
      </x:c>
      <x:c r="S331" s="18" t="str">
        <x:v>2026-07-16</x:v>
      </x:c>
      <x:c r="T331" s="18" t="str">
        <x:v>Public Announcement of Voluntary Liquidation Process</x:v>
      </x:c>
      <x:c r="U331" s="18" t="str"/>
      <x:c r="V331" s="18" t="str">
        <x:v>DEFINED_TERMINAL_OR_FEED_SCOPE</x:v>
      </x:c>
      <x:c r="W331" s="18" t="str">
        <x:v>national_ibbi_announcements.json — published records loaded</x:v>
      </x:c>
      <x:c r="X331" s="18" t="str"/>
      <x:c r="Y331" s="18" t="str"/>
      <x:c r="Z331" s="20" t="n">
        <x:v>434</x:v>
      </x:c>
      <x:c r="AA331" s="19" t="n">
        <x:f>IFERROR(TODAY()-DATEVALUE(C331),"")</x:f>
        <x:v>84</x:v>
      </x:c>
      <x:c r="AB331" s="21" t="n">
        <x:f>ROUND(COUNTA(A331:K331)/11*100,0)</x:f>
        <x:v>100</x:v>
      </x:c>
      <x:c r="AC331" s="18" t="str">
        <x:v>National Company Law Tribunal</x:v>
      </x:c>
      <x:c r="AD331" s="22" t="str">
        <x:v>https://ibbi.gov.in/uploads/announcement/b6902ceabd22379bcb348aff865922d3.pdf</x:v>
      </x:c>
      <x:c r="AE331" s="18" t="str">
        <x:v>2026-06-18</x:v>
      </x:c>
      <x:c r="AF331" s="18" t="n">
        <x:v>46275.114583333336</x:v>
      </x:c>
      <x:c r="AG331" s="18" t="str">
        <x:v>retained_terminal</x:v>
      </x:c>
      <x:c r="AH331" s="18" t="str">
        <x:v>READY</x:v>
      </x:c>
    </x:row>
    <x:row r="332">
      <x:c r="A332" s="18" t="str">
        <x:v>NYT-47-29beeb4a0037ece2</x:v>
      </x:c>
      <x:c r="B332" s="18" t="str">
        <x:v>NCLT / NCLAT (Insolvency) source coverage</x:v>
      </x:c>
      <x:c r="C332" s="18" t="str">
        <x:v>2026-06-18</x:v>
      </x:c>
      <x:c r="D332" s="18" t="n">
        <x:v>2026</x:v>
      </x:c>
      <x:c r="E332" s="18" t="str">
        <x:v>2026-06</x:v>
      </x:c>
      <x:c r="F332" s="18" t="str"/>
      <x:c r="G332" s="18" t="str">
        <x:v>Public Announcement of Liquidation Process</x:v>
      </x:c>
      <x:c r="H332" s="18" t="str"/>
      <x:c r="I332" s="18" t="str"/>
      <x:c r="J332" s="20" t="str"/>
      <x:c r="K332" s="18" t="str"/>
      <x:c r="L332" s="18" t="str"/>
      <x:c r="M332" s="18" t="str">
        <x:v>2026-06-18</x:v>
      </x:c>
      <x:c r="N332" s="18" t="str"/>
      <x:c r="O332" s="18" t="str">
        <x:v>ibbi_13v5g97</x:v>
      </x:c>
      <x:c r="P332" s="18" t="str">
        <x:v>RP, CA Subhash Laxminarayan Nathuramka</x:v>
      </x:c>
      <x:c r="Q332" s="18" t="str">
        <x:v>SHREE SANT KRIPA APPLIANCES PRIVATE LIMITED</x:v>
      </x:c>
      <x:c r="R332" s="18" t="str">
        <x:v>Dipti Narayan Mundra</x:v>
      </x:c>
      <x:c r="S332" s="18" t="str">
        <x:v>2026-06-30</x:v>
      </x:c>
      <x:c r="T332" s="18" t="str">
        <x:v>Public Announcement of Liquidation Process</x:v>
      </x:c>
      <x:c r="U332" s="18" t="str"/>
      <x:c r="V332" s="18" t="str">
        <x:v>DEFINED_TERMINAL_OR_FEED_SCOPE</x:v>
      </x:c>
      <x:c r="W332" s="18" t="str">
        <x:v>national_ibbi_announcements.json — published records loaded</x:v>
      </x:c>
      <x:c r="X332" s="18" t="str"/>
      <x:c r="Y332" s="18" t="str"/>
      <x:c r="Z332" s="20" t="n">
        <x:v>434</x:v>
      </x:c>
      <x:c r="AA332" s="19" t="n">
        <x:f>IFERROR(TODAY()-DATEVALUE(C332),"")</x:f>
        <x:v>84</x:v>
      </x:c>
      <x:c r="AB332" s="21" t="n">
        <x:f>ROUND(COUNTA(A332:K332)/11*100,0)</x:f>
        <x:v>100</x:v>
      </x:c>
      <x:c r="AC332" s="18" t="str">
        <x:v>National Company Law Tribunal</x:v>
      </x:c>
      <x:c r="AD332" s="22" t="str">
        <x:v>https://ibbi.gov.in/uploads/announcement/2026-06-18-193454-8lray-2cd9c0126c9b40c5c35f570b0d4cb54f.pdf</x:v>
      </x:c>
      <x:c r="AE332" s="18" t="str">
        <x:v>2026-06-18</x:v>
      </x:c>
      <x:c r="AF332" s="18" t="n">
        <x:v>46275.114583333336</x:v>
      </x:c>
      <x:c r="AG332" s="18" t="str">
        <x:v>retained_terminal</x:v>
      </x:c>
      <x:c r="AH332" s="18" t="str">
        <x:v>READY</x:v>
      </x:c>
    </x:row>
    <x:row r="333">
      <x:c r="A333" s="18" t="str">
        <x:v>NYT-47-bf79fef2c567f841</x:v>
      </x:c>
      <x:c r="B333" s="18" t="str">
        <x:v>NCLT / NCLAT (Insolvency) source coverage</x:v>
      </x:c>
      <x:c r="C333" s="18" t="str">
        <x:v>2026-06-18</x:v>
      </x:c>
      <x:c r="D333" s="18" t="n">
        <x:v>2026</x:v>
      </x:c>
      <x:c r="E333" s="18" t="str">
        <x:v>2026-06</x:v>
      </x:c>
      <x:c r="F333" s="18" t="str"/>
      <x:c r="G333" s="18" t="str">
        <x:v>Public Announcement of Corporate Insolvency Resolution Process</x:v>
      </x:c>
      <x:c r="H333" s="18" t="str"/>
      <x:c r="I333" s="18" t="str"/>
      <x:c r="J333" s="20" t="str"/>
      <x:c r="K333" s="18" t="str"/>
      <x:c r="L333" s="18" t="str"/>
      <x:c r="M333" s="18" t="str">
        <x:v>2026-06-18</x:v>
      </x:c>
      <x:c r="N333" s="18" t="str"/>
      <x:c r="O333" s="18" t="str">
        <x:v>ibbi_189bbzp</x:v>
      </x:c>
      <x:c r="P333" s="18" t="str">
        <x:v>Canara Bank</x:v>
      </x:c>
      <x:c r="Q333" s="18" t="str">
        <x:v>KGOC TERMINALS PRIVATE LIMITED</x:v>
      </x:c>
      <x:c r="R333" s="18" t="str">
        <x:v>Mr. Dommeti Surya Rama Krishna Saibaba</x:v>
      </x:c>
      <x:c r="S333" s="18" t="str">
        <x:v>2026-06-30</x:v>
      </x:c>
      <x:c r="T333" s="18" t="str">
        <x:v>Public Announcement of Corporate Insolvency Resolution Process</x:v>
      </x:c>
      <x:c r="U333" s="18" t="str"/>
      <x:c r="V333" s="18" t="str">
        <x:v>DEFINED_TERMINAL_OR_FEED_SCOPE</x:v>
      </x:c>
      <x:c r="W333" s="18" t="str">
        <x:v>national_ibbi_announcements.json — published records loaded</x:v>
      </x:c>
      <x:c r="X333" s="18" t="str"/>
      <x:c r="Y333" s="18" t="str"/>
      <x:c r="Z333" s="20" t="n">
        <x:v>434</x:v>
      </x:c>
      <x:c r="AA333" s="19" t="n">
        <x:f>IFERROR(TODAY()-DATEVALUE(C333),"")</x:f>
        <x:v>84</x:v>
      </x:c>
      <x:c r="AB333" s="21" t="n">
        <x:f>ROUND(COUNTA(A333:K333)/11*100,0)</x:f>
        <x:v>100</x:v>
      </x:c>
      <x:c r="AC333" s="18" t="str">
        <x:v>National Company Law Tribunal</x:v>
      </x:c>
      <x:c r="AD333" s="22" t="str">
        <x:v>https://ibbi.gov.in/uploads/announcement/ded232e062185480a8683e0bc61d2e9a.pdf</x:v>
      </x:c>
      <x:c r="AE333" s="18" t="str">
        <x:v>2026-06-18</x:v>
      </x:c>
      <x:c r="AF333" s="18" t="n">
        <x:v>46275.114583333336</x:v>
      </x:c>
      <x:c r="AG333" s="18" t="str">
        <x:v>retained_terminal</x:v>
      </x:c>
      <x:c r="AH333" s="18" t="str">
        <x:v>READY</x:v>
      </x:c>
    </x:row>
    <x:row r="334">
      <x:c r="A334" s="18" t="str">
        <x:v>NYT-47-5f5e63d717c6e402</x:v>
      </x:c>
      <x:c r="B334" s="18" t="str">
        <x:v>NCLT / NCLAT (Insolvency) source coverage</x:v>
      </x:c>
      <x:c r="C334" s="18" t="str">
        <x:v>2026-06-18</x:v>
      </x:c>
      <x:c r="D334" s="18" t="n">
        <x:v>2026</x:v>
      </x:c>
      <x:c r="E334" s="18" t="str">
        <x:v>2026-06</x:v>
      </x:c>
      <x:c r="F334" s="18" t="str"/>
      <x:c r="G334" s="18" t="str">
        <x:v>Public Announcement of Corporate Insolvency Resolution Process</x:v>
      </x:c>
      <x:c r="H334" s="18" t="str"/>
      <x:c r="I334" s="18" t="str"/>
      <x:c r="J334" s="20" t="str"/>
      <x:c r="K334" s="18" t="str"/>
      <x:c r="L334" s="18" t="str"/>
      <x:c r="M334" s="18" t="str">
        <x:v>2026-06-18</x:v>
      </x:c>
      <x:c r="N334" s="18" t="str"/>
      <x:c r="O334" s="18" t="str">
        <x:v>ibbi_1j754zo</x:v>
      </x:c>
      <x:c r="P334" s="18" t="str">
        <x:v>Bank of Baroda</x:v>
      </x:c>
      <x:c r="Q334" s="18" t="str">
        <x:v>M C INDUSTRIES LTD</x:v>
      </x:c>
      <x:c r="R334" s="18" t="str">
        <x:v>Mr. Sanjai Kumar Gupta</x:v>
      </x:c>
      <x:c r="S334" s="18" t="str">
        <x:v>2026-06-26</x:v>
      </x:c>
      <x:c r="T334" s="18" t="str">
        <x:v>Public Announcement of Corporate Insolvency Resolution Process</x:v>
      </x:c>
      <x:c r="U334" s="18" t="str"/>
      <x:c r="V334" s="18" t="str">
        <x:v>DEFINED_TERMINAL_OR_FEED_SCOPE</x:v>
      </x:c>
      <x:c r="W334" s="18" t="str">
        <x:v>national_ibbi_announcements.json — published records loaded</x:v>
      </x:c>
      <x:c r="X334" s="18" t="str"/>
      <x:c r="Y334" s="18" t="str"/>
      <x:c r="Z334" s="20" t="n">
        <x:v>434</x:v>
      </x:c>
      <x:c r="AA334" s="19" t="n">
        <x:f>IFERROR(TODAY()-DATEVALUE(C334),"")</x:f>
        <x:v>84</x:v>
      </x:c>
      <x:c r="AB334" s="21" t="n">
        <x:f>ROUND(COUNTA(A334:K334)/11*100,0)</x:f>
        <x:v>100</x:v>
      </x:c>
      <x:c r="AC334" s="18" t="str">
        <x:v>National Company Law Tribunal</x:v>
      </x:c>
      <x:c r="AD334" s="22" t="str">
        <x:v>https://ibbi.gov.in/uploads/announcement/fbdc4aad75fe6998422c251d447728e0.pdf</x:v>
      </x:c>
      <x:c r="AE334" s="18" t="str">
        <x:v>2026-06-18</x:v>
      </x:c>
      <x:c r="AF334" s="18" t="n">
        <x:v>46275.114583333336</x:v>
      </x:c>
      <x:c r="AG334" s="18" t="str">
        <x:v>retained_terminal</x:v>
      </x:c>
      <x:c r="AH334" s="18" t="str">
        <x:v>READY</x:v>
      </x:c>
    </x:row>
    <x:row r="335">
      <x:c r="A335" s="18" t="str">
        <x:v>NYT-47-8df9e72381875f4a</x:v>
      </x:c>
      <x:c r="B335" s="18" t="str">
        <x:v>NCLT / NCLAT (Insolvency) source coverage</x:v>
      </x:c>
      <x:c r="C335" s="18" t="str">
        <x:v>2026-06-17</x:v>
      </x:c>
      <x:c r="D335" s="18" t="n">
        <x:v>2026</x:v>
      </x:c>
      <x:c r="E335" s="18" t="str">
        <x:v>2026-06</x:v>
      </x:c>
      <x:c r="F335" s="18" t="str"/>
      <x:c r="G335" s="18" t="str">
        <x:v>Public Announcement of Corporate Insolvency Resolution Process</x:v>
      </x:c>
      <x:c r="H335" s="18" t="str"/>
      <x:c r="I335" s="18" t="str"/>
      <x:c r="J335" s="20" t="str"/>
      <x:c r="K335" s="18" t="str"/>
      <x:c r="L335" s="18" t="str"/>
      <x:c r="M335" s="18" t="str">
        <x:v>2026-06-17</x:v>
      </x:c>
      <x:c r="N335" s="18" t="str"/>
      <x:c r="O335" s="18" t="str">
        <x:v>ibbi_1getxcl</x:v>
      </x:c>
      <x:c r="P335" s="18" t="str">
        <x:v>Ratnaafin Capital Private Limited</x:v>
      </x:c>
      <x:c r="Q335" s="18" t="str">
        <x:v>SAARTHI PEDAGOGY PRIVATE LIMITED</x:v>
      </x:c>
      <x:c r="R335" s="18" t="str">
        <x:v>Mr. Ravi Kapoor</x:v>
      </x:c>
      <x:c r="S335" s="18" t="str">
        <x:v>2026-06-29</x:v>
      </x:c>
      <x:c r="T335" s="18" t="str">
        <x:v>Public Announcement of Corporate Insolvency Resolution Process</x:v>
      </x:c>
      <x:c r="U335" s="18" t="str"/>
      <x:c r="V335" s="18" t="str">
        <x:v>DEFINED_TERMINAL_OR_FEED_SCOPE</x:v>
      </x:c>
      <x:c r="W335" s="18" t="str">
        <x:v>national_ibbi_announcements.json — published records loaded</x:v>
      </x:c>
      <x:c r="X335" s="18" t="str"/>
      <x:c r="Y335" s="18" t="str"/>
      <x:c r="Z335" s="20" t="n">
        <x:v>434</x:v>
      </x:c>
      <x:c r="AA335" s="19" t="n">
        <x:f>IFERROR(TODAY()-DATEVALUE(C335),"")</x:f>
        <x:v>85</x:v>
      </x:c>
      <x:c r="AB335" s="21" t="n">
        <x:f>ROUND(COUNTA(A335:K335)/11*100,0)</x:f>
        <x:v>100</x:v>
      </x:c>
      <x:c r="AC335" s="18" t="str">
        <x:v>National Company Law Tribunal</x:v>
      </x:c>
      <x:c r="AD335" s="22" t="str">
        <x:v>https://ibbi.gov.in/uploads/announcement/2026-06-17-153820-hmw0z-7714e04f82d61eaff436c639a5ea5f1f.pdf</x:v>
      </x:c>
      <x:c r="AE335" s="18" t="str">
        <x:v>2026-06-17</x:v>
      </x:c>
      <x:c r="AF335" s="18" t="n">
        <x:v>46275.114583333336</x:v>
      </x:c>
      <x:c r="AG335" s="18" t="str">
        <x:v>retained_terminal</x:v>
      </x:c>
      <x:c r="AH335" s="18" t="str">
        <x:v>READY</x:v>
      </x:c>
    </x:row>
    <x:row r="336">
      <x:c r="A336" s="18" t="str">
        <x:v>NYT-47-83c6c24ec35936fe</x:v>
      </x:c>
      <x:c r="B336" s="18" t="str">
        <x:v>NCLT / NCLAT (Insolvency) source coverage</x:v>
      </x:c>
      <x:c r="C336" s="18" t="str">
        <x:v>2026-06-17</x:v>
      </x:c>
      <x:c r="D336" s="18" t="n">
        <x:v>2026</x:v>
      </x:c>
      <x:c r="E336" s="18" t="str">
        <x:v>2026-06</x:v>
      </x:c>
      <x:c r="F336" s="18" t="str"/>
      <x:c r="G336" s="18" t="str">
        <x:v>Public Announcement of Voluntary Liquidation Process</x:v>
      </x:c>
      <x:c r="H336" s="18" t="str"/>
      <x:c r="I336" s="18" t="str"/>
      <x:c r="J336" s="20" t="str"/>
      <x:c r="K336" s="18" t="str"/>
      <x:c r="L336" s="18" t="str"/>
      <x:c r="M336" s="18" t="str">
        <x:v>2026-06-17</x:v>
      </x:c>
      <x:c r="N336" s="18" t="str"/>
      <x:c r="O336" s="18" t="str">
        <x:v>ibbi_1ducljg</x:v>
      </x:c>
      <x:c r="P336" s="18" t="str">
        <x:v>Pranav J. Damania</x:v>
      </x:c>
      <x:c r="Q336" s="18" t="str">
        <x:v>ATTENTIVE AI SOLUTIONS PRIVATE LIMITED</x:v>
      </x:c>
      <x:c r="R336" s="18" t="str">
        <x:v>Mr. Pranav J. Damania</x:v>
      </x:c>
      <x:c r="S336" s="18" t="str">
        <x:v>2026-07-12</x:v>
      </x:c>
      <x:c r="T336" s="18" t="str">
        <x:v>Public Announcement of Voluntary Liquidation Process</x:v>
      </x:c>
      <x:c r="U336" s="18" t="str"/>
      <x:c r="V336" s="18" t="str">
        <x:v>DEFINED_TERMINAL_OR_FEED_SCOPE</x:v>
      </x:c>
      <x:c r="W336" s="18" t="str">
        <x:v>national_ibbi_announcements.json — published records loaded</x:v>
      </x:c>
      <x:c r="X336" s="18" t="str"/>
      <x:c r="Y336" s="18" t="str"/>
      <x:c r="Z336" s="20" t="n">
        <x:v>434</x:v>
      </x:c>
      <x:c r="AA336" s="19" t="n">
        <x:f>IFERROR(TODAY()-DATEVALUE(C336),"")</x:f>
        <x:v>85</x:v>
      </x:c>
      <x:c r="AB336" s="21" t="n">
        <x:f>ROUND(COUNTA(A336:K336)/11*100,0)</x:f>
        <x:v>100</x:v>
      </x:c>
      <x:c r="AC336" s="18" t="str">
        <x:v>National Company Law Tribunal</x:v>
      </x:c>
      <x:c r="AD336" s="22" t="str">
        <x:v>https://ibbi.gov.in/uploads/announcement/2026-06-17-121108-9walf-4ab7b89b124be21b24fd03ff8f6c2e55.pdf</x:v>
      </x:c>
      <x:c r="AE336" s="18" t="str">
        <x:v>2026-06-17</x:v>
      </x:c>
      <x:c r="AF336" s="18" t="n">
        <x:v>46275.114583333336</x:v>
      </x:c>
      <x:c r="AG336" s="18" t="str">
        <x:v>retained_terminal</x:v>
      </x:c>
      <x:c r="AH336" s="18" t="str">
        <x:v>READY</x:v>
      </x:c>
    </x:row>
    <x:row r="337">
      <x:c r="A337" s="18" t="str">
        <x:v>NYT-47-760e8fdb628fcbb9</x:v>
      </x:c>
      <x:c r="B337" s="18" t="str">
        <x:v>NCLT / NCLAT (Insolvency) source coverage</x:v>
      </x:c>
      <x:c r="C337" s="18" t="str">
        <x:v>2026-06-17</x:v>
      </x:c>
      <x:c r="D337" s="18" t="n">
        <x:v>2026</x:v>
      </x:c>
      <x:c r="E337" s="18" t="str">
        <x:v>2026-06</x:v>
      </x:c>
      <x:c r="F337" s="18" t="str"/>
      <x:c r="G337" s="18" t="str">
        <x:v>Public Announcement of Corporate Insolvency Resolution Process</x:v>
      </x:c>
      <x:c r="H337" s="18" t="str"/>
      <x:c r="I337" s="18" t="str"/>
      <x:c r="J337" s="20" t="str"/>
      <x:c r="K337" s="18" t="str"/>
      <x:c r="L337" s="18" t="str"/>
      <x:c r="M337" s="18" t="str">
        <x:v>2026-06-17</x:v>
      </x:c>
      <x:c r="N337" s="18" t="str"/>
      <x:c r="O337" s="18" t="str">
        <x:v>ibbi_9j3g6</x:v>
      </x:c>
      <x:c r="P337" s="18" t="str">
        <x:v>HDFC Bank Limited</x:v>
      </x:c>
      <x:c r="Q337" s="18" t="str">
        <x:v>BANSI PULP AND PAPER MILLS PRIVATE LIMITED</x:v>
      </x:c>
      <x:c r="R337" s="18" t="str">
        <x:v>CA Pankaj Bhattad</x:v>
      </x:c>
      <x:c r="S337" s="18" t="str">
        <x:v>2026-06-29</x:v>
      </x:c>
      <x:c r="T337" s="18" t="str">
        <x:v>Public Announcement of Corporate Insolvency Resolution Process</x:v>
      </x:c>
      <x:c r="U337" s="18" t="str"/>
      <x:c r="V337" s="18" t="str">
        <x:v>DEFINED_TERMINAL_OR_FEED_SCOPE</x:v>
      </x:c>
      <x:c r="W337" s="18" t="str">
        <x:v>national_ibbi_announcements.json — published records loaded</x:v>
      </x:c>
      <x:c r="X337" s="18" t="str"/>
      <x:c r="Y337" s="18" t="str"/>
      <x:c r="Z337" s="20" t="n">
        <x:v>434</x:v>
      </x:c>
      <x:c r="AA337" s="19" t="n">
        <x:f>IFERROR(TODAY()-DATEVALUE(C337),"")</x:f>
        <x:v>85</x:v>
      </x:c>
      <x:c r="AB337" s="21" t="n">
        <x:f>ROUND(COUNTA(A337:K337)/11*100,0)</x:f>
        <x:v>100</x:v>
      </x:c>
      <x:c r="AC337" s="18" t="str">
        <x:v>National Company Law Tribunal</x:v>
      </x:c>
      <x:c r="AD337" s="22" t="str">
        <x:v>https://ibbi.gov.in/uploads/announcement/fb682e3caeb6c374175b88dab17ecdec.pdf</x:v>
      </x:c>
      <x:c r="AE337" s="18" t="str">
        <x:v>2026-06-17</x:v>
      </x:c>
      <x:c r="AF337" s="18" t="n">
        <x:v>46275.114583333336</x:v>
      </x:c>
      <x:c r="AG337" s="18" t="str">
        <x:v>retained_terminal</x:v>
      </x:c>
      <x:c r="AH337" s="18" t="str">
        <x:v>READY</x:v>
      </x:c>
    </x:row>
    <x:row r="338">
      <x:c r="A338" s="18" t="str">
        <x:v>NYT-47-f58d7aa0c4ce8f2f</x:v>
      </x:c>
      <x:c r="B338" s="18" t="str">
        <x:v>NCLT / NCLAT (Insolvency) source coverage</x:v>
      </x:c>
      <x:c r="C338" s="18" t="str">
        <x:v>2026-06-17</x:v>
      </x:c>
      <x:c r="D338" s="18" t="n">
        <x:v>2026</x:v>
      </x:c>
      <x:c r="E338" s="18" t="str">
        <x:v>2026-06</x:v>
      </x:c>
      <x:c r="F338" s="18" t="str"/>
      <x:c r="G338" s="18" t="str">
        <x:v>Public Announcement of Voluntary Liquidation Process</x:v>
      </x:c>
      <x:c r="H338" s="18" t="str"/>
      <x:c r="I338" s="18" t="str"/>
      <x:c r="J338" s="20" t="str"/>
      <x:c r="K338" s="18" t="str"/>
      <x:c r="L338" s="18" t="str"/>
      <x:c r="M338" s="18" t="str">
        <x:v>2026-06-17</x:v>
      </x:c>
      <x:c r="N338" s="18" t="str"/>
      <x:c r="O338" s="18" t="str">
        <x:v>ibbi_20n1eh</x:v>
      </x:c>
      <x:c r="P338" s="18" t="str">
        <x:v>SYNGENE MANUFACTURING SOLUTIONS LIMITED</x:v>
      </x:c>
      <x:c r="Q338" s="18" t="str">
        <x:v>SYNGENE MANUFACTURING SOLUTIONS LIMITED</x:v>
      </x:c>
      <x:c r="R338" s="18" t="str">
        <x:v>Mr. Joby Chacko</x:v>
      </x:c>
      <x:c r="S338" s="18" t="str">
        <x:v>2026-07-15</x:v>
      </x:c>
      <x:c r="T338" s="18" t="str">
        <x:v>Public Announcement of Voluntary Liquidation Process</x:v>
      </x:c>
      <x:c r="U338" s="18" t="str"/>
      <x:c r="V338" s="18" t="str">
        <x:v>DEFINED_TERMINAL_OR_FEED_SCOPE</x:v>
      </x:c>
      <x:c r="W338" s="18" t="str">
        <x:v>national_ibbi_announcements.json — published records loaded</x:v>
      </x:c>
      <x:c r="X338" s="18" t="str"/>
      <x:c r="Y338" s="18" t="str"/>
      <x:c r="Z338" s="20" t="n">
        <x:v>434</x:v>
      </x:c>
      <x:c r="AA338" s="19" t="n">
        <x:f>IFERROR(TODAY()-DATEVALUE(C338),"")</x:f>
        <x:v>85</x:v>
      </x:c>
      <x:c r="AB338" s="21" t="n">
        <x:f>ROUND(COUNTA(A338:K338)/11*100,0)</x:f>
        <x:v>100</x:v>
      </x:c>
      <x:c r="AC338" s="18" t="str">
        <x:v>National Company Law Tribunal</x:v>
      </x:c>
      <x:c r="AD338" s="22" t="str">
        <x:v>https://ibbi.gov.in/uploads/announcement/2026-06-19-114541-t6wxd-5c06ce6c0111806ecfd4fbad7e27f559.pdf</x:v>
      </x:c>
      <x:c r="AE338" s="18" t="str">
        <x:v>2026-06-17</x:v>
      </x:c>
      <x:c r="AF338" s="18" t="n">
        <x:v>46275.114583333336</x:v>
      </x:c>
      <x:c r="AG338" s="18" t="str">
        <x:v>retained_terminal</x:v>
      </x:c>
      <x:c r="AH338" s="18" t="str">
        <x:v>READY</x:v>
      </x:c>
    </x:row>
    <x:row r="339">
      <x:c r="A339" s="18" t="str">
        <x:v>NYT-47-d2ce5efa5b1b3257</x:v>
      </x:c>
      <x:c r="B339" s="18" t="str">
        <x:v>NCLT / NCLAT (Insolvency) source coverage</x:v>
      </x:c>
      <x:c r="C339" s="18" t="str">
        <x:v>2026-06-16</x:v>
      </x:c>
      <x:c r="D339" s="18" t="n">
        <x:v>2026</x:v>
      </x:c>
      <x:c r="E339" s="18" t="str">
        <x:v>2026-06</x:v>
      </x:c>
      <x:c r="F339" s="18" t="str"/>
      <x:c r="G339" s="18" t="str">
        <x:v>Public Announcement of Liquidation Process</x:v>
      </x:c>
      <x:c r="H339" s="18" t="str"/>
      <x:c r="I339" s="18" t="str"/>
      <x:c r="J339" s="20" t="str"/>
      <x:c r="K339" s="18" t="str"/>
      <x:c r="L339" s="18" t="str"/>
      <x:c r="M339" s="18" t="str">
        <x:v>2026-06-16</x:v>
      </x:c>
      <x:c r="N339" s="18" t="str"/>
      <x:c r="O339" s="18" t="str">
        <x:v>ibbi_n29s5j</x:v>
      </x:c>
      <x:c r="P339" s="18" t="str">
        <x:v>State Bank of India</x:v>
      </x:c>
      <x:c r="Q339" s="18" t="str">
        <x:v>KOSAS INDUSTRIES PRIVATE LIMITED</x:v>
      </x:c>
      <x:c r="R339" s="18" t="str">
        <x:v>Mr. Prawincharan Prafulcharan Dwary</x:v>
      </x:c>
      <x:c r="S339" s="18" t="str">
        <x:v>2026-07-11</x:v>
      </x:c>
      <x:c r="T339" s="18" t="str">
        <x:v>Public Announcement of Liquidation Process</x:v>
      </x:c>
      <x:c r="U339" s="18" t="str"/>
      <x:c r="V339" s="18" t="str">
        <x:v>DEFINED_TERMINAL_OR_FEED_SCOPE</x:v>
      </x:c>
      <x:c r="W339" s="18" t="str">
        <x:v>national_ibbi_announcements.json — published records loaded</x:v>
      </x:c>
      <x:c r="X339" s="18" t="str"/>
      <x:c r="Y339" s="18" t="str"/>
      <x:c r="Z339" s="20" t="n">
        <x:v>434</x:v>
      </x:c>
      <x:c r="AA339" s="19" t="n">
        <x:f>IFERROR(TODAY()-DATEVALUE(C339),"")</x:f>
        <x:v>86</x:v>
      </x:c>
      <x:c r="AB339" s="21" t="n">
        <x:f>ROUND(COUNTA(A339:K339)/11*100,0)</x:f>
        <x:v>100</x:v>
      </x:c>
      <x:c r="AC339" s="18" t="str">
        <x:v>National Company Law Tribunal</x:v>
      </x:c>
      <x:c r="AD339" s="22" t="str">
        <x:v>https://ibbi.gov.in/uploads/announcement/2026-06-16-143540-ml839-2cd9c0126c9b40c5c35f570b0d4cb54f.pdf</x:v>
      </x:c>
      <x:c r="AE339" s="18" t="str">
        <x:v>2026-06-16</x:v>
      </x:c>
      <x:c r="AF339" s="18" t="n">
        <x:v>46275.114583333336</x:v>
      </x:c>
      <x:c r="AG339" s="18" t="str">
        <x:v>retained_terminal</x:v>
      </x:c>
      <x:c r="AH339" s="18" t="str">
        <x:v>READY</x:v>
      </x:c>
    </x:row>
    <x:row r="340">
      <x:c r="A340" s="18" t="str">
        <x:v>NYT-47-0c2cf8e193ca5131</x:v>
      </x:c>
      <x:c r="B340" s="18" t="str">
        <x:v>NCLT / NCLAT (Insolvency) source coverage</x:v>
      </x:c>
      <x:c r="C340" s="18" t="str">
        <x:v>2026-06-16</x:v>
      </x:c>
      <x:c r="D340" s="18" t="n">
        <x:v>2026</x:v>
      </x:c>
      <x:c r="E340" s="18" t="str">
        <x:v>2026-06</x:v>
      </x:c>
      <x:c r="F340" s="18" t="str"/>
      <x:c r="G340" s="18" t="str">
        <x:v>Public Announcement of Corporate Insolvency Resolution Process</x:v>
      </x:c>
      <x:c r="H340" s="18" t="str"/>
      <x:c r="I340" s="18" t="str"/>
      <x:c r="J340" s="20" t="str"/>
      <x:c r="K340" s="18" t="str"/>
      <x:c r="L340" s="18" t="str"/>
      <x:c r="M340" s="18" t="str">
        <x:v>2026-06-16</x:v>
      </x:c>
      <x:c r="N340" s="18" t="str"/>
      <x:c r="O340" s="18" t="str">
        <x:v>ibbi_1op7uxv</x:v>
      </x:c>
      <x:c r="P340" s="18" t="str">
        <x:v>State Bank of India</x:v>
      </x:c>
      <x:c r="Q340" s="18" t="str">
        <x:v>BUXA DOOARS TEA CO. (INDIA) LTD</x:v>
      </x:c>
      <x:c r="R340" s="18" t="str">
        <x:v>Mr. Kanchan Dutta</x:v>
      </x:c>
      <x:c r="S340" s="18" t="str">
        <x:v>2026-06-29</x:v>
      </x:c>
      <x:c r="T340" s="18" t="str">
        <x:v>Public Announcement of Corporate Insolvency Resolution Process</x:v>
      </x:c>
      <x:c r="U340" s="18" t="str"/>
      <x:c r="V340" s="18" t="str">
        <x:v>DEFINED_TERMINAL_OR_FEED_SCOPE</x:v>
      </x:c>
      <x:c r="W340" s="18" t="str">
        <x:v>national_ibbi_announcements.json — published records loaded</x:v>
      </x:c>
      <x:c r="X340" s="18" t="str"/>
      <x:c r="Y340" s="18" t="str"/>
      <x:c r="Z340" s="20" t="n">
        <x:v>434</x:v>
      </x:c>
      <x:c r="AA340" s="19" t="n">
        <x:f>IFERROR(TODAY()-DATEVALUE(C340),"")</x:f>
        <x:v>86</x:v>
      </x:c>
      <x:c r="AB340" s="21" t="n">
        <x:f>ROUND(COUNTA(A340:K340)/11*100,0)</x:f>
        <x:v>100</x:v>
      </x:c>
      <x:c r="AC340" s="18" t="str">
        <x:v>National Company Law Tribunal</x:v>
      </x:c>
      <x:c r="AD340" s="22" t="str">
        <x:v>https://ibbi.gov.in/uploads/announcement/2026-06-20-111239-uqbay-8efd310a0a77f65a700a4e00a252898d.pdf</x:v>
      </x:c>
      <x:c r="AE340" s="18" t="str">
        <x:v>2026-06-16</x:v>
      </x:c>
      <x:c r="AF340" s="18" t="n">
        <x:v>46275.114583333336</x:v>
      </x:c>
      <x:c r="AG340" s="18" t="str">
        <x:v>retained_terminal</x:v>
      </x:c>
      <x:c r="AH340" s="18" t="str">
        <x:v>READY</x:v>
      </x:c>
    </x:row>
    <x:row r="341">
      <x:c r="A341" s="18" t="str">
        <x:v>NYT-47-41a6e6699528f19e</x:v>
      </x:c>
      <x:c r="B341" s="18" t="str">
        <x:v>NCLT / NCLAT (Insolvency) source coverage</x:v>
      </x:c>
      <x:c r="C341" s="18" t="str">
        <x:v>2026-06-15</x:v>
      </x:c>
      <x:c r="D341" s="18" t="n">
        <x:v>2026</x:v>
      </x:c>
      <x:c r="E341" s="18" t="str">
        <x:v>2026-06</x:v>
      </x:c>
      <x:c r="F341" s="18" t="str"/>
      <x:c r="G341" s="18" t="str">
        <x:v>Public Announcement of Voluntary Liquidation Process</x:v>
      </x:c>
      <x:c r="H341" s="18" t="str"/>
      <x:c r="I341" s="18" t="str"/>
      <x:c r="J341" s="20" t="str"/>
      <x:c r="K341" s="18" t="str"/>
      <x:c r="L341" s="18" t="str"/>
      <x:c r="M341" s="18" t="str">
        <x:v>2026-06-15</x:v>
      </x:c>
      <x:c r="N341" s="18" t="str"/>
      <x:c r="O341" s="18" t="str">
        <x:v>ibbi_1qier57</x:v>
      </x:c>
      <x:c r="P341" s="18" t="str">
        <x:v>SARALSCF TECHNOLOGIES PRIVATE LIMITED</x:v>
      </x:c>
      <x:c r="Q341" s="18" t="str">
        <x:v>SARALSCF TECHNOLOGIES PRIVATE LIMITED</x:v>
      </x:c>
      <x:c r="R341" s="18" t="str">
        <x:v>VIVEK G GAGGAR</x:v>
      </x:c>
      <x:c r="S341" s="18" t="str">
        <x:v>2026-07-11</x:v>
      </x:c>
      <x:c r="T341" s="18" t="str">
        <x:v>Public Announcement of Voluntary Liquidation Process</x:v>
      </x:c>
      <x:c r="U341" s="18" t="str"/>
      <x:c r="V341" s="18" t="str">
        <x:v>DEFINED_TERMINAL_OR_FEED_SCOPE</x:v>
      </x:c>
      <x:c r="W341" s="18" t="str">
        <x:v>national_ibbi_announcements.json — published records loaded</x:v>
      </x:c>
      <x:c r="X341" s="18" t="str"/>
      <x:c r="Y341" s="18" t="str"/>
      <x:c r="Z341" s="20" t="n">
        <x:v>434</x:v>
      </x:c>
      <x:c r="AA341" s="19" t="n">
        <x:f>IFERROR(TODAY()-DATEVALUE(C341),"")</x:f>
        <x:v>87</x:v>
      </x:c>
      <x:c r="AB341" s="21" t="n">
        <x:f>ROUND(COUNTA(A341:K341)/11*100,0)</x:f>
        <x:v>100</x:v>
      </x:c>
      <x:c r="AC341" s="18" t="str">
        <x:v>National Company Law Tribunal</x:v>
      </x:c>
      <x:c r="AD341" s="22" t="str">
        <x:v>https://ibbi.gov.in/uploads/announcement/b4f39219f31a0b99f6cc48212da635fb.pdf</x:v>
      </x:c>
      <x:c r="AE341" s="18" t="str">
        <x:v>2026-06-15</x:v>
      </x:c>
      <x:c r="AF341" s="18" t="n">
        <x:v>46275.114583333336</x:v>
      </x:c>
      <x:c r="AG341" s="18" t="str">
        <x:v>retained_terminal</x:v>
      </x:c>
      <x:c r="AH341" s="18" t="str">
        <x:v>READY</x:v>
      </x:c>
    </x:row>
    <x:row r="342">
      <x:c r="A342" s="18" t="str">
        <x:v>NYT-47-0bc2aed2c55bc3ca</x:v>
      </x:c>
      <x:c r="B342" s="18" t="str">
        <x:v>NCLT / NCLAT (Insolvency) source coverage</x:v>
      </x:c>
      <x:c r="C342" s="18" t="str">
        <x:v>2026-06-15</x:v>
      </x:c>
      <x:c r="D342" s="18" t="n">
        <x:v>2026</x:v>
      </x:c>
      <x:c r="E342" s="18" t="str">
        <x:v>2026-06</x:v>
      </x:c>
      <x:c r="F342" s="18" t="str"/>
      <x:c r="G342" s="18" t="str">
        <x:v>Public Announcement of Corporate Insolvency Resolution Process</x:v>
      </x:c>
      <x:c r="H342" s="18" t="str"/>
      <x:c r="I342" s="18" t="str"/>
      <x:c r="J342" s="20" t="str"/>
      <x:c r="K342" s="18" t="str"/>
      <x:c r="L342" s="18" t="str"/>
      <x:c r="M342" s="18" t="str">
        <x:v>2026-06-15</x:v>
      </x:c>
      <x:c r="N342" s="18" t="str"/>
      <x:c r="O342" s="18" t="str">
        <x:v>ibbi_1j7p8dn</x:v>
      </x:c>
      <x:c r="P342" s="18" t="str">
        <x:v>PRUDENT ARC LTD.</x:v>
      </x:c>
      <x:c r="Q342" s="18" t="str">
        <x:v>SUPER PROPERTY MAINTENANCE PRIVATE LIMITED</x:v>
      </x:c>
      <x:c r="R342" s="18" t="str">
        <x:v>Mr. Vekas Kumar Garg</x:v>
      </x:c>
      <x:c r="S342" s="18" t="str">
        <x:v>2026-06-26</x:v>
      </x:c>
      <x:c r="T342" s="18" t="str">
        <x:v>Public Announcement of Corporate Insolvency Resolution Process</x:v>
      </x:c>
      <x:c r="U342" s="18" t="str"/>
      <x:c r="V342" s="18" t="str">
        <x:v>DEFINED_TERMINAL_OR_FEED_SCOPE</x:v>
      </x:c>
      <x:c r="W342" s="18" t="str">
        <x:v>national_ibbi_announcements.json — published records loaded</x:v>
      </x:c>
      <x:c r="X342" s="18" t="str"/>
      <x:c r="Y342" s="18" t="str"/>
      <x:c r="Z342" s="20" t="n">
        <x:v>434</x:v>
      </x:c>
      <x:c r="AA342" s="19" t="n">
        <x:f>IFERROR(TODAY()-DATEVALUE(C342),"")</x:f>
        <x:v>87</x:v>
      </x:c>
      <x:c r="AB342" s="21" t="n">
        <x:f>ROUND(COUNTA(A342:K342)/11*100,0)</x:f>
        <x:v>100</x:v>
      </x:c>
      <x:c r="AC342" s="18" t="str">
        <x:v>National Company Law Tribunal</x:v>
      </x:c>
      <x:c r="AD342" s="22" t="str">
        <x:v>https://ibbi.gov.in/uploads/announcement/430ee6e2c81cbe3c825d5353d77fe867.pdf</x:v>
      </x:c>
      <x:c r="AE342" s="18" t="str">
        <x:v>2026-06-15</x:v>
      </x:c>
      <x:c r="AF342" s="18" t="n">
        <x:v>46275.114583333336</x:v>
      </x:c>
      <x:c r="AG342" s="18" t="str">
        <x:v>retained_terminal</x:v>
      </x:c>
      <x:c r="AH342" s="18" t="str">
        <x:v>READY</x:v>
      </x:c>
    </x:row>
    <x:row r="343">
      <x:c r="A343" s="18" t="str">
        <x:v>NYT-47-33c38eb27dd99794</x:v>
      </x:c>
      <x:c r="B343" s="18" t="str">
        <x:v>NCLT / NCLAT (Insolvency) source coverage</x:v>
      </x:c>
      <x:c r="C343" s="18" t="str">
        <x:v>2026-06-15</x:v>
      </x:c>
      <x:c r="D343" s="18" t="n">
        <x:v>2026</x:v>
      </x:c>
      <x:c r="E343" s="18" t="str">
        <x:v>2026-06</x:v>
      </x:c>
      <x:c r="F343" s="18" t="str"/>
      <x:c r="G343" s="18" t="str">
        <x:v>Public Announcement of Liquidation Process</x:v>
      </x:c>
      <x:c r="H343" s="18" t="str"/>
      <x:c r="I343" s="18" t="str"/>
      <x:c r="J343" s="20" t="str"/>
      <x:c r="K343" s="18" t="str"/>
      <x:c r="L343" s="18" t="str"/>
      <x:c r="M343" s="18" t="str">
        <x:v>2026-06-15</x:v>
      </x:c>
      <x:c r="N343" s="18" t="str"/>
      <x:c r="O343" s="18" t="str">
        <x:v>ibbi_1lv3ix0</x:v>
      </x:c>
      <x:c r="P343" s="18" t="str">
        <x:v>HEMANT KUMAR CHANDUBHAI MANGROLIYA SOLE PROPRIETOR OF FUTURE DIAM</x:v>
      </x:c>
      <x:c r="Q343" s="18" t="str">
        <x:v>DIRGH DIAMOND PRIVATE LIMITED</x:v>
      </x:c>
      <x:c r="R343" s="18" t="str">
        <x:v>atul mehta</x:v>
      </x:c>
      <x:c r="S343" s="18" t="str">
        <x:v>2026-06-24</x:v>
      </x:c>
      <x:c r="T343" s="18" t="str">
        <x:v>Public Announcement of Liquidation Process</x:v>
      </x:c>
      <x:c r="U343" s="18" t="str"/>
      <x:c r="V343" s="18" t="str">
        <x:v>DEFINED_TERMINAL_OR_FEED_SCOPE</x:v>
      </x:c>
      <x:c r="W343" s="18" t="str">
        <x:v>national_ibbi_announcements.json — published records loaded</x:v>
      </x:c>
      <x:c r="X343" s="18" t="str"/>
      <x:c r="Y343" s="18" t="str"/>
      <x:c r="Z343" s="20" t="n">
        <x:v>434</x:v>
      </x:c>
      <x:c r="AA343" s="19" t="n">
        <x:f>IFERROR(TODAY()-DATEVALUE(C343),"")</x:f>
        <x:v>87</x:v>
      </x:c>
      <x:c r="AB343" s="21" t="n">
        <x:f>ROUND(COUNTA(A343:K343)/11*100,0)</x:f>
        <x:v>100</x:v>
      </x:c>
      <x:c r="AC343" s="18" t="str">
        <x:v>National Company Law Tribunal</x:v>
      </x:c>
      <x:c r="AD343" s="22" t="str">
        <x:v>https://ibbi.gov.in/uploads/announcement/57210bbd544e366447af26ec77ae4acb.pdf</x:v>
      </x:c>
      <x:c r="AE343" s="18" t="str">
        <x:v>2026-06-15</x:v>
      </x:c>
      <x:c r="AF343" s="18" t="n">
        <x:v>46275.114583333336</x:v>
      </x:c>
      <x:c r="AG343" s="18" t="str">
        <x:v>retained_terminal</x:v>
      </x:c>
      <x:c r="AH343" s="18" t="str">
        <x:v>READY</x:v>
      </x:c>
    </x:row>
    <x:row r="344">
      <x:c r="A344" s="18" t="str">
        <x:v>NYT-47-0ff0040e5f355e99</x:v>
      </x:c>
      <x:c r="B344" s="18" t="str">
        <x:v>NCLT / NCLAT (Insolvency) source coverage</x:v>
      </x:c>
      <x:c r="C344" s="18" t="str">
        <x:v>2026-06-14</x:v>
      </x:c>
      <x:c r="D344" s="18" t="n">
        <x:v>2026</x:v>
      </x:c>
      <x:c r="E344" s="18" t="str">
        <x:v>2026-06</x:v>
      </x:c>
      <x:c r="F344" s="18" t="str"/>
      <x:c r="G344" s="18" t="str">
        <x:v>Public Announcement of Corporate Insolvency Resolution Process</x:v>
      </x:c>
      <x:c r="H344" s="18" t="str"/>
      <x:c r="I344" s="18" t="str"/>
      <x:c r="J344" s="20" t="str"/>
      <x:c r="K344" s="18" t="str"/>
      <x:c r="L344" s="18" t="str"/>
      <x:c r="M344" s="18" t="str">
        <x:v>2026-06-14</x:v>
      </x:c>
      <x:c r="N344" s="18" t="str"/>
      <x:c r="O344" s="18" t="str">
        <x:v>ibbi_9s67cd</x:v>
      </x:c>
      <x:c r="P344" s="18" t="str">
        <x:v>Axis Bank Limited</x:v>
      </x:c>
      <x:c r="Q344" s="18" t="str">
        <x:v>TIRUMALLA GROUNDNUTS INDUSTRIES INDIA PRIVATE LIMITED</x:v>
      </x:c>
      <x:c r="R344" s="18" t="str">
        <x:v>Mr. Ritesh R Mahajan</x:v>
      </x:c>
      <x:c r="S344" s="18" t="str">
        <x:v>2026-06-26</x:v>
      </x:c>
      <x:c r="T344" s="18" t="str">
        <x:v>Public Announcement of Corporate Insolvency Resolution Process</x:v>
      </x:c>
      <x:c r="U344" s="18" t="str"/>
      <x:c r="V344" s="18" t="str">
        <x:v>DEFINED_TERMINAL_OR_FEED_SCOPE</x:v>
      </x:c>
      <x:c r="W344" s="18" t="str">
        <x:v>national_ibbi_announcements.json — published records loaded</x:v>
      </x:c>
      <x:c r="X344" s="18" t="str"/>
      <x:c r="Y344" s="18" t="str"/>
      <x:c r="Z344" s="20" t="n">
        <x:v>434</x:v>
      </x:c>
      <x:c r="AA344" s="19" t="n">
        <x:f>IFERROR(TODAY()-DATEVALUE(C344),"")</x:f>
        <x:v>88</x:v>
      </x:c>
      <x:c r="AB344" s="21" t="n">
        <x:f>ROUND(COUNTA(A344:K344)/11*100,0)</x:f>
        <x:v>100</x:v>
      </x:c>
      <x:c r="AC344" s="18" t="str">
        <x:v>National Company Law Tribunal</x:v>
      </x:c>
      <x:c r="AD344" s="22" t="str">
        <x:v>https://ibbi.gov.in/uploads/announcement/2026-06-22-173530-azx9m-f4cbe6a7078b489ec4b4a7537c528858.pdf</x:v>
      </x:c>
      <x:c r="AE344" s="18" t="str">
        <x:v>2026-06-14</x:v>
      </x:c>
      <x:c r="AF344" s="18" t="n">
        <x:v>46275.114583333336</x:v>
      </x:c>
      <x:c r="AG344" s="18" t="str">
        <x:v>retained_terminal</x:v>
      </x:c>
      <x:c r="AH344" s="18" t="str">
        <x:v>READY</x:v>
      </x:c>
    </x:row>
    <x:row r="345">
      <x:c r="A345" s="18" t="str">
        <x:v>NYT-47-5566b76ecf5138a9</x:v>
      </x:c>
      <x:c r="B345" s="18" t="str">
        <x:v>NCLT / NCLAT (Insolvency) source coverage</x:v>
      </x:c>
      <x:c r="C345" s="18" t="str">
        <x:v>2026-06-14</x:v>
      </x:c>
      <x:c r="D345" s="18" t="n">
        <x:v>2026</x:v>
      </x:c>
      <x:c r="E345" s="18" t="str">
        <x:v>2026-06</x:v>
      </x:c>
      <x:c r="F345" s="18" t="str"/>
      <x:c r="G345" s="18" t="str">
        <x:v>Public Announcement of Corporate Insolvency Resolution Process</x:v>
      </x:c>
      <x:c r="H345" s="18" t="str"/>
      <x:c r="I345" s="18" t="str"/>
      <x:c r="J345" s="20" t="str"/>
      <x:c r="K345" s="18" t="str"/>
      <x:c r="L345" s="18" t="str"/>
      <x:c r="M345" s="18" t="str">
        <x:v>2026-06-14</x:v>
      </x:c>
      <x:c r="N345" s="18" t="str"/>
      <x:c r="O345" s="18" t="str">
        <x:v>ibbi_182c5xy</x:v>
      </x:c>
      <x:c r="P345" s="18" t="str">
        <x:v>Union Bank of India</x:v>
      </x:c>
      <x:c r="Q345" s="18" t="str">
        <x:v>EXCEL OVERSEAS PVT LTD</x:v>
      </x:c>
      <x:c r="R345" s="18" t="str">
        <x:v>Mr.Mahesh Chand Gupta</x:v>
      </x:c>
      <x:c r="S345" s="18" t="str">
        <x:v>2026-06-24</x:v>
      </x:c>
      <x:c r="T345" s="18" t="str">
        <x:v>Public Announcement of Corporate Insolvency Resolution Process</x:v>
      </x:c>
      <x:c r="U345" s="18" t="str"/>
      <x:c r="V345" s="18" t="str">
        <x:v>DEFINED_TERMINAL_OR_FEED_SCOPE</x:v>
      </x:c>
      <x:c r="W345" s="18" t="str">
        <x:v>national_ibbi_announcements.json — published records loaded</x:v>
      </x:c>
      <x:c r="X345" s="18" t="str"/>
      <x:c r="Y345" s="18" t="str"/>
      <x:c r="Z345" s="20" t="n">
        <x:v>434</x:v>
      </x:c>
      <x:c r="AA345" s="19" t="n">
        <x:f>IFERROR(TODAY()-DATEVALUE(C345),"")</x:f>
        <x:v>88</x:v>
      </x:c>
      <x:c r="AB345" s="21" t="n">
        <x:f>ROUND(COUNTA(A345:K345)/11*100,0)</x:f>
        <x:v>100</x:v>
      </x:c>
      <x:c r="AC345" s="18" t="str">
        <x:v>National Company Law Tribunal</x:v>
      </x:c>
      <x:c r="AD345" s="22" t="str">
        <x:v>https://ibbi.gov.in/uploads/announcement/ee4182c4bea96fae697d26b2333d4428.pdf</x:v>
      </x:c>
      <x:c r="AE345" s="18" t="str">
        <x:v>2026-06-14</x:v>
      </x:c>
      <x:c r="AF345" s="18" t="n">
        <x:v>46275.114583333336</x:v>
      </x:c>
      <x:c r="AG345" s="18" t="str">
        <x:v>retained_terminal</x:v>
      </x:c>
      <x:c r="AH345" s="18" t="str">
        <x:v>READY</x:v>
      </x:c>
    </x:row>
    <x:row r="346">
      <x:c r="A346" s="18" t="str">
        <x:v>NYT-47-d655aeb95f3a9522</x:v>
      </x:c>
      <x:c r="B346" s="18" t="str">
        <x:v>NCLT / NCLAT (Insolvency) source coverage</x:v>
      </x:c>
      <x:c r="C346" s="18" t="str">
        <x:v>2026-06-14</x:v>
      </x:c>
      <x:c r="D346" s="18" t="n">
        <x:v>2026</x:v>
      </x:c>
      <x:c r="E346" s="18" t="str">
        <x:v>2026-06</x:v>
      </x:c>
      <x:c r="F346" s="18" t="str"/>
      <x:c r="G346" s="18" t="str">
        <x:v>Public Announcement of Corporate Insolvency Resolution Process</x:v>
      </x:c>
      <x:c r="H346" s="18" t="str"/>
      <x:c r="I346" s="18" t="str"/>
      <x:c r="J346" s="20" t="str"/>
      <x:c r="K346" s="18" t="str"/>
      <x:c r="L346" s="18" t="str"/>
      <x:c r="M346" s="18" t="str">
        <x:v>2026-06-14</x:v>
      </x:c>
      <x:c r="N346" s="18" t="str"/>
      <x:c r="O346" s="18" t="str">
        <x:v>ibbi_mp38dd</x:v>
      </x:c>
      <x:c r="P346" s="18" t="str">
        <x:v>AXIS TRUSTEE SERVICES LIMITED</x:v>
      </x:c>
      <x:c r="Q346" s="18" t="str">
        <x:v>TALENT UNLIMITED ONLINE SERVICES PRIVATE LIMITED</x:v>
      </x:c>
      <x:c r="R346" s="18" t="str">
        <x:v>Mr. Manish Agarwal</x:v>
      </x:c>
      <x:c r="S346" s="18" t="str">
        <x:v>2026-06-26</x:v>
      </x:c>
      <x:c r="T346" s="18" t="str">
        <x:v>Public Announcement of Corporate Insolvency Resolution Process</x:v>
      </x:c>
      <x:c r="U346" s="18" t="str"/>
      <x:c r="V346" s="18" t="str">
        <x:v>DEFINED_TERMINAL_OR_FEED_SCOPE</x:v>
      </x:c>
      <x:c r="W346" s="18" t="str">
        <x:v>national_ibbi_announcements.json — published records loaded</x:v>
      </x:c>
      <x:c r="X346" s="18" t="str"/>
      <x:c r="Y346" s="18" t="str"/>
      <x:c r="Z346" s="20" t="n">
        <x:v>434</x:v>
      </x:c>
      <x:c r="AA346" s="19" t="n">
        <x:f>IFERROR(TODAY()-DATEVALUE(C346),"")</x:f>
        <x:v>88</x:v>
      </x:c>
      <x:c r="AB346" s="21" t="n">
        <x:f>ROUND(COUNTA(A346:K346)/11*100,0)</x:f>
        <x:v>100</x:v>
      </x:c>
      <x:c r="AC346" s="18" t="str">
        <x:v>National Company Law Tribunal</x:v>
      </x:c>
      <x:c r="AD346" s="22" t="str">
        <x:v>https://ibbi.gov.in/uploads/announcement/a83680a1d021ec9964b7169d63373a22.pdf</x:v>
      </x:c>
      <x:c r="AE346" s="18" t="str">
        <x:v>2026-06-14</x:v>
      </x:c>
      <x:c r="AF346" s="18" t="n">
        <x:v>46275.114583333336</x:v>
      </x:c>
      <x:c r="AG346" s="18" t="str">
        <x:v>retained_terminal</x:v>
      </x:c>
      <x:c r="AH346" s="18" t="str">
        <x:v>READY</x:v>
      </x:c>
    </x:row>
    <x:row r="347">
      <x:c r="A347" s="18" t="str">
        <x:v>NYT-47-45bb24663cd3e517</x:v>
      </x:c>
      <x:c r="B347" s="18" t="str">
        <x:v>NCLT / NCLAT (Insolvency) source coverage</x:v>
      </x:c>
      <x:c r="C347" s="18" t="str">
        <x:v>2026-06-14</x:v>
      </x:c>
      <x:c r="D347" s="18" t="n">
        <x:v>2026</x:v>
      </x:c>
      <x:c r="E347" s="18" t="str">
        <x:v>2026-06</x:v>
      </x:c>
      <x:c r="F347" s="18" t="str"/>
      <x:c r="G347" s="18" t="str">
        <x:v>Public Announcement of Corporate Insolvency Resolution Process</x:v>
      </x:c>
      <x:c r="H347" s="18" t="str"/>
      <x:c r="I347" s="18" t="str"/>
      <x:c r="J347" s="20" t="str"/>
      <x:c r="K347" s="18" t="str"/>
      <x:c r="L347" s="18" t="str"/>
      <x:c r="M347" s="18" t="str">
        <x:v>2026-06-14</x:v>
      </x:c>
      <x:c r="N347" s="18" t="str"/>
      <x:c r="O347" s="18" t="str">
        <x:v>ibbi_14tjvbt</x:v>
      </x:c>
      <x:c r="P347" s="18" t="str">
        <x:v>KSK Wind Energy Private Limited</x:v>
      </x:c>
      <x:c r="Q347" s="18" t="str">
        <x:v>KSK WIND ENERGY PRIVATE LIMITED</x:v>
      </x:c>
      <x:c r="R347" s="18" t="str">
        <x:v>SABBANI MARUTHI</x:v>
      </x:c>
      <x:c r="S347" s="18" t="str">
        <x:v>2026-06-26</x:v>
      </x:c>
      <x:c r="T347" s="18" t="str">
        <x:v>Public Announcement of Corporate Insolvency Resolution Process</x:v>
      </x:c>
      <x:c r="U347" s="18" t="str"/>
      <x:c r="V347" s="18" t="str">
        <x:v>DEFINED_TERMINAL_OR_FEED_SCOPE</x:v>
      </x:c>
      <x:c r="W347" s="18" t="str">
        <x:v>national_ibbi_announcements.json — published records loaded</x:v>
      </x:c>
      <x:c r="X347" s="18" t="str"/>
      <x:c r="Y347" s="18" t="str"/>
      <x:c r="Z347" s="20" t="n">
        <x:v>434</x:v>
      </x:c>
      <x:c r="AA347" s="19" t="n">
        <x:f>IFERROR(TODAY()-DATEVALUE(C347),"")</x:f>
        <x:v>88</x:v>
      </x:c>
      <x:c r="AB347" s="21" t="n">
        <x:f>ROUND(COUNTA(A347:K347)/11*100,0)</x:f>
        <x:v>100</x:v>
      </x:c>
      <x:c r="AC347" s="18" t="str">
        <x:v>National Company Law Tribunal</x:v>
      </x:c>
      <x:c r="AD347" s="22" t="str">
        <x:v>https://ibbi.gov.in/uploads/announcement/6ba0bb599743630fcaade1d93be5848a.pdf</x:v>
      </x:c>
      <x:c r="AE347" s="18" t="str">
        <x:v>2026-06-14</x:v>
      </x:c>
      <x:c r="AF347" s="18" t="n">
        <x:v>46275.114583333336</x:v>
      </x:c>
      <x:c r="AG347" s="18" t="str">
        <x:v>retained_terminal</x:v>
      </x:c>
      <x:c r="AH347" s="18" t="str">
        <x:v>READY</x:v>
      </x:c>
    </x:row>
    <x:row r="348">
      <x:c r="A348" s="18" t="str">
        <x:v>NYT-47-cabc67af8def15f7</x:v>
      </x:c>
      <x:c r="B348" s="18" t="str">
        <x:v>NCLT / NCLAT (Insolvency) source coverage</x:v>
      </x:c>
      <x:c r="C348" s="18" t="str">
        <x:v>2026-06-14</x:v>
      </x:c>
      <x:c r="D348" s="18" t="n">
        <x:v>2026</x:v>
      </x:c>
      <x:c r="E348" s="18" t="str">
        <x:v>2026-06</x:v>
      </x:c>
      <x:c r="F348" s="18" t="str"/>
      <x:c r="G348" s="18" t="str">
        <x:v>Public Announcement of Corporate Insolvency Resolution Process</x:v>
      </x:c>
      <x:c r="H348" s="18" t="str"/>
      <x:c r="I348" s="18" t="str"/>
      <x:c r="J348" s="20" t="str"/>
      <x:c r="K348" s="18" t="str"/>
      <x:c r="L348" s="18" t="str"/>
      <x:c r="M348" s="18" t="str">
        <x:v>2026-06-14</x:v>
      </x:c>
      <x:c r="N348" s="18" t="str"/>
      <x:c r="O348" s="18" t="str">
        <x:v>ibbi_n7tlwk</x:v>
      </x:c>
      <x:c r="P348" s="18" t="str">
        <x:v>AKASA FINANCE LIMITED</x:v>
      </x:c>
      <x:c r="Q348" s="18" t="str">
        <x:v>SKI AND SNOW RESORTS PRIVATE LIMITED</x:v>
      </x:c>
      <x:c r="R348" s="18" t="str">
        <x:v>Mr. Anil Matta</x:v>
      </x:c>
      <x:c r="S348" s="18" t="str">
        <x:v>2026-06-24</x:v>
      </x:c>
      <x:c r="T348" s="18" t="str">
        <x:v>Public Announcement of Corporate Insolvency Resolution Process</x:v>
      </x:c>
      <x:c r="U348" s="18" t="str"/>
      <x:c r="V348" s="18" t="str">
        <x:v>DEFINED_TERMINAL_OR_FEED_SCOPE</x:v>
      </x:c>
      <x:c r="W348" s="18" t="str">
        <x:v>national_ibbi_announcements.json — published records loaded</x:v>
      </x:c>
      <x:c r="X348" s="18" t="str"/>
      <x:c r="Y348" s="18" t="str"/>
      <x:c r="Z348" s="20" t="n">
        <x:v>434</x:v>
      </x:c>
      <x:c r="AA348" s="19" t="n">
        <x:f>IFERROR(TODAY()-DATEVALUE(C348),"")</x:f>
        <x:v>88</x:v>
      </x:c>
      <x:c r="AB348" s="21" t="n">
        <x:f>ROUND(COUNTA(A348:K348)/11*100,0)</x:f>
        <x:v>100</x:v>
      </x:c>
      <x:c r="AC348" s="18" t="str">
        <x:v>National Company Law Tribunal</x:v>
      </x:c>
      <x:c r="AD348" s="22" t="str">
        <x:v>https://ibbi.gov.in/uploads/announcement/930e8e82c8a20d691ea4fb03bd9d83ed.pdf</x:v>
      </x:c>
      <x:c r="AE348" s="18" t="str">
        <x:v>2026-06-14</x:v>
      </x:c>
      <x:c r="AF348" s="18" t="n">
        <x:v>46275.114583333336</x:v>
      </x:c>
      <x:c r="AG348" s="18" t="str">
        <x:v>retained_terminal</x:v>
      </x:c>
      <x:c r="AH348" s="18" t="str">
        <x:v>READY</x:v>
      </x:c>
    </x:row>
    <x:row r="349">
      <x:c r="A349" s="18" t="str">
        <x:v>NYT-47-105a38b42e056506</x:v>
      </x:c>
      <x:c r="B349" s="18" t="str">
        <x:v>NCLT / NCLAT (Insolvency) source coverage</x:v>
      </x:c>
      <x:c r="C349" s="18" t="str">
        <x:v>2026-06-14</x:v>
      </x:c>
      <x:c r="D349" s="18" t="n">
        <x:v>2026</x:v>
      </x:c>
      <x:c r="E349" s="18" t="str">
        <x:v>2026-06</x:v>
      </x:c>
      <x:c r="F349" s="18" t="str"/>
      <x:c r="G349" s="18" t="str">
        <x:v>Public Announcement of Corporate Insolvency Resolution Process</x:v>
      </x:c>
      <x:c r="H349" s="18" t="str"/>
      <x:c r="I349" s="18" t="str"/>
      <x:c r="J349" s="20" t="str"/>
      <x:c r="K349" s="18" t="str"/>
      <x:c r="L349" s="18" t="str"/>
      <x:c r="M349" s="18" t="str">
        <x:v>2026-06-14</x:v>
      </x:c>
      <x:c r="N349" s="18" t="str"/>
      <x:c r="O349" s="18" t="str">
        <x:v>ibbi_vwlx5k</x:v>
      </x:c>
      <x:c r="P349" s="18" t="str">
        <x:v>Allegis Services (India) Pvt. Ltd</x:v>
      </x:c>
      <x:c r="Q349" s="18" t="str">
        <x:v>OLIVE TELECOMMUNICATION PRIVATE LIMITED</x:v>
      </x:c>
      <x:c r="R349" s="18" t="str">
        <x:v>Harmeet Kaur</x:v>
      </x:c>
      <x:c r="S349" s="18" t="str">
        <x:v>2026-06-25</x:v>
      </x:c>
      <x:c r="T349" s="18" t="str">
        <x:v>Public Announcement of Corporate Insolvency Resolution Process</x:v>
      </x:c>
      <x:c r="U349" s="18" t="str"/>
      <x:c r="V349" s="18" t="str">
        <x:v>DEFINED_TERMINAL_OR_FEED_SCOPE</x:v>
      </x:c>
      <x:c r="W349" s="18" t="str">
        <x:v>national_ibbi_announcements.json — published records loaded</x:v>
      </x:c>
      <x:c r="X349" s="18" t="str"/>
      <x:c r="Y349" s="18" t="str"/>
      <x:c r="Z349" s="20" t="n">
        <x:v>434</x:v>
      </x:c>
      <x:c r="AA349" s="19" t="n">
        <x:f>IFERROR(TODAY()-DATEVALUE(C349),"")</x:f>
        <x:v>88</x:v>
      </x:c>
      <x:c r="AB349" s="21" t="n">
        <x:f>ROUND(COUNTA(A349:K349)/11*100,0)</x:f>
        <x:v>100</x:v>
      </x:c>
      <x:c r="AC349" s="18" t="str">
        <x:v>National Company Law Tribunal</x:v>
      </x:c>
      <x:c r="AD349" s="22" t="str">
        <x:v>https://ibbi.gov.in/uploads/announcement/2026-06-16-172419-k7vcf-5c06ce6c0111806ecfd4fbad7e27f559.pdf</x:v>
      </x:c>
      <x:c r="AE349" s="18" t="str">
        <x:v>2026-06-14</x:v>
      </x:c>
      <x:c r="AF349" s="18" t="n">
        <x:v>46275.114583333336</x:v>
      </x:c>
      <x:c r="AG349" s="18" t="str">
        <x:v>retained_terminal</x:v>
      </x:c>
      <x:c r="AH349" s="18" t="str">
        <x:v>READY</x:v>
      </x:c>
    </x:row>
    <x:row r="350">
      <x:c r="A350" s="18" t="str">
        <x:v>NYT-47-abbd329749219210</x:v>
      </x:c>
      <x:c r="B350" s="18" t="str">
        <x:v>NCLT / NCLAT (Insolvency) source coverage</x:v>
      </x:c>
      <x:c r="C350" s="18" t="str">
        <x:v>2026-06-14</x:v>
      </x:c>
      <x:c r="D350" s="18" t="n">
        <x:v>2026</x:v>
      </x:c>
      <x:c r="E350" s="18" t="str">
        <x:v>2026-06</x:v>
      </x:c>
      <x:c r="F350" s="18" t="str"/>
      <x:c r="G350" s="18" t="str">
        <x:v>Public Announcement of Corporate Insolvency Resolution Process</x:v>
      </x:c>
      <x:c r="H350" s="18" t="str"/>
      <x:c r="I350" s="18" t="str"/>
      <x:c r="J350" s="20" t="str"/>
      <x:c r="K350" s="18" t="str"/>
      <x:c r="L350" s="18" t="str"/>
      <x:c r="M350" s="18" t="str">
        <x:v>2026-06-14</x:v>
      </x:c>
      <x:c r="N350" s="18" t="str"/>
      <x:c r="O350" s="18" t="str">
        <x:v>ibbi_1sqlfeg</x:v>
      </x:c>
      <x:c r="P350" s="18" t="str">
        <x:v>UCO Bank</x:v>
      </x:c>
      <x:c r="Q350" s="18" t="str">
        <x:v>LONGRANGE COMMODITIES PRIVATE LIMITED</x:v>
      </x:c>
      <x:c r="R350" s="18" t="str">
        <x:v>kuldeep tank</x:v>
      </x:c>
      <x:c r="S350" s="18" t="str">
        <x:v>2026-06-26</x:v>
      </x:c>
      <x:c r="T350" s="18" t="str">
        <x:v>Public Announcement of Corporate Insolvency Resolution Process</x:v>
      </x:c>
      <x:c r="U350" s="18" t="str"/>
      <x:c r="V350" s="18" t="str">
        <x:v>DEFINED_TERMINAL_OR_FEED_SCOPE</x:v>
      </x:c>
      <x:c r="W350" s="18" t="str">
        <x:v>national_ibbi_announcements.json — published records loaded</x:v>
      </x:c>
      <x:c r="X350" s="18" t="str"/>
      <x:c r="Y350" s="18" t="str"/>
      <x:c r="Z350" s="20" t="n">
        <x:v>434</x:v>
      </x:c>
      <x:c r="AA350" s="19" t="n">
        <x:f>IFERROR(TODAY()-DATEVALUE(C350),"")</x:f>
        <x:v>88</x:v>
      </x:c>
      <x:c r="AB350" s="21" t="n">
        <x:f>ROUND(COUNTA(A350:K350)/11*100,0)</x:f>
        <x:v>100</x:v>
      </x:c>
      <x:c r="AC350" s="18" t="str">
        <x:v>National Company Law Tribunal</x:v>
      </x:c>
      <x:c r="AD350" s="22" t="str">
        <x:v>https://ibbi.gov.in/uploads/announcement/2026-07-21-141941-wbmuf-3b2339050f45f034ee0fda92f65f1263.pdf</x:v>
      </x:c>
      <x:c r="AE350" s="18" t="str">
        <x:v>2026-06-14</x:v>
      </x:c>
      <x:c r="AF350" s="18" t="n">
        <x:v>46275.114583333336</x:v>
      </x:c>
      <x:c r="AG350" s="18" t="str">
        <x:v>retained_terminal</x:v>
      </x:c>
      <x:c r="AH350" s="18" t="str">
        <x:v>READY</x:v>
      </x:c>
    </x:row>
    <x:row r="351">
      <x:c r="A351" s="18" t="str">
        <x:v>NYT-47-0a40822c7b547bc6</x:v>
      </x:c>
      <x:c r="B351" s="18" t="str">
        <x:v>NCLT / NCLAT (Insolvency) source coverage</x:v>
      </x:c>
      <x:c r="C351" s="18" t="str">
        <x:v>2026-06-14</x:v>
      </x:c>
      <x:c r="D351" s="18" t="n">
        <x:v>2026</x:v>
      </x:c>
      <x:c r="E351" s="18" t="str">
        <x:v>2026-06</x:v>
      </x:c>
      <x:c r="F351" s="18" t="str"/>
      <x:c r="G351" s="18" t="str">
        <x:v>Public Announcement of Corporate Insolvency Resolution Process</x:v>
      </x:c>
      <x:c r="H351" s="18" t="str"/>
      <x:c r="I351" s="18" t="str"/>
      <x:c r="J351" s="20" t="str"/>
      <x:c r="K351" s="18" t="str"/>
      <x:c r="L351" s="18" t="str"/>
      <x:c r="M351" s="18" t="str">
        <x:v>2026-06-14</x:v>
      </x:c>
      <x:c r="N351" s="18" t="str"/>
      <x:c r="O351" s="18" t="str">
        <x:v>ibbi_1d553zd</x:v>
      </x:c>
      <x:c r="P351" s="18" t="str">
        <x:v>AVAIL FINANCIAL SERVICES LIMITED</x:v>
      </x:c>
      <x:c r="Q351" s="18" t="str">
        <x:v>SPACE INCUBATRICS TECHNOLOGIES LIMITED</x:v>
      </x:c>
      <x:c r="R351" s="18" t="str">
        <x:v>DINESH CHANDER GUPTA</x:v>
      </x:c>
      <x:c r="S351" s="18" t="str">
        <x:v>2026-06-24</x:v>
      </x:c>
      <x:c r="T351" s="18" t="str">
        <x:v>Public Announcement of Corporate Insolvency Resolution Process</x:v>
      </x:c>
      <x:c r="U351" s="18" t="str"/>
      <x:c r="V351" s="18" t="str">
        <x:v>DEFINED_TERMINAL_OR_FEED_SCOPE</x:v>
      </x:c>
      <x:c r="W351" s="18" t="str">
        <x:v>national_ibbi_announcements.json — published records loaded</x:v>
      </x:c>
      <x:c r="X351" s="18" t="str"/>
      <x:c r="Y351" s="18" t="str"/>
      <x:c r="Z351" s="20" t="n">
        <x:v>434</x:v>
      </x:c>
      <x:c r="AA351" s="19" t="n">
        <x:f>IFERROR(TODAY()-DATEVALUE(C351),"")</x:f>
        <x:v>88</x:v>
      </x:c>
      <x:c r="AB351" s="21" t="n">
        <x:f>ROUND(COUNTA(A351:K351)/11*100,0)</x:f>
        <x:v>100</x:v>
      </x:c>
      <x:c r="AC351" s="18" t="str">
        <x:v>National Company Law Tribunal</x:v>
      </x:c>
      <x:c r="AD351" s="22" t="str">
        <x:v>https://ibbi.gov.in/uploads/announcement/b843163512a65ee7879b92aff4575220.pdf</x:v>
      </x:c>
      <x:c r="AE351" s="18" t="str">
        <x:v>2026-06-14</x:v>
      </x:c>
      <x:c r="AF351" s="18" t="n">
        <x:v>46275.114583333336</x:v>
      </x:c>
      <x:c r="AG351" s="18" t="str">
        <x:v>retained_terminal</x:v>
      </x:c>
      <x:c r="AH351" s="18" t="str">
        <x:v>READY</x:v>
      </x:c>
    </x:row>
    <x:row r="352">
      <x:c r="A352" s="18" t="str">
        <x:v>NYT-47-be94ab2e13af43c7</x:v>
      </x:c>
      <x:c r="B352" s="18" t="str">
        <x:v>NCLT / NCLAT (Insolvency) source coverage</x:v>
      </x:c>
      <x:c r="C352" s="18" t="str">
        <x:v>2026-06-13</x:v>
      </x:c>
      <x:c r="D352" s="18" t="n">
        <x:v>2026</x:v>
      </x:c>
      <x:c r="E352" s="18" t="str">
        <x:v>2026-06</x:v>
      </x:c>
      <x:c r="F352" s="18" t="str"/>
      <x:c r="G352" s="18" t="str">
        <x:v>Public Announcement of Corporate Insolvency Resolution Process</x:v>
      </x:c>
      <x:c r="H352" s="18" t="str"/>
      <x:c r="I352" s="18" t="str"/>
      <x:c r="J352" s="20" t="str"/>
      <x:c r="K352" s="18" t="str"/>
      <x:c r="L352" s="18" t="str"/>
      <x:c r="M352" s="18" t="str">
        <x:v>2026-06-13</x:v>
      </x:c>
      <x:c r="N352" s="18" t="str"/>
      <x:c r="O352" s="18" t="str">
        <x:v>ibbi_tdd97</x:v>
      </x:c>
      <x:c r="P352" s="18" t="str">
        <x:v>Superwave Communication and Infrasolution Pvt Ltd</x:v>
      </x:c>
      <x:c r="Q352" s="18" t="str">
        <x:v>RAYWAYS INFRA PROJECTS PRIVATE LIMITED</x:v>
      </x:c>
      <x:c r="R352" s="18" t="str">
        <x:v>ATUL DEEP GUPTA</x:v>
      </x:c>
      <x:c r="S352" s="18" t="str">
        <x:v>2026-06-25</x:v>
      </x:c>
      <x:c r="T352" s="18" t="str">
        <x:v>Public Announcement of Corporate Insolvency Resolution Process</x:v>
      </x:c>
      <x:c r="U352" s="18" t="str"/>
      <x:c r="V352" s="18" t="str">
        <x:v>DEFINED_TERMINAL_OR_FEED_SCOPE</x:v>
      </x:c>
      <x:c r="W352" s="18" t="str">
        <x:v>national_ibbi_announcements.json — published records loaded</x:v>
      </x:c>
      <x:c r="X352" s="18" t="str"/>
      <x:c r="Y352" s="18" t="str"/>
      <x:c r="Z352" s="20" t="n">
        <x:v>434</x:v>
      </x:c>
      <x:c r="AA352" s="19" t="n">
        <x:f>IFERROR(TODAY()-DATEVALUE(C352),"")</x:f>
        <x:v>89</x:v>
      </x:c>
      <x:c r="AB352" s="21" t="n">
        <x:f>ROUND(COUNTA(A352:K352)/11*100,0)</x:f>
        <x:v>100</x:v>
      </x:c>
      <x:c r="AC352" s="18" t="str">
        <x:v>National Company Law Tribunal</x:v>
      </x:c>
      <x:c r="AD352" s="22" t="str">
        <x:v>https://ibbi.gov.in/uploads/announcement/2026-06-16-080805-c7gzl-5c06ce6c0111806ecfd4fbad7e27f559.PDF</x:v>
      </x:c>
      <x:c r="AE352" s="18" t="str">
        <x:v>2026-06-13</x:v>
      </x:c>
      <x:c r="AF352" s="18" t="n">
        <x:v>46275.114583333336</x:v>
      </x:c>
      <x:c r="AG352" s="18" t="str">
        <x:v>retained_terminal</x:v>
      </x:c>
      <x:c r="AH352" s="18" t="str">
        <x:v>READY</x:v>
      </x:c>
    </x:row>
    <x:row r="353">
      <x:c r="A353" s="18" t="str">
        <x:v>NYT-47-e3acac2eacc549bb</x:v>
      </x:c>
      <x:c r="B353" s="18" t="str">
        <x:v>NCLT / NCLAT (Insolvency) source coverage</x:v>
      </x:c>
      <x:c r="C353" s="18" t="str">
        <x:v>2026-06-13</x:v>
      </x:c>
      <x:c r="D353" s="18" t="n">
        <x:v>2026</x:v>
      </x:c>
      <x:c r="E353" s="18" t="str">
        <x:v>2026-06</x:v>
      </x:c>
      <x:c r="F353" s="18" t="str"/>
      <x:c r="G353" s="18" t="str">
        <x:v>Public Announcement of Corporate Insolvency Resolution Process</x:v>
      </x:c>
      <x:c r="H353" s="18" t="str"/>
      <x:c r="I353" s="18" t="str"/>
      <x:c r="J353" s="20" t="str"/>
      <x:c r="K353" s="18" t="str"/>
      <x:c r="L353" s="18" t="str"/>
      <x:c r="M353" s="18" t="str">
        <x:v>2026-06-13</x:v>
      </x:c>
      <x:c r="N353" s="18" t="str"/>
      <x:c r="O353" s="18" t="str">
        <x:v>ibbi_n3my73</x:v>
      </x:c>
      <x:c r="P353" s="18" t="str">
        <x:v>Jajoo Rashmi Refractories Limited</x:v>
      </x:c>
      <x:c r="Q353" s="18" t="str">
        <x:v>SHRI GIRIJA ALLOY &amp; POWER (I) PRIVATE LIMITED</x:v>
      </x:c>
      <x:c r="R353" s="18" t="str">
        <x:v>Mr. Sourabh Malpani</x:v>
      </x:c>
      <x:c r="S353" s="18" t="str">
        <x:v>2026-06-25</x:v>
      </x:c>
      <x:c r="T353" s="18" t="str">
        <x:v>Public Announcement of Corporate Insolvency Resolution Process</x:v>
      </x:c>
      <x:c r="U353" s="18" t="str"/>
      <x:c r="V353" s="18" t="str">
        <x:v>DEFINED_TERMINAL_OR_FEED_SCOPE</x:v>
      </x:c>
      <x:c r="W353" s="18" t="str">
        <x:v>national_ibbi_announcements.json — published records loaded</x:v>
      </x:c>
      <x:c r="X353" s="18" t="str"/>
      <x:c r="Y353" s="18" t="str"/>
      <x:c r="Z353" s="20" t="n">
        <x:v>434</x:v>
      </x:c>
      <x:c r="AA353" s="19" t="n">
        <x:f>IFERROR(TODAY()-DATEVALUE(C353),"")</x:f>
        <x:v>89</x:v>
      </x:c>
      <x:c r="AB353" s="21" t="n">
        <x:f>ROUND(COUNTA(A353:K353)/11*100,0)</x:f>
        <x:v>100</x:v>
      </x:c>
      <x:c r="AC353" s="18" t="str">
        <x:v>National Company Law Tribunal</x:v>
      </x:c>
      <x:c r="AD353" s="22" t="str">
        <x:v>https://ibbi.gov.in/uploads/announcement/8b06c541bcd2c6619ea582e391d278a1.pdf</x:v>
      </x:c>
      <x:c r="AE353" s="18" t="str">
        <x:v>2026-06-13</x:v>
      </x:c>
      <x:c r="AF353" s="18" t="n">
        <x:v>46275.114583333336</x:v>
      </x:c>
      <x:c r="AG353" s="18" t="str">
        <x:v>retained_terminal</x:v>
      </x:c>
      <x:c r="AH353" s="18" t="str">
        <x:v>READY</x:v>
      </x:c>
    </x:row>
    <x:row r="354">
      <x:c r="A354" s="18" t="str">
        <x:v>NYT-47-13caea7d5d845665</x:v>
      </x:c>
      <x:c r="B354" s="18" t="str">
        <x:v>NCLT / NCLAT (Insolvency) source coverage</x:v>
      </x:c>
      <x:c r="C354" s="18" t="str">
        <x:v>2026-06-13</x:v>
      </x:c>
      <x:c r="D354" s="18" t="n">
        <x:v>2026</x:v>
      </x:c>
      <x:c r="E354" s="18" t="str">
        <x:v>2026-06</x:v>
      </x:c>
      <x:c r="F354" s="18" t="str"/>
      <x:c r="G354" s="18" t="str">
        <x:v>Public Announcement of Corporate Insolvency Resolution Process</x:v>
      </x:c>
      <x:c r="H354" s="18" t="str"/>
      <x:c r="I354" s="18" t="str"/>
      <x:c r="J354" s="20" t="str"/>
      <x:c r="K354" s="18" t="str"/>
      <x:c r="L354" s="18" t="str"/>
      <x:c r="M354" s="18" t="str">
        <x:v>2026-06-13</x:v>
      </x:c>
      <x:c r="N354" s="18" t="str"/>
      <x:c r="O354" s="18" t="str">
        <x:v>ibbi_eiuywn</x:v>
      </x:c>
      <x:c r="P354" s="18" t="str">
        <x:v>MITTAL CONSTRUCTION CO.</x:v>
      </x:c>
      <x:c r="Q354" s="18" t="str">
        <x:v>PITHADAI CONSTRUCTION PRIVATE LIMITED</x:v>
      </x:c>
      <x:c r="R354" s="18" t="str">
        <x:v>Mr. Khushvinder Singhal</x:v>
      </x:c>
      <x:c r="S354" s="18" t="str">
        <x:v>2026-06-24</x:v>
      </x:c>
      <x:c r="T354" s="18" t="str">
        <x:v>Public Announcement of Corporate Insolvency Resolution Process</x:v>
      </x:c>
      <x:c r="U354" s="18" t="str"/>
      <x:c r="V354" s="18" t="str">
        <x:v>DEFINED_TERMINAL_OR_FEED_SCOPE</x:v>
      </x:c>
      <x:c r="W354" s="18" t="str">
        <x:v>national_ibbi_announcements.json — published records loaded</x:v>
      </x:c>
      <x:c r="X354" s="18" t="str"/>
      <x:c r="Y354" s="18" t="str"/>
      <x:c r="Z354" s="20" t="n">
        <x:v>434</x:v>
      </x:c>
      <x:c r="AA354" s="19" t="n">
        <x:f>IFERROR(TODAY()-DATEVALUE(C354),"")</x:f>
        <x:v>89</x:v>
      </x:c>
      <x:c r="AB354" s="21" t="n">
        <x:f>ROUND(COUNTA(A354:K354)/11*100,0)</x:f>
        <x:v>100</x:v>
      </x:c>
      <x:c r="AC354" s="18" t="str">
        <x:v>National Company Law Tribunal</x:v>
      </x:c>
      <x:c r="AD354" s="22" t="str">
        <x:v>https://ibbi.gov.in/uploads/announcement/6124fdbe7dc7e1b0c05a96863811b58f.pdf</x:v>
      </x:c>
      <x:c r="AE354" s="18" t="str">
        <x:v>2026-06-13</x:v>
      </x:c>
      <x:c r="AF354" s="18" t="n">
        <x:v>46275.114583333336</x:v>
      </x:c>
      <x:c r="AG354" s="18" t="str">
        <x:v>retained_terminal</x:v>
      </x:c>
      <x:c r="AH354" s="18" t="str">
        <x:v>READY</x:v>
      </x:c>
    </x:row>
    <x:row r="355">
      <x:c r="A355" s="18" t="str">
        <x:v>NYT-47-cfae7b9b11463e5e</x:v>
      </x:c>
      <x:c r="B355" s="18" t="str">
        <x:v>NCLT / NCLAT (Insolvency) source coverage</x:v>
      </x:c>
      <x:c r="C355" s="18" t="str">
        <x:v>2026-06-13</x:v>
      </x:c>
      <x:c r="D355" s="18" t="n">
        <x:v>2026</x:v>
      </x:c>
      <x:c r="E355" s="18" t="str">
        <x:v>2026-06</x:v>
      </x:c>
      <x:c r="F355" s="18" t="str"/>
      <x:c r="G355" s="18" t="str">
        <x:v>Public Announcement of Corporate Insolvency Resolution Process</x:v>
      </x:c>
      <x:c r="H355" s="18" t="str"/>
      <x:c r="I355" s="18" t="str"/>
      <x:c r="J355" s="20" t="str"/>
      <x:c r="K355" s="18" t="str"/>
      <x:c r="L355" s="18" t="str"/>
      <x:c r="M355" s="18" t="str">
        <x:v>2026-06-13</x:v>
      </x:c>
      <x:c r="N355" s="18" t="str"/>
      <x:c r="O355" s="18" t="str">
        <x:v>ibbi_tftub9</x:v>
      </x:c>
      <x:c r="P355" s="18" t="str">
        <x:v>SHANTI INFRACONSTRUCT PRIVATE LIMITED</x:v>
      </x:c>
      <x:c r="Q355" s="18" t="str">
        <x:v>SHANTI INFRACONSTRUCT PRIVATE LIMITED</x:v>
      </x:c>
      <x:c r="R355" s="18" t="str">
        <x:v>Mr. Vinay Kumar Singhal</x:v>
      </x:c>
      <x:c r="S355" s="18" t="str">
        <x:v>2026-06-25</x:v>
      </x:c>
      <x:c r="T355" s="18" t="str">
        <x:v>Public Announcement of Corporate Insolvency Resolution Process</x:v>
      </x:c>
      <x:c r="U355" s="18" t="str"/>
      <x:c r="V355" s="18" t="str">
        <x:v>DEFINED_TERMINAL_OR_FEED_SCOPE</x:v>
      </x:c>
      <x:c r="W355" s="18" t="str">
        <x:v>national_ibbi_announcements.json — published records loaded</x:v>
      </x:c>
      <x:c r="X355" s="18" t="str"/>
      <x:c r="Y355" s="18" t="str"/>
      <x:c r="Z355" s="20" t="n">
        <x:v>434</x:v>
      </x:c>
      <x:c r="AA355" s="19" t="n">
        <x:f>IFERROR(TODAY()-DATEVALUE(C355),"")</x:f>
        <x:v>89</x:v>
      </x:c>
      <x:c r="AB355" s="21" t="n">
        <x:f>ROUND(COUNTA(A355:K355)/11*100,0)</x:f>
        <x:v>100</x:v>
      </x:c>
      <x:c r="AC355" s="18" t="str">
        <x:v>National Company Law Tribunal</x:v>
      </x:c>
      <x:c r="AD355" s="22" t="str">
        <x:v>https://ibbi.gov.in/uploads/announcement/1417045cdba65862aa5d9ee2169ccb4b.pdf</x:v>
      </x:c>
      <x:c r="AE355" s="18" t="str">
        <x:v>2026-06-13</x:v>
      </x:c>
      <x:c r="AF355" s="18" t="n">
        <x:v>46275.114583333336</x:v>
      </x:c>
      <x:c r="AG355" s="18" t="str">
        <x:v>retained_terminal</x:v>
      </x:c>
      <x:c r="AH355" s="18" t="str">
        <x:v>READY</x:v>
      </x:c>
    </x:row>
    <x:row r="356">
      <x:c r="A356" s="18" t="str">
        <x:v>NYT-47-79a2d0306ead6e0c</x:v>
      </x:c>
      <x:c r="B356" s="18" t="str">
        <x:v>NCLT / NCLAT (Insolvency) source coverage</x:v>
      </x:c>
      <x:c r="C356" s="18" t="str">
        <x:v>2026-06-13</x:v>
      </x:c>
      <x:c r="D356" s="18" t="n">
        <x:v>2026</x:v>
      </x:c>
      <x:c r="E356" s="18" t="str">
        <x:v>2026-06</x:v>
      </x:c>
      <x:c r="F356" s="18" t="str"/>
      <x:c r="G356" s="18" t="str">
        <x:v>Public Announcement of Voluntary Liquidation Process</x:v>
      </x:c>
      <x:c r="H356" s="18" t="str"/>
      <x:c r="I356" s="18" t="str"/>
      <x:c r="J356" s="20" t="str"/>
      <x:c r="K356" s="18" t="str"/>
      <x:c r="L356" s="18" t="str"/>
      <x:c r="M356" s="18" t="str">
        <x:v>2026-06-13</x:v>
      </x:c>
      <x:c r="N356" s="18" t="str"/>
      <x:c r="O356" s="18" t="str">
        <x:v>ibbi_t6h069</x:v>
      </x:c>
      <x:c r="P356" s="18" t="str">
        <x:v>FRISCHMANN PRABHU INDIA DESIGN SERVICES PRIVATE LIMITED</x:v>
      </x:c>
      <x:c r="Q356" s="18" t="str">
        <x:v>FRISCHMANN PRABHU INDIA DESIGN SERVICES PRIVATE LIMITED</x:v>
      </x:c>
      <x:c r="R356" s="18" t="str">
        <x:v>Ms. Kala Agarwal</x:v>
      </x:c>
      <x:c r="S356" s="18" t="str">
        <x:v>2026-07-11</x:v>
      </x:c>
      <x:c r="T356" s="18" t="str">
        <x:v>Public Announcement of Voluntary Liquidation Process</x:v>
      </x:c>
      <x:c r="U356" s="18" t="str"/>
      <x:c r="V356" s="18" t="str">
        <x:v>DEFINED_TERMINAL_OR_FEED_SCOPE</x:v>
      </x:c>
      <x:c r="W356" s="18" t="str">
        <x:v>national_ibbi_announcements.json — published records loaded</x:v>
      </x:c>
      <x:c r="X356" s="18" t="str"/>
      <x:c r="Y356" s="18" t="str"/>
      <x:c r="Z356" s="20" t="n">
        <x:v>434</x:v>
      </x:c>
      <x:c r="AA356" s="19" t="n">
        <x:f>IFERROR(TODAY()-DATEVALUE(C356),"")</x:f>
        <x:v>89</x:v>
      </x:c>
      <x:c r="AB356" s="21" t="n">
        <x:f>ROUND(COUNTA(A356:K356)/11*100,0)</x:f>
        <x:v>100</x:v>
      </x:c>
      <x:c r="AC356" s="18" t="str">
        <x:v>National Company Law Tribunal</x:v>
      </x:c>
      <x:c r="AD356" s="22" t="str">
        <x:v>https://ibbi.gov.in/uploads/announcement/2026-06-15-180148-gch0y-bef86e1aa2c2ba6b73d3a481f88c6c4e.pdf</x:v>
      </x:c>
      <x:c r="AE356" s="18" t="str">
        <x:v>2026-06-13</x:v>
      </x:c>
      <x:c r="AF356" s="18" t="n">
        <x:v>46275.114583333336</x:v>
      </x:c>
      <x:c r="AG356" s="18" t="str">
        <x:v>retained_terminal</x:v>
      </x:c>
      <x:c r="AH356" s="18" t="str">
        <x:v>READY</x:v>
      </x:c>
    </x:row>
    <x:row r="357">
      <x:c r="A357" s="18" t="str">
        <x:v>NYT-47-064da31a39857545</x:v>
      </x:c>
      <x:c r="B357" s="18" t="str">
        <x:v>NCLT / NCLAT (Insolvency) source coverage</x:v>
      </x:c>
      <x:c r="C357" s="18" t="str">
        <x:v>2026-06-13</x:v>
      </x:c>
      <x:c r="D357" s="18" t="n">
        <x:v>2026</x:v>
      </x:c>
      <x:c r="E357" s="18" t="str">
        <x:v>2026-06</x:v>
      </x:c>
      <x:c r="F357" s="18" t="str"/>
      <x:c r="G357" s="18" t="str">
        <x:v>Public Announcement of Corporate Insolvency Resolution Process</x:v>
      </x:c>
      <x:c r="H357" s="18" t="str"/>
      <x:c r="I357" s="18" t="str"/>
      <x:c r="J357" s="20" t="str"/>
      <x:c r="K357" s="18" t="str"/>
      <x:c r="L357" s="18" t="str"/>
      <x:c r="M357" s="18" t="str">
        <x:v>2026-06-13</x:v>
      </x:c>
      <x:c r="N357" s="18" t="str"/>
      <x:c r="O357" s="18" t="str">
        <x:v>ibbi_5zquv7</x:v>
      </x:c>
      <x:c r="P357" s="18" t="str">
        <x:v>HK Toll Road Private Limited</x:v>
      </x:c>
      <x:c r="Q357" s="18" t="str">
        <x:v>HK TOLL ROAD PRIVATE LIMITED</x:v>
      </x:c>
      <x:c r="R357" s="18" t="str">
        <x:v>Mr. Sanjay Kumar Mishra</x:v>
      </x:c>
      <x:c r="S357" s="18" t="str">
        <x:v>2026-06-26</x:v>
      </x:c>
      <x:c r="T357" s="18" t="str">
        <x:v>Public Announcement of Corporate Insolvency Resolution Process</x:v>
      </x:c>
      <x:c r="U357" s="18" t="str"/>
      <x:c r="V357" s="18" t="str">
        <x:v>DEFINED_TERMINAL_OR_FEED_SCOPE</x:v>
      </x:c>
      <x:c r="W357" s="18" t="str">
        <x:v>national_ibbi_announcements.json — published records loaded</x:v>
      </x:c>
      <x:c r="X357" s="18" t="str"/>
      <x:c r="Y357" s="18" t="str"/>
      <x:c r="Z357" s="20" t="n">
        <x:v>434</x:v>
      </x:c>
      <x:c r="AA357" s="19" t="n">
        <x:f>IFERROR(TODAY()-DATEVALUE(C357),"")</x:f>
        <x:v>89</x:v>
      </x:c>
      <x:c r="AB357" s="21" t="n">
        <x:f>ROUND(COUNTA(A357:K357)/11*100,0)</x:f>
        <x:v>100</x:v>
      </x:c>
      <x:c r="AC357" s="18" t="str">
        <x:v>National Company Law Tribunal</x:v>
      </x:c>
      <x:c r="AD357" s="22" t="str">
        <x:v>https://ibbi.gov.in/uploads/announcement/e9723d28b1663ff7c7ad27cc45a8d6dd.pdf</x:v>
      </x:c>
      <x:c r="AE357" s="18" t="str">
        <x:v>2026-06-13</x:v>
      </x:c>
      <x:c r="AF357" s="18" t="n">
        <x:v>46275.114583333336</x:v>
      </x:c>
      <x:c r="AG357" s="18" t="str">
        <x:v>retained_terminal</x:v>
      </x:c>
      <x:c r="AH357" s="18" t="str">
        <x:v>READY</x:v>
      </x:c>
    </x:row>
    <x:row r="358">
      <x:c r="A358" s="18" t="str">
        <x:v>NYT-47-89db520e260e69d5</x:v>
      </x:c>
      <x:c r="B358" s="18" t="str">
        <x:v>NCLT / NCLAT (Insolvency) source coverage</x:v>
      </x:c>
      <x:c r="C358" s="18" t="str">
        <x:v>2026-06-13</x:v>
      </x:c>
      <x:c r="D358" s="18" t="n">
        <x:v>2026</x:v>
      </x:c>
      <x:c r="E358" s="18" t="str">
        <x:v>2026-06</x:v>
      </x:c>
      <x:c r="F358" s="18" t="str"/>
      <x:c r="G358" s="18" t="str">
        <x:v>Public Announcement of Corporate Insolvency Resolution Process</x:v>
      </x:c>
      <x:c r="H358" s="18" t="str"/>
      <x:c r="I358" s="18" t="str"/>
      <x:c r="J358" s="20" t="str"/>
      <x:c r="K358" s="18" t="str"/>
      <x:c r="L358" s="18" t="str"/>
      <x:c r="M358" s="18" t="str">
        <x:v>2026-06-13</x:v>
      </x:c>
      <x:c r="N358" s="18" t="str"/>
      <x:c r="O358" s="18" t="str">
        <x:v>ibbi_st9odp</x:v>
      </x:c>
      <x:c r="P358" s="18" t="str">
        <x:v>Scorpion Nirman Private Limited</x:v>
      </x:c>
      <x:c r="Q358" s="18" t="str">
        <x:v>SWAL LIMITED.</x:v>
      </x:c>
      <x:c r="R358" s="18" t="str">
        <x:v>Mr. Neeraj Jain</x:v>
      </x:c>
      <x:c r="S358" s="18" t="str">
        <x:v>2026-06-22</x:v>
      </x:c>
      <x:c r="T358" s="18" t="str">
        <x:v>Public Announcement of Corporate Insolvency Resolution Process</x:v>
      </x:c>
      <x:c r="U358" s="18" t="str"/>
      <x:c r="V358" s="18" t="str">
        <x:v>DEFINED_TERMINAL_OR_FEED_SCOPE</x:v>
      </x:c>
      <x:c r="W358" s="18" t="str">
        <x:v>national_ibbi_announcements.json — published records loaded</x:v>
      </x:c>
      <x:c r="X358" s="18" t="str"/>
      <x:c r="Y358" s="18" t="str"/>
      <x:c r="Z358" s="20" t="n">
        <x:v>434</x:v>
      </x:c>
      <x:c r="AA358" s="19" t="n">
        <x:f>IFERROR(TODAY()-DATEVALUE(C358),"")</x:f>
        <x:v>89</x:v>
      </x:c>
      <x:c r="AB358" s="21" t="n">
        <x:f>ROUND(COUNTA(A358:K358)/11*100,0)</x:f>
        <x:v>100</x:v>
      </x:c>
      <x:c r="AC358" s="18" t="str">
        <x:v>National Company Law Tribunal</x:v>
      </x:c>
      <x:c r="AD358" s="22" t="str">
        <x:v>https://ibbi.gov.in/uploads/announcement/8382c8bb966b2b8810a375441c7793e0.pdf</x:v>
      </x:c>
      <x:c r="AE358" s="18" t="str">
        <x:v>2026-06-13</x:v>
      </x:c>
      <x:c r="AF358" s="18" t="n">
        <x:v>46275.114583333336</x:v>
      </x:c>
      <x:c r="AG358" s="18" t="str">
        <x:v>retained_terminal</x:v>
      </x:c>
      <x:c r="AH358" s="18" t="str">
        <x:v>READY</x:v>
      </x:c>
    </x:row>
    <x:row r="359">
      <x:c r="A359" s="18" t="str">
        <x:v>NYT-47-72b3e073daf7044c</x:v>
      </x:c>
      <x:c r="B359" s="18" t="str">
        <x:v>NCLT / NCLAT (Insolvency) source coverage</x:v>
      </x:c>
      <x:c r="C359" s="18" t="str">
        <x:v>2026-06-13</x:v>
      </x:c>
      <x:c r="D359" s="18" t="n">
        <x:v>2026</x:v>
      </x:c>
      <x:c r="E359" s="18" t="str">
        <x:v>2026-06</x:v>
      </x:c>
      <x:c r="F359" s="18" t="str"/>
      <x:c r="G359" s="18" t="str">
        <x:v>Public Announcement of Corporate Insolvency Resolution Process</x:v>
      </x:c>
      <x:c r="H359" s="18" t="str"/>
      <x:c r="I359" s="18" t="str"/>
      <x:c r="J359" s="20" t="str"/>
      <x:c r="K359" s="18" t="str"/>
      <x:c r="L359" s="18" t="str"/>
      <x:c r="M359" s="18" t="str">
        <x:v>2026-06-13</x:v>
      </x:c>
      <x:c r="N359" s="18" t="str"/>
      <x:c r="O359" s="18" t="str">
        <x:v>ibbi_14l80k2</x:v>
      </x:c>
      <x:c r="P359" s="18" t="str">
        <x:v>M/s Kokila Mining Private Limited</x:v>
      </x:c>
      <x:c r="Q359" s="18" t="str">
        <x:v>TYCOONS INDUSTRIES PRIVATE LIMITED</x:v>
      </x:c>
      <x:c r="R359" s="18" t="str">
        <x:v>Mr. Neehal Mahamulal Pathan</x:v>
      </x:c>
      <x:c r="S359" s="18" t="str">
        <x:v>2026-06-25</x:v>
      </x:c>
      <x:c r="T359" s="18" t="str">
        <x:v>Public Announcement of Corporate Insolvency Resolution Process</x:v>
      </x:c>
      <x:c r="U359" s="18" t="str"/>
      <x:c r="V359" s="18" t="str">
        <x:v>DEFINED_TERMINAL_OR_FEED_SCOPE</x:v>
      </x:c>
      <x:c r="W359" s="18" t="str">
        <x:v>national_ibbi_announcements.json — published records loaded</x:v>
      </x:c>
      <x:c r="X359" s="18" t="str"/>
      <x:c r="Y359" s="18" t="str"/>
      <x:c r="Z359" s="20" t="n">
        <x:v>434</x:v>
      </x:c>
      <x:c r="AA359" s="19" t="n">
        <x:f>IFERROR(TODAY()-DATEVALUE(C359),"")</x:f>
        <x:v>89</x:v>
      </x:c>
      <x:c r="AB359" s="21" t="n">
        <x:f>ROUND(COUNTA(A359:K359)/11*100,0)</x:f>
        <x:v>100</x:v>
      </x:c>
      <x:c r="AC359" s="18" t="str">
        <x:v>National Company Law Tribunal</x:v>
      </x:c>
      <x:c r="AD359" s="22" t="str">
        <x:v>https://ibbi.gov.in/uploads/announcement/2026-06-19-105124-tsvkc-bb2db3fa1f2cf34ee204b010d0bb0030.pdf</x:v>
      </x:c>
      <x:c r="AE359" s="18" t="str">
        <x:v>2026-06-13</x:v>
      </x:c>
      <x:c r="AF359" s="18" t="n">
        <x:v>46275.114583333336</x:v>
      </x:c>
      <x:c r="AG359" s="18" t="str">
        <x:v>retained_terminal</x:v>
      </x:c>
      <x:c r="AH359" s="18" t="str">
        <x:v>READY</x:v>
      </x:c>
    </x:row>
    <x:row r="360">
      <x:c r="A360" s="18" t="str">
        <x:v>NYT-47-50a4a37c46517b11</x:v>
      </x:c>
      <x:c r="B360" s="18" t="str">
        <x:v>NCLT / NCLAT (Insolvency) source coverage</x:v>
      </x:c>
      <x:c r="C360" s="18" t="str">
        <x:v>2026-06-13</x:v>
      </x:c>
      <x:c r="D360" s="18" t="n">
        <x:v>2026</x:v>
      </x:c>
      <x:c r="E360" s="18" t="str">
        <x:v>2026-06</x:v>
      </x:c>
      <x:c r="F360" s="18" t="str"/>
      <x:c r="G360" s="18" t="str">
        <x:v>Public Announcement of Corporate Insolvency Resolution Process</x:v>
      </x:c>
      <x:c r="H360" s="18" t="str"/>
      <x:c r="I360" s="18" t="str"/>
      <x:c r="J360" s="20" t="str"/>
      <x:c r="K360" s="18" t="str"/>
      <x:c r="L360" s="18" t="str"/>
      <x:c r="M360" s="18" t="str">
        <x:v>2026-06-13</x:v>
      </x:c>
      <x:c r="N360" s="18" t="str"/>
      <x:c r="O360" s="18" t="str">
        <x:v>ibbi_8y3lu7</x:v>
      </x:c>
      <x:c r="P360" s="18" t="str">
        <x:v>BRICK2WALL INFRATECH PRIVATE LIMITED</x:v>
      </x:c>
      <x:c r="Q360" s="18" t="str">
        <x:v>TIRUPATI BUILD-CON PRIVATE LIMITED</x:v>
      </x:c>
      <x:c r="R360" s="18" t="str">
        <x:v>Ms. Mamta Binani</x:v>
      </x:c>
      <x:c r="S360" s="18" t="str">
        <x:v>2026-06-24</x:v>
      </x:c>
      <x:c r="T360" s="18" t="str">
        <x:v>Public Announcement of Corporate Insolvency Resolution Process</x:v>
      </x:c>
      <x:c r="U360" s="18" t="str"/>
      <x:c r="V360" s="18" t="str">
        <x:v>DEFINED_TERMINAL_OR_FEED_SCOPE</x:v>
      </x:c>
      <x:c r="W360" s="18" t="str">
        <x:v>national_ibbi_announcements.json — published records loaded</x:v>
      </x:c>
      <x:c r="X360" s="18" t="str"/>
      <x:c r="Y360" s="18" t="str"/>
      <x:c r="Z360" s="20" t="n">
        <x:v>434</x:v>
      </x:c>
      <x:c r="AA360" s="19" t="n">
        <x:f>IFERROR(TODAY()-DATEVALUE(C360),"")</x:f>
        <x:v>89</x:v>
      </x:c>
      <x:c r="AB360" s="21" t="n">
        <x:f>ROUND(COUNTA(A360:K360)/11*100,0)</x:f>
        <x:v>100</x:v>
      </x:c>
      <x:c r="AC360" s="18" t="str">
        <x:v>National Company Law Tribunal</x:v>
      </x:c>
      <x:c r="AD360" s="22" t="str">
        <x:v>https://ibbi.gov.in/uploads/announcement/d61d42080eb14d6be6a703ae44213bbf.pdf</x:v>
      </x:c>
      <x:c r="AE360" s="18" t="str">
        <x:v>2026-06-13</x:v>
      </x:c>
      <x:c r="AF360" s="18" t="n">
        <x:v>46275.114583333336</x:v>
      </x:c>
      <x:c r="AG360" s="18" t="str">
        <x:v>retained_terminal</x:v>
      </x:c>
      <x:c r="AH360" s="18" t="str">
        <x:v>READY</x:v>
      </x:c>
    </x:row>
    <x:row r="361">
      <x:c r="A361" s="18" t="str">
        <x:v>NYT-47-19646d924e619f5b</x:v>
      </x:c>
      <x:c r="B361" s="18" t="str">
        <x:v>NCLT / NCLAT (Insolvency) source coverage</x:v>
      </x:c>
      <x:c r="C361" s="18" t="str">
        <x:v>2026-06-13</x:v>
      </x:c>
      <x:c r="D361" s="18" t="n">
        <x:v>2026</x:v>
      </x:c>
      <x:c r="E361" s="18" t="str">
        <x:v>2026-06</x:v>
      </x:c>
      <x:c r="F361" s="18" t="str"/>
      <x:c r="G361" s="18" t="str">
        <x:v>Public Announcement of Corporate Insolvency Resolution Process</x:v>
      </x:c>
      <x:c r="H361" s="18" t="str"/>
      <x:c r="I361" s="18" t="str"/>
      <x:c r="J361" s="20" t="str"/>
      <x:c r="K361" s="18" t="str"/>
      <x:c r="L361" s="18" t="str"/>
      <x:c r="M361" s="18" t="str">
        <x:v>2026-06-13</x:v>
      </x:c>
      <x:c r="N361" s="18" t="str"/>
      <x:c r="O361" s="18" t="str">
        <x:v>ibbi_34svfs</x:v>
      </x:c>
      <x:c r="P361" s="18" t="str">
        <x:v>Shrikantbhai Pravinbhai Patel</x:v>
      </x:c>
      <x:c r="Q361" s="18" t="str">
        <x:v>Adison Granito Private Limited</x:v>
      </x:c>
      <x:c r="R361" s="18" t="str">
        <x:v>RATHIN MAJMUDAR</x:v>
      </x:c>
      <x:c r="S361" s="18" t="str">
        <x:v>2026-06-25</x:v>
      </x:c>
      <x:c r="T361" s="18" t="str">
        <x:v>Public Announcement of Corporate Insolvency Resolution Process</x:v>
      </x:c>
      <x:c r="U361" s="18" t="str"/>
      <x:c r="V361" s="18" t="str">
        <x:v>DEFINED_TERMINAL_OR_FEED_SCOPE</x:v>
      </x:c>
      <x:c r="W361" s="18" t="str">
        <x:v>national_ibbi_announcements.json — published records loaded</x:v>
      </x:c>
      <x:c r="X361" s="18" t="str"/>
      <x:c r="Y361" s="18" t="str"/>
      <x:c r="Z361" s="20" t="n">
        <x:v>434</x:v>
      </x:c>
      <x:c r="AA361" s="19" t="n">
        <x:f>IFERROR(TODAY()-DATEVALUE(C361),"")</x:f>
        <x:v>89</x:v>
      </x:c>
      <x:c r="AB361" s="21" t="n">
        <x:f>ROUND(COUNTA(A361:K361)/11*100,0)</x:f>
        <x:v>100</x:v>
      </x:c>
      <x:c r="AC361" s="18" t="str">
        <x:v>National Company Law Tribunal</x:v>
      </x:c>
      <x:c r="AD361" s="22" t="str">
        <x:v>https://ibbi.gov.in/uploads/announcement/921ddb42fc38f05ab6516cd6b5ebd1a9.pdf</x:v>
      </x:c>
      <x:c r="AE361" s="18" t="str">
        <x:v>2026-06-13</x:v>
      </x:c>
      <x:c r="AF361" s="18" t="n">
        <x:v>46275.114583333336</x:v>
      </x:c>
      <x:c r="AG361" s="18" t="str">
        <x:v>retained_terminal</x:v>
      </x:c>
      <x:c r="AH361" s="18" t="str">
        <x:v>READY</x:v>
      </x:c>
    </x:row>
    <x:row r="362">
      <x:c r="A362" s="18" t="str">
        <x:v>NYT-47-02e471da1bfac8d9</x:v>
      </x:c>
      <x:c r="B362" s="18" t="str">
        <x:v>NCLT / NCLAT (Insolvency) source coverage</x:v>
      </x:c>
      <x:c r="C362" s="18" t="str">
        <x:v>2026-06-13</x:v>
      </x:c>
      <x:c r="D362" s="18" t="n">
        <x:v>2026</x:v>
      </x:c>
      <x:c r="E362" s="18" t="str">
        <x:v>2026-06</x:v>
      </x:c>
      <x:c r="F362" s="18" t="str"/>
      <x:c r="G362" s="18" t="str">
        <x:v>Public Announcement of Voluntary Liquidation Process</x:v>
      </x:c>
      <x:c r="H362" s="18" t="str"/>
      <x:c r="I362" s="18" t="str"/>
      <x:c r="J362" s="20" t="str"/>
      <x:c r="K362" s="18" t="str"/>
      <x:c r="L362" s="18" t="str"/>
      <x:c r="M362" s="18" t="str">
        <x:v>2026-06-13</x:v>
      </x:c>
      <x:c r="N362" s="18" t="str"/>
      <x:c r="O362" s="18" t="str">
        <x:v>ibbi_srb5zw</x:v>
      </x:c>
      <x:c r="P362" s="18" t="str">
        <x:v>Monika Agarwal</x:v>
      </x:c>
      <x:c r="Q362" s="18" t="str">
        <x:v>HILL-ROM INDIA PRIVATE LIMITED</x:v>
      </x:c>
      <x:c r="R362" s="18" t="str">
        <x:v>Mrs. Monika Agarwal</x:v>
      </x:c>
      <x:c r="S362" s="18" t="str">
        <x:v>2026-07-10</x:v>
      </x:c>
      <x:c r="T362" s="18" t="str">
        <x:v>Public Announcement of Voluntary Liquidation Process</x:v>
      </x:c>
      <x:c r="U362" s="18" t="str"/>
      <x:c r="V362" s="18" t="str">
        <x:v>DEFINED_TERMINAL_OR_FEED_SCOPE</x:v>
      </x:c>
      <x:c r="W362" s="18" t="str">
        <x:v>national_ibbi_announcements.json — published records loaded</x:v>
      </x:c>
      <x:c r="X362" s="18" t="str"/>
      <x:c r="Y362" s="18" t="str"/>
      <x:c r="Z362" s="20" t="n">
        <x:v>434</x:v>
      </x:c>
      <x:c r="AA362" s="19" t="n">
        <x:f>IFERROR(TODAY()-DATEVALUE(C362),"")</x:f>
        <x:v>89</x:v>
      </x:c>
      <x:c r="AB362" s="21" t="n">
        <x:f>ROUND(COUNTA(A362:K362)/11*100,0)</x:f>
        <x:v>100</x:v>
      </x:c>
      <x:c r="AC362" s="18" t="str">
        <x:v>National Company Law Tribunal</x:v>
      </x:c>
      <x:c r="AD362" s="22" t="str">
        <x:v>https://ibbi.gov.in/uploads/announcement/0adc3cdde3326774a0cd8a879cd936f9.pdf</x:v>
      </x:c>
      <x:c r="AE362" s="18" t="str">
        <x:v>2026-06-13</x:v>
      </x:c>
      <x:c r="AF362" s="18" t="n">
        <x:v>46275.114583333336</x:v>
      </x:c>
      <x:c r="AG362" s="18" t="str">
        <x:v>retained_terminal</x:v>
      </x:c>
      <x:c r="AH362" s="18" t="str">
        <x:v>READY</x:v>
      </x:c>
    </x:row>
    <x:row r="363">
      <x:c r="A363" s="18" t="str">
        <x:v>NYT-47-4d997a3e34f59dd9</x:v>
      </x:c>
      <x:c r="B363" s="18" t="str">
        <x:v>NCLT / NCLAT (Insolvency) source coverage</x:v>
      </x:c>
      <x:c r="C363" s="18" t="str">
        <x:v>2026-06-13</x:v>
      </x:c>
      <x:c r="D363" s="18" t="n">
        <x:v>2026</x:v>
      </x:c>
      <x:c r="E363" s="18" t="str">
        <x:v>2026-06</x:v>
      </x:c>
      <x:c r="F363" s="18" t="str"/>
      <x:c r="G363" s="18" t="str">
        <x:v>Public Announcement of Corporate Insolvency Resolution Process</x:v>
      </x:c>
      <x:c r="H363" s="18" t="str"/>
      <x:c r="I363" s="18" t="str"/>
      <x:c r="J363" s="20" t="str"/>
      <x:c r="K363" s="18" t="str"/>
      <x:c r="L363" s="18" t="str"/>
      <x:c r="M363" s="18" t="str">
        <x:v>2026-06-13</x:v>
      </x:c>
      <x:c r="N363" s="18" t="str"/>
      <x:c r="O363" s="18" t="str">
        <x:v>ibbi_1c3802m</x:v>
      </x:c>
      <x:c r="P363" s="18" t="str">
        <x:v>Hiveloop Capital Private Limited</x:v>
      </x:c>
      <x:c r="Q363" s="18" t="str">
        <x:v>RVD SALES PRIVATE LIMITED</x:v>
      </x:c>
      <x:c r="R363" s="18" t="str">
        <x:v>Mr. Rajeev Bhambri</x:v>
      </x:c>
      <x:c r="S363" s="18" t="str">
        <x:v>2026-06-25</x:v>
      </x:c>
      <x:c r="T363" s="18" t="str">
        <x:v>Public Announcement of Corporate Insolvency Resolution Process</x:v>
      </x:c>
      <x:c r="U363" s="18" t="str"/>
      <x:c r="V363" s="18" t="str">
        <x:v>DEFINED_TERMINAL_OR_FEED_SCOPE</x:v>
      </x:c>
      <x:c r="W363" s="18" t="str">
        <x:v>national_ibbi_announcements.json — published records loaded</x:v>
      </x:c>
      <x:c r="X363" s="18" t="str"/>
      <x:c r="Y363" s="18" t="str"/>
      <x:c r="Z363" s="20" t="n">
        <x:v>434</x:v>
      </x:c>
      <x:c r="AA363" s="19" t="n">
        <x:f>IFERROR(TODAY()-DATEVALUE(C363),"")</x:f>
        <x:v>89</x:v>
      </x:c>
      <x:c r="AB363" s="21" t="n">
        <x:f>ROUND(COUNTA(A363:K363)/11*100,0)</x:f>
        <x:v>100</x:v>
      </x:c>
      <x:c r="AC363" s="18" t="str">
        <x:v>National Company Law Tribunal</x:v>
      </x:c>
      <x:c r="AD363" s="22" t="str">
        <x:v>https://ibbi.gov.in/uploads/announcement/5ea277053c55cb136a16588a22a51f42.pdf</x:v>
      </x:c>
      <x:c r="AE363" s="18" t="str">
        <x:v>2026-06-13</x:v>
      </x:c>
      <x:c r="AF363" s="18" t="n">
        <x:v>46275.114583333336</x:v>
      </x:c>
      <x:c r="AG363" s="18" t="str">
        <x:v>retained_terminal</x:v>
      </x:c>
      <x:c r="AH363" s="18" t="str">
        <x:v>READY</x:v>
      </x:c>
    </x:row>
    <x:row r="364">
      <x:c r="A364" s="18" t="str">
        <x:v>NYT-47-33db77a0b28cb4c1</x:v>
      </x:c>
      <x:c r="B364" s="18" t="str">
        <x:v>NCLT / NCLAT (Insolvency) source coverage</x:v>
      </x:c>
      <x:c r="C364" s="18" t="str">
        <x:v>2026-06-12</x:v>
      </x:c>
      <x:c r="D364" s="18" t="n">
        <x:v>2026</x:v>
      </x:c>
      <x:c r="E364" s="18" t="str">
        <x:v>2026-06</x:v>
      </x:c>
      <x:c r="F364" s="18" t="str"/>
      <x:c r="G364" s="18" t="str">
        <x:v>Public Announcement of Corporate Insolvency Resolution Process</x:v>
      </x:c>
      <x:c r="H364" s="18" t="str"/>
      <x:c r="I364" s="18" t="str"/>
      <x:c r="J364" s="20" t="str"/>
      <x:c r="K364" s="18" t="str"/>
      <x:c r="L364" s="18" t="str"/>
      <x:c r="M364" s="18" t="str">
        <x:v>2026-06-12</x:v>
      </x:c>
      <x:c r="N364" s="18" t="str"/>
      <x:c r="O364" s="18" t="str">
        <x:v>ibbi_rwpzqn</x:v>
      </x:c>
      <x:c r="P364" s="18" t="str">
        <x:v>L H SUGAR FACTORIES LIMITED</x:v>
      </x:c>
      <x:c r="Q364" s="18" t="str">
        <x:v>OSWAL OVERSEAS LIMITED</x:v>
      </x:c>
      <x:c r="R364" s="18" t="str">
        <x:v>Mansij Arya</x:v>
      </x:c>
      <x:c r="S364" s="18" t="str">
        <x:v>2026-06-24</x:v>
      </x:c>
      <x:c r="T364" s="18" t="str">
        <x:v>Public Announcement of Corporate Insolvency Resolution Process</x:v>
      </x:c>
      <x:c r="U364" s="18" t="str"/>
      <x:c r="V364" s="18" t="str">
        <x:v>DEFINED_TERMINAL_OR_FEED_SCOPE</x:v>
      </x:c>
      <x:c r="W364" s="18" t="str">
        <x:v>national_ibbi_announcements.json — published records loaded</x:v>
      </x:c>
      <x:c r="X364" s="18" t="str"/>
      <x:c r="Y364" s="18" t="str"/>
      <x:c r="Z364" s="20" t="n">
        <x:v>434</x:v>
      </x:c>
      <x:c r="AA364" s="19" t="n">
        <x:f>IFERROR(TODAY()-DATEVALUE(C364),"")</x:f>
        <x:v>90</x:v>
      </x:c>
      <x:c r="AB364" s="21" t="n">
        <x:f>ROUND(COUNTA(A364:K364)/11*100,0)</x:f>
        <x:v>100</x:v>
      </x:c>
      <x:c r="AC364" s="18" t="str">
        <x:v>National Company Law Tribunal</x:v>
      </x:c>
      <x:c r="AD364" s="22" t="str">
        <x:v>https://ibbi.gov.in/uploads/announcement/7f5cf56019bbb5de362aac58f7898cb7.pdf</x:v>
      </x:c>
      <x:c r="AE364" s="18" t="str">
        <x:v>2026-06-12</x:v>
      </x:c>
      <x:c r="AF364" s="18" t="n">
        <x:v>46275.114583333336</x:v>
      </x:c>
      <x:c r="AG364" s="18" t="str">
        <x:v>retained_terminal</x:v>
      </x:c>
      <x:c r="AH364" s="18" t="str">
        <x:v>READY</x:v>
      </x:c>
    </x:row>
    <x:row r="365">
      <x:c r="A365" s="18" t="str">
        <x:v>NYT-47-5c78c9e2489abf6c</x:v>
      </x:c>
      <x:c r="B365" s="18" t="str">
        <x:v>NCLT / NCLAT (Insolvency) source coverage</x:v>
      </x:c>
      <x:c r="C365" s="18" t="str">
        <x:v>2026-06-12</x:v>
      </x:c>
      <x:c r="D365" s="18" t="n">
        <x:v>2026</x:v>
      </x:c>
      <x:c r="E365" s="18" t="str">
        <x:v>2026-06</x:v>
      </x:c>
      <x:c r="F365" s="18" t="str"/>
      <x:c r="G365" s="18" t="str">
        <x:v>Public Announcement of Voluntary Liquidation Process</x:v>
      </x:c>
      <x:c r="H365" s="18" t="str"/>
      <x:c r="I365" s="18" t="str"/>
      <x:c r="J365" s="20" t="str"/>
      <x:c r="K365" s="18" t="str"/>
      <x:c r="L365" s="18" t="str"/>
      <x:c r="M365" s="18" t="str">
        <x:v>2026-06-12</x:v>
      </x:c>
      <x:c r="N365" s="18" t="str"/>
      <x:c r="O365" s="18" t="str">
        <x:v>ibbi_145nb6l</x:v>
      </x:c>
      <x:c r="P365" s="18" t="str">
        <x:v>DO-WELL OIL PLANTS PRIVATE LIMITED</x:v>
      </x:c>
      <x:c r="Q365" s="18" t="str">
        <x:v>DO-WELL OIL PLANTS PRIVATE LIMITED</x:v>
      </x:c>
      <x:c r="R365" s="18" t="str">
        <x:v>Mr. Anish Gupta</x:v>
      </x:c>
      <x:c r="S365" s="18" t="str">
        <x:v>2026-07-11</x:v>
      </x:c>
      <x:c r="T365" s="18" t="str">
        <x:v>Public Announcement of Voluntary Liquidation Process</x:v>
      </x:c>
      <x:c r="U365" s="18" t="str"/>
      <x:c r="V365" s="18" t="str">
        <x:v>DEFINED_TERMINAL_OR_FEED_SCOPE</x:v>
      </x:c>
      <x:c r="W365" s="18" t="str">
        <x:v>national_ibbi_announcements.json — published records loaded</x:v>
      </x:c>
      <x:c r="X365" s="18" t="str"/>
      <x:c r="Y365" s="18" t="str"/>
      <x:c r="Z365" s="20" t="n">
        <x:v>434</x:v>
      </x:c>
      <x:c r="AA365" s="19" t="n">
        <x:f>IFERROR(TODAY()-DATEVALUE(C365),"")</x:f>
        <x:v>90</x:v>
      </x:c>
      <x:c r="AB365" s="21" t="n">
        <x:f>ROUND(COUNTA(A365:K365)/11*100,0)</x:f>
        <x:v>100</x:v>
      </x:c>
      <x:c r="AC365" s="18" t="str">
        <x:v>National Company Law Tribunal</x:v>
      </x:c>
      <x:c r="AD365" s="22" t="str">
        <x:v>https://ibbi.gov.in/uploads/announcement/2026-06-12-153015-2i7ds-5c06ce6c0111806ecfd4fbad7e27f559.pdf</x:v>
      </x:c>
      <x:c r="AE365" s="18" t="str">
        <x:v>2026-06-12</x:v>
      </x:c>
      <x:c r="AF365" s="18" t="n">
        <x:v>46275.114583333336</x:v>
      </x:c>
      <x:c r="AG365" s="18" t="str">
        <x:v>retained_terminal</x:v>
      </x:c>
      <x:c r="AH365" s="18" t="str">
        <x:v>READY</x:v>
      </x:c>
    </x:row>
    <x:row r="366">
      <x:c r="A366" s="18" t="str">
        <x:v>NYT-47-c1575c35505fa587</x:v>
      </x:c>
      <x:c r="B366" s="18" t="str">
        <x:v>NCLT / NCLAT (Insolvency) source coverage</x:v>
      </x:c>
      <x:c r="C366" s="18" t="str">
        <x:v>2026-06-12</x:v>
      </x:c>
      <x:c r="D366" s="18" t="n">
        <x:v>2026</x:v>
      </x:c>
      <x:c r="E366" s="18" t="str">
        <x:v>2026-06</x:v>
      </x:c>
      <x:c r="F366" s="18" t="str"/>
      <x:c r="G366" s="18" t="str">
        <x:v>Public Announcement of Corporate Insolvency Resolution Process</x:v>
      </x:c>
      <x:c r="H366" s="18" t="str"/>
      <x:c r="I366" s="18" t="str"/>
      <x:c r="J366" s="20" t="str"/>
      <x:c r="K366" s="18" t="str"/>
      <x:c r="L366" s="18" t="str"/>
      <x:c r="M366" s="18" t="str">
        <x:v>2026-06-12</x:v>
      </x:c>
      <x:c r="N366" s="18" t="str"/>
      <x:c r="O366" s="18" t="str">
        <x:v>ibbi_52r4lo</x:v>
      </x:c>
      <x:c r="P366" s="18" t="str">
        <x:v>MR. VINOD KUMAR CHAUHAN (PROPRIETOR OF SAROJ CONSTRUCTION CO.)</x:v>
      </x:c>
      <x:c r="Q366" s="18" t="str">
        <x:v>VIRTUAL BUSINESS SOLUTION PRIVATE LIMITED</x:v>
      </x:c>
      <x:c r="R366" s="18" t="str">
        <x:v>Mr. Vinay Kumar Singhal</x:v>
      </x:c>
      <x:c r="S366" s="18" t="str">
        <x:v>2026-06-23</x:v>
      </x:c>
      <x:c r="T366" s="18" t="str">
        <x:v>Public Announcement of Corporate Insolvency Resolution Process</x:v>
      </x:c>
      <x:c r="U366" s="18" t="str"/>
      <x:c r="V366" s="18" t="str">
        <x:v>DEFINED_TERMINAL_OR_FEED_SCOPE</x:v>
      </x:c>
      <x:c r="W366" s="18" t="str">
        <x:v>national_ibbi_announcements.json — published records loaded</x:v>
      </x:c>
      <x:c r="X366" s="18" t="str"/>
      <x:c r="Y366" s="18" t="str"/>
      <x:c r="Z366" s="20" t="n">
        <x:v>434</x:v>
      </x:c>
      <x:c r="AA366" s="19" t="n">
        <x:f>IFERROR(TODAY()-DATEVALUE(C366),"")</x:f>
        <x:v>90</x:v>
      </x:c>
      <x:c r="AB366" s="21" t="n">
        <x:f>ROUND(COUNTA(A366:K366)/11*100,0)</x:f>
        <x:v>100</x:v>
      </x:c>
      <x:c r="AC366" s="18" t="str">
        <x:v>National Company Law Tribunal</x:v>
      </x:c>
      <x:c r="AD366" s="22" t="str">
        <x:v>https://ibbi.gov.in/uploads/announcement/2026-06-16-154218-me1cj-5c06ce6c0111806ecfd4fbad7e27f559.pdf</x:v>
      </x:c>
      <x:c r="AE366" s="18" t="str">
        <x:v>2026-06-12</x:v>
      </x:c>
      <x:c r="AF366" s="18" t="n">
        <x:v>46275.114583333336</x:v>
      </x:c>
      <x:c r="AG366" s="18" t="str">
        <x:v>retained_terminal</x:v>
      </x:c>
      <x:c r="AH366" s="18" t="str">
        <x:v>READY</x:v>
      </x:c>
    </x:row>
    <x:row r="367">
      <x:c r="A367" s="18" t="str">
        <x:v>NYT-47-b1adc350f1b06b6b</x:v>
      </x:c>
      <x:c r="B367" s="18" t="str">
        <x:v>NCLT / NCLAT (Insolvency) source coverage</x:v>
      </x:c>
      <x:c r="C367" s="18" t="str">
        <x:v>2026-06-12</x:v>
      </x:c>
      <x:c r="D367" s="18" t="n">
        <x:v>2026</x:v>
      </x:c>
      <x:c r="E367" s="18" t="str">
        <x:v>2026-06</x:v>
      </x:c>
      <x:c r="F367" s="18" t="str"/>
      <x:c r="G367" s="18" t="str">
        <x:v>Public Announcement of Liquidation Process</x:v>
      </x:c>
      <x:c r="H367" s="18" t="str"/>
      <x:c r="I367" s="18" t="str"/>
      <x:c r="J367" s="20" t="str"/>
      <x:c r="K367" s="18" t="str"/>
      <x:c r="L367" s="18" t="str"/>
      <x:c r="M367" s="18" t="str">
        <x:v>2026-06-12</x:v>
      </x:c>
      <x:c r="N367" s="18" t="str"/>
      <x:c r="O367" s="18" t="str">
        <x:v>ibbi_1i9otj9</x:v>
      </x:c>
      <x:c r="P367" s="18" t="str">
        <x:v>Navalmar Shipping (India) Private Limited-Through its Resolution Professional</x:v>
      </x:c>
      <x:c r="Q367" s="18" t="str">
        <x:v>Navalmar Shipping (India) Private Limited</x:v>
      </x:c>
      <x:c r="R367" s="18" t="str">
        <x:v>JANAK JAGJIVAN SHAH</x:v>
      </x:c>
      <x:c r="S367" s="18" t="str">
        <x:v>2026-07-09</x:v>
      </x:c>
      <x:c r="T367" s="18" t="str">
        <x:v>Public Announcement of Liquidation Process</x:v>
      </x:c>
      <x:c r="U367" s="18" t="str"/>
      <x:c r="V367" s="18" t="str">
        <x:v>DEFINED_TERMINAL_OR_FEED_SCOPE</x:v>
      </x:c>
      <x:c r="W367" s="18" t="str">
        <x:v>national_ibbi_announcements.json — published records loaded</x:v>
      </x:c>
      <x:c r="X367" s="18" t="str"/>
      <x:c r="Y367" s="18" t="str"/>
      <x:c r="Z367" s="20" t="n">
        <x:v>434</x:v>
      </x:c>
      <x:c r="AA367" s="19" t="n">
        <x:f>IFERROR(TODAY()-DATEVALUE(C367),"")</x:f>
        <x:v>90</x:v>
      </x:c>
      <x:c r="AB367" s="21" t="n">
        <x:f>ROUND(COUNTA(A367:K367)/11*100,0)</x:f>
        <x:v>100</x:v>
      </x:c>
      <x:c r="AC367" s="18" t="str">
        <x:v>National Company Law Tribunal</x:v>
      </x:c>
      <x:c r="AD367" s="22" t="str">
        <x:v>https://ibbi.gov.in/uploads/announcement/2026-06-15-155435-bsv0w-65c7f5e963fba4df879482159c684ab2.pdf</x:v>
      </x:c>
      <x:c r="AE367" s="18" t="str">
        <x:v>2026-06-12</x:v>
      </x:c>
      <x:c r="AF367" s="18" t="n">
        <x:v>46275.114583333336</x:v>
      </x:c>
      <x:c r="AG367" s="18" t="str">
        <x:v>retained_terminal</x:v>
      </x:c>
      <x:c r="AH367" s="18" t="str">
        <x:v>READY</x:v>
      </x:c>
    </x:row>
    <x:row r="368">
      <x:c r="A368" s="18" t="str">
        <x:v>NYT-47-a297a6ed4335a8a3</x:v>
      </x:c>
      <x:c r="B368" s="18" t="str">
        <x:v>NCLT / NCLAT (Insolvency) source coverage</x:v>
      </x:c>
      <x:c r="C368" s="18" t="str">
        <x:v>2026-06-12</x:v>
      </x:c>
      <x:c r="D368" s="18" t="n">
        <x:v>2026</x:v>
      </x:c>
      <x:c r="E368" s="18" t="str">
        <x:v>2026-06</x:v>
      </x:c>
      <x:c r="F368" s="18" t="str"/>
      <x:c r="G368" s="18" t="str">
        <x:v>Public Announcement of Voluntary Liquidation Process</x:v>
      </x:c>
      <x:c r="H368" s="18" t="str"/>
      <x:c r="I368" s="18" t="str"/>
      <x:c r="J368" s="20" t="str"/>
      <x:c r="K368" s="18" t="str"/>
      <x:c r="L368" s="18" t="str"/>
      <x:c r="M368" s="18" t="str">
        <x:v>2026-06-12</x:v>
      </x:c>
      <x:c r="N368" s="18" t="str"/>
      <x:c r="O368" s="18" t="str">
        <x:v>ibbi_94wji9</x:v>
      </x:c>
      <x:c r="P368" s="18" t="str">
        <x:v>THINK ANALYTICS CONSULTANCY SERVICES PRIVATE LIMITED</x:v>
      </x:c>
      <x:c r="Q368" s="18" t="str">
        <x:v>THINK ANALYTICS CONSULTANCY SERVICES PRIVATE LIMITED</x:v>
      </x:c>
      <x:c r="R368" s="18" t="str">
        <x:v>Mr. Vasudevan Gopu</x:v>
      </x:c>
      <x:c r="S368" s="18" t="str">
        <x:v>2026-07-11</x:v>
      </x:c>
      <x:c r="T368" s="18" t="str">
        <x:v>Public Announcement of Voluntary Liquidation Process</x:v>
      </x:c>
      <x:c r="U368" s="18" t="str"/>
      <x:c r="V368" s="18" t="str">
        <x:v>DEFINED_TERMINAL_OR_FEED_SCOPE</x:v>
      </x:c>
      <x:c r="W368" s="18" t="str">
        <x:v>national_ibbi_announcements.json — published records loaded</x:v>
      </x:c>
      <x:c r="X368" s="18" t="str"/>
      <x:c r="Y368" s="18" t="str"/>
      <x:c r="Z368" s="20" t="n">
        <x:v>434</x:v>
      </x:c>
      <x:c r="AA368" s="19" t="n">
        <x:f>IFERROR(TODAY()-DATEVALUE(C368),"")</x:f>
        <x:v>90</x:v>
      </x:c>
      <x:c r="AB368" s="21" t="n">
        <x:f>ROUND(COUNTA(A368:K368)/11*100,0)</x:f>
        <x:v>100</x:v>
      </x:c>
      <x:c r="AC368" s="18" t="str">
        <x:v>National Company Law Tribunal</x:v>
      </x:c>
      <x:c r="AD368" s="22" t="str">
        <x:v>https://ibbi.gov.in/uploads/announcement/eccd8b5bb4f6ed644750b00fb3c43612.pdf</x:v>
      </x:c>
      <x:c r="AE368" s="18" t="str">
        <x:v>2026-06-12</x:v>
      </x:c>
      <x:c r="AF368" s="18" t="n">
        <x:v>46275.114583333336</x:v>
      </x:c>
      <x:c r="AG368" s="18" t="str">
        <x:v>retained_terminal</x:v>
      </x:c>
      <x:c r="AH368" s="18" t="str">
        <x:v>READY</x:v>
      </x:c>
    </x:row>
    <x:row r="369">
      <x:c r="A369" s="18" t="str">
        <x:v>NYT-47-959266129303fffb</x:v>
      </x:c>
      <x:c r="B369" s="18" t="str">
        <x:v>NCLT / NCLAT (Insolvency) source coverage</x:v>
      </x:c>
      <x:c r="C369" s="18" t="str">
        <x:v>2026-06-12</x:v>
      </x:c>
      <x:c r="D369" s="18" t="n">
        <x:v>2026</x:v>
      </x:c>
      <x:c r="E369" s="18" t="str">
        <x:v>2026-06</x:v>
      </x:c>
      <x:c r="F369" s="18" t="str"/>
      <x:c r="G369" s="18" t="str">
        <x:v>Public Announcement of Corporate Insolvency Resolution Process</x:v>
      </x:c>
      <x:c r="H369" s="18" t="str"/>
      <x:c r="I369" s="18" t="str"/>
      <x:c r="J369" s="20" t="str"/>
      <x:c r="K369" s="18" t="str"/>
      <x:c r="L369" s="18" t="str"/>
      <x:c r="M369" s="18" t="str">
        <x:v>2026-06-12</x:v>
      </x:c>
      <x:c r="N369" s="18" t="str"/>
      <x:c r="O369" s="18" t="str">
        <x:v>ibbi_ed0o6e</x:v>
      </x:c>
      <x:c r="P369" s="18" t="str">
        <x:v>Standard Capital Markets Limited</x:v>
      </x:c>
      <x:c r="Q369" s="18" t="str">
        <x:v>ARELI COMMERCE PRIVATE LIMITED</x:v>
      </x:c>
      <x:c r="R369" s="18" t="str">
        <x:v>VARUN ANIL CHOPRA</x:v>
      </x:c>
      <x:c r="S369" s="18" t="str">
        <x:v>2026-06-24</x:v>
      </x:c>
      <x:c r="T369" s="18" t="str">
        <x:v>Public Announcement of Corporate Insolvency Resolution Process</x:v>
      </x:c>
      <x:c r="U369" s="18" t="str"/>
      <x:c r="V369" s="18" t="str">
        <x:v>DEFINED_TERMINAL_OR_FEED_SCOPE</x:v>
      </x:c>
      <x:c r="W369" s="18" t="str">
        <x:v>national_ibbi_announcements.json — published records loaded</x:v>
      </x:c>
      <x:c r="X369" s="18" t="str"/>
      <x:c r="Y369" s="18" t="str"/>
      <x:c r="Z369" s="20" t="n">
        <x:v>434</x:v>
      </x:c>
      <x:c r="AA369" s="19" t="n">
        <x:f>IFERROR(TODAY()-DATEVALUE(C369),"")</x:f>
        <x:v>90</x:v>
      </x:c>
      <x:c r="AB369" s="21" t="n">
        <x:f>ROUND(COUNTA(A369:K369)/11*100,0)</x:f>
        <x:v>100</x:v>
      </x:c>
      <x:c r="AC369" s="18" t="str">
        <x:v>National Company Law Tribunal</x:v>
      </x:c>
      <x:c r="AD369" s="22" t="str">
        <x:v>https://ibbi.gov.in/uploads/announcement/2026-06-13-163503-mhkax-3b2339050f45f034ee0fda92f65f1263.pdf</x:v>
      </x:c>
      <x:c r="AE369" s="18" t="str">
        <x:v>2026-06-12</x:v>
      </x:c>
      <x:c r="AF369" s="18" t="n">
        <x:v>46275.114583333336</x:v>
      </x:c>
      <x:c r="AG369" s="18" t="str">
        <x:v>retained_terminal</x:v>
      </x:c>
      <x:c r="AH369" s="18" t="str">
        <x:v>READY</x:v>
      </x:c>
    </x:row>
    <x:row r="370">
      <x:c r="A370" s="18" t="str">
        <x:v>NYT-47-9dc736a36b94c618</x:v>
      </x:c>
      <x:c r="B370" s="18" t="str">
        <x:v>NCLT / NCLAT (Insolvency) source coverage</x:v>
      </x:c>
      <x:c r="C370" s="18" t="str">
        <x:v>2026-06-12</x:v>
      </x:c>
      <x:c r="D370" s="18" t="n">
        <x:v>2026</x:v>
      </x:c>
      <x:c r="E370" s="18" t="str">
        <x:v>2026-06</x:v>
      </x:c>
      <x:c r="F370" s="18" t="str"/>
      <x:c r="G370" s="18" t="str">
        <x:v>Public Announcement of Corporate Insolvency Resolution Process</x:v>
      </x:c>
      <x:c r="H370" s="18" t="str"/>
      <x:c r="I370" s="18" t="str"/>
      <x:c r="J370" s="20" t="str"/>
      <x:c r="K370" s="18" t="str"/>
      <x:c r="L370" s="18" t="str"/>
      <x:c r="M370" s="18" t="str">
        <x:v>2026-06-12</x:v>
      </x:c>
      <x:c r="N370" s="18" t="str"/>
      <x:c r="O370" s="18" t="str">
        <x:v>ibbi_1sfd21a</x:v>
      </x:c>
      <x:c r="P370" s="18" t="str">
        <x:v>ECSO Global Private Limited</x:v>
      </x:c>
      <x:c r="Q370" s="18" t="str">
        <x:v>MOGUIRE VIRAGO PRIVATE LIMITED</x:v>
      </x:c>
      <x:c r="R370" s="18" t="str">
        <x:v>RAGHU RAJA H</x:v>
      </x:c>
      <x:c r="S370" s="18" t="str">
        <x:v>2026-06-26</x:v>
      </x:c>
      <x:c r="T370" s="18" t="str">
        <x:v>Public Announcement of Corporate Insolvency Resolution Process</x:v>
      </x:c>
      <x:c r="U370" s="18" t="str"/>
      <x:c r="V370" s="18" t="str">
        <x:v>DEFINED_TERMINAL_OR_FEED_SCOPE</x:v>
      </x:c>
      <x:c r="W370" s="18" t="str">
        <x:v>national_ibbi_announcements.json — published records loaded</x:v>
      </x:c>
      <x:c r="X370" s="18" t="str"/>
      <x:c r="Y370" s="18" t="str"/>
      <x:c r="Z370" s="20" t="n">
        <x:v>434</x:v>
      </x:c>
      <x:c r="AA370" s="19" t="n">
        <x:f>IFERROR(TODAY()-DATEVALUE(C370),"")</x:f>
        <x:v>90</x:v>
      </x:c>
      <x:c r="AB370" s="21" t="n">
        <x:f>ROUND(COUNTA(A370:K370)/11*100,0)</x:f>
        <x:v>100</x:v>
      </x:c>
      <x:c r="AC370" s="18" t="str">
        <x:v>National Company Law Tribunal</x:v>
      </x:c>
      <x:c r="AD370" s="22" t="str">
        <x:v>https://ibbi.gov.in/uploads/announcement/be1be2c1692e0681d3a2fb22f0573e7c.pdf</x:v>
      </x:c>
      <x:c r="AE370" s="18" t="str">
        <x:v>2026-06-12</x:v>
      </x:c>
      <x:c r="AF370" s="18" t="n">
        <x:v>46275.114583333336</x:v>
      </x:c>
      <x:c r="AG370" s="18" t="str">
        <x:v>retained_terminal</x:v>
      </x:c>
      <x:c r="AH370" s="18" t="str">
        <x:v>READY</x:v>
      </x:c>
    </x:row>
    <x:row r="371">
      <x:c r="A371" s="18" t="str">
        <x:v>NYT-47-13cb64c5fbcd71e9</x:v>
      </x:c>
      <x:c r="B371" s="18" t="str">
        <x:v>NCLT / NCLAT (Insolvency) source coverage</x:v>
      </x:c>
      <x:c r="C371" s="18" t="str">
        <x:v>2026-06-12</x:v>
      </x:c>
      <x:c r="D371" s="18" t="n">
        <x:v>2026</x:v>
      </x:c>
      <x:c r="E371" s="18" t="str">
        <x:v>2026-06</x:v>
      </x:c>
      <x:c r="F371" s="18" t="str"/>
      <x:c r="G371" s="18" t="str">
        <x:v>Public Announcement of Corporate Insolvency Resolution Process</x:v>
      </x:c>
      <x:c r="H371" s="18" t="str"/>
      <x:c r="I371" s="18" t="str"/>
      <x:c r="J371" s="20" t="str"/>
      <x:c r="K371" s="18" t="str"/>
      <x:c r="L371" s="18" t="str"/>
      <x:c r="M371" s="18" t="str">
        <x:v>2026-06-12</x:v>
      </x:c>
      <x:c r="N371" s="18" t="str"/>
      <x:c r="O371" s="18" t="str">
        <x:v>ibbi_p11eeq</x:v>
      </x:c>
      <x:c r="P371" s="18" t="str">
        <x:v>Indian Bank</x:v>
      </x:c>
      <x:c r="Q371" s="18" t="str">
        <x:v>APL METALS LIMITED</x:v>
      </x:c>
      <x:c r="R371" s="18" t="str">
        <x:v>Mr. Santanu Brahma</x:v>
      </x:c>
      <x:c r="S371" s="18" t="str">
        <x:v>2026-06-23</x:v>
      </x:c>
      <x:c r="T371" s="18" t="str">
        <x:v>Public Announcement of Corporate Insolvency Resolution Process</x:v>
      </x:c>
      <x:c r="U371" s="18" t="str"/>
      <x:c r="V371" s="18" t="str">
        <x:v>DEFINED_TERMINAL_OR_FEED_SCOPE</x:v>
      </x:c>
      <x:c r="W371" s="18" t="str">
        <x:v>national_ibbi_announcements.json — published records loaded</x:v>
      </x:c>
      <x:c r="X371" s="18" t="str"/>
      <x:c r="Y371" s="18" t="str"/>
      <x:c r="Z371" s="20" t="n">
        <x:v>434</x:v>
      </x:c>
      <x:c r="AA371" s="19" t="n">
        <x:f>IFERROR(TODAY()-DATEVALUE(C371),"")</x:f>
        <x:v>90</x:v>
      </x:c>
      <x:c r="AB371" s="21" t="n">
        <x:f>ROUND(COUNTA(A371:K371)/11*100,0)</x:f>
        <x:v>100</x:v>
      </x:c>
      <x:c r="AC371" s="18" t="str">
        <x:v>National Company Law Tribunal</x:v>
      </x:c>
      <x:c r="AD371" s="22" t="str">
        <x:v>https://ibbi.gov.in/uploads/announcement/a240fa27925a635b08dc28c9e4f9216d.pdf</x:v>
      </x:c>
      <x:c r="AE371" s="18" t="str">
        <x:v>2026-06-12</x:v>
      </x:c>
      <x:c r="AF371" s="18" t="n">
        <x:v>46275.114583333336</x:v>
      </x:c>
      <x:c r="AG371" s="18" t="str">
        <x:v>retained_terminal</x:v>
      </x:c>
      <x:c r="AH371" s="18" t="str">
        <x:v>READY</x:v>
      </x:c>
    </x:row>
    <x:row r="372">
      <x:c r="A372" s="18" t="str">
        <x:v>NYT-47-95b570f4715424c6</x:v>
      </x:c>
      <x:c r="B372" s="18" t="str">
        <x:v>NCLT / NCLAT (Insolvency) source coverage</x:v>
      </x:c>
      <x:c r="C372" s="18" t="str">
        <x:v>2026-06-11</x:v>
      </x:c>
      <x:c r="D372" s="18" t="n">
        <x:v>2026</x:v>
      </x:c>
      <x:c r="E372" s="18" t="str">
        <x:v>2026-06</x:v>
      </x:c>
      <x:c r="F372" s="18" t="str"/>
      <x:c r="G372" s="18" t="str">
        <x:v>Public Announcement of Corporate Insolvency Resolution Process</x:v>
      </x:c>
      <x:c r="H372" s="18" t="str"/>
      <x:c r="I372" s="18" t="str"/>
      <x:c r="J372" s="20" t="str"/>
      <x:c r="K372" s="18" t="str"/>
      <x:c r="L372" s="18" t="str"/>
      <x:c r="M372" s="18" t="str">
        <x:v>2026-06-11</x:v>
      </x:c>
      <x:c r="N372" s="18" t="str"/>
      <x:c r="O372" s="18" t="str">
        <x:v>ibbi_1cbk3i3</x:v>
      </x:c>
      <x:c r="P372" s="18" t="str">
        <x:v>M/s Harbhole Agrotech</x:v>
      </x:c>
      <x:c r="Q372" s="18" t="str">
        <x:v>EVOQ REMEDIES LIMITED</x:v>
      </x:c>
      <x:c r="R372" s="18" t="str">
        <x:v>Dipti Narayan Mundra</x:v>
      </x:c>
      <x:c r="S372" s="18" t="str">
        <x:v>2026-06-23</x:v>
      </x:c>
      <x:c r="T372" s="18" t="str">
        <x:v>Public Announcement of Corporate Insolvency Resolution Process</x:v>
      </x:c>
      <x:c r="U372" s="18" t="str"/>
      <x:c r="V372" s="18" t="str">
        <x:v>DEFINED_TERMINAL_OR_FEED_SCOPE</x:v>
      </x:c>
      <x:c r="W372" s="18" t="str">
        <x:v>national_ibbi_announcements.json — published records loaded</x:v>
      </x:c>
      <x:c r="X372" s="18" t="str"/>
      <x:c r="Y372" s="18" t="str"/>
      <x:c r="Z372" s="20" t="n">
        <x:v>434</x:v>
      </x:c>
      <x:c r="AA372" s="19" t="n">
        <x:f>IFERROR(TODAY()-DATEVALUE(C372),"")</x:f>
        <x:v>91</x:v>
      </x:c>
      <x:c r="AB372" s="21" t="n">
        <x:f>ROUND(COUNTA(A372:K372)/11*100,0)</x:f>
        <x:v>100</x:v>
      </x:c>
      <x:c r="AC372" s="18" t="str">
        <x:v>National Company Law Tribunal</x:v>
      </x:c>
      <x:c r="AD372" s="22" t="str">
        <x:v>https://ibbi.gov.in/uploads/announcement/a2b3a153d729652a5a8e31b2a157d80b.pdf</x:v>
      </x:c>
      <x:c r="AE372" s="18" t="str">
        <x:v>2026-06-11</x:v>
      </x:c>
      <x:c r="AF372" s="18" t="n">
        <x:v>46275.114583333336</x:v>
      </x:c>
      <x:c r="AG372" s="18" t="str">
        <x:v>retained_terminal</x:v>
      </x:c>
      <x:c r="AH372" s="18" t="str">
        <x:v>READY</x:v>
      </x:c>
    </x:row>
    <x:row r="373">
      <x:c r="A373" s="18" t="str">
        <x:v>NYT-47-1ebd60815eba0a15</x:v>
      </x:c>
      <x:c r="B373" s="18" t="str">
        <x:v>NCLT / NCLAT (Insolvency) source coverage</x:v>
      </x:c>
      <x:c r="C373" s="18" t="str">
        <x:v>2026-06-10</x:v>
      </x:c>
      <x:c r="D373" s="18" t="n">
        <x:v>2026</x:v>
      </x:c>
      <x:c r="E373" s="18" t="str">
        <x:v>2026-06</x:v>
      </x:c>
      <x:c r="F373" s="18" t="str"/>
      <x:c r="G373" s="18" t="str">
        <x:v>Public Announcement of Voluntary Liquidation Process</x:v>
      </x:c>
      <x:c r="H373" s="18" t="str"/>
      <x:c r="I373" s="18" t="str"/>
      <x:c r="J373" s="20" t="str"/>
      <x:c r="K373" s="18" t="str"/>
      <x:c r="L373" s="18" t="str"/>
      <x:c r="M373" s="18" t="str">
        <x:v>2026-06-10</x:v>
      </x:c>
      <x:c r="N373" s="18" t="str"/>
      <x:c r="O373" s="18" t="str">
        <x:v>ibbi_1q2u61a</x:v>
      </x:c>
      <x:c r="P373" s="18" t="str">
        <x:v>PSION SYSTEMS INDIA PRIVATE LIMITED</x:v>
      </x:c>
      <x:c r="Q373" s="18" t="str">
        <x:v>PSION SYSTEMS INDIA PRIVATE LIMITED</x:v>
      </x:c>
      <x:c r="R373" s="18" t="str">
        <x:v>Kapil Bagadia</x:v>
      </x:c>
      <x:c r="S373" s="18" t="str">
        <x:v>2026-07-08</x:v>
      </x:c>
      <x:c r="T373" s="18" t="str">
        <x:v>Public Announcement of Voluntary Liquidation Process</x:v>
      </x:c>
      <x:c r="U373" s="18" t="str"/>
      <x:c r="V373" s="18" t="str">
        <x:v>DEFINED_TERMINAL_OR_FEED_SCOPE</x:v>
      </x:c>
      <x:c r="W373" s="18" t="str">
        <x:v>national_ibbi_announcements.json — published records loaded</x:v>
      </x:c>
      <x:c r="X373" s="18" t="str"/>
      <x:c r="Y373" s="18" t="str"/>
      <x:c r="Z373" s="20" t="n">
        <x:v>434</x:v>
      </x:c>
      <x:c r="AA373" s="19" t="n">
        <x:f>IFERROR(TODAY()-DATEVALUE(C373),"")</x:f>
        <x:v>92</x:v>
      </x:c>
      <x:c r="AB373" s="21" t="n">
        <x:f>ROUND(COUNTA(A373:K373)/11*100,0)</x:f>
        <x:v>100</x:v>
      </x:c>
      <x:c r="AC373" s="18" t="str">
        <x:v>National Company Law Tribunal</x:v>
      </x:c>
      <x:c r="AD373" s="22" t="str">
        <x:v>https://ibbi.gov.in/uploads/announcement/68648b66f2c6e15a3e3f35f11802f5fe.pdf</x:v>
      </x:c>
      <x:c r="AE373" s="18" t="str">
        <x:v>2026-06-10</x:v>
      </x:c>
      <x:c r="AF373" s="18" t="n">
        <x:v>46275.114583333336</x:v>
      </x:c>
      <x:c r="AG373" s="18" t="str">
        <x:v>retained_terminal</x:v>
      </x:c>
      <x:c r="AH373" s="18" t="str">
        <x:v>READY</x:v>
      </x:c>
    </x:row>
    <x:row r="374">
      <x:c r="A374" s="18" t="str">
        <x:v>NYT-47-277f9eefa834c252</x:v>
      </x:c>
      <x:c r="B374" s="18" t="str">
        <x:v>NCLT / NCLAT (Insolvency) source coverage</x:v>
      </x:c>
      <x:c r="C374" s="18" t="str">
        <x:v>2026-06-10</x:v>
      </x:c>
      <x:c r="D374" s="18" t="n">
        <x:v>2026</x:v>
      </x:c>
      <x:c r="E374" s="18" t="str">
        <x:v>2026-06</x:v>
      </x:c>
      <x:c r="F374" s="18" t="str"/>
      <x:c r="G374" s="18" t="str">
        <x:v>Public Announcement of Corporate Insolvency Resolution Process</x:v>
      </x:c>
      <x:c r="H374" s="18" t="str"/>
      <x:c r="I374" s="18" t="str"/>
      <x:c r="J374" s="20" t="str"/>
      <x:c r="K374" s="18" t="str"/>
      <x:c r="L374" s="18" t="str"/>
      <x:c r="M374" s="18" t="str">
        <x:v>2026-06-10</x:v>
      </x:c>
      <x:c r="N374" s="18" t="str"/>
      <x:c r="O374" s="18" t="str">
        <x:v>ibbi_wymk99</x:v>
      </x:c>
      <x:c r="P374" s="18" t="str">
        <x:v>Surinder Aggarwal &amp; Ors.</x:v>
      </x:c>
      <x:c r="Q374" s="18" t="str">
        <x:v>Raheja Developers Limited</x:v>
      </x:c>
      <x:c r="R374" s="18" t="str">
        <x:v>Mr. Ayyagari Viswanadha Sarma</x:v>
      </x:c>
      <x:c r="S374" s="18" t="str">
        <x:v>2026-06-22</x:v>
      </x:c>
      <x:c r="T374" s="18" t="str">
        <x:v>Public Announcement of Corporate Insolvency Resolution Process</x:v>
      </x:c>
      <x:c r="U374" s="18" t="str"/>
      <x:c r="V374" s="18" t="str">
        <x:v>DEFINED_TERMINAL_OR_FEED_SCOPE</x:v>
      </x:c>
      <x:c r="W374" s="18" t="str">
        <x:v>national_ibbi_announcements.json — published records loaded</x:v>
      </x:c>
      <x:c r="X374" s="18" t="str"/>
      <x:c r="Y374" s="18" t="str"/>
      <x:c r="Z374" s="20" t="n">
        <x:v>434</x:v>
      </x:c>
      <x:c r="AA374" s="19" t="n">
        <x:f>IFERROR(TODAY()-DATEVALUE(C374),"")</x:f>
        <x:v>92</x:v>
      </x:c>
      <x:c r="AB374" s="21" t="n">
        <x:f>ROUND(COUNTA(A374:K374)/11*100,0)</x:f>
        <x:v>100</x:v>
      </x:c>
      <x:c r="AC374" s="18" t="str">
        <x:v>National Company Law Tribunal</x:v>
      </x:c>
      <x:c r="AD374" s="22" t="str">
        <x:v>https://ibbi.gov.in/uploads/announcement/aa7d8fac143a8bcb4c733e0fd84340ef.jpg</x:v>
      </x:c>
      <x:c r="AE374" s="18" t="str">
        <x:v>2026-06-10</x:v>
      </x:c>
      <x:c r="AF374" s="18" t="n">
        <x:v>46275.114583333336</x:v>
      </x:c>
      <x:c r="AG374" s="18" t="str">
        <x:v>retained_terminal</x:v>
      </x:c>
      <x:c r="AH374" s="18" t="str">
        <x:v>READY</x:v>
      </x:c>
    </x:row>
    <x:row r="375">
      <x:c r="A375" s="18" t="str">
        <x:v>NYT-47-2ada7c398b97a4bf</x:v>
      </x:c>
      <x:c r="B375" s="18" t="str">
        <x:v>NCLT / NCLAT (Insolvency) source coverage</x:v>
      </x:c>
      <x:c r="C375" s="18" t="str">
        <x:v>2026-06-10</x:v>
      </x:c>
      <x:c r="D375" s="18" t="n">
        <x:v>2026</x:v>
      </x:c>
      <x:c r="E375" s="18" t="str">
        <x:v>2026-06</x:v>
      </x:c>
      <x:c r="F375" s="18" t="str"/>
      <x:c r="G375" s="18" t="str">
        <x:v>Public Announcement of Voluntary Liquidation Process</x:v>
      </x:c>
      <x:c r="H375" s="18" t="str"/>
      <x:c r="I375" s="18" t="str"/>
      <x:c r="J375" s="20" t="str"/>
      <x:c r="K375" s="18" t="str"/>
      <x:c r="L375" s="18" t="str"/>
      <x:c r="M375" s="18" t="str">
        <x:v>2026-06-10</x:v>
      </x:c>
      <x:c r="N375" s="18" t="str"/>
      <x:c r="O375" s="18" t="str">
        <x:v>ibbi_a44o82</x:v>
      </x:c>
      <x:c r="P375" s="18" t="str">
        <x:v>DESERVE LABS PRIVATE LIMITED</x:v>
      </x:c>
      <x:c r="Q375" s="18" t="str">
        <x:v>DESERVE LABS PRIVATE LIMITED</x:v>
      </x:c>
      <x:c r="R375" s="18" t="str">
        <x:v>Ms. Anagha Anasingaraju</x:v>
      </x:c>
      <x:c r="S375" s="18" t="str">
        <x:v>2026-07-05</x:v>
      </x:c>
      <x:c r="T375" s="18" t="str">
        <x:v>Public Announcement of Voluntary Liquidation Process</x:v>
      </x:c>
      <x:c r="U375" s="18" t="str"/>
      <x:c r="V375" s="18" t="str">
        <x:v>DEFINED_TERMINAL_OR_FEED_SCOPE</x:v>
      </x:c>
      <x:c r="W375" s="18" t="str">
        <x:v>national_ibbi_announcements.json — published records loaded</x:v>
      </x:c>
      <x:c r="X375" s="18" t="str"/>
      <x:c r="Y375" s="18" t="str"/>
      <x:c r="Z375" s="20" t="n">
        <x:v>434</x:v>
      </x:c>
      <x:c r="AA375" s="19" t="n">
        <x:f>IFERROR(TODAY()-DATEVALUE(C375),"")</x:f>
        <x:v>92</x:v>
      </x:c>
      <x:c r="AB375" s="21" t="n">
        <x:f>ROUND(COUNTA(A375:K375)/11*100,0)</x:f>
        <x:v>100</x:v>
      </x:c>
      <x:c r="AC375" s="18" t="str">
        <x:v>National Company Law Tribunal</x:v>
      </x:c>
      <x:c r="AD375" s="22" t="str">
        <x:v>https://ibbi.gov.in/uploads/announcement/b443b42008c09911f8b5015b43a15a82.pdf</x:v>
      </x:c>
      <x:c r="AE375" s="18" t="str">
        <x:v>2026-06-10</x:v>
      </x:c>
      <x:c r="AF375" s="18" t="n">
        <x:v>46275.114583333336</x:v>
      </x:c>
      <x:c r="AG375" s="18" t="str">
        <x:v>retained_terminal</x:v>
      </x:c>
      <x:c r="AH375" s="18" t="str">
        <x:v>READY</x:v>
      </x:c>
    </x:row>
    <x:row r="376">
      <x:c r="A376" s="18" t="str">
        <x:v>NYT-47-6d29558844dad290</x:v>
      </x:c>
      <x:c r="B376" s="18" t="str">
        <x:v>NCLT / NCLAT (Insolvency) source coverage</x:v>
      </x:c>
      <x:c r="C376" s="18" t="str">
        <x:v>2026-06-09</x:v>
      </x:c>
      <x:c r="D376" s="18" t="n">
        <x:v>2026</x:v>
      </x:c>
      <x:c r="E376" s="18" t="str">
        <x:v>2026-06</x:v>
      </x:c>
      <x:c r="F376" s="18" t="str"/>
      <x:c r="G376" s="18" t="str">
        <x:v>Public Announcement of Liquidation Process</x:v>
      </x:c>
      <x:c r="H376" s="18" t="str"/>
      <x:c r="I376" s="18" t="str"/>
      <x:c r="J376" s="20" t="str"/>
      <x:c r="K376" s="18" t="str"/>
      <x:c r="L376" s="18" t="str"/>
      <x:c r="M376" s="18" t="str">
        <x:v>2026-06-09</x:v>
      </x:c>
      <x:c r="N376" s="18" t="str"/>
      <x:c r="O376" s="18" t="str">
        <x:v>ibbi_1aak3e1</x:v>
      </x:c>
      <x:c r="P376" s="18" t="str">
        <x:v>WIN HIDE PRIVATE LIMITED</x:v>
      </x:c>
      <x:c r="Q376" s="18" t="str">
        <x:v>WIN HIDE PRIVATE LIMITED</x:v>
      </x:c>
      <x:c r="R376" s="18" t="str">
        <x:v>SUDHIR GS</x:v>
      </x:c>
      <x:c r="S376" s="18" t="str">
        <x:v>2026-06-09</x:v>
      </x:c>
      <x:c r="T376" s="18" t="str">
        <x:v>Public Announcement of Liquidation Process</x:v>
      </x:c>
      <x:c r="U376" s="18" t="str"/>
      <x:c r="V376" s="18" t="str">
        <x:v>DEFINED_TERMINAL_OR_FEED_SCOPE</x:v>
      </x:c>
      <x:c r="W376" s="18" t="str">
        <x:v>national_ibbi_announcements.json — published records loaded</x:v>
      </x:c>
      <x:c r="X376" s="18" t="str"/>
      <x:c r="Y376" s="18" t="str"/>
      <x:c r="Z376" s="20" t="n">
        <x:v>434</x:v>
      </x:c>
      <x:c r="AA376" s="19" t="n">
        <x:f>IFERROR(TODAY()-DATEVALUE(C376),"")</x:f>
        <x:v>93</x:v>
      </x:c>
      <x:c r="AB376" s="21" t="n">
        <x:f>ROUND(COUNTA(A376:K376)/11*100,0)</x:f>
        <x:v>100</x:v>
      </x:c>
      <x:c r="AC376" s="18" t="str">
        <x:v>National Company Law Tribunal</x:v>
      </x:c>
      <x:c r="AD376" s="22" t="str">
        <x:v>https://ibbi.gov.in/uploads/announcement/85a2a269c8f24db6375c1d582ddf8989.pdf</x:v>
      </x:c>
      <x:c r="AE376" s="18" t="str">
        <x:v>2026-06-09</x:v>
      </x:c>
      <x:c r="AF376" s="18" t="n">
        <x:v>46275.114583333336</x:v>
      </x:c>
      <x:c r="AG376" s="18" t="str">
        <x:v>retained_terminal</x:v>
      </x:c>
      <x:c r="AH376" s="18" t="str">
        <x:v>READY</x:v>
      </x:c>
    </x:row>
    <x:row r="377">
      <x:c r="A377" s="18" t="str">
        <x:v>NYT-47-ba951b3110a8be47</x:v>
      </x:c>
      <x:c r="B377" s="18" t="str">
        <x:v>NCLT / NCLAT (Insolvency) source coverage</x:v>
      </x:c>
      <x:c r="C377" s="18" t="str">
        <x:v>2026-06-09</x:v>
      </x:c>
      <x:c r="D377" s="18" t="n">
        <x:v>2026</x:v>
      </x:c>
      <x:c r="E377" s="18" t="str">
        <x:v>2026-06</x:v>
      </x:c>
      <x:c r="F377" s="18" t="str"/>
      <x:c r="G377" s="18" t="str">
        <x:v>Public Announcement of Voluntary Liquidation Process</x:v>
      </x:c>
      <x:c r="H377" s="18" t="str"/>
      <x:c r="I377" s="18" t="str"/>
      <x:c r="J377" s="20" t="str"/>
      <x:c r="K377" s="18" t="str"/>
      <x:c r="L377" s="18" t="str"/>
      <x:c r="M377" s="18" t="str">
        <x:v>2026-06-09</x:v>
      </x:c>
      <x:c r="N377" s="18" t="str"/>
      <x:c r="O377" s="18" t="str">
        <x:v>ibbi_18tlysu</x:v>
      </x:c>
      <x:c r="P377" s="18" t="str">
        <x:v>TMSS VENTURES PRIVATE LIMITED</x:v>
      </x:c>
      <x:c r="Q377" s="18" t="str">
        <x:v>TMSS VENTURES PRIVATE LIMITED</x:v>
      </x:c>
      <x:c r="R377" s="18" t="str">
        <x:v>Mr. Devesh Pathak</x:v>
      </x:c>
      <x:c r="S377" s="18" t="str">
        <x:v>2026-07-08</x:v>
      </x:c>
      <x:c r="T377" s="18" t="str">
        <x:v>Public Announcement of Voluntary Liquidation Process</x:v>
      </x:c>
      <x:c r="U377" s="18" t="str"/>
      <x:c r="V377" s="18" t="str">
        <x:v>DEFINED_TERMINAL_OR_FEED_SCOPE</x:v>
      </x:c>
      <x:c r="W377" s="18" t="str">
        <x:v>national_ibbi_announcements.json — published records loaded</x:v>
      </x:c>
      <x:c r="X377" s="18" t="str"/>
      <x:c r="Y377" s="18" t="str"/>
      <x:c r="Z377" s="20" t="n">
        <x:v>434</x:v>
      </x:c>
      <x:c r="AA377" s="19" t="n">
        <x:f>IFERROR(TODAY()-DATEVALUE(C377),"")</x:f>
        <x:v>93</x:v>
      </x:c>
      <x:c r="AB377" s="21" t="n">
        <x:f>ROUND(COUNTA(A377:K377)/11*100,0)</x:f>
        <x:v>100</x:v>
      </x:c>
      <x:c r="AC377" s="18" t="str">
        <x:v>National Company Law Tribunal</x:v>
      </x:c>
      <x:c r="AD377" s="22" t="str">
        <x:v>https://ibbi.gov.in/uploads/announcement/2026-06-10-124851-ber7v-bef86e1aa2c2ba6b73d3a481f88c6c4e.pdf</x:v>
      </x:c>
      <x:c r="AE377" s="18" t="str">
        <x:v>2026-06-09</x:v>
      </x:c>
      <x:c r="AF377" s="18" t="n">
        <x:v>46275.114583333336</x:v>
      </x:c>
      <x:c r="AG377" s="18" t="str">
        <x:v>retained_terminal</x:v>
      </x:c>
      <x:c r="AH377" s="18" t="str">
        <x:v>READY</x:v>
      </x:c>
    </x:row>
    <x:row r="378">
      <x:c r="A378" s="18" t="str">
        <x:v>NYT-47-76beb6732bed4340</x:v>
      </x:c>
      <x:c r="B378" s="18" t="str">
        <x:v>NCLT / NCLAT (Insolvency) source coverage</x:v>
      </x:c>
      <x:c r="C378" s="18" t="str">
        <x:v>2026-06-09</x:v>
      </x:c>
      <x:c r="D378" s="18" t="n">
        <x:v>2026</x:v>
      </x:c>
      <x:c r="E378" s="18" t="str">
        <x:v>2026-06</x:v>
      </x:c>
      <x:c r="F378" s="18" t="str"/>
      <x:c r="G378" s="18" t="str">
        <x:v>Public Announcement of Voluntary Liquidation Process</x:v>
      </x:c>
      <x:c r="H378" s="18" t="str"/>
      <x:c r="I378" s="18" t="str"/>
      <x:c r="J378" s="20" t="str"/>
      <x:c r="K378" s="18" t="str"/>
      <x:c r="L378" s="18" t="str"/>
      <x:c r="M378" s="18" t="str">
        <x:v>2026-06-09</x:v>
      </x:c>
      <x:c r="N378" s="18" t="str"/>
      <x:c r="O378" s="18" t="str">
        <x:v>ibbi_18aj386</x:v>
      </x:c>
      <x:c r="P378" s="18" t="str">
        <x:v>SCALEUP SYSTEMS INDIA PRIVATE LIMITED</x:v>
      </x:c>
      <x:c r="Q378" s="18" t="str">
        <x:v>SCALEUP SYSTEMS INDIA PRIVATE LIMITED</x:v>
      </x:c>
      <x:c r="R378" s="18" t="str">
        <x:v>Mr. Ravi Kapoor</x:v>
      </x:c>
      <x:c r="S378" s="18" t="str">
        <x:v>2026-07-05</x:v>
      </x:c>
      <x:c r="T378" s="18" t="str">
        <x:v>Public Announcement of Voluntary Liquidation Process</x:v>
      </x:c>
      <x:c r="U378" s="18" t="str"/>
      <x:c r="V378" s="18" t="str">
        <x:v>DEFINED_TERMINAL_OR_FEED_SCOPE</x:v>
      </x:c>
      <x:c r="W378" s="18" t="str">
        <x:v>national_ibbi_announcements.json — published records loaded</x:v>
      </x:c>
      <x:c r="X378" s="18" t="str"/>
      <x:c r="Y378" s="18" t="str"/>
      <x:c r="Z378" s="20" t="n">
        <x:v>434</x:v>
      </x:c>
      <x:c r="AA378" s="19" t="n">
        <x:f>IFERROR(TODAY()-DATEVALUE(C378),"")</x:f>
        <x:v>93</x:v>
      </x:c>
      <x:c r="AB378" s="21" t="n">
        <x:f>ROUND(COUNTA(A378:K378)/11*100,0)</x:f>
        <x:v>100</x:v>
      </x:c>
      <x:c r="AC378" s="18" t="str">
        <x:v>National Company Law Tribunal</x:v>
      </x:c>
      <x:c r="AD378" s="22" t="str">
        <x:v>https://ibbi.gov.in/uploads/announcement/050ae41d5889c629532748049be2dd83.pdf</x:v>
      </x:c>
      <x:c r="AE378" s="18" t="str">
        <x:v>2026-06-09</x:v>
      </x:c>
      <x:c r="AF378" s="18" t="n">
        <x:v>46275.114583333336</x:v>
      </x:c>
      <x:c r="AG378" s="18" t="str">
        <x:v>retained_terminal</x:v>
      </x:c>
      <x:c r="AH378" s="18" t="str">
        <x:v>READY</x:v>
      </x:c>
    </x:row>
    <x:row r="379">
      <x:c r="A379" s="18" t="str">
        <x:v>NYT-47-600a260d61dca2fc</x:v>
      </x:c>
      <x:c r="B379" s="18" t="str">
        <x:v>NCLT / NCLAT (Insolvency) source coverage</x:v>
      </x:c>
      <x:c r="C379" s="18" t="str">
        <x:v>2026-06-09</x:v>
      </x:c>
      <x:c r="D379" s="18" t="n">
        <x:v>2026</x:v>
      </x:c>
      <x:c r="E379" s="18" t="str">
        <x:v>2026-06</x:v>
      </x:c>
      <x:c r="F379" s="18" t="str"/>
      <x:c r="G379" s="18" t="str">
        <x:v>Public Announcement of Voluntary Liquidation Process</x:v>
      </x:c>
      <x:c r="H379" s="18" t="str"/>
      <x:c r="I379" s="18" t="str"/>
      <x:c r="J379" s="20" t="str"/>
      <x:c r="K379" s="18" t="str"/>
      <x:c r="L379" s="18" t="str"/>
      <x:c r="M379" s="18" t="str">
        <x:v>2026-06-09</x:v>
      </x:c>
      <x:c r="N379" s="18" t="str"/>
      <x:c r="O379" s="18" t="str">
        <x:v>ibbi_i8llg8</x:v>
      </x:c>
      <x:c r="P379" s="18" t="str">
        <x:v>GREENOLIVE TECHNOLOGIES PRIVATE LIMITED</x:v>
      </x:c>
      <x:c r="Q379" s="18" t="str">
        <x:v>GREENOLIVE TECHNOLOGIES PRIVATE LIMITED</x:v>
      </x:c>
      <x:c r="R379" s="18" t="str">
        <x:v>Naveen Narang</x:v>
      </x:c>
      <x:c r="S379" s="18" t="str">
        <x:v>2026-07-05</x:v>
      </x:c>
      <x:c r="T379" s="18" t="str">
        <x:v>Public Announcement of Voluntary Liquidation Process</x:v>
      </x:c>
      <x:c r="U379" s="18" t="str"/>
      <x:c r="V379" s="18" t="str">
        <x:v>DEFINED_TERMINAL_OR_FEED_SCOPE</x:v>
      </x:c>
      <x:c r="W379" s="18" t="str">
        <x:v>national_ibbi_announcements.json — published records loaded</x:v>
      </x:c>
      <x:c r="X379" s="18" t="str"/>
      <x:c r="Y379" s="18" t="str"/>
      <x:c r="Z379" s="20" t="n">
        <x:v>434</x:v>
      </x:c>
      <x:c r="AA379" s="19" t="n">
        <x:f>IFERROR(TODAY()-DATEVALUE(C379),"")</x:f>
        <x:v>93</x:v>
      </x:c>
      <x:c r="AB379" s="21" t="n">
        <x:f>ROUND(COUNTA(A379:K379)/11*100,0)</x:f>
        <x:v>100</x:v>
      </x:c>
      <x:c r="AC379" s="18" t="str">
        <x:v>National Company Law Tribunal</x:v>
      </x:c>
      <x:c r="AD379" s="22" t="str">
        <x:v>https://ibbi.gov.in/uploads/announcement/2026-06-11-165151-wnm05-5c06ce6c0111806ecfd4fbad7e27f559.pdf</x:v>
      </x:c>
      <x:c r="AE379" s="18" t="str">
        <x:v>2026-06-09</x:v>
      </x:c>
      <x:c r="AF379" s="18" t="n">
        <x:v>46275.114583333336</x:v>
      </x:c>
      <x:c r="AG379" s="18" t="str">
        <x:v>retained_terminal</x:v>
      </x:c>
      <x:c r="AH379" s="18" t="str">
        <x:v>READY</x:v>
      </x:c>
    </x:row>
    <x:row r="380">
      <x:c r="A380" s="18" t="str">
        <x:v>NYT-47-31be83b8da41d710</x:v>
      </x:c>
      <x:c r="B380" s="18" t="str">
        <x:v>NCLT / NCLAT (Insolvency) source coverage</x:v>
      </x:c>
      <x:c r="C380" s="18" t="str">
        <x:v>2026-06-08</x:v>
      </x:c>
      <x:c r="D380" s="18" t="n">
        <x:v>2026</x:v>
      </x:c>
      <x:c r="E380" s="18" t="str">
        <x:v>2026-06</x:v>
      </x:c>
      <x:c r="F380" s="18" t="str"/>
      <x:c r="G380" s="18" t="str">
        <x:v>Public Announcement of Corporate Insolvency Resolution Process</x:v>
      </x:c>
      <x:c r="H380" s="18" t="str"/>
      <x:c r="I380" s="18" t="str"/>
      <x:c r="J380" s="20" t="str"/>
      <x:c r="K380" s="18" t="str"/>
      <x:c r="L380" s="18" t="str"/>
      <x:c r="M380" s="18" t="str">
        <x:v>2026-06-08</x:v>
      </x:c>
      <x:c r="N380" s="18" t="str"/>
      <x:c r="O380" s="18" t="str">
        <x:v>ibbi_1qv6vx9</x:v>
      </x:c>
      <x:c r="P380" s="18" t="str">
        <x:v>Sandeep Turan</x:v>
      </x:c>
      <x:c r="Q380" s="18" t="str">
        <x:v>PRIMEZONE DEVELOPERS PRIVATE LIMITED</x:v>
      </x:c>
      <x:c r="R380" s="18" t="str">
        <x:v>Mr. Hemanshu Jetley</x:v>
      </x:c>
      <x:c r="S380" s="18" t="str">
        <x:v>2026-06-19</x:v>
      </x:c>
      <x:c r="T380" s="18" t="str">
        <x:v>Public Announcement of Corporate Insolvency Resolution Process</x:v>
      </x:c>
      <x:c r="U380" s="18" t="str"/>
      <x:c r="V380" s="18" t="str">
        <x:v>DEFINED_TERMINAL_OR_FEED_SCOPE</x:v>
      </x:c>
      <x:c r="W380" s="18" t="str">
        <x:v>national_ibbi_announcements.json — published records loaded</x:v>
      </x:c>
      <x:c r="X380" s="18" t="str"/>
      <x:c r="Y380" s="18" t="str"/>
      <x:c r="Z380" s="20" t="n">
        <x:v>434</x:v>
      </x:c>
      <x:c r="AA380" s="19" t="n">
        <x:f>IFERROR(TODAY()-DATEVALUE(C380),"")</x:f>
        <x:v>94</x:v>
      </x:c>
      <x:c r="AB380" s="21" t="n">
        <x:f>ROUND(COUNTA(A380:K380)/11*100,0)</x:f>
        <x:v>100</x:v>
      </x:c>
      <x:c r="AC380" s="18" t="str">
        <x:v>National Company Law Tribunal</x:v>
      </x:c>
      <x:c r="AD380" s="22" t="str">
        <x:v>https://ibbi.gov.in/uploads/announcement/2026-06-09-173740-xa5g9-e5ccee87b9e884971bfb67d4b0c9074c.pdf</x:v>
      </x:c>
      <x:c r="AE380" s="18" t="str">
        <x:v>2026-06-08</x:v>
      </x:c>
      <x:c r="AF380" s="18" t="n">
        <x:v>46275.114583333336</x:v>
      </x:c>
      <x:c r="AG380" s="18" t="str">
        <x:v>retained_terminal</x:v>
      </x:c>
      <x:c r="AH380" s="18" t="str">
        <x:v>READY</x:v>
      </x:c>
    </x:row>
    <x:row r="381">
      <x:c r="A381" s="18" t="str">
        <x:v>NYT-47-80d62b183b9497a9</x:v>
      </x:c>
      <x:c r="B381" s="18" t="str">
        <x:v>NCLT / NCLAT (Insolvency) source coverage</x:v>
      </x:c>
      <x:c r="C381" s="18" t="str">
        <x:v>2026-06-08</x:v>
      </x:c>
      <x:c r="D381" s="18" t="n">
        <x:v>2026</x:v>
      </x:c>
      <x:c r="E381" s="18" t="str">
        <x:v>2026-06</x:v>
      </x:c>
      <x:c r="F381" s="18" t="str"/>
      <x:c r="G381" s="18" t="str">
        <x:v>Public Announcement of Corporate Insolvency Resolution Process</x:v>
      </x:c>
      <x:c r="H381" s="18" t="str"/>
      <x:c r="I381" s="18" t="str"/>
      <x:c r="J381" s="20" t="str"/>
      <x:c r="K381" s="18" t="str"/>
      <x:c r="L381" s="18" t="str"/>
      <x:c r="M381" s="18" t="str">
        <x:v>2026-06-08</x:v>
      </x:c>
      <x:c r="N381" s="18" t="str"/>
      <x:c r="O381" s="18" t="str">
        <x:v>ibbi_1398spq</x:v>
      </x:c>
      <x:c r="P381" s="18" t="str">
        <x:v>KARNATAKA BANK LIMITED</x:v>
      </x:c>
      <x:c r="Q381" s="18" t="str">
        <x:v>BLACKBERRY OVERSEAS PRIVATE LIMITED</x:v>
      </x:c>
      <x:c r="R381" s="18" t="str">
        <x:v>Bhavna Bansal</x:v>
      </x:c>
      <x:c r="S381" s="18" t="str">
        <x:v>2026-06-19</x:v>
      </x:c>
      <x:c r="T381" s="18" t="str">
        <x:v>Public Announcement of Corporate Insolvency Resolution Process</x:v>
      </x:c>
      <x:c r="U381" s="18" t="str"/>
      <x:c r="V381" s="18" t="str">
        <x:v>DEFINED_TERMINAL_OR_FEED_SCOPE</x:v>
      </x:c>
      <x:c r="W381" s="18" t="str">
        <x:v>national_ibbi_announcements.json — published records loaded</x:v>
      </x:c>
      <x:c r="X381" s="18" t="str"/>
      <x:c r="Y381" s="18" t="str"/>
      <x:c r="Z381" s="20" t="n">
        <x:v>434</x:v>
      </x:c>
      <x:c r="AA381" s="19" t="n">
        <x:f>IFERROR(TODAY()-DATEVALUE(C381),"")</x:f>
        <x:v>94</x:v>
      </x:c>
      <x:c r="AB381" s="21" t="n">
        <x:f>ROUND(COUNTA(A381:K381)/11*100,0)</x:f>
        <x:v>100</x:v>
      </x:c>
      <x:c r="AC381" s="18" t="str">
        <x:v>National Company Law Tribunal</x:v>
      </x:c>
      <x:c r="AD381" s="22" t="str">
        <x:v>https://ibbi.gov.in/uploads/announcement/e16704d9e243b23b4f4e557748d6eef6.pdf</x:v>
      </x:c>
      <x:c r="AE381" s="18" t="str">
        <x:v>2026-06-08</x:v>
      </x:c>
      <x:c r="AF381" s="18" t="n">
        <x:v>46275.114583333336</x:v>
      </x:c>
      <x:c r="AG381" s="18" t="str">
        <x:v>retained_terminal</x:v>
      </x:c>
      <x:c r="AH381" s="18" t="str">
        <x:v>READY</x:v>
      </x:c>
    </x:row>
    <x:row r="382">
      <x:c r="A382" s="18" t="str">
        <x:v>NYT-47-abfd97e80b8dddae</x:v>
      </x:c>
      <x:c r="B382" s="18" t="str">
        <x:v>NCLT / NCLAT (Insolvency) source coverage</x:v>
      </x:c>
      <x:c r="C382" s="18" t="str">
        <x:v>2026-06-08</x:v>
      </x:c>
      <x:c r="D382" s="18" t="n">
        <x:v>2026</x:v>
      </x:c>
      <x:c r="E382" s="18" t="str">
        <x:v>2026-06</x:v>
      </x:c>
      <x:c r="F382" s="18" t="str"/>
      <x:c r="G382" s="18" t="str">
        <x:v>Public Announcement of Voluntary Liquidation Process</x:v>
      </x:c>
      <x:c r="H382" s="18" t="str"/>
      <x:c r="I382" s="18" t="str"/>
      <x:c r="J382" s="20" t="str"/>
      <x:c r="K382" s="18" t="str"/>
      <x:c r="L382" s="18" t="str"/>
      <x:c r="M382" s="18" t="str">
        <x:v>2026-06-08</x:v>
      </x:c>
      <x:c r="N382" s="18" t="str"/>
      <x:c r="O382" s="18" t="str">
        <x:v>ibbi_1xnt36y</x:v>
      </x:c>
      <x:c r="P382" s="18" t="str">
        <x:v>Mr. Kondisetty Kumar Dushyantha</x:v>
      </x:c>
      <x:c r="Q382" s="18" t="str">
        <x:v>SMART IT-SOLUTIONS PRIVATE LIMITED</x:v>
      </x:c>
      <x:c r="R382" s="18" t="str">
        <x:v>Mr. Kondisetty Kumar Dushyantha</x:v>
      </x:c>
      <x:c r="S382" s="18" t="str">
        <x:v>2026-07-08</x:v>
      </x:c>
      <x:c r="T382" s="18" t="str">
        <x:v>Public Announcement of Voluntary Liquidation Process</x:v>
      </x:c>
      <x:c r="U382" s="18" t="str"/>
      <x:c r="V382" s="18" t="str">
        <x:v>DEFINED_TERMINAL_OR_FEED_SCOPE</x:v>
      </x:c>
      <x:c r="W382" s="18" t="str">
        <x:v>national_ibbi_announcements.json — published records loaded</x:v>
      </x:c>
      <x:c r="X382" s="18" t="str"/>
      <x:c r="Y382" s="18" t="str"/>
      <x:c r="Z382" s="20" t="n">
        <x:v>434</x:v>
      </x:c>
      <x:c r="AA382" s="19" t="n">
        <x:f>IFERROR(TODAY()-DATEVALUE(C382),"")</x:f>
        <x:v>94</x:v>
      </x:c>
      <x:c r="AB382" s="21" t="n">
        <x:f>ROUND(COUNTA(A382:K382)/11*100,0)</x:f>
        <x:v>100</x:v>
      </x:c>
      <x:c r="AC382" s="18" t="str">
        <x:v>National Company Law Tribunal</x:v>
      </x:c>
      <x:c r="AD382" s="22" t="str">
        <x:v>https://ibbi.gov.in/uploads/announcement/2026-07-20-123315-0j4qc-bef86e1aa2c2ba6b73d3a481f88c6c4e.pdf</x:v>
      </x:c>
      <x:c r="AE382" s="18" t="str">
        <x:v>2026-06-08</x:v>
      </x:c>
      <x:c r="AF382" s="18" t="n">
        <x:v>46275.114583333336</x:v>
      </x:c>
      <x:c r="AG382" s="18" t="str">
        <x:v>retained_terminal</x:v>
      </x:c>
      <x:c r="AH382" s="18" t="str">
        <x:v>READY</x:v>
      </x:c>
    </x:row>
    <x:row r="383">
      <x:c r="A383" s="18" t="str">
        <x:v>NYT-47-ceff4f0e6c706f1e</x:v>
      </x:c>
      <x:c r="B383" s="18" t="str">
        <x:v>NCLT / NCLAT (Insolvency) source coverage</x:v>
      </x:c>
      <x:c r="C383" s="18" t="str">
        <x:v>2026-06-08</x:v>
      </x:c>
      <x:c r="D383" s="18" t="n">
        <x:v>2026</x:v>
      </x:c>
      <x:c r="E383" s="18" t="str">
        <x:v>2026-06</x:v>
      </x:c>
      <x:c r="F383" s="18" t="str"/>
      <x:c r="G383" s="18" t="str">
        <x:v>Public Announcement of Liquidation Process</x:v>
      </x:c>
      <x:c r="H383" s="18" t="str"/>
      <x:c r="I383" s="18" t="str"/>
      <x:c r="J383" s="20" t="str"/>
      <x:c r="K383" s="18" t="str"/>
      <x:c r="L383" s="18" t="str"/>
      <x:c r="M383" s="18" t="str">
        <x:v>2026-06-08</x:v>
      </x:c>
      <x:c r="N383" s="18" t="str"/>
      <x:c r="O383" s="18" t="str">
        <x:v>ibbi_4a0jl1</x:v>
      </x:c>
      <x:c r="P383" s="18" t="str">
        <x:v>The Indure Pvt. Ltd.</x:v>
      </x:c>
      <x:c r="Q383" s="18" t="str">
        <x:v>B.K. COAL FIELDS PRIVATE LIMITED</x:v>
      </x:c>
      <x:c r="R383" s="18" t="str">
        <x:v>Mr. Arun Gajwani</x:v>
      </x:c>
      <x:c r="S383" s="18" t="str">
        <x:v>2026-06-19</x:v>
      </x:c>
      <x:c r="T383" s="18" t="str">
        <x:v>Public Announcement of Liquidation Process</x:v>
      </x:c>
      <x:c r="U383" s="18" t="str"/>
      <x:c r="V383" s="18" t="str">
        <x:v>DEFINED_TERMINAL_OR_FEED_SCOPE</x:v>
      </x:c>
      <x:c r="W383" s="18" t="str">
        <x:v>national_ibbi_announcements.json — published records loaded</x:v>
      </x:c>
      <x:c r="X383" s="18" t="str"/>
      <x:c r="Y383" s="18" t="str"/>
      <x:c r="Z383" s="20" t="n">
        <x:v>434</x:v>
      </x:c>
      <x:c r="AA383" s="19" t="n">
        <x:f>IFERROR(TODAY()-DATEVALUE(C383),"")</x:f>
        <x:v>94</x:v>
      </x:c>
      <x:c r="AB383" s="21" t="n">
        <x:f>ROUND(COUNTA(A383:K383)/11*100,0)</x:f>
        <x:v>100</x:v>
      </x:c>
      <x:c r="AC383" s="18" t="str">
        <x:v>National Company Law Tribunal</x:v>
      </x:c>
      <x:c r="AD383" s="22" t="str">
        <x:v>https://ibbi.gov.in/uploads/announcement/2026-06-12-150947-oa3u2-65c7f5e963fba4df879482159c684ab2.pdf</x:v>
      </x:c>
      <x:c r="AE383" s="18" t="str">
        <x:v>2026-06-08</x:v>
      </x:c>
      <x:c r="AF383" s="18" t="n">
        <x:v>46275.114583333336</x:v>
      </x:c>
      <x:c r="AG383" s="18" t="str">
        <x:v>retained_terminal</x:v>
      </x:c>
      <x:c r="AH383" s="18" t="str">
        <x:v>READY</x:v>
      </x:c>
    </x:row>
    <x:row r="384">
      <x:c r="A384" s="18" t="str">
        <x:v>NYT-47-e1de0d15659068ad</x:v>
      </x:c>
      <x:c r="B384" s="18" t="str">
        <x:v>NCLT / NCLAT (Insolvency) source coverage</x:v>
      </x:c>
      <x:c r="C384" s="18" t="str">
        <x:v>2026-06-08</x:v>
      </x:c>
      <x:c r="D384" s="18" t="n">
        <x:v>2026</x:v>
      </x:c>
      <x:c r="E384" s="18" t="str">
        <x:v>2026-06</x:v>
      </x:c>
      <x:c r="F384" s="18" t="str"/>
      <x:c r="G384" s="18" t="str">
        <x:v>Public Announcement of Liquidation Process</x:v>
      </x:c>
      <x:c r="H384" s="18" t="str"/>
      <x:c r="I384" s="18" t="str"/>
      <x:c r="J384" s="20" t="str"/>
      <x:c r="K384" s="18" t="str"/>
      <x:c r="L384" s="18" t="str"/>
      <x:c r="M384" s="18" t="str">
        <x:v>2026-06-08</x:v>
      </x:c>
      <x:c r="N384" s="18" t="str"/>
      <x:c r="O384" s="18" t="str">
        <x:v>ibbi_12kiiho</x:v>
      </x:c>
      <x:c r="P384" s="18" t="str">
        <x:v>BANYAN TREE NATURAL PRODUCTS PVT LTD.</x:v>
      </x:c>
      <x:c r="Q384" s="18" t="str">
        <x:v>KIXX MEDIA PRIVATE LIMITED</x:v>
      </x:c>
      <x:c r="R384" s="18" t="str">
        <x:v>Mr. Sunil Kumar</x:v>
      </x:c>
      <x:c r="S384" s="18" t="str">
        <x:v>2026-06-08</x:v>
      </x:c>
      <x:c r="T384" s="18" t="str">
        <x:v>Public Announcement of Liquidation Process</x:v>
      </x:c>
      <x:c r="U384" s="18" t="str"/>
      <x:c r="V384" s="18" t="str">
        <x:v>DEFINED_TERMINAL_OR_FEED_SCOPE</x:v>
      </x:c>
      <x:c r="W384" s="18" t="str">
        <x:v>national_ibbi_announcements.json — published records loaded</x:v>
      </x:c>
      <x:c r="X384" s="18" t="str"/>
      <x:c r="Y384" s="18" t="str"/>
      <x:c r="Z384" s="20" t="n">
        <x:v>434</x:v>
      </x:c>
      <x:c r="AA384" s="19" t="n">
        <x:f>IFERROR(TODAY()-DATEVALUE(C384),"")</x:f>
        <x:v>94</x:v>
      </x:c>
      <x:c r="AB384" s="21" t="n">
        <x:f>ROUND(COUNTA(A384:K384)/11*100,0)</x:f>
        <x:v>100</x:v>
      </x:c>
      <x:c r="AC384" s="18" t="str">
        <x:v>National Company Law Tribunal</x:v>
      </x:c>
      <x:c r="AD384" s="22" t="str">
        <x:v>https://ibbi.gov.in/uploads/announcement/56f57825a06c9e198ecaa59eafd74c35.pdf</x:v>
      </x:c>
      <x:c r="AE384" s="18" t="str">
        <x:v>2026-06-08</x:v>
      </x:c>
      <x:c r="AF384" s="18" t="n">
        <x:v>46275.114583333336</x:v>
      </x:c>
      <x:c r="AG384" s="18" t="str">
        <x:v>retained_terminal</x:v>
      </x:c>
      <x:c r="AH384" s="18" t="str">
        <x:v>READY</x:v>
      </x:c>
    </x:row>
    <x:row r="385">
      <x:c r="A385" s="18" t="str">
        <x:v>NYT-47-9dd3a7a5c2f7157a</x:v>
      </x:c>
      <x:c r="B385" s="18" t="str">
        <x:v>NCLT / NCLAT (Insolvency) source coverage</x:v>
      </x:c>
      <x:c r="C385" s="18" t="str">
        <x:v>2026-06-07</x:v>
      </x:c>
      <x:c r="D385" s="18" t="n">
        <x:v>2026</x:v>
      </x:c>
      <x:c r="E385" s="18" t="str">
        <x:v>2026-06</x:v>
      </x:c>
      <x:c r="F385" s="18" t="str"/>
      <x:c r="G385" s="18" t="str">
        <x:v>Public Announcement of Liquidation Process</x:v>
      </x:c>
      <x:c r="H385" s="18" t="str"/>
      <x:c r="I385" s="18" t="str"/>
      <x:c r="J385" s="20" t="str"/>
      <x:c r="K385" s="18" t="str"/>
      <x:c r="L385" s="18" t="str"/>
      <x:c r="M385" s="18" t="str">
        <x:v>2026-06-07</x:v>
      </x:c>
      <x:c r="N385" s="18" t="str"/>
      <x:c r="O385" s="18" t="str">
        <x:v>ibbi_14xi909</x:v>
      </x:c>
      <x:c r="P385" s="18" t="str">
        <x:v>Oriental Bank of Commerce</x:v>
      </x:c>
      <x:c r="Q385" s="18" t="str">
        <x:v>J R AGROTECH PRIVATE LIMITED</x:v>
      </x:c>
      <x:c r="R385" s="18" t="str">
        <x:v>Gurdev Bassi</x:v>
      </x:c>
      <x:c r="S385" s="18" t="str">
        <x:v>2026-06-10</x:v>
      </x:c>
      <x:c r="T385" s="18" t="str">
        <x:v>Public Announcement of Liquidation Process</x:v>
      </x:c>
      <x:c r="U385" s="18" t="str"/>
      <x:c r="V385" s="18" t="str">
        <x:v>DEFINED_TERMINAL_OR_FEED_SCOPE</x:v>
      </x:c>
      <x:c r="W385" s="18" t="str">
        <x:v>national_ibbi_announcements.json — published records loaded</x:v>
      </x:c>
      <x:c r="X385" s="18" t="str"/>
      <x:c r="Y385" s="18" t="str"/>
      <x:c r="Z385" s="20" t="n">
        <x:v>434</x:v>
      </x:c>
      <x:c r="AA385" s="19" t="n">
        <x:f>IFERROR(TODAY()-DATEVALUE(C385),"")</x:f>
        <x:v>95</x:v>
      </x:c>
      <x:c r="AB385" s="21" t="n">
        <x:f>ROUND(COUNTA(A385:K385)/11*100,0)</x:f>
        <x:v>100</x:v>
      </x:c>
      <x:c r="AC385" s="18" t="str">
        <x:v>National Company Law Tribunal</x:v>
      </x:c>
      <x:c r="AD385" s="22" t="str">
        <x:v>https://ibbi.gov.in/uploads/announcement/fd7ac7671745cf45cf1e031f6b7af790.pdf</x:v>
      </x:c>
      <x:c r="AE385" s="18" t="str">
        <x:v>2026-06-07</x:v>
      </x:c>
      <x:c r="AF385" s="18" t="n">
        <x:v>46275.114583333336</x:v>
      </x:c>
      <x:c r="AG385" s="18" t="str">
        <x:v>retained_terminal</x:v>
      </x:c>
      <x:c r="AH385" s="18" t="str">
        <x:v>READY</x:v>
      </x:c>
    </x:row>
    <x:row r="386">
      <x:c r="A386" s="18" t="str">
        <x:v>NYT-47-07f8ad762adf7335</x:v>
      </x:c>
      <x:c r="B386" s="18" t="str">
        <x:v>NCLT / NCLAT (Insolvency) source coverage</x:v>
      </x:c>
      <x:c r="C386" s="18" t="str">
        <x:v>2026-06-06</x:v>
      </x:c>
      <x:c r="D386" s="18" t="n">
        <x:v>2026</x:v>
      </x:c>
      <x:c r="E386" s="18" t="str">
        <x:v>2026-06</x:v>
      </x:c>
      <x:c r="F386" s="18" t="str"/>
      <x:c r="G386" s="18" t="str">
        <x:v>Public Announcement of Corporate Insolvency Resolution Process</x:v>
      </x:c>
      <x:c r="H386" s="18" t="str"/>
      <x:c r="I386" s="18" t="str"/>
      <x:c r="J386" s="20" t="str"/>
      <x:c r="K386" s="18" t="str"/>
      <x:c r="L386" s="18" t="str"/>
      <x:c r="M386" s="18" t="str">
        <x:v>2026-06-06</x:v>
      </x:c>
      <x:c r="N386" s="18" t="str"/>
      <x:c r="O386" s="18" t="str">
        <x:v>ibbi_1vgaljo</x:v>
      </x:c>
      <x:c r="P386" s="18" t="str">
        <x:v>Axis Bank Limited</x:v>
      </x:c>
      <x:c r="Q386" s="18" t="str">
        <x:v>RIDLEY LIFE SCIENCE PRIVATE LIMITED</x:v>
      </x:c>
      <x:c r="R386" s="18" t="str">
        <x:v>Mr. Ashish Singh</x:v>
      </x:c>
      <x:c r="S386" s="18" t="str">
        <x:v>2026-06-19</x:v>
      </x:c>
      <x:c r="T386" s="18" t="str">
        <x:v>Public Announcement of Corporate Insolvency Resolution Process</x:v>
      </x:c>
      <x:c r="U386" s="18" t="str"/>
      <x:c r="V386" s="18" t="str">
        <x:v>DEFINED_TERMINAL_OR_FEED_SCOPE</x:v>
      </x:c>
      <x:c r="W386" s="18" t="str">
        <x:v>national_ibbi_announcements.json — published records loaded</x:v>
      </x:c>
      <x:c r="X386" s="18" t="str"/>
      <x:c r="Y386" s="18" t="str"/>
      <x:c r="Z386" s="20" t="n">
        <x:v>434</x:v>
      </x:c>
      <x:c r="AA386" s="19" t="n">
        <x:f>IFERROR(TODAY()-DATEVALUE(C386),"")</x:f>
        <x:v>96</x:v>
      </x:c>
      <x:c r="AB386" s="21" t="n">
        <x:f>ROUND(COUNTA(A386:K386)/11*100,0)</x:f>
        <x:v>100</x:v>
      </x:c>
      <x:c r="AC386" s="18" t="str">
        <x:v>National Company Law Tribunal</x:v>
      </x:c>
      <x:c r="AD386" s="22" t="str">
        <x:v>https://ibbi.gov.in/uploads/announcement/5bbe713e74141a4b267a1f30ce2a3943.pdf</x:v>
      </x:c>
      <x:c r="AE386" s="18" t="str">
        <x:v>2026-06-06</x:v>
      </x:c>
      <x:c r="AF386" s="18" t="n">
        <x:v>46275.114583333336</x:v>
      </x:c>
      <x:c r="AG386" s="18" t="str">
        <x:v>retained_terminal</x:v>
      </x:c>
      <x:c r="AH386" s="18" t="str">
        <x:v>READY</x:v>
      </x:c>
    </x:row>
    <x:row r="387">
      <x:c r="A387" s="18" t="str">
        <x:v>NYT-47-2cc6a111cff5238f</x:v>
      </x:c>
      <x:c r="B387" s="18" t="str">
        <x:v>NCLT / NCLAT (Insolvency) source coverage</x:v>
      </x:c>
      <x:c r="C387" s="18" t="str">
        <x:v>2026-06-06</x:v>
      </x:c>
      <x:c r="D387" s="18" t="n">
        <x:v>2026</x:v>
      </x:c>
      <x:c r="E387" s="18" t="str">
        <x:v>2026-06</x:v>
      </x:c>
      <x:c r="F387" s="18" t="str"/>
      <x:c r="G387" s="18" t="str">
        <x:v>Public Announcement of Corporate Insolvency Resolution Process</x:v>
      </x:c>
      <x:c r="H387" s="18" t="str"/>
      <x:c r="I387" s="18" t="str"/>
      <x:c r="J387" s="20" t="str"/>
      <x:c r="K387" s="18" t="str"/>
      <x:c r="L387" s="18" t="str"/>
      <x:c r="M387" s="18" t="str">
        <x:v>2026-06-06</x:v>
      </x:c>
      <x:c r="N387" s="18" t="str"/>
      <x:c r="O387" s="18" t="str">
        <x:v>ibbi_w1e1l5</x:v>
      </x:c>
      <x:c r="P387" s="18" t="str">
        <x:v>Satyabrata Mitra</x:v>
      </x:c>
      <x:c r="Q387" s="18" t="str">
        <x:v>EARTH TOWNE INFRASTRUCTURES PRIVATE LIMITED</x:v>
      </x:c>
      <x:c r="R387" s="18" t="str">
        <x:v>Mr. Rajiv Bajaj</x:v>
      </x:c>
      <x:c r="S387" s="18" t="str">
        <x:v>2026-06-06</x:v>
      </x:c>
      <x:c r="T387" s="18" t="str">
        <x:v>Public Announcement of Corporate Insolvency Resolution Process</x:v>
      </x:c>
      <x:c r="U387" s="18" t="str"/>
      <x:c r="V387" s="18" t="str">
        <x:v>DEFINED_TERMINAL_OR_FEED_SCOPE</x:v>
      </x:c>
      <x:c r="W387" s="18" t="str">
        <x:v>national_ibbi_announcements.json — published records loaded</x:v>
      </x:c>
      <x:c r="X387" s="18" t="str"/>
      <x:c r="Y387" s="18" t="str"/>
      <x:c r="Z387" s="20" t="n">
        <x:v>434</x:v>
      </x:c>
      <x:c r="AA387" s="19" t="n">
        <x:f>IFERROR(TODAY()-DATEVALUE(C387),"")</x:f>
        <x:v>96</x:v>
      </x:c>
      <x:c r="AB387" s="21" t="n">
        <x:f>ROUND(COUNTA(A387:K387)/11*100,0)</x:f>
        <x:v>100</x:v>
      </x:c>
      <x:c r="AC387" s="18" t="str">
        <x:v>National Company Law Tribunal</x:v>
      </x:c>
      <x:c r="AD387" s="22" t="str">
        <x:v>https://ibbi.gov.in/uploads/announcement/3611124982572650db8df4993a798d5b.pdf</x:v>
      </x:c>
      <x:c r="AE387" s="18" t="str">
        <x:v>2026-06-06</x:v>
      </x:c>
      <x:c r="AF387" s="18" t="n">
        <x:v>46275.114583333336</x:v>
      </x:c>
      <x:c r="AG387" s="18" t="str">
        <x:v>retained_terminal</x:v>
      </x:c>
      <x:c r="AH387" s="18" t="str">
        <x:v>READY</x:v>
      </x:c>
    </x:row>
    <x:row r="388">
      <x:c r="A388" s="18" t="str">
        <x:v>NYT-47-09d8a6fe4d617758</x:v>
      </x:c>
      <x:c r="B388" s="18" t="str">
        <x:v>NCLT / NCLAT (Insolvency) source coverage</x:v>
      </x:c>
      <x:c r="C388" s="18" t="str">
        <x:v>2026-06-06</x:v>
      </x:c>
      <x:c r="D388" s="18" t="n">
        <x:v>2026</x:v>
      </x:c>
      <x:c r="E388" s="18" t="str">
        <x:v>2026-06</x:v>
      </x:c>
      <x:c r="F388" s="18" t="str"/>
      <x:c r="G388" s="18" t="str">
        <x:v>Public Announcement of Corporate Insolvency Resolution Process</x:v>
      </x:c>
      <x:c r="H388" s="18" t="str"/>
      <x:c r="I388" s="18" t="str"/>
      <x:c r="J388" s="20" t="str"/>
      <x:c r="K388" s="18" t="str"/>
      <x:c r="L388" s="18" t="str"/>
      <x:c r="M388" s="18" t="str">
        <x:v>2026-06-06</x:v>
      </x:c>
      <x:c r="N388" s="18" t="str"/>
      <x:c r="O388" s="18" t="str">
        <x:v>ibbi_6fwb3w</x:v>
      </x:c>
      <x:c r="P388" s="18" t="str">
        <x:v>TEKLLIBRIUM SOLUTIONS PRIVATE LIMITED</x:v>
      </x:c>
      <x:c r="Q388" s="18" t="str">
        <x:v>CREDITSAVVY TECHNOLOGIES PRIVATE LIMITED</x:v>
      </x:c>
      <x:c r="R388" s="18" t="str">
        <x:v>Bhavna Bansal</x:v>
      </x:c>
      <x:c r="S388" s="18" t="str">
        <x:v>2026-06-17</x:v>
      </x:c>
      <x:c r="T388" s="18" t="str">
        <x:v>Public Announcement of Corporate Insolvency Resolution Process</x:v>
      </x:c>
      <x:c r="U388" s="18" t="str"/>
      <x:c r="V388" s="18" t="str">
        <x:v>DEFINED_TERMINAL_OR_FEED_SCOPE</x:v>
      </x:c>
      <x:c r="W388" s="18" t="str">
        <x:v>national_ibbi_announcements.json — published records loaded</x:v>
      </x:c>
      <x:c r="X388" s="18" t="str"/>
      <x:c r="Y388" s="18" t="str"/>
      <x:c r="Z388" s="20" t="n">
        <x:v>434</x:v>
      </x:c>
      <x:c r="AA388" s="19" t="n">
        <x:f>IFERROR(TODAY()-DATEVALUE(C388),"")</x:f>
        <x:v>96</x:v>
      </x:c>
      <x:c r="AB388" s="21" t="n">
        <x:f>ROUND(COUNTA(A388:K388)/11*100,0)</x:f>
        <x:v>100</x:v>
      </x:c>
      <x:c r="AC388" s="18" t="str">
        <x:v>National Company Law Tribunal</x:v>
      </x:c>
      <x:c r="AD388" s="22" t="str">
        <x:v>https://ibbi.gov.in/uploads/announcement/2026-06-08-131456-l3f1m-6bd6beac1da76b2d2a9c3b7914ba034c.pdf</x:v>
      </x:c>
      <x:c r="AE388" s="18" t="str">
        <x:v>2026-06-06</x:v>
      </x:c>
      <x:c r="AF388" s="18" t="n">
        <x:v>46275.114583333336</x:v>
      </x:c>
      <x:c r="AG388" s="18" t="str">
        <x:v>retained_terminal</x:v>
      </x:c>
      <x:c r="AH388" s="18" t="str">
        <x:v>READY</x:v>
      </x:c>
    </x:row>
    <x:row r="389">
      <x:c r="A389" s="18" t="str">
        <x:v>NYT-47-d39a68b472b6dea9</x:v>
      </x:c>
      <x:c r="B389" s="18" t="str">
        <x:v>NCLT / NCLAT (Insolvency) source coverage</x:v>
      </x:c>
      <x:c r="C389" s="18" t="str">
        <x:v>2026-06-06</x:v>
      </x:c>
      <x:c r="D389" s="18" t="n">
        <x:v>2026</x:v>
      </x:c>
      <x:c r="E389" s="18" t="str">
        <x:v>2026-06</x:v>
      </x:c>
      <x:c r="F389" s="18" t="str"/>
      <x:c r="G389" s="18" t="str">
        <x:v>Public Announcement of Corporate Insolvency Resolution Process</x:v>
      </x:c>
      <x:c r="H389" s="18" t="str"/>
      <x:c r="I389" s="18" t="str"/>
      <x:c r="J389" s="20" t="str"/>
      <x:c r="K389" s="18" t="str"/>
      <x:c r="L389" s="18" t="str"/>
      <x:c r="M389" s="18" t="str">
        <x:v>2026-06-06</x:v>
      </x:c>
      <x:c r="N389" s="18" t="str"/>
      <x:c r="O389" s="18" t="str">
        <x:v>ibbi_fcqega</x:v>
      </x:c>
      <x:c r="P389" s="18" t="str">
        <x:v>Dakshesh Divyakant Desai, Prop Dwarkesh Trading Co.</x:v>
      </x:c>
      <x:c r="Q389" s="18" t="str">
        <x:v>INODAYA FOODS PRIVATE LIMITED</x:v>
      </x:c>
      <x:c r="R389" s="18" t="str">
        <x:v>Mr. Ashok Kumar Gupta</x:v>
      </x:c>
      <x:c r="S389" s="18" t="str">
        <x:v>2026-06-19</x:v>
      </x:c>
      <x:c r="T389" s="18" t="str">
        <x:v>Public Announcement of Corporate Insolvency Resolution Process</x:v>
      </x:c>
      <x:c r="U389" s="18" t="str"/>
      <x:c r="V389" s="18" t="str">
        <x:v>DEFINED_TERMINAL_OR_FEED_SCOPE</x:v>
      </x:c>
      <x:c r="W389" s="18" t="str">
        <x:v>national_ibbi_announcements.json — published records loaded</x:v>
      </x:c>
      <x:c r="X389" s="18" t="str"/>
      <x:c r="Y389" s="18" t="str"/>
      <x:c r="Z389" s="20" t="n">
        <x:v>434</x:v>
      </x:c>
      <x:c r="AA389" s="19" t="n">
        <x:f>IFERROR(TODAY()-DATEVALUE(C389),"")</x:f>
        <x:v>96</x:v>
      </x:c>
      <x:c r="AB389" s="21" t="n">
        <x:f>ROUND(COUNTA(A389:K389)/11*100,0)</x:f>
        <x:v>100</x:v>
      </x:c>
      <x:c r="AC389" s="18" t="str">
        <x:v>National Company Law Tribunal</x:v>
      </x:c>
      <x:c r="AD389" s="22" t="str">
        <x:v>https://ibbi.gov.in/uploads/announcement/88681acdc805021df18128688e745a35.pdf</x:v>
      </x:c>
      <x:c r="AE389" s="18" t="str">
        <x:v>2026-06-06</x:v>
      </x:c>
      <x:c r="AF389" s="18" t="n">
        <x:v>46275.114583333336</x:v>
      </x:c>
      <x:c r="AG389" s="18" t="str">
        <x:v>retained_terminal</x:v>
      </x:c>
      <x:c r="AH389" s="18" t="str">
        <x:v>READY</x:v>
      </x:c>
    </x:row>
    <x:row r="390">
      <x:c r="A390" s="18" t="str">
        <x:v>NYT-47-dd24cd5fe1f91bed</x:v>
      </x:c>
      <x:c r="B390" s="18" t="str">
        <x:v>NCLT / NCLAT (Insolvency) source coverage</x:v>
      </x:c>
      <x:c r="C390" s="18" t="str">
        <x:v>2026-06-06</x:v>
      </x:c>
      <x:c r="D390" s="18" t="n">
        <x:v>2026</x:v>
      </x:c>
      <x:c r="E390" s="18" t="str">
        <x:v>2026-06</x:v>
      </x:c>
      <x:c r="F390" s="18" t="str"/>
      <x:c r="G390" s="18" t="str">
        <x:v>Public Announcement of Corporate Insolvency Resolution Process</x:v>
      </x:c>
      <x:c r="H390" s="18" t="str"/>
      <x:c r="I390" s="18" t="str"/>
      <x:c r="J390" s="20" t="str"/>
      <x:c r="K390" s="18" t="str"/>
      <x:c r="L390" s="18" t="str"/>
      <x:c r="M390" s="18" t="str">
        <x:v>2026-06-06</x:v>
      </x:c>
      <x:c r="N390" s="18" t="str"/>
      <x:c r="O390" s="18" t="str">
        <x:v>ibbi_utk14l</x:v>
      </x:c>
      <x:c r="P390" s="18" t="str">
        <x:v>Super India Transport Corporation</x:v>
      </x:c>
      <x:c r="Q390" s="18" t="str">
        <x:v>ATTHARV SAI FLEXIPACK PRIVATE LIMITED</x:v>
      </x:c>
      <x:c r="R390" s="18" t="str">
        <x:v>Nilesh Kothari</x:v>
      </x:c>
      <x:c r="S390" s="18" t="str">
        <x:v>2026-06-18</x:v>
      </x:c>
      <x:c r="T390" s="18" t="str">
        <x:v>Public Announcement of Corporate Insolvency Resolution Process</x:v>
      </x:c>
      <x:c r="U390" s="18" t="str"/>
      <x:c r="V390" s="18" t="str">
        <x:v>DEFINED_TERMINAL_OR_FEED_SCOPE</x:v>
      </x:c>
      <x:c r="W390" s="18" t="str">
        <x:v>national_ibbi_announcements.json — published records loaded</x:v>
      </x:c>
      <x:c r="X390" s="18" t="str"/>
      <x:c r="Y390" s="18" t="str"/>
      <x:c r="Z390" s="20" t="n">
        <x:v>434</x:v>
      </x:c>
      <x:c r="AA390" s="19" t="n">
        <x:f>IFERROR(TODAY()-DATEVALUE(C390),"")</x:f>
        <x:v>96</x:v>
      </x:c>
      <x:c r="AB390" s="21" t="n">
        <x:f>ROUND(COUNTA(A390:K390)/11*100,0)</x:f>
        <x:v>100</x:v>
      </x:c>
      <x:c r="AC390" s="18" t="str">
        <x:v>National Company Law Tribunal</x:v>
      </x:c>
      <x:c r="AD390" s="22" t="str">
        <x:v>https://ibbi.gov.in/uploads/announcement/2026-06-09-171752-0oplu-2ead9f85cb3f3b8f918df7947701f63e.pdf</x:v>
      </x:c>
      <x:c r="AE390" s="18" t="str">
        <x:v>2026-06-06</x:v>
      </x:c>
      <x:c r="AF390" s="18" t="n">
        <x:v>46275.114583333336</x:v>
      </x:c>
      <x:c r="AG390" s="18" t="str">
        <x:v>retained_terminal</x:v>
      </x:c>
      <x:c r="AH390" s="18" t="str">
        <x:v>READY</x:v>
      </x:c>
    </x:row>
    <x:row r="391">
      <x:c r="A391" s="18" t="str">
        <x:v>NYT-47-e7d7a4bdbd6d2bb5</x:v>
      </x:c>
      <x:c r="B391" s="18" t="str">
        <x:v>NCLT / NCLAT (Insolvency) source coverage</x:v>
      </x:c>
      <x:c r="C391" s="18" t="str">
        <x:v>2026-06-06</x:v>
      </x:c>
      <x:c r="D391" s="18" t="n">
        <x:v>2026</x:v>
      </x:c>
      <x:c r="E391" s="18" t="str">
        <x:v>2026-06</x:v>
      </x:c>
      <x:c r="F391" s="18" t="str"/>
      <x:c r="G391" s="18" t="str">
        <x:v>Public Announcement of Corporate Insolvency Resolution Process</x:v>
      </x:c>
      <x:c r="H391" s="18" t="str"/>
      <x:c r="I391" s="18" t="str"/>
      <x:c r="J391" s="20" t="str"/>
      <x:c r="K391" s="18" t="str"/>
      <x:c r="L391" s="18" t="str"/>
      <x:c r="M391" s="18" t="str">
        <x:v>2026-06-06</x:v>
      </x:c>
      <x:c r="N391" s="18" t="str"/>
      <x:c r="O391" s="18" t="str">
        <x:v>ibbi_63wacf</x:v>
      </x:c>
      <x:c r="P391" s="18" t="str">
        <x:v>UJJIVAN SMALL FINANCE BANK LTD.</x:v>
      </x:c>
      <x:c r="Q391" s="18" t="str">
        <x:v>BLD METAL AND ALLOYS PRIVATE LIMITED</x:v>
      </x:c>
      <x:c r="R391" s="18" t="str">
        <x:v>Mr. Sumit Shukla</x:v>
      </x:c>
      <x:c r="S391" s="18" t="str">
        <x:v>2026-06-17</x:v>
      </x:c>
      <x:c r="T391" s="18" t="str">
        <x:v>Public Announcement of Corporate Insolvency Resolution Process</x:v>
      </x:c>
      <x:c r="U391" s="18" t="str"/>
      <x:c r="V391" s="18" t="str">
        <x:v>DEFINED_TERMINAL_OR_FEED_SCOPE</x:v>
      </x:c>
      <x:c r="W391" s="18" t="str">
        <x:v>national_ibbi_announcements.json — published records loaded</x:v>
      </x:c>
      <x:c r="X391" s="18" t="str"/>
      <x:c r="Y391" s="18" t="str"/>
      <x:c r="Z391" s="20" t="n">
        <x:v>434</x:v>
      </x:c>
      <x:c r="AA391" s="19" t="n">
        <x:f>IFERROR(TODAY()-DATEVALUE(C391),"")</x:f>
        <x:v>96</x:v>
      </x:c>
      <x:c r="AB391" s="21" t="n">
        <x:f>ROUND(COUNTA(A391:K391)/11*100,0)</x:f>
        <x:v>100</x:v>
      </x:c>
      <x:c r="AC391" s="18" t="str">
        <x:v>National Company Law Tribunal</x:v>
      </x:c>
      <x:c r="AD391" s="22" t="str">
        <x:v>https://ibbi.gov.in/uploads/announcement/2026-06-09-132024-htfzs-f00fb927bebb5f570f20d5ef106f6f18.pdf</x:v>
      </x:c>
      <x:c r="AE391" s="18" t="str">
        <x:v>2026-06-06</x:v>
      </x:c>
      <x:c r="AF391" s="18" t="n">
        <x:v>46275.114583333336</x:v>
      </x:c>
      <x:c r="AG391" s="18" t="str">
        <x:v>retained_terminal</x:v>
      </x:c>
      <x:c r="AH391" s="18" t="str">
        <x:v>READY</x:v>
      </x:c>
    </x:row>
    <x:row r="392">
      <x:c r="A392" s="18" t="str">
        <x:v>NYT-47-fccf26911cd01155</x:v>
      </x:c>
      <x:c r="B392" s="18" t="str">
        <x:v>NCLT / NCLAT (Insolvency) source coverage</x:v>
      </x:c>
      <x:c r="C392" s="18" t="str">
        <x:v>2026-06-05</x:v>
      </x:c>
      <x:c r="D392" s="18" t="n">
        <x:v>2026</x:v>
      </x:c>
      <x:c r="E392" s="18" t="str">
        <x:v>2026-06</x:v>
      </x:c>
      <x:c r="F392" s="18" t="str"/>
      <x:c r="G392" s="18" t="str">
        <x:v>Public Announcement of Liquidation Process</x:v>
      </x:c>
      <x:c r="H392" s="18" t="str"/>
      <x:c r="I392" s="18" t="str"/>
      <x:c r="J392" s="20" t="str"/>
      <x:c r="K392" s="18" t="str"/>
      <x:c r="L392" s="18" t="str"/>
      <x:c r="M392" s="18" t="str">
        <x:v>2026-06-05</x:v>
      </x:c>
      <x:c r="N392" s="18" t="str"/>
      <x:c r="O392" s="18" t="str">
        <x:v>ibbi_16rpiso</x:v>
      </x:c>
      <x:c r="P392" s="18" t="str">
        <x:v>Intec Capital Limited</x:v>
      </x:c>
      <x:c r="Q392" s="18" t="str">
        <x:v>DKM AGENCIES PRIVATE LIMITED</x:v>
      </x:c>
      <x:c r="R392" s="18" t="str">
        <x:v>Mr.Sachit Soni</x:v>
      </x:c>
      <x:c r="S392" s="18" t="str">
        <x:v>2026-06-24</x:v>
      </x:c>
      <x:c r="T392" s="18" t="str">
        <x:v>Public Announcement of Liquidation Process</x:v>
      </x:c>
      <x:c r="U392" s="18" t="str"/>
      <x:c r="V392" s="18" t="str">
        <x:v>DEFINED_TERMINAL_OR_FEED_SCOPE</x:v>
      </x:c>
      <x:c r="W392" s="18" t="str">
        <x:v>national_ibbi_announcements.json — published records loaded</x:v>
      </x:c>
      <x:c r="X392" s="18" t="str"/>
      <x:c r="Y392" s="18" t="str"/>
      <x:c r="Z392" s="20" t="n">
        <x:v>434</x:v>
      </x:c>
      <x:c r="AA392" s="19" t="n">
        <x:f>IFERROR(TODAY()-DATEVALUE(C392),"")</x:f>
        <x:v>97</x:v>
      </x:c>
      <x:c r="AB392" s="21" t="n">
        <x:f>ROUND(COUNTA(A392:K392)/11*100,0)</x:f>
        <x:v>100</x:v>
      </x:c>
      <x:c r="AC392" s="18" t="str">
        <x:v>National Company Law Tribunal</x:v>
      </x:c>
      <x:c r="AD392" s="22" t="str">
        <x:v>https://ibbi.gov.in/uploads/announcement/168cb610bc8b1cf0e1186b921288cdcc.pdf</x:v>
      </x:c>
      <x:c r="AE392" s="18" t="str">
        <x:v>2026-06-05</x:v>
      </x:c>
      <x:c r="AF392" s="18" t="n">
        <x:v>46275.114583333336</x:v>
      </x:c>
      <x:c r="AG392" s="18" t="str">
        <x:v>retained_terminal</x:v>
      </x:c>
      <x:c r="AH392" s="18" t="str">
        <x:v>READY</x:v>
      </x:c>
    </x:row>
    <x:row r="393">
      <x:c r="A393" s="18" t="str">
        <x:v>NYT-47-ee9cd920dfe4aa24</x:v>
      </x:c>
      <x:c r="B393" s="18" t="str">
        <x:v>NCLT / NCLAT (Insolvency) source coverage</x:v>
      </x:c>
      <x:c r="C393" s="18" t="str">
        <x:v>2026-06-05</x:v>
      </x:c>
      <x:c r="D393" s="18" t="n">
        <x:v>2026</x:v>
      </x:c>
      <x:c r="E393" s="18" t="str">
        <x:v>2026-06</x:v>
      </x:c>
      <x:c r="F393" s="18" t="str"/>
      <x:c r="G393" s="18" t="str">
        <x:v>Public Announcement of Corporate Insolvency Resolution Process</x:v>
      </x:c>
      <x:c r="H393" s="18" t="str"/>
      <x:c r="I393" s="18" t="str"/>
      <x:c r="J393" s="20" t="str"/>
      <x:c r="K393" s="18" t="str"/>
      <x:c r="L393" s="18" t="str"/>
      <x:c r="M393" s="18" t="str">
        <x:v>2026-06-05</x:v>
      </x:c>
      <x:c r="N393" s="18" t="str"/>
      <x:c r="O393" s="18" t="str">
        <x:v>ibbi_1t9xmzj</x:v>
      </x:c>
      <x:c r="P393" s="18" t="str">
        <x:v>SHOORA</x:v>
      </x:c>
      <x:c r="Q393" s="18" t="str">
        <x:v>NEW PEARL VITRIFIED PRIVATE LIMITED</x:v>
      </x:c>
      <x:c r="R393" s="18" t="str">
        <x:v>Mr. Manish Santosh Buchasia</x:v>
      </x:c>
      <x:c r="S393" s="18" t="str">
        <x:v>2026-06-16</x:v>
      </x:c>
      <x:c r="T393" s="18" t="str">
        <x:v>Public Announcement of Corporate Insolvency Resolution Process</x:v>
      </x:c>
      <x:c r="U393" s="18" t="str"/>
      <x:c r="V393" s="18" t="str">
        <x:v>DEFINED_TERMINAL_OR_FEED_SCOPE</x:v>
      </x:c>
      <x:c r="W393" s="18" t="str">
        <x:v>national_ibbi_announcements.json — published records loaded</x:v>
      </x:c>
      <x:c r="X393" s="18" t="str"/>
      <x:c r="Y393" s="18" t="str"/>
      <x:c r="Z393" s="20" t="n">
        <x:v>434</x:v>
      </x:c>
      <x:c r="AA393" s="19" t="n">
        <x:f>IFERROR(TODAY()-DATEVALUE(C393),"")</x:f>
        <x:v>97</x:v>
      </x:c>
      <x:c r="AB393" s="21" t="n">
        <x:f>ROUND(COUNTA(A393:K393)/11*100,0)</x:f>
        <x:v>100</x:v>
      </x:c>
      <x:c r="AC393" s="18" t="str">
        <x:v>National Company Law Tribunal</x:v>
      </x:c>
      <x:c r="AD393" s="22" t="str">
        <x:v>https://ibbi.gov.in/uploads/announcement/832dd846bc022cbb8a5d1df204e92a06.pdf</x:v>
      </x:c>
      <x:c r="AE393" s="18" t="str">
        <x:v>2026-06-05</x:v>
      </x:c>
      <x:c r="AF393" s="18" t="n">
        <x:v>46275.114583333336</x:v>
      </x:c>
      <x:c r="AG393" s="18" t="str">
        <x:v>retained_terminal</x:v>
      </x:c>
      <x:c r="AH393" s="18" t="str">
        <x:v>READY</x:v>
      </x:c>
    </x:row>
    <x:row r="394">
      <x:c r="A394" s="18" t="str">
        <x:v>NYT-47-675d39a5082bf3f7</x:v>
      </x:c>
      <x:c r="B394" s="18" t="str">
        <x:v>NCLT / NCLAT (Insolvency) source coverage</x:v>
      </x:c>
      <x:c r="C394" s="18" t="str">
        <x:v>2026-06-05</x:v>
      </x:c>
      <x:c r="D394" s="18" t="n">
        <x:v>2026</x:v>
      </x:c>
      <x:c r="E394" s="18" t="str">
        <x:v>2026-06</x:v>
      </x:c>
      <x:c r="F394" s="18" t="str"/>
      <x:c r="G394" s="18" t="str">
        <x:v>Public Announcement of Corporate Insolvency Resolution Process</x:v>
      </x:c>
      <x:c r="H394" s="18" t="str"/>
      <x:c r="I394" s="18" t="str"/>
      <x:c r="J394" s="20" t="str"/>
      <x:c r="K394" s="18" t="str"/>
      <x:c r="L394" s="18" t="str"/>
      <x:c r="M394" s="18" t="str">
        <x:v>2026-06-05</x:v>
      </x:c>
      <x:c r="N394" s="18" t="str"/>
      <x:c r="O394" s="18" t="str">
        <x:v>ibbi_g1e1ia</x:v>
      </x:c>
      <x:c r="P394" s="18" t="str">
        <x:v>Arjun Saikumar</x:v>
      </x:c>
      <x:c r="Q394" s="18" t="str">
        <x:v>DANALAKSHMI PAPER MILLS PRIVATE LIMITED</x:v>
      </x:c>
      <x:c r="R394" s="18" t="str">
        <x:v>Mr. Krishnasamy Vasudevan</x:v>
      </x:c>
      <x:c r="S394" s="18" t="str">
        <x:v>2026-06-16</x:v>
      </x:c>
      <x:c r="T394" s="18" t="str">
        <x:v>Public Announcement of Corporate Insolvency Resolution Process</x:v>
      </x:c>
      <x:c r="U394" s="18" t="str"/>
      <x:c r="V394" s="18" t="str">
        <x:v>DEFINED_TERMINAL_OR_FEED_SCOPE</x:v>
      </x:c>
      <x:c r="W394" s="18" t="str">
        <x:v>national_ibbi_announcements.json — published records loaded</x:v>
      </x:c>
      <x:c r="X394" s="18" t="str"/>
      <x:c r="Y394" s="18" t="str"/>
      <x:c r="Z394" s="20" t="n">
        <x:v>434</x:v>
      </x:c>
      <x:c r="AA394" s="19" t="n">
        <x:f>IFERROR(TODAY()-DATEVALUE(C394),"")</x:f>
        <x:v>97</x:v>
      </x:c>
      <x:c r="AB394" s="21" t="n">
        <x:f>ROUND(COUNTA(A394:K394)/11*100,0)</x:f>
        <x:v>100</x:v>
      </x:c>
      <x:c r="AC394" s="18" t="str">
        <x:v>National Company Law Tribunal</x:v>
      </x:c>
      <x:c r="AD394" s="22" t="str">
        <x:v>https://ibbi.gov.in/uploads/announcement/2026-06-08-080210-y2d0a-b9e283daa406b1385be1c6cd2ff749c5.pdf</x:v>
      </x:c>
      <x:c r="AE394" s="18" t="str">
        <x:v>2026-06-05</x:v>
      </x:c>
      <x:c r="AF394" s="18" t="n">
        <x:v>46275.114583333336</x:v>
      </x:c>
      <x:c r="AG394" s="18" t="str">
        <x:v>retained_terminal</x:v>
      </x:c>
      <x:c r="AH394" s="18" t="str">
        <x:v>READY</x:v>
      </x:c>
    </x:row>
    <x:row r="395">
      <x:c r="A395" s="18" t="str">
        <x:v>NYT-47-e73fe29b8f4f25fe</x:v>
      </x:c>
      <x:c r="B395" s="18" t="str">
        <x:v>NCLT / NCLAT (Insolvency) source coverage</x:v>
      </x:c>
      <x:c r="C395" s="18" t="str">
        <x:v>2026-06-04</x:v>
      </x:c>
      <x:c r="D395" s="18" t="n">
        <x:v>2026</x:v>
      </x:c>
      <x:c r="E395" s="18" t="str">
        <x:v>2026-06</x:v>
      </x:c>
      <x:c r="F395" s="18" t="str"/>
      <x:c r="G395" s="18" t="str">
        <x:v>Public Announcement of Liquidation Process</x:v>
      </x:c>
      <x:c r="H395" s="18" t="str"/>
      <x:c r="I395" s="18" t="str"/>
      <x:c r="J395" s="20" t="str"/>
      <x:c r="K395" s="18" t="str"/>
      <x:c r="L395" s="18" t="str"/>
      <x:c r="M395" s="18" t="str">
        <x:v>2026-06-04</x:v>
      </x:c>
      <x:c r="N395" s="18" t="str"/>
      <x:c r="O395" s="18" t="str">
        <x:v>ibbi_dcvbr</x:v>
      </x:c>
      <x:c r="P395" s="18" t="str">
        <x:v>The Bank of Maharashtra Limited</x:v>
      </x:c>
      <x:c r="Q395" s="18" t="str">
        <x:v>SPD Cold Storage LLP</x:v>
      </x:c>
      <x:c r="R395" s="18" t="str">
        <x:v>BALAJEE SUMANT CHEMOTE</x:v>
      </x:c>
      <x:c r="S395" s="18" t="str">
        <x:v>2026-06-15</x:v>
      </x:c>
      <x:c r="T395" s="18" t="str">
        <x:v>Public Announcement of Liquidation Process</x:v>
      </x:c>
      <x:c r="U395" s="18" t="str"/>
      <x:c r="V395" s="18" t="str">
        <x:v>DEFINED_TERMINAL_OR_FEED_SCOPE</x:v>
      </x:c>
      <x:c r="W395" s="18" t="str">
        <x:v>national_ibbi_announcements.json — published records loaded</x:v>
      </x:c>
      <x:c r="X395" s="18" t="str"/>
      <x:c r="Y395" s="18" t="str"/>
      <x:c r="Z395" s="20" t="n">
        <x:v>434</x:v>
      </x:c>
      <x:c r="AA395" s="19" t="n">
        <x:f>IFERROR(TODAY()-DATEVALUE(C395),"")</x:f>
        <x:v>98</x:v>
      </x:c>
      <x:c r="AB395" s="21" t="n">
        <x:f>ROUND(COUNTA(A395:K395)/11*100,0)</x:f>
        <x:v>100</x:v>
      </x:c>
      <x:c r="AC395" s="18" t="str">
        <x:v>National Company Law Tribunal</x:v>
      </x:c>
      <x:c r="AD395" s="22" t="str">
        <x:v>https://ibbi.gov.in/uploads/announcement/eacbd0d0578c116f762b6b83bbe2b3b1.pdf</x:v>
      </x:c>
      <x:c r="AE395" s="18" t="str">
        <x:v>2026-06-04</x:v>
      </x:c>
      <x:c r="AF395" s="18" t="n">
        <x:v>46275.114583333336</x:v>
      </x:c>
      <x:c r="AG395" s="18" t="str">
        <x:v>retained_terminal</x:v>
      </x:c>
      <x:c r="AH395" s="18" t="str">
        <x:v>READY</x:v>
      </x:c>
    </x:row>
    <x:row r="396">
      <x:c r="A396" s="18" t="str">
        <x:v>NYT-47-6501a8bd2cbc745a</x:v>
      </x:c>
      <x:c r="B396" s="18" t="str">
        <x:v>NCLT / NCLAT (Insolvency) source coverage</x:v>
      </x:c>
      <x:c r="C396" s="18" t="str">
        <x:v>2026-06-03</x:v>
      </x:c>
      <x:c r="D396" s="18" t="n">
        <x:v>2026</x:v>
      </x:c>
      <x:c r="E396" s="18" t="str">
        <x:v>2026-06</x:v>
      </x:c>
      <x:c r="F396" s="18" t="str"/>
      <x:c r="G396" s="18" t="str">
        <x:v>Public Announcement of Corporate Insolvency Resolution Process</x:v>
      </x:c>
      <x:c r="H396" s="18" t="str"/>
      <x:c r="I396" s="18" t="str"/>
      <x:c r="J396" s="20" t="str"/>
      <x:c r="K396" s="18" t="str"/>
      <x:c r="L396" s="18" t="str"/>
      <x:c r="M396" s="18" t="str">
        <x:v>2026-06-03</x:v>
      </x:c>
      <x:c r="N396" s="18" t="str"/>
      <x:c r="O396" s="18" t="str">
        <x:v>ibbi_g8b81o</x:v>
      </x:c>
      <x:c r="P396" s="18" t="str">
        <x:v>KNK SHIP MANAGEMENT</x:v>
      </x:c>
      <x:c r="Q396" s="18" t="str">
        <x:v>THIRANI INDUSTRIES LIMITED</x:v>
      </x:c>
      <x:c r="R396" s="18" t="str">
        <x:v>Ms. Reshma Mittal</x:v>
      </x:c>
      <x:c r="S396" s="18" t="str">
        <x:v>2026-06-15</x:v>
      </x:c>
      <x:c r="T396" s="18" t="str">
        <x:v>Public Announcement of Corporate Insolvency Resolution Process</x:v>
      </x:c>
      <x:c r="U396" s="18" t="str"/>
      <x:c r="V396" s="18" t="str">
        <x:v>DEFINED_TERMINAL_OR_FEED_SCOPE</x:v>
      </x:c>
      <x:c r="W396" s="18" t="str">
        <x:v>national_ibbi_announcements.json — published records loaded</x:v>
      </x:c>
      <x:c r="X396" s="18" t="str"/>
      <x:c r="Y396" s="18" t="str"/>
      <x:c r="Z396" s="20" t="n">
        <x:v>434</x:v>
      </x:c>
      <x:c r="AA396" s="19" t="n">
        <x:f>IFERROR(TODAY()-DATEVALUE(C396),"")</x:f>
        <x:v>99</x:v>
      </x:c>
      <x:c r="AB396" s="21" t="n">
        <x:f>ROUND(COUNTA(A396:K396)/11*100,0)</x:f>
        <x:v>100</x:v>
      </x:c>
      <x:c r="AC396" s="18" t="str">
        <x:v>National Company Law Tribunal</x:v>
      </x:c>
      <x:c r="AD396" s="22" t="str">
        <x:v>https://ibbi.gov.in/uploads/announcement/4f50275027ce7d2786809d15489a1013.pdf</x:v>
      </x:c>
      <x:c r="AE396" s="18" t="str">
        <x:v>2026-06-03</x:v>
      </x:c>
      <x:c r="AF396" s="18" t="n">
        <x:v>46275.114583333336</x:v>
      </x:c>
      <x:c r="AG396" s="18" t="str">
        <x:v>retained_terminal</x:v>
      </x:c>
      <x:c r="AH396" s="18" t="str">
        <x:v>READY</x:v>
      </x:c>
    </x:row>
    <x:row r="397">
      <x:c r="A397" s="18" t="str">
        <x:v>NYT-47-d62066f2ba6bbaed</x:v>
      </x:c>
      <x:c r="B397" s="18" t="str">
        <x:v>NCLT / NCLAT (Insolvency) source coverage</x:v>
      </x:c>
      <x:c r="C397" s="18" t="str">
        <x:v>2026-06-03</x:v>
      </x:c>
      <x:c r="D397" s="18" t="n">
        <x:v>2026</x:v>
      </x:c>
      <x:c r="E397" s="18" t="str">
        <x:v>2026-06</x:v>
      </x:c>
      <x:c r="F397" s="18" t="str"/>
      <x:c r="G397" s="18" t="str">
        <x:v>Public Announcement of Voluntary Liquidation Process</x:v>
      </x:c>
      <x:c r="H397" s="18" t="str"/>
      <x:c r="I397" s="18" t="str"/>
      <x:c r="J397" s="20" t="str"/>
      <x:c r="K397" s="18" t="str"/>
      <x:c r="L397" s="18" t="str"/>
      <x:c r="M397" s="18" t="str">
        <x:v>2026-06-03</x:v>
      </x:c>
      <x:c r="N397" s="18" t="str"/>
      <x:c r="O397" s="18" t="str">
        <x:v>ibbi_iduc46</x:v>
      </x:c>
      <x:c r="P397" s="18" t="str">
        <x:v>APL APOLLO MART LIMITED</x:v>
      </x:c>
      <x:c r="Q397" s="18" t="str">
        <x:v>APL APOLLO MART LIMITED</x:v>
      </x:c>
      <x:c r="R397" s="18" t="str">
        <x:v>Mr. Amit Gupta</x:v>
      </x:c>
      <x:c r="S397" s="18" t="str">
        <x:v>2026-06-29</x:v>
      </x:c>
      <x:c r="T397" s="18" t="str">
        <x:v>Public Announcement of Voluntary Liquidation Process</x:v>
      </x:c>
      <x:c r="U397" s="18" t="str"/>
      <x:c r="V397" s="18" t="str">
        <x:v>DEFINED_TERMINAL_OR_FEED_SCOPE</x:v>
      </x:c>
      <x:c r="W397" s="18" t="str">
        <x:v>national_ibbi_announcements.json — published records loaded</x:v>
      </x:c>
      <x:c r="X397" s="18" t="str"/>
      <x:c r="Y397" s="18" t="str"/>
      <x:c r="Z397" s="20" t="n">
        <x:v>434</x:v>
      </x:c>
      <x:c r="AA397" s="19" t="n">
        <x:f>IFERROR(TODAY()-DATEVALUE(C397),"")</x:f>
        <x:v>99</x:v>
      </x:c>
      <x:c r="AB397" s="21" t="n">
        <x:f>ROUND(COUNTA(A397:K397)/11*100,0)</x:f>
        <x:v>100</x:v>
      </x:c>
      <x:c r="AC397" s="18" t="str">
        <x:v>National Company Law Tribunal</x:v>
      </x:c>
      <x:c r="AD397" s="22" t="str">
        <x:v>https://ibbi.gov.in/uploads/announcement/2026-06-04-110355-n8ieq-2e9448e95903f36b09b48c750e8e5507.pdf</x:v>
      </x:c>
      <x:c r="AE397" s="18" t="str">
        <x:v>2026-06-03</x:v>
      </x:c>
      <x:c r="AF397" s="18" t="n">
        <x:v>46275.114583333336</x:v>
      </x:c>
      <x:c r="AG397" s="18" t="str">
        <x:v>retained_terminal</x:v>
      </x:c>
      <x:c r="AH397" s="18" t="str">
        <x:v>READY</x:v>
      </x:c>
    </x:row>
    <x:row r="398">
      <x:c r="A398" s="18" t="str">
        <x:v>NYT-47-e2784676c7651cd2</x:v>
      </x:c>
      <x:c r="B398" s="18" t="str">
        <x:v>NCLT / NCLAT (Insolvency) source coverage</x:v>
      </x:c>
      <x:c r="C398" s="18" t="str">
        <x:v>2026-06-03</x:v>
      </x:c>
      <x:c r="D398" s="18" t="n">
        <x:v>2026</x:v>
      </x:c>
      <x:c r="E398" s="18" t="str">
        <x:v>2026-06</x:v>
      </x:c>
      <x:c r="F398" s="18" t="str"/>
      <x:c r="G398" s="18" t="str">
        <x:v>Public Announcement of Corporate Insolvency Resolution Process</x:v>
      </x:c>
      <x:c r="H398" s="18" t="str"/>
      <x:c r="I398" s="18" t="str"/>
      <x:c r="J398" s="20" t="str"/>
      <x:c r="K398" s="18" t="str"/>
      <x:c r="L398" s="18" t="str"/>
      <x:c r="M398" s="18" t="str">
        <x:v>2026-06-03</x:v>
      </x:c>
      <x:c r="N398" s="18" t="str"/>
      <x:c r="O398" s="18" t="str">
        <x:v>ibbi_keqqs9</x:v>
      </x:c>
      <x:c r="P398" s="18" t="str">
        <x:v>HIGHWAY STAR REST AND RECREATION PRIVATE LIMITED</x:v>
      </x:c>
      <x:c r="Q398" s="18" t="str">
        <x:v>MAIYAS RESTAURANTS PRIVATE LIMITED</x:v>
      </x:c>
      <x:c r="R398" s="18" t="str">
        <x:v>Mr. Naresh Kumar Rohila</x:v>
      </x:c>
      <x:c r="S398" s="18" t="str">
        <x:v>2026-06-14</x:v>
      </x:c>
      <x:c r="T398" s="18" t="str">
        <x:v>Public Announcement of Corporate Insolvency Resolution Process</x:v>
      </x:c>
      <x:c r="U398" s="18" t="str"/>
      <x:c r="V398" s="18" t="str">
        <x:v>DEFINED_TERMINAL_OR_FEED_SCOPE</x:v>
      </x:c>
      <x:c r="W398" s="18" t="str">
        <x:v>national_ibbi_announcements.json — published records loaded</x:v>
      </x:c>
      <x:c r="X398" s="18" t="str"/>
      <x:c r="Y398" s="18" t="str"/>
      <x:c r="Z398" s="20" t="n">
        <x:v>434</x:v>
      </x:c>
      <x:c r="AA398" s="19" t="n">
        <x:f>IFERROR(TODAY()-DATEVALUE(C398),"")</x:f>
        <x:v>99</x:v>
      </x:c>
      <x:c r="AB398" s="21" t="n">
        <x:f>ROUND(COUNTA(A398:K398)/11*100,0)</x:f>
        <x:v>100</x:v>
      </x:c>
      <x:c r="AC398" s="18" t="str">
        <x:v>National Company Law Tribunal</x:v>
      </x:c>
      <x:c r="AD398" s="22" t="str">
        <x:v>https://ibbi.gov.in/uploads/announcement/2026-06-03-140438-pc29h-5c06ce6c0111806ecfd4fbad7e27f559.pdf</x:v>
      </x:c>
      <x:c r="AE398" s="18" t="str">
        <x:v>2026-06-03</x:v>
      </x:c>
      <x:c r="AF398" s="18" t="n">
        <x:v>46275.114583333336</x:v>
      </x:c>
      <x:c r="AG398" s="18" t="str">
        <x:v>retained_terminal</x:v>
      </x:c>
      <x:c r="AH398" s="18" t="str">
        <x:v>READY</x:v>
      </x:c>
    </x:row>
    <x:row r="399">
      <x:c r="A399" s="18" t="str">
        <x:v>NYT-47-09812644ef116ab3</x:v>
      </x:c>
      <x:c r="B399" s="18" t="str">
        <x:v>NCLT / NCLAT (Insolvency) source coverage</x:v>
      </x:c>
      <x:c r="C399" s="18" t="str">
        <x:v>2026-06-03</x:v>
      </x:c>
      <x:c r="D399" s="18" t="n">
        <x:v>2026</x:v>
      </x:c>
      <x:c r="E399" s="18" t="str">
        <x:v>2026-06</x:v>
      </x:c>
      <x:c r="F399" s="18" t="str"/>
      <x:c r="G399" s="18" t="str">
        <x:v>Public Announcement of Voluntary Liquidation Process</x:v>
      </x:c>
      <x:c r="H399" s="18" t="str"/>
      <x:c r="I399" s="18" t="str"/>
      <x:c r="J399" s="20" t="str"/>
      <x:c r="K399" s="18" t="str"/>
      <x:c r="L399" s="18" t="str"/>
      <x:c r="M399" s="18" t="str">
        <x:v>2026-06-03</x:v>
      </x:c>
      <x:c r="N399" s="18" t="str"/>
      <x:c r="O399" s="18" t="str">
        <x:v>ibbi_qtoto0</x:v>
      </x:c>
      <x:c r="P399" s="18" t="str">
        <x:v>COMPLEMENT THEORY TECHNOLOGIES PRIVATE LIMITED</x:v>
      </x:c>
      <x:c r="Q399" s="18" t="str">
        <x:v>COMPLEMENT THEORY TECHNOLOGIES PRIVATE LIMITED</x:v>
      </x:c>
      <x:c r="R399" s="18" t="str">
        <x:v>KUSHAL JAJODIA</x:v>
      </x:c>
      <x:c r="S399" s="18" t="str">
        <x:v>2026-06-30</x:v>
      </x:c>
      <x:c r="T399" s="18" t="str">
        <x:v>Public Announcement of Voluntary Liquidation Process</x:v>
      </x:c>
      <x:c r="U399" s="18" t="str"/>
      <x:c r="V399" s="18" t="str">
        <x:v>DEFINED_TERMINAL_OR_FEED_SCOPE</x:v>
      </x:c>
      <x:c r="W399" s="18" t="str">
        <x:v>national_ibbi_announcements.json — published records loaded</x:v>
      </x:c>
      <x:c r="X399" s="18" t="str"/>
      <x:c r="Y399" s="18" t="str"/>
      <x:c r="Z399" s="20" t="n">
        <x:v>434</x:v>
      </x:c>
      <x:c r="AA399" s="19" t="n">
        <x:f>IFERROR(TODAY()-DATEVALUE(C399),"")</x:f>
        <x:v>99</x:v>
      </x:c>
      <x:c r="AB399" s="21" t="n">
        <x:f>ROUND(COUNTA(A399:K399)/11*100,0)</x:f>
        <x:v>100</x:v>
      </x:c>
      <x:c r="AC399" s="18" t="str">
        <x:v>National Company Law Tribunal</x:v>
      </x:c>
      <x:c r="AD399" s="22" t="str">
        <x:v>https://ibbi.gov.in/uploads/announcement/2026-06-03-124011-f2hq4-54df698e5f951901363e44be1b78f0de.pdf</x:v>
      </x:c>
      <x:c r="AE399" s="18" t="str">
        <x:v>2026-06-03</x:v>
      </x:c>
      <x:c r="AF399" s="18" t="n">
        <x:v>46275.114583333336</x:v>
      </x:c>
      <x:c r="AG399" s="18" t="str">
        <x:v>retained_terminal</x:v>
      </x:c>
      <x:c r="AH399" s="18" t="str">
        <x:v>READY</x:v>
      </x:c>
    </x:row>
    <x:row r="400">
      <x:c r="A400" s="18" t="str">
        <x:v>NYT-47-d618b3723ba39f9d</x:v>
      </x:c>
      <x:c r="B400" s="18" t="str">
        <x:v>NCLT / NCLAT (Insolvency) source coverage</x:v>
      </x:c>
      <x:c r="C400" s="18" t="str">
        <x:v>2026-06-02</x:v>
      </x:c>
      <x:c r="D400" s="18" t="n">
        <x:v>2026</x:v>
      </x:c>
      <x:c r="E400" s="18" t="str">
        <x:v>2026-06</x:v>
      </x:c>
      <x:c r="F400" s="18" t="str"/>
      <x:c r="G400" s="18" t="str">
        <x:v>Public Announcement of Voluntary Liquidation Process</x:v>
      </x:c>
      <x:c r="H400" s="18" t="str"/>
      <x:c r="I400" s="18" t="str"/>
      <x:c r="J400" s="20" t="str"/>
      <x:c r="K400" s="18" t="str"/>
      <x:c r="L400" s="18" t="str"/>
      <x:c r="M400" s="18" t="str">
        <x:v>2026-06-02</x:v>
      </x:c>
      <x:c r="N400" s="18" t="str"/>
      <x:c r="O400" s="18" t="str">
        <x:v>ibbi_17czwlc</x:v>
      </x:c>
      <x:c r="P400" s="18" t="str">
        <x:v>Ms. Srilakshmi Purushotham</x:v>
      </x:c>
      <x:c r="Q400" s="18" t="str">
        <x:v>BLUEOWL SOLUTIONS PRIVATE LIMITED</x:v>
      </x:c>
      <x:c r="R400" s="18" t="str">
        <x:v>Ms. Srilakshmi Purushotham</x:v>
      </x:c>
      <x:c r="S400" s="18" t="str">
        <x:v>2026-07-01</x:v>
      </x:c>
      <x:c r="T400" s="18" t="str">
        <x:v>Public Announcement of Voluntary Liquidation Process</x:v>
      </x:c>
      <x:c r="U400" s="18" t="str"/>
      <x:c r="V400" s="18" t="str">
        <x:v>DEFINED_TERMINAL_OR_FEED_SCOPE</x:v>
      </x:c>
      <x:c r="W400" s="18" t="str">
        <x:v>national_ibbi_announcements.json — published records loaded</x:v>
      </x:c>
      <x:c r="X400" s="18" t="str"/>
      <x:c r="Y400" s="18" t="str"/>
      <x:c r="Z400" s="20" t="n">
        <x:v>434</x:v>
      </x:c>
      <x:c r="AA400" s="19" t="n">
        <x:f>IFERROR(TODAY()-DATEVALUE(C400),"")</x:f>
        <x:v>100</x:v>
      </x:c>
      <x:c r="AB400" s="21" t="n">
        <x:f>ROUND(COUNTA(A400:K400)/11*100,0)</x:f>
        <x:v>100</x:v>
      </x:c>
      <x:c r="AC400" s="18" t="str">
        <x:v>National Company Law Tribunal</x:v>
      </x:c>
      <x:c r="AD400" s="22" t="str">
        <x:v>https://ibbi.gov.in/uploads/announcement/4e7f88919303268a6f6d2e8b0c0c9189.pdf</x:v>
      </x:c>
      <x:c r="AE400" s="18" t="str">
        <x:v>2026-06-02</x:v>
      </x:c>
      <x:c r="AF400" s="18" t="n">
        <x:v>46275.114583333336</x:v>
      </x:c>
      <x:c r="AG400" s="18" t="str">
        <x:v>retained_terminal</x:v>
      </x:c>
      <x:c r="AH400" s="18" t="str">
        <x:v>READY</x:v>
      </x:c>
    </x:row>
    <x:row r="401">
      <x:c r="A401" s="18" t="str">
        <x:v>NYT-47-b528f2baaf420646</x:v>
      </x:c>
      <x:c r="B401" s="18" t="str">
        <x:v>NCLT / NCLAT (Insolvency) source coverage</x:v>
      </x:c>
      <x:c r="C401" s="18" t="str">
        <x:v>2026-06-02</x:v>
      </x:c>
      <x:c r="D401" s="18" t="n">
        <x:v>2026</x:v>
      </x:c>
      <x:c r="E401" s="18" t="str">
        <x:v>2026-06</x:v>
      </x:c>
      <x:c r="F401" s="18" t="str"/>
      <x:c r="G401" s="18" t="str">
        <x:v>Public Announcement of Voluntary Liquidation Process</x:v>
      </x:c>
      <x:c r="H401" s="18" t="str"/>
      <x:c r="I401" s="18" t="str"/>
      <x:c r="J401" s="20" t="str"/>
      <x:c r="K401" s="18" t="str"/>
      <x:c r="L401" s="18" t="str"/>
      <x:c r="M401" s="18" t="str">
        <x:v>2026-06-02</x:v>
      </x:c>
      <x:c r="N401" s="18" t="str"/>
      <x:c r="O401" s="18" t="str">
        <x:v>ibbi_nswk9p</x:v>
      </x:c>
      <x:c r="P401" s="18" t="str">
        <x:v>MEDELEC HEALTHCARE SOLUTIONS PRIVATE LIMITED</x:v>
      </x:c>
      <x:c r="Q401" s="18" t="str">
        <x:v>MEDELEC HEALTHCARE SOLUTIONS PRIVATE LIMITED</x:v>
      </x:c>
      <x:c r="R401" s="18" t="str">
        <x:v>Mr. Krishan Vrind Jain</x:v>
      </x:c>
      <x:c r="S401" s="18" t="str">
        <x:v>2026-06-29</x:v>
      </x:c>
      <x:c r="T401" s="18" t="str">
        <x:v>Public Announcement of Voluntary Liquidation Process</x:v>
      </x:c>
      <x:c r="U401" s="18" t="str"/>
      <x:c r="V401" s="18" t="str">
        <x:v>DEFINED_TERMINAL_OR_FEED_SCOPE</x:v>
      </x:c>
      <x:c r="W401" s="18" t="str">
        <x:v>national_ibbi_announcements.json — published records loaded</x:v>
      </x:c>
      <x:c r="X401" s="18" t="str"/>
      <x:c r="Y401" s="18" t="str"/>
      <x:c r="Z401" s="20" t="n">
        <x:v>434</x:v>
      </x:c>
      <x:c r="AA401" s="19" t="n">
        <x:f>IFERROR(TODAY()-DATEVALUE(C401),"")</x:f>
        <x:v>100</x:v>
      </x:c>
      <x:c r="AB401" s="21" t="n">
        <x:f>ROUND(COUNTA(A401:K401)/11*100,0)</x:f>
        <x:v>100</x:v>
      </x:c>
      <x:c r="AC401" s="18" t="str">
        <x:v>National Company Law Tribunal</x:v>
      </x:c>
      <x:c r="AD401" s="22" t="str">
        <x:v>https://ibbi.gov.in/uploads/announcement/b37a30c4746e7b5eeaa9d56d6cc06761.pdf</x:v>
      </x:c>
      <x:c r="AE401" s="18" t="str">
        <x:v>2026-06-02</x:v>
      </x:c>
      <x:c r="AF401" s="18" t="n">
        <x:v>46275.114583333336</x:v>
      </x:c>
      <x:c r="AG401" s="18" t="str">
        <x:v>retained_terminal</x:v>
      </x:c>
      <x:c r="AH401" s="18" t="str">
        <x:v>READY</x:v>
      </x:c>
    </x:row>
    <x:row r="402">
      <x:c r="A402" s="18" t="str">
        <x:v>NYT-47-84fc6fea29731a99</x:v>
      </x:c>
      <x:c r="B402" s="18" t="str">
        <x:v>NCLT / NCLAT (Insolvency) source coverage</x:v>
      </x:c>
      <x:c r="C402" s="18" t="str">
        <x:v>2026-05-28</x:v>
      </x:c>
      <x:c r="D402" s="18" t="n">
        <x:v>2026</x:v>
      </x:c>
      <x:c r="E402" s="18" t="str">
        <x:v>2026-05</x:v>
      </x:c>
      <x:c r="F402" s="18" t="str"/>
      <x:c r="G402" s="18" t="str">
        <x:v>Public Announcement of Corporate Insolvency Resolution Process</x:v>
      </x:c>
      <x:c r="H402" s="18" t="str"/>
      <x:c r="I402" s="18" t="str"/>
      <x:c r="J402" s="20" t="str"/>
      <x:c r="K402" s="18" t="str"/>
      <x:c r="L402" s="18" t="str"/>
      <x:c r="M402" s="18" t="str">
        <x:v>2026-05-28</x:v>
      </x:c>
      <x:c r="N402" s="18" t="str"/>
      <x:c r="O402" s="18" t="str">
        <x:v>ibbi_hajwy3</x:v>
      </x:c>
      <x:c r="P402" s="18" t="str">
        <x:v>Valufocus Eco- Revive Packaging</x:v>
      </x:c>
      <x:c r="Q402" s="18" t="str">
        <x:v>DEVKIRAN PAPER MILLS PRIVATE LIMITED</x:v>
      </x:c>
      <x:c r="R402" s="18" t="str">
        <x:v>Rishabh Sethi</x:v>
      </x:c>
      <x:c r="S402" s="18" t="str">
        <x:v>2026-06-08</x:v>
      </x:c>
      <x:c r="T402" s="18" t="str">
        <x:v>Public Announcement of Corporate Insolvency Resolution Process</x:v>
      </x:c>
      <x:c r="U402" s="18" t="str"/>
      <x:c r="V402" s="18" t="str">
        <x:v>DEFINED_TERMINAL_OR_FEED_SCOPE</x:v>
      </x:c>
      <x:c r="W402" s="18" t="str">
        <x:v>national_ibbi_announcements.json — published records loaded</x:v>
      </x:c>
      <x:c r="X402" s="18" t="str"/>
      <x:c r="Y402" s="18" t="str"/>
      <x:c r="Z402" s="20" t="n">
        <x:v>434</x:v>
      </x:c>
      <x:c r="AA402" s="19" t="n">
        <x:f>IFERROR(TODAY()-DATEVALUE(C402),"")</x:f>
        <x:v>105</x:v>
      </x:c>
      <x:c r="AB402" s="21" t="n">
        <x:f>ROUND(COUNTA(A402:K402)/11*100,0)</x:f>
        <x:v>100</x:v>
      </x:c>
      <x:c r="AC402" s="18" t="str">
        <x:v>National Company Law Tribunal</x:v>
      </x:c>
      <x:c r="AD402" s="22" t="str">
        <x:v>https://ibbi.gov.in/uploads/announcement/2026-05-30-142737-3ylgs-3148458f1aa0fb70c658c8b22529a5dd.pdf</x:v>
      </x:c>
      <x:c r="AE402" s="18" t="str">
        <x:v>2026-05-28</x:v>
      </x:c>
      <x:c r="AF402" s="18" t="n">
        <x:v>46275.114583333336</x:v>
      </x:c>
      <x:c r="AG402" s="18" t="str">
        <x:v>retained_terminal</x:v>
      </x:c>
      <x:c r="AH402" s="18" t="str">
        <x:v>READY</x:v>
      </x:c>
    </x:row>
    <x:row r="403">
      <x:c r="A403" s="18" t="str">
        <x:v>NYT-47-66611f559c50ba40</x:v>
      </x:c>
      <x:c r="B403" s="18" t="str">
        <x:v>NCLT / NCLAT (Insolvency) source coverage</x:v>
      </x:c>
      <x:c r="C403" s="18" t="str">
        <x:v>2026-05-26</x:v>
      </x:c>
      <x:c r="D403" s="18" t="n">
        <x:v>2026</x:v>
      </x:c>
      <x:c r="E403" s="18" t="str">
        <x:v>2026-05</x:v>
      </x:c>
      <x:c r="F403" s="18" t="str"/>
      <x:c r="G403" s="18" t="str">
        <x:v>Public Announcement of Liquidation Process</x:v>
      </x:c>
      <x:c r="H403" s="18" t="str"/>
      <x:c r="I403" s="18" t="str"/>
      <x:c r="J403" s="20" t="str"/>
      <x:c r="K403" s="18" t="str"/>
      <x:c r="L403" s="18" t="str"/>
      <x:c r="M403" s="18" t="str">
        <x:v>2026-05-26</x:v>
      </x:c>
      <x:c r="N403" s="18" t="str"/>
      <x:c r="O403" s="18" t="str">
        <x:v>ibbi_11ocpz4</x:v>
      </x:c>
      <x:c r="P403" s="18" t="str">
        <x:v>State Bank of India</x:v>
      </x:c>
      <x:c r="Q403" s="18" t="str">
        <x:v>VIBHA AGRO TECH LIMITED</x:v>
      </x:c>
      <x:c r="R403" s="18" t="str">
        <x:v>Dantu Indu Sekhar</x:v>
      </x:c>
      <x:c r="S403" s="18" t="str">
        <x:v>2026-06-21</x:v>
      </x:c>
      <x:c r="T403" s="18" t="str">
        <x:v>Public Announcement of Liquidation Process</x:v>
      </x:c>
      <x:c r="U403" s="18" t="str"/>
      <x:c r="V403" s="18" t="str">
        <x:v>DEFINED_TERMINAL_OR_FEED_SCOPE</x:v>
      </x:c>
      <x:c r="W403" s="18" t="str">
        <x:v>national_ibbi_announcements.json — published records loaded</x:v>
      </x:c>
      <x:c r="X403" s="18" t="str"/>
      <x:c r="Y403" s="18" t="str"/>
      <x:c r="Z403" s="20" t="n">
        <x:v>434</x:v>
      </x:c>
      <x:c r="AA403" s="19" t="n">
        <x:f>IFERROR(TODAY()-DATEVALUE(C403),"")</x:f>
        <x:v>107</x:v>
      </x:c>
      <x:c r="AB403" s="21" t="n">
        <x:f>ROUND(COUNTA(A403:K403)/11*100,0)</x:f>
        <x:v>100</x:v>
      </x:c>
      <x:c r="AC403" s="18" t="str">
        <x:v>National Company Law Tribunal</x:v>
      </x:c>
      <x:c r="AD403" s="22" t="str">
        <x:v>https://ibbi.gov.in/uploads/announcement/e0da46a1cdecbeedef5d155107f1a918.pdf</x:v>
      </x:c>
      <x:c r="AE403" s="18" t="str">
        <x:v>2026-05-26</x:v>
      </x:c>
      <x:c r="AF403" s="18" t="n">
        <x:v>46275.114583333336</x:v>
      </x:c>
      <x:c r="AG403" s="18" t="str">
        <x:v>retained_terminal</x:v>
      </x:c>
      <x:c r="AH403" s="18" t="str">
        <x:v>READY</x:v>
      </x:c>
    </x:row>
    <x:row r="404">
      <x:c r="A404" s="18" t="str">
        <x:v>NYT-47-9a8f27a909f2eaf7</x:v>
      </x:c>
      <x:c r="B404" s="18" t="str">
        <x:v>NCLT / NCLAT (Insolvency) source coverage</x:v>
      </x:c>
      <x:c r="C404" s="18" t="str">
        <x:v>2026-05-25</x:v>
      </x:c>
      <x:c r="D404" s="18" t="n">
        <x:v>2026</x:v>
      </x:c>
      <x:c r="E404" s="18" t="str">
        <x:v>2026-05</x:v>
      </x:c>
      <x:c r="F404" s="18" t="str"/>
      <x:c r="G404" s="18" t="str">
        <x:v>Public Announcement of Voluntary Liquidation Process</x:v>
      </x:c>
      <x:c r="H404" s="18" t="str"/>
      <x:c r="I404" s="18" t="str"/>
      <x:c r="J404" s="20" t="str"/>
      <x:c r="K404" s="18" t="str"/>
      <x:c r="L404" s="18" t="str"/>
      <x:c r="M404" s="18" t="str">
        <x:v>2026-05-25</x:v>
      </x:c>
      <x:c r="N404" s="18" t="str"/>
      <x:c r="O404" s="18" t="str">
        <x:v>ibbi_4bg7bf</x:v>
      </x:c>
      <x:c r="P404" s="18" t="str">
        <x:v>Nidhi Amit Poddar</x:v>
      </x:c>
      <x:c r="Q404" s="18" t="str">
        <x:v>KOKO NETWORKS PRIVATE LIMITED</x:v>
      </x:c>
      <x:c r="R404" s="18" t="str">
        <x:v>Nidhi Amit Poddar</x:v>
      </x:c>
      <x:c r="S404" s="18" t="str">
        <x:v>2026-06-20</x:v>
      </x:c>
      <x:c r="T404" s="18" t="str">
        <x:v>Public Announcement of Voluntary Liquidation Process</x:v>
      </x:c>
      <x:c r="U404" s="18" t="str"/>
      <x:c r="V404" s="18" t="str">
        <x:v>DEFINED_TERMINAL_OR_FEED_SCOPE</x:v>
      </x:c>
      <x:c r="W404" s="18" t="str">
        <x:v>national_ibbi_announcements.json — published records loaded</x:v>
      </x:c>
      <x:c r="X404" s="18" t="str"/>
      <x:c r="Y404" s="18" t="str"/>
      <x:c r="Z404" s="20" t="n">
        <x:v>434</x:v>
      </x:c>
      <x:c r="AA404" s="19" t="n">
        <x:f>IFERROR(TODAY()-DATEVALUE(C404),"")</x:f>
        <x:v>108</x:v>
      </x:c>
      <x:c r="AB404" s="21" t="n">
        <x:f>ROUND(COUNTA(A404:K404)/11*100,0)</x:f>
        <x:v>100</x:v>
      </x:c>
      <x:c r="AC404" s="18" t="str">
        <x:v>National Company Law Tribunal</x:v>
      </x:c>
      <x:c r="AD404" s="22" t="str">
        <x:v>https://ibbi.gov.in/uploads/announcement/924167ad66ea2cb60c3da8cc46cf4907.pdf</x:v>
      </x:c>
      <x:c r="AE404" s="18" t="str">
        <x:v>2026-05-25</x:v>
      </x:c>
      <x:c r="AF404" s="18" t="n">
        <x:v>46275.114583333336</x:v>
      </x:c>
      <x:c r="AG404" s="18" t="str">
        <x:v>retained_terminal</x:v>
      </x:c>
      <x:c r="AH404" s="18" t="str">
        <x:v>READY</x:v>
      </x:c>
    </x:row>
    <x:row r="405">
      <x:c r="A405" s="18" t="str">
        <x:v>NYT-47-932360c817039b22</x:v>
      </x:c>
      <x:c r="B405" s="18" t="str">
        <x:v>NCLT / NCLAT (Insolvency) source coverage</x:v>
      </x:c>
      <x:c r="C405" s="18" t="str">
        <x:v>2026-05-25</x:v>
      </x:c>
      <x:c r="D405" s="18" t="n">
        <x:v>2026</x:v>
      </x:c>
      <x:c r="E405" s="18" t="str">
        <x:v>2026-05</x:v>
      </x:c>
      <x:c r="F405" s="18" t="str"/>
      <x:c r="G405" s="18" t="str">
        <x:v>Public Announcement of Liquidation Process</x:v>
      </x:c>
      <x:c r="H405" s="18" t="str"/>
      <x:c r="I405" s="18" t="str"/>
      <x:c r="J405" s="20" t="str"/>
      <x:c r="K405" s="18" t="str"/>
      <x:c r="L405" s="18" t="str"/>
      <x:c r="M405" s="18" t="str">
        <x:v>2026-05-25</x:v>
      </x:c>
      <x:c r="N405" s="18" t="str"/>
      <x:c r="O405" s="18" t="str">
        <x:v>ibbi_1488amz</x:v>
      </x:c>
      <x:c r="P405" s="18" t="str">
        <x:v>Canara Bank</x:v>
      </x:c>
      <x:c r="Q405" s="18" t="str">
        <x:v>B K ROY PVT LTD</x:v>
      </x:c>
      <x:c r="R405" s="18" t="str">
        <x:v>Sanjay Kumar Poddar</x:v>
      </x:c>
      <x:c r="S405" s="18" t="str">
        <x:v>2026-06-21</x:v>
      </x:c>
      <x:c r="T405" s="18" t="str">
        <x:v>Public Announcement of Liquidation Process</x:v>
      </x:c>
      <x:c r="U405" s="18" t="str"/>
      <x:c r="V405" s="18" t="str">
        <x:v>DEFINED_TERMINAL_OR_FEED_SCOPE</x:v>
      </x:c>
      <x:c r="W405" s="18" t="str">
        <x:v>national_ibbi_announcements.json — published records loaded</x:v>
      </x:c>
      <x:c r="X405" s="18" t="str"/>
      <x:c r="Y405" s="18" t="str"/>
      <x:c r="Z405" s="20" t="n">
        <x:v>434</x:v>
      </x:c>
      <x:c r="AA405" s="19" t="n">
        <x:f>IFERROR(TODAY()-DATEVALUE(C405),"")</x:f>
        <x:v>108</x:v>
      </x:c>
      <x:c r="AB405" s="21" t="n">
        <x:f>ROUND(COUNTA(A405:K405)/11*100,0)</x:f>
        <x:v>100</x:v>
      </x:c>
      <x:c r="AC405" s="18" t="str">
        <x:v>National Company Law Tribunal</x:v>
      </x:c>
      <x:c r="AD405" s="22" t="str">
        <x:v>https://ibbi.gov.in/uploads/announcement/cba96b10bc8673a15048bca03f1a9881.pdf</x:v>
      </x:c>
      <x:c r="AE405" s="18" t="str">
        <x:v>2026-05-25</x:v>
      </x:c>
      <x:c r="AF405" s="18" t="n">
        <x:v>46275.114583333336</x:v>
      </x:c>
      <x:c r="AG405" s="18" t="str">
        <x:v>retained_terminal</x:v>
      </x:c>
      <x:c r="AH405" s="18" t="str">
        <x:v>READY</x:v>
      </x:c>
    </x:row>
    <x:row r="406">
      <x:c r="A406" s="18" t="str">
        <x:v>NYT-47-ce4ad68c0c9597fc</x:v>
      </x:c>
      <x:c r="B406" s="18" t="str">
        <x:v>NCLT / NCLAT (Insolvency) source coverage</x:v>
      </x:c>
      <x:c r="C406" s="18" t="str">
        <x:v>2026-05-25</x:v>
      </x:c>
      <x:c r="D406" s="18" t="n">
        <x:v>2026</x:v>
      </x:c>
      <x:c r="E406" s="18" t="str">
        <x:v>2026-05</x:v>
      </x:c>
      <x:c r="F406" s="18" t="str"/>
      <x:c r="G406" s="18" t="str">
        <x:v>Public Announcement of Corporate Insolvency Resolution Process</x:v>
      </x:c>
      <x:c r="H406" s="18" t="str"/>
      <x:c r="I406" s="18" t="str"/>
      <x:c r="J406" s="20" t="str"/>
      <x:c r="K406" s="18" t="str"/>
      <x:c r="L406" s="18" t="str"/>
      <x:c r="M406" s="18" t="str">
        <x:v>2026-05-25</x:v>
      </x:c>
      <x:c r="N406" s="18" t="str"/>
      <x:c r="O406" s="18" t="str">
        <x:v>ibbi_xo9if0</x:v>
      </x:c>
      <x:c r="P406" s="18" t="str">
        <x:v>STATE BANK OF INDIA</x:v>
      </x:c>
      <x:c r="Q406" s="18" t="str">
        <x:v>MARTINA BIO GENICS PRIVATE LIMITED</x:v>
      </x:c>
      <x:c r="R406" s="18" t="str">
        <x:v>Mr. Jitendra Lohia</x:v>
      </x:c>
      <x:c r="S406" s="18" t="str">
        <x:v>2026-06-05</x:v>
      </x:c>
      <x:c r="T406" s="18" t="str">
        <x:v>Public Announcement of Corporate Insolvency Resolution Process</x:v>
      </x:c>
      <x:c r="U406" s="18" t="str"/>
      <x:c r="V406" s="18" t="str">
        <x:v>DEFINED_TERMINAL_OR_FEED_SCOPE</x:v>
      </x:c>
      <x:c r="W406" s="18" t="str">
        <x:v>national_ibbi_announcements.json — published records loaded</x:v>
      </x:c>
      <x:c r="X406" s="18" t="str"/>
      <x:c r="Y406" s="18" t="str"/>
      <x:c r="Z406" s="20" t="n">
        <x:v>434</x:v>
      </x:c>
      <x:c r="AA406" s="19" t="n">
        <x:f>IFERROR(TODAY()-DATEVALUE(C406),"")</x:f>
        <x:v>108</x:v>
      </x:c>
      <x:c r="AB406" s="21" t="n">
        <x:f>ROUND(COUNTA(A406:K406)/11*100,0)</x:f>
        <x:v>100</x:v>
      </x:c>
      <x:c r="AC406" s="18" t="str">
        <x:v>National Company Law Tribunal</x:v>
      </x:c>
      <x:c r="AD406" s="22" t="str">
        <x:v>https://ibbi.gov.in/uploads/announcement/2026-05-26-163008-p1v54-3b2339050f45f034ee0fda92f65f1263.pdf</x:v>
      </x:c>
      <x:c r="AE406" s="18" t="str">
        <x:v>2026-05-25</x:v>
      </x:c>
      <x:c r="AF406" s="18" t="n">
        <x:v>46275.114583333336</x:v>
      </x:c>
      <x:c r="AG406" s="18" t="str">
        <x:v>retained_terminal</x:v>
      </x:c>
      <x:c r="AH406" s="18" t="str">
        <x:v>READY</x:v>
      </x:c>
    </x:row>
    <x:row r="407">
      <x:c r="A407" s="18" t="str">
        <x:v>NYT-47-ed87951accbb1e90</x:v>
      </x:c>
      <x:c r="B407" s="18" t="str">
        <x:v>NCLT / NCLAT (Insolvency) source coverage</x:v>
      </x:c>
      <x:c r="C407" s="18" t="str">
        <x:v>2026-05-24</x:v>
      </x:c>
      <x:c r="D407" s="18" t="n">
        <x:v>2026</x:v>
      </x:c>
      <x:c r="E407" s="18" t="str">
        <x:v>2026-05</x:v>
      </x:c>
      <x:c r="F407" s="18" t="str"/>
      <x:c r="G407" s="18" t="str">
        <x:v>Public Announcement of Liquidation Process</x:v>
      </x:c>
      <x:c r="H407" s="18" t="str"/>
      <x:c r="I407" s="18" t="str"/>
      <x:c r="J407" s="20" t="str"/>
      <x:c r="K407" s="18" t="str"/>
      <x:c r="L407" s="18" t="str"/>
      <x:c r="M407" s="18" t="str">
        <x:v>2026-05-24</x:v>
      </x:c>
      <x:c r="N407" s="18" t="str"/>
      <x:c r="O407" s="18" t="str">
        <x:v>ibbi_rfaryo</x:v>
      </x:c>
      <x:c r="P407" s="18" t="str">
        <x:v>State Bank of India</x:v>
      </x:c>
      <x:c r="Q407" s="18" t="str">
        <x:v>Vrundavan Ceramic Private Limited</x:v>
      </x:c>
      <x:c r="R407" s="18" t="str">
        <x:v>Mr. Arunava Sikdar</x:v>
      </x:c>
      <x:c r="S407" s="18" t="str">
        <x:v>2026-06-21</x:v>
      </x:c>
      <x:c r="T407" s="18" t="str">
        <x:v>Public Announcement of Liquidation Process</x:v>
      </x:c>
      <x:c r="U407" s="18" t="str"/>
      <x:c r="V407" s="18" t="str">
        <x:v>DEFINED_TERMINAL_OR_FEED_SCOPE</x:v>
      </x:c>
      <x:c r="W407" s="18" t="str">
        <x:v>national_ibbi_announcements.json — published records loaded</x:v>
      </x:c>
      <x:c r="X407" s="18" t="str"/>
      <x:c r="Y407" s="18" t="str"/>
      <x:c r="Z407" s="20" t="n">
        <x:v>434</x:v>
      </x:c>
      <x:c r="AA407" s="19" t="n">
        <x:f>IFERROR(TODAY()-DATEVALUE(C407),"")</x:f>
        <x:v>109</x:v>
      </x:c>
      <x:c r="AB407" s="21" t="n">
        <x:f>ROUND(COUNTA(A407:K407)/11*100,0)</x:f>
        <x:v>100</x:v>
      </x:c>
      <x:c r="AC407" s="18" t="str">
        <x:v>National Company Law Tribunal</x:v>
      </x:c>
      <x:c r="AD407" s="22" t="str">
        <x:v>https://ibbi.gov.in/uploads/announcement/5a14fb46c61a3147df5447e1c7a8f2b6.pdf</x:v>
      </x:c>
      <x:c r="AE407" s="18" t="str">
        <x:v>2026-05-24</x:v>
      </x:c>
      <x:c r="AF407" s="18" t="n">
        <x:v>46275.114583333336</x:v>
      </x:c>
      <x:c r="AG407" s="18" t="str">
        <x:v>retained_terminal</x:v>
      </x:c>
      <x:c r="AH407" s="18" t="str">
        <x:v>READY</x:v>
      </x:c>
    </x:row>
    <x:row r="408">
      <x:c r="A408" s="18" t="str">
        <x:v>NYT-47-025ec8945fbc93b6</x:v>
      </x:c>
      <x:c r="B408" s="18" t="str">
        <x:v>NCLT / NCLAT (Insolvency) source coverage</x:v>
      </x:c>
      <x:c r="C408" s="18" t="str">
        <x:v>2026-05-24</x:v>
      </x:c>
      <x:c r="D408" s="18" t="n">
        <x:v>2026</x:v>
      </x:c>
      <x:c r="E408" s="18" t="str">
        <x:v>2026-05</x:v>
      </x:c>
      <x:c r="F408" s="18" t="str"/>
      <x:c r="G408" s="18" t="str">
        <x:v>Public Announcement of Corporate Insolvency Resolution Process</x:v>
      </x:c>
      <x:c r="H408" s="18" t="str"/>
      <x:c r="I408" s="18" t="str"/>
      <x:c r="J408" s="20" t="str"/>
      <x:c r="K408" s="18" t="str"/>
      <x:c r="L408" s="18" t="str"/>
      <x:c r="M408" s="18" t="str">
        <x:v>2026-05-24</x:v>
      </x:c>
      <x:c r="N408" s="18" t="str"/>
      <x:c r="O408" s="18" t="str">
        <x:v>ibbi_1atr9a3</x:v>
      </x:c>
      <x:c r="P408" s="18" t="str">
        <x:v>Israr</x:v>
      </x:c>
      <x:c r="Q408" s="18" t="str">
        <x:v>JMV ISPAT PRIVATE LIMITED</x:v>
      </x:c>
      <x:c r="R408" s="18" t="str">
        <x:v>Ms. Hemi Gupta</x:v>
      </x:c>
      <x:c r="S408" s="18" t="str">
        <x:v>2026-06-05</x:v>
      </x:c>
      <x:c r="T408" s="18" t="str">
        <x:v>Public Announcement of Corporate Insolvency Resolution Process</x:v>
      </x:c>
      <x:c r="U408" s="18" t="str"/>
      <x:c r="V408" s="18" t="str">
        <x:v>DEFINED_TERMINAL_OR_FEED_SCOPE</x:v>
      </x:c>
      <x:c r="W408" s="18" t="str">
        <x:v>national_ibbi_announcements.json — published records loaded</x:v>
      </x:c>
      <x:c r="X408" s="18" t="str"/>
      <x:c r="Y408" s="18" t="str"/>
      <x:c r="Z408" s="20" t="n">
        <x:v>434</x:v>
      </x:c>
      <x:c r="AA408" s="19" t="n">
        <x:f>IFERROR(TODAY()-DATEVALUE(C408),"")</x:f>
        <x:v>109</x:v>
      </x:c>
      <x:c r="AB408" s="21" t="n">
        <x:f>ROUND(COUNTA(A408:K408)/11*100,0)</x:f>
        <x:v>100</x:v>
      </x:c>
      <x:c r="AC408" s="18" t="str">
        <x:v>National Company Law Tribunal</x:v>
      </x:c>
      <x:c r="AD408" s="22" t="str">
        <x:v>https://ibbi.gov.in/uploads/announcement/54c41e7ba71d41612ee3e394216719d9.pdf</x:v>
      </x:c>
      <x:c r="AE408" s="18" t="str">
        <x:v>2026-05-24</x:v>
      </x:c>
      <x:c r="AF408" s="18" t="n">
        <x:v>46275.114583333336</x:v>
      </x:c>
      <x:c r="AG408" s="18" t="str">
        <x:v>retained_terminal</x:v>
      </x:c>
      <x:c r="AH408" s="18" t="str">
        <x:v>READY</x:v>
      </x:c>
    </x:row>
    <x:row r="409">
      <x:c r="A409" s="18" t="str">
        <x:v>NYT-47-8e46bfa37be66cd9</x:v>
      </x:c>
      <x:c r="B409" s="18" t="str">
        <x:v>NCLT / NCLAT (Insolvency) source coverage</x:v>
      </x:c>
      <x:c r="C409" s="18" t="str">
        <x:v>2026-05-24</x:v>
      </x:c>
      <x:c r="D409" s="18" t="n">
        <x:v>2026</x:v>
      </x:c>
      <x:c r="E409" s="18" t="str">
        <x:v>2026-05</x:v>
      </x:c>
      <x:c r="F409" s="18" t="str"/>
      <x:c r="G409" s="18" t="str">
        <x:v>Public Announcement of Corporate Insolvency Resolution Process</x:v>
      </x:c>
      <x:c r="H409" s="18" t="str"/>
      <x:c r="I409" s="18" t="str"/>
      <x:c r="J409" s="20" t="str"/>
      <x:c r="K409" s="18" t="str"/>
      <x:c r="L409" s="18" t="str"/>
      <x:c r="M409" s="18" t="str">
        <x:v>2026-05-24</x:v>
      </x:c>
      <x:c r="N409" s="18" t="str"/>
      <x:c r="O409" s="18" t="str">
        <x:v>ibbi_9g6t9p</x:v>
      </x:c>
      <x:c r="P409" s="18" t="str">
        <x:v>Agrawal Infracab Pvt. Ltd.</x:v>
      </x:c>
      <x:c r="Q409" s="18" t="str">
        <x:v>LANARSY INFRA LIMITED</x:v>
      </x:c>
      <x:c r="R409" s="18" t="str">
        <x:v>Kunal Bharat Ram</x:v>
      </x:c>
      <x:c r="S409" s="18" t="str">
        <x:v>2026-06-05</x:v>
      </x:c>
      <x:c r="T409" s="18" t="str">
        <x:v>Public Announcement of Corporate Insolvency Resolution Process</x:v>
      </x:c>
      <x:c r="U409" s="18" t="str"/>
      <x:c r="V409" s="18" t="str">
        <x:v>DEFINED_TERMINAL_OR_FEED_SCOPE</x:v>
      </x:c>
      <x:c r="W409" s="18" t="str">
        <x:v>national_ibbi_announcements.json — published records loaded</x:v>
      </x:c>
      <x:c r="X409" s="18" t="str"/>
      <x:c r="Y409" s="18" t="str"/>
      <x:c r="Z409" s="20" t="n">
        <x:v>434</x:v>
      </x:c>
      <x:c r="AA409" s="19" t="n">
        <x:f>IFERROR(TODAY()-DATEVALUE(C409),"")</x:f>
        <x:v>109</x:v>
      </x:c>
      <x:c r="AB409" s="21" t="n">
        <x:f>ROUND(COUNTA(A409:K409)/11*100,0)</x:f>
        <x:v>100</x:v>
      </x:c>
      <x:c r="AC409" s="18" t="str">
        <x:v>National Company Law Tribunal</x:v>
      </x:c>
      <x:c r="AD409" s="22" t="str">
        <x:v>https://ibbi.gov.in/uploads/announcement/895735cc3d8647a3b29053754406aeb5.pdf</x:v>
      </x:c>
      <x:c r="AE409" s="18" t="str">
        <x:v>2026-05-24</x:v>
      </x:c>
      <x:c r="AF409" s="18" t="n">
        <x:v>46275.114583333336</x:v>
      </x:c>
      <x:c r="AG409" s="18" t="str">
        <x:v>retained_terminal</x:v>
      </x:c>
      <x:c r="AH409" s="18" t="str">
        <x:v>READY</x:v>
      </x:c>
    </x:row>
    <x:row r="410">
      <x:c r="A410" s="18" t="str">
        <x:v>NYT-47-f9eb016cceffe763</x:v>
      </x:c>
      <x:c r="B410" s="18" t="str">
        <x:v>NCLT / NCLAT (Insolvency) source coverage</x:v>
      </x:c>
      <x:c r="C410" s="18" t="str">
        <x:v>2026-05-24</x:v>
      </x:c>
      <x:c r="D410" s="18" t="n">
        <x:v>2026</x:v>
      </x:c>
      <x:c r="E410" s="18" t="str">
        <x:v>2026-05</x:v>
      </x:c>
      <x:c r="F410" s="18" t="str"/>
      <x:c r="G410" s="18" t="str">
        <x:v>Public Announcement of Corporate Insolvency Resolution Process</x:v>
      </x:c>
      <x:c r="H410" s="18" t="str"/>
      <x:c r="I410" s="18" t="str"/>
      <x:c r="J410" s="20" t="str"/>
      <x:c r="K410" s="18" t="str"/>
      <x:c r="L410" s="18" t="str"/>
      <x:c r="M410" s="18" t="str">
        <x:v>2026-05-24</x:v>
      </x:c>
      <x:c r="N410" s="18" t="str"/>
      <x:c r="O410" s="18" t="str">
        <x:v>ibbi_1vu5cy1</x:v>
      </x:c>
      <x:c r="P410" s="18" t="str">
        <x:v>Himalaya Food International Limited</x:v>
      </x:c>
      <x:c r="Q410" s="18" t="str">
        <x:v>A.P.J. LABORATORIES LIMITED</x:v>
      </x:c>
      <x:c r="R410" s="18" t="str">
        <x:v>pooja damir miglani</x:v>
      </x:c>
      <x:c r="S410" s="18" t="str">
        <x:v>2026-06-05</x:v>
      </x:c>
      <x:c r="T410" s="18" t="str">
        <x:v>Public Announcement of Corporate Insolvency Resolution Process</x:v>
      </x:c>
      <x:c r="U410" s="18" t="str"/>
      <x:c r="V410" s="18" t="str">
        <x:v>DEFINED_TERMINAL_OR_FEED_SCOPE</x:v>
      </x:c>
      <x:c r="W410" s="18" t="str">
        <x:v>national_ibbi_announcements.json — published records loaded</x:v>
      </x:c>
      <x:c r="X410" s="18" t="str"/>
      <x:c r="Y410" s="18" t="str"/>
      <x:c r="Z410" s="20" t="n">
        <x:v>434</x:v>
      </x:c>
      <x:c r="AA410" s="19" t="n">
        <x:f>IFERROR(TODAY()-DATEVALUE(C410),"")</x:f>
        <x:v>109</x:v>
      </x:c>
      <x:c r="AB410" s="21" t="n">
        <x:f>ROUND(COUNTA(A410:K410)/11*100,0)</x:f>
        <x:v>100</x:v>
      </x:c>
      <x:c r="AC410" s="18" t="str">
        <x:v>National Company Law Tribunal</x:v>
      </x:c>
      <x:c r="AD410" s="22" t="str">
        <x:v>https://ibbi.gov.in/uploads/announcement/f5eaea983a4f0606e0d06ad255edd9e4.pdf</x:v>
      </x:c>
      <x:c r="AE410" s="18" t="str">
        <x:v>2026-05-24</x:v>
      </x:c>
      <x:c r="AF410" s="18" t="n">
        <x:v>46275.114583333336</x:v>
      </x:c>
      <x:c r="AG410" s="18" t="str">
        <x:v>retained_terminal</x:v>
      </x:c>
      <x:c r="AH410" s="18" t="str">
        <x:v>READY</x:v>
      </x:c>
    </x:row>
    <x:row r="411">
      <x:c r="A411" s="18" t="str">
        <x:v>NYT-47-48649b8d35ed8872</x:v>
      </x:c>
      <x:c r="B411" s="18" t="str">
        <x:v>NCLT / NCLAT (Insolvency) source coverage</x:v>
      </x:c>
      <x:c r="C411" s="18" t="str">
        <x:v>2026-05-24</x:v>
      </x:c>
      <x:c r="D411" s="18" t="n">
        <x:v>2026</x:v>
      </x:c>
      <x:c r="E411" s="18" t="str">
        <x:v>2026-05</x:v>
      </x:c>
      <x:c r="F411" s="18" t="str"/>
      <x:c r="G411" s="18" t="str">
        <x:v>Public Announcement of Liquidation Process</x:v>
      </x:c>
      <x:c r="H411" s="18" t="str"/>
      <x:c r="I411" s="18" t="str"/>
      <x:c r="J411" s="20" t="str"/>
      <x:c r="K411" s="18" t="str"/>
      <x:c r="L411" s="18" t="str"/>
      <x:c r="M411" s="18" t="str">
        <x:v>2026-05-24</x:v>
      </x:c>
      <x:c r="N411" s="18" t="str"/>
      <x:c r="O411" s="18" t="str">
        <x:v>ibbi_ggc0qt</x:v>
      </x:c>
      <x:c r="P411" s="18" t="str">
        <x:v>Unox S.P.A.</x:v>
      </x:c>
      <x:c r="Q411" s="18" t="str">
        <x:v>AMBRO ASIA PRIVATE LIMITED</x:v>
      </x:c>
      <x:c r="R411" s="18" t="str">
        <x:v>Pradeep Kumar</x:v>
      </x:c>
      <x:c r="S411" s="18" t="str">
        <x:v>2026-06-20</x:v>
      </x:c>
      <x:c r="T411" s="18" t="str">
        <x:v>Public Announcement of Liquidation Process</x:v>
      </x:c>
      <x:c r="U411" s="18" t="str"/>
      <x:c r="V411" s="18" t="str">
        <x:v>DEFINED_TERMINAL_OR_FEED_SCOPE</x:v>
      </x:c>
      <x:c r="W411" s="18" t="str">
        <x:v>national_ibbi_announcements.json — published records loaded</x:v>
      </x:c>
      <x:c r="X411" s="18" t="str"/>
      <x:c r="Y411" s="18" t="str"/>
      <x:c r="Z411" s="20" t="n">
        <x:v>434</x:v>
      </x:c>
      <x:c r="AA411" s="19" t="n">
        <x:f>IFERROR(TODAY()-DATEVALUE(C411),"")</x:f>
        <x:v>109</x:v>
      </x:c>
      <x:c r="AB411" s="21" t="n">
        <x:f>ROUND(COUNTA(A411:K411)/11*100,0)</x:f>
        <x:v>100</x:v>
      </x:c>
      <x:c r="AC411" s="18" t="str">
        <x:v>National Company Law Tribunal</x:v>
      </x:c>
      <x:c r="AD411" s="22" t="str">
        <x:v>https://ibbi.gov.in/uploads/announcement/00d68a7cd7ce6fd0bdb3c877490aba7c.pdf</x:v>
      </x:c>
      <x:c r="AE411" s="18" t="str">
        <x:v>2026-05-24</x:v>
      </x:c>
      <x:c r="AF411" s="18" t="n">
        <x:v>46275.114583333336</x:v>
      </x:c>
      <x:c r="AG411" s="18" t="str">
        <x:v>retained_terminal</x:v>
      </x:c>
      <x:c r="AH411" s="18" t="str">
        <x:v>READY</x:v>
      </x:c>
    </x:row>
    <x:row r="412">
      <x:c r="A412" s="18" t="str">
        <x:v>NYT-47-8ecaa5b5397bab8c</x:v>
      </x:c>
      <x:c r="B412" s="18" t="str">
        <x:v>NCLT / NCLAT (Insolvency) source coverage</x:v>
      </x:c>
      <x:c r="C412" s="18" t="str">
        <x:v>2026-05-23</x:v>
      </x:c>
      <x:c r="D412" s="18" t="n">
        <x:v>2026</x:v>
      </x:c>
      <x:c r="E412" s="18" t="str">
        <x:v>2026-05</x:v>
      </x:c>
      <x:c r="F412" s="18" t="str"/>
      <x:c r="G412" s="18" t="str">
        <x:v>Public Announcement of Corporate Insolvency Resolution Process</x:v>
      </x:c>
      <x:c r="H412" s="18" t="str"/>
      <x:c r="I412" s="18" t="str"/>
      <x:c r="J412" s="20" t="str"/>
      <x:c r="K412" s="18" t="str"/>
      <x:c r="L412" s="18" t="str"/>
      <x:c r="M412" s="18" t="str">
        <x:v>2026-05-23</x:v>
      </x:c>
      <x:c r="N412" s="18" t="str"/>
      <x:c r="O412" s="18" t="str">
        <x:v>ibbi_7c9gm2</x:v>
      </x:c>
      <x:c r="P412" s="18" t="str">
        <x:v>Lavkash Verma</x:v>
      </x:c>
      <x:c r="Q412" s="18" t="str">
        <x:v>VIGNESHWARA DEVELOPERS PRIVATE LIMITED</x:v>
      </x:c>
      <x:c r="R412" s="18" t="str">
        <x:v>Ms. Ritu Rastogi</x:v>
      </x:c>
      <x:c r="S412" s="18" t="str">
        <x:v>2026-06-04</x:v>
      </x:c>
      <x:c r="T412" s="18" t="str">
        <x:v>Public Announcement of Corporate Insolvency Resolution Process</x:v>
      </x:c>
      <x:c r="U412" s="18" t="str"/>
      <x:c r="V412" s="18" t="str">
        <x:v>DEFINED_TERMINAL_OR_FEED_SCOPE</x:v>
      </x:c>
      <x:c r="W412" s="18" t="str">
        <x:v>national_ibbi_announcements.json — published records loaded</x:v>
      </x:c>
      <x:c r="X412" s="18" t="str"/>
      <x:c r="Y412" s="18" t="str"/>
      <x:c r="Z412" s="20" t="n">
        <x:v>434</x:v>
      </x:c>
      <x:c r="AA412" s="19" t="n">
        <x:f>IFERROR(TODAY()-DATEVALUE(C412),"")</x:f>
        <x:v>110</x:v>
      </x:c>
      <x:c r="AB412" s="21" t="n">
        <x:f>ROUND(COUNTA(A412:K412)/11*100,0)</x:f>
        <x:v>100</x:v>
      </x:c>
      <x:c r="AC412" s="18" t="str">
        <x:v>National Company Law Tribunal</x:v>
      </x:c>
      <x:c r="AD412" s="22" t="str">
        <x:v>https://ibbi.gov.in/uploads/announcement/72a60a2ffbb53168fdd719f4aa0fb535.pdf</x:v>
      </x:c>
      <x:c r="AE412" s="18" t="str">
        <x:v>2026-05-23</x:v>
      </x:c>
      <x:c r="AF412" s="18" t="n">
        <x:v>46275.114583333336</x:v>
      </x:c>
      <x:c r="AG412" s="18" t="str">
        <x:v>retained_terminal</x:v>
      </x:c>
      <x:c r="AH412" s="18" t="str">
        <x:v>READY</x:v>
      </x:c>
    </x:row>
    <x:row r="413">
      <x:c r="A413" s="18" t="str">
        <x:v>NYT-47-b34036ea4cd53aab</x:v>
      </x:c>
      <x:c r="B413" s="18" t="str">
        <x:v>NCLT / NCLAT (Insolvency) source coverage</x:v>
      </x:c>
      <x:c r="C413" s="18" t="str">
        <x:v>2026-05-22</x:v>
      </x:c>
      <x:c r="D413" s="18" t="n">
        <x:v>2026</x:v>
      </x:c>
      <x:c r="E413" s="18" t="str">
        <x:v>2026-05</x:v>
      </x:c>
      <x:c r="F413" s="18" t="str"/>
      <x:c r="G413" s="18" t="str">
        <x:v>Public Announcement of Corporate Insolvency Resolution Process</x:v>
      </x:c>
      <x:c r="H413" s="18" t="str"/>
      <x:c r="I413" s="18" t="str"/>
      <x:c r="J413" s="20" t="str"/>
      <x:c r="K413" s="18" t="str"/>
      <x:c r="L413" s="18" t="str"/>
      <x:c r="M413" s="18" t="str">
        <x:v>2026-05-22</x:v>
      </x:c>
      <x:c r="N413" s="18" t="str"/>
      <x:c r="O413" s="18" t="str">
        <x:v>ibbi_yh1qmm</x:v>
      </x:c>
      <x:c r="P413" s="18" t="str">
        <x:v>LUCETIO PRIMARY MANPOWER PRIVATE LIMITED</x:v>
      </x:c>
      <x:c r="Q413" s="18" t="str">
        <x:v>LUCETIO PRIMARY MANPOWER PRIVATE LIMITED</x:v>
      </x:c>
      <x:c r="R413" s="18" t="str">
        <x:v>Sushanta Kumar Choudhury</x:v>
      </x:c>
      <x:c r="S413" s="18" t="str">
        <x:v>2026-06-06</x:v>
      </x:c>
      <x:c r="T413" s="18" t="str">
        <x:v>Public Announcement of Corporate Insolvency Resolution Process</x:v>
      </x:c>
      <x:c r="U413" s="18" t="str"/>
      <x:c r="V413" s="18" t="str">
        <x:v>DEFINED_TERMINAL_OR_FEED_SCOPE</x:v>
      </x:c>
      <x:c r="W413" s="18" t="str">
        <x:v>national_ibbi_announcements.json — published records loaded</x:v>
      </x:c>
      <x:c r="X413" s="18" t="str"/>
      <x:c r="Y413" s="18" t="str"/>
      <x:c r="Z413" s="20" t="n">
        <x:v>434</x:v>
      </x:c>
      <x:c r="AA413" s="19" t="n">
        <x:f>IFERROR(TODAY()-DATEVALUE(C413),"")</x:f>
        <x:v>111</x:v>
      </x:c>
      <x:c r="AB413" s="21" t="n">
        <x:f>ROUND(COUNTA(A413:K413)/11*100,0)</x:f>
        <x:v>100</x:v>
      </x:c>
      <x:c r="AC413" s="18" t="str">
        <x:v>National Company Law Tribunal</x:v>
      </x:c>
      <x:c r="AD413" s="22" t="str">
        <x:v>https://ibbi.gov.in/uploads/announcement/b5b361fd63102d69e6604f08b4c7b4dc.pdf</x:v>
      </x:c>
      <x:c r="AE413" s="18" t="str">
        <x:v>2026-05-22</x:v>
      </x:c>
      <x:c r="AF413" s="18" t="n">
        <x:v>46275.114583333336</x:v>
      </x:c>
      <x:c r="AG413" s="18" t="str">
        <x:v>retained_terminal</x:v>
      </x:c>
      <x:c r="AH413" s="18" t="str">
        <x:v>READY</x:v>
      </x:c>
    </x:row>
    <x:row r="414">
      <x:c r="A414" s="18" t="str">
        <x:v>NYT-47-a4610f730b843234</x:v>
      </x:c>
      <x:c r="B414" s="18" t="str">
        <x:v>NCLT / NCLAT (Insolvency) source coverage</x:v>
      </x:c>
      <x:c r="C414" s="18" t="str">
        <x:v>2026-05-22</x:v>
      </x:c>
      <x:c r="D414" s="18" t="n">
        <x:v>2026</x:v>
      </x:c>
      <x:c r="E414" s="18" t="str">
        <x:v>2026-05</x:v>
      </x:c>
      <x:c r="F414" s="18" t="str"/>
      <x:c r="G414" s="18" t="str">
        <x:v>Public Announcement of Voluntary Liquidation Process</x:v>
      </x:c>
      <x:c r="H414" s="18" t="str"/>
      <x:c r="I414" s="18" t="str"/>
      <x:c r="J414" s="20" t="str"/>
      <x:c r="K414" s="18" t="str"/>
      <x:c r="L414" s="18" t="str"/>
      <x:c r="M414" s="18" t="str">
        <x:v>2026-05-22</x:v>
      </x:c>
      <x:c r="N414" s="18" t="str"/>
      <x:c r="O414" s="18" t="str">
        <x:v>ibbi_dxgqq2</x:v>
      </x:c>
      <x:c r="P414" s="18" t="str">
        <x:v>Asian Chemical Works (Bombay) Private Limited</x:v>
      </x:c>
      <x:c r="Q414" s="18" t="str">
        <x:v>Asian Chemical Works (Bombay) Private Limited</x:v>
      </x:c>
      <x:c r="R414" s="18" t="str">
        <x:v>Mr. Dilipkumar Natvarlal Jagad</x:v>
      </x:c>
      <x:c r="S414" s="18" t="str">
        <x:v>2026-06-18</x:v>
      </x:c>
      <x:c r="T414" s="18" t="str">
        <x:v>Public Announcement of Voluntary Liquidation Process</x:v>
      </x:c>
      <x:c r="U414" s="18" t="str"/>
      <x:c r="V414" s="18" t="str">
        <x:v>DEFINED_TERMINAL_OR_FEED_SCOPE</x:v>
      </x:c>
      <x:c r="W414" s="18" t="str">
        <x:v>national_ibbi_announcements.json — published records loaded</x:v>
      </x:c>
      <x:c r="X414" s="18" t="str"/>
      <x:c r="Y414" s="18" t="str"/>
      <x:c r="Z414" s="20" t="n">
        <x:v>434</x:v>
      </x:c>
      <x:c r="AA414" s="19" t="n">
        <x:f>IFERROR(TODAY()-DATEVALUE(C414),"")</x:f>
        <x:v>111</x:v>
      </x:c>
      <x:c r="AB414" s="21" t="n">
        <x:f>ROUND(COUNTA(A414:K414)/11*100,0)</x:f>
        <x:v>100</x:v>
      </x:c>
      <x:c r="AC414" s="18" t="str">
        <x:v>National Company Law Tribunal</x:v>
      </x:c>
      <x:c r="AD414" s="22" t="str">
        <x:v>https://ibbi.gov.in/uploads/announcement/2026-05-22-171408-bae1p-50ac64e808977e7ef3399d8d9a84153c.pdf</x:v>
      </x:c>
      <x:c r="AE414" s="18" t="str">
        <x:v>2026-05-22</x:v>
      </x:c>
      <x:c r="AF414" s="18" t="n">
        <x:v>46275.114583333336</x:v>
      </x:c>
      <x:c r="AG414" s="18" t="str">
        <x:v>retained_terminal</x:v>
      </x:c>
      <x:c r="AH414" s="18" t="str">
        <x:v>READY</x:v>
      </x:c>
    </x:row>
    <x:row r="415">
      <x:c r="A415" s="18" t="str">
        <x:v>NYT-47-45030fe07a2d1e82</x:v>
      </x:c>
      <x:c r="B415" s="18" t="str">
        <x:v>NCLT / NCLAT (Insolvency) source coverage</x:v>
      </x:c>
      <x:c r="C415" s="18" t="str">
        <x:v>2026-05-21</x:v>
      </x:c>
      <x:c r="D415" s="18" t="n">
        <x:v>2026</x:v>
      </x:c>
      <x:c r="E415" s="18" t="str">
        <x:v>2026-05</x:v>
      </x:c>
      <x:c r="F415" s="18" t="str"/>
      <x:c r="G415" s="18" t="str">
        <x:v>Public Announcement of Liquidation Process</x:v>
      </x:c>
      <x:c r="H415" s="18" t="str"/>
      <x:c r="I415" s="18" t="str"/>
      <x:c r="J415" s="20" t="str"/>
      <x:c r="K415" s="18" t="str"/>
      <x:c r="L415" s="18" t="str"/>
      <x:c r="M415" s="18" t="str">
        <x:v>2026-05-21</x:v>
      </x:c>
      <x:c r="N415" s="18" t="str"/>
      <x:c r="O415" s="18" t="str">
        <x:v>ibbi_1392l5z</x:v>
      </x:c>
      <x:c r="P415" s="18" t="str">
        <x:v>Ashirwad Developers</x:v>
      </x:c>
      <x:c r="Q415" s="18" t="str">
        <x:v>SR DIGITAL TV AND BROADBAND PRIVATE LIMITED</x:v>
      </x:c>
      <x:c r="R415" s="18" t="str">
        <x:v>CHAYA GUPTA</x:v>
      </x:c>
      <x:c r="S415" s="18" t="str">
        <x:v>2026-06-14</x:v>
      </x:c>
      <x:c r="T415" s="18" t="str">
        <x:v>Public Announcement of Liquidation Process</x:v>
      </x:c>
      <x:c r="U415" s="18" t="str"/>
      <x:c r="V415" s="18" t="str">
        <x:v>DEFINED_TERMINAL_OR_FEED_SCOPE</x:v>
      </x:c>
      <x:c r="W415" s="18" t="str">
        <x:v>national_ibbi_announcements.json — published records loaded</x:v>
      </x:c>
      <x:c r="X415" s="18" t="str"/>
      <x:c r="Y415" s="18" t="str"/>
      <x:c r="Z415" s="20" t="n">
        <x:v>434</x:v>
      </x:c>
      <x:c r="AA415" s="19" t="n">
        <x:f>IFERROR(TODAY()-DATEVALUE(C415),"")</x:f>
        <x:v>112</x:v>
      </x:c>
      <x:c r="AB415" s="21" t="n">
        <x:f>ROUND(COUNTA(A415:K415)/11*100,0)</x:f>
        <x:v>100</x:v>
      </x:c>
      <x:c r="AC415" s="18" t="str">
        <x:v>National Company Law Tribunal</x:v>
      </x:c>
      <x:c r="AD415" s="22" t="str">
        <x:v>https://ibbi.gov.in/uploads/announcement/4a03149f4cd9e2ef8bff910e0f4f1d98.pdf</x:v>
      </x:c>
      <x:c r="AE415" s="18" t="str">
        <x:v>2026-05-21</x:v>
      </x:c>
      <x:c r="AF415" s="18" t="n">
        <x:v>46275.114583333336</x:v>
      </x:c>
      <x:c r="AG415" s="18" t="str">
        <x:v>retained_terminal</x:v>
      </x:c>
      <x:c r="AH415" s="18" t="str">
        <x:v>READY</x:v>
      </x:c>
    </x:row>
    <x:row r="416">
      <x:c r="A416" s="18" t="str">
        <x:v>NYT-47-3b0ec396e9660556</x:v>
      </x:c>
      <x:c r="B416" s="18" t="str">
        <x:v>NCLT / NCLAT (Insolvency) source coverage</x:v>
      </x:c>
      <x:c r="C416" s="18" t="str">
        <x:v>2026-05-21</x:v>
      </x:c>
      <x:c r="D416" s="18" t="n">
        <x:v>2026</x:v>
      </x:c>
      <x:c r="E416" s="18" t="str">
        <x:v>2026-05</x:v>
      </x:c>
      <x:c r="F416" s="18" t="str"/>
      <x:c r="G416" s="18" t="str">
        <x:v>Public Announcement of Liquidation Process</x:v>
      </x:c>
      <x:c r="H416" s="18" t="str"/>
      <x:c r="I416" s="18" t="str"/>
      <x:c r="J416" s="20" t="str"/>
      <x:c r="K416" s="18" t="str"/>
      <x:c r="L416" s="18" t="str"/>
      <x:c r="M416" s="18" t="str">
        <x:v>2026-05-21</x:v>
      </x:c>
      <x:c r="N416" s="18" t="str"/>
      <x:c r="O416" s="18" t="str">
        <x:v>ibbi_1muid6n</x:v>
      </x:c>
      <x:c r="P416" s="18" t="str">
        <x:v>Mukesh Khathuria</x:v>
      </x:c>
      <x:c r="Q416" s="18" t="str">
        <x:v>ASIS CORPORATE ADVISORS LIMITED</x:v>
      </x:c>
      <x:c r="R416" s="18" t="str">
        <x:v>Mr. Mukesh Khathuria</x:v>
      </x:c>
      <x:c r="S416" s="18" t="str">
        <x:v>2026-06-19</x:v>
      </x:c>
      <x:c r="T416" s="18" t="str">
        <x:v>Public Announcement of Liquidation Process</x:v>
      </x:c>
      <x:c r="U416" s="18" t="str"/>
      <x:c r="V416" s="18" t="str">
        <x:v>DEFINED_TERMINAL_OR_FEED_SCOPE</x:v>
      </x:c>
      <x:c r="W416" s="18" t="str">
        <x:v>national_ibbi_announcements.json — published records loaded</x:v>
      </x:c>
      <x:c r="X416" s="18" t="str"/>
      <x:c r="Y416" s="18" t="str"/>
      <x:c r="Z416" s="20" t="n">
        <x:v>434</x:v>
      </x:c>
      <x:c r="AA416" s="19" t="n">
        <x:f>IFERROR(TODAY()-DATEVALUE(C416),"")</x:f>
        <x:v>112</x:v>
      </x:c>
      <x:c r="AB416" s="21" t="n">
        <x:f>ROUND(COUNTA(A416:K416)/11*100,0)</x:f>
        <x:v>100</x:v>
      </x:c>
      <x:c r="AC416" s="18" t="str">
        <x:v>National Company Law Tribunal</x:v>
      </x:c>
      <x:c r="AD416" s="22" t="str">
        <x:v>https://ibbi.gov.in/uploads/announcement/2026-05-22-155152-ps3m4-65c7f5e963fba4df879482159c684ab2.pdf</x:v>
      </x:c>
      <x:c r="AE416" s="18" t="str">
        <x:v>2026-05-21</x:v>
      </x:c>
      <x:c r="AF416" s="18" t="n">
        <x:v>46275.114583333336</x:v>
      </x:c>
      <x:c r="AG416" s="18" t="str">
        <x:v>retained_terminal</x:v>
      </x:c>
      <x:c r="AH416" s="18" t="str">
        <x:v>READY</x:v>
      </x:c>
    </x:row>
    <x:row r="417">
      <x:c r="A417" s="18" t="str">
        <x:v>NYT-47-392ac94b5a5d9ff5</x:v>
      </x:c>
      <x:c r="B417" s="18" t="str">
        <x:v>NCLT / NCLAT (Insolvency) source coverage</x:v>
      </x:c>
      <x:c r="C417" s="18" t="str">
        <x:v>2026-05-21</x:v>
      </x:c>
      <x:c r="D417" s="18" t="n">
        <x:v>2026</x:v>
      </x:c>
      <x:c r="E417" s="18" t="str">
        <x:v>2026-05</x:v>
      </x:c>
      <x:c r="F417" s="18" t="str"/>
      <x:c r="G417" s="18" t="str">
        <x:v>Public Announcement of Corporate Insolvency Resolution Process</x:v>
      </x:c>
      <x:c r="H417" s="18" t="str"/>
      <x:c r="I417" s="18" t="str"/>
      <x:c r="J417" s="20" t="str"/>
      <x:c r="K417" s="18" t="str"/>
      <x:c r="L417" s="18" t="str"/>
      <x:c r="M417" s="18" t="str">
        <x:v>2026-05-21</x:v>
      </x:c>
      <x:c r="N417" s="18" t="str"/>
      <x:c r="O417" s="18" t="str">
        <x:v>ibbi_wvyn6r</x:v>
      </x:c>
      <x:c r="P417" s="18" t="str">
        <x:v>ADITYA BIRLA CAPITAL PRIVATE LIMITED</x:v>
      </x:c>
      <x:c r="Q417" s="18" t="str">
        <x:v>SPECTRA INDIA ECO PROJECTS PRIVATE LIMITED</x:v>
      </x:c>
      <x:c r="R417" s="18" t="str">
        <x:v>Suhasini Ashok B</x:v>
      </x:c>
      <x:c r="S417" s="18" t="str">
        <x:v>2026-06-01</x:v>
      </x:c>
      <x:c r="T417" s="18" t="str">
        <x:v>Public Announcement of Corporate Insolvency Resolution Process</x:v>
      </x:c>
      <x:c r="U417" s="18" t="str"/>
      <x:c r="V417" s="18" t="str">
        <x:v>DEFINED_TERMINAL_OR_FEED_SCOPE</x:v>
      </x:c>
      <x:c r="W417" s="18" t="str">
        <x:v>national_ibbi_announcements.json — published records loaded</x:v>
      </x:c>
      <x:c r="X417" s="18" t="str"/>
      <x:c r="Y417" s="18" t="str"/>
      <x:c r="Z417" s="20" t="n">
        <x:v>434</x:v>
      </x:c>
      <x:c r="AA417" s="19" t="n">
        <x:f>IFERROR(TODAY()-DATEVALUE(C417),"")</x:f>
        <x:v>112</x:v>
      </x:c>
      <x:c r="AB417" s="21" t="n">
        <x:f>ROUND(COUNTA(A417:K417)/11*100,0)</x:f>
        <x:v>100</x:v>
      </x:c>
      <x:c r="AC417" s="18" t="str">
        <x:v>National Company Law Tribunal</x:v>
      </x:c>
      <x:c r="AD417" s="22" t="str">
        <x:v>https://ibbi.gov.in/uploads/announcement/2026-05-21-202136-jvibw-3b2339050f45f034ee0fda92f65f1263.pdf</x:v>
      </x:c>
      <x:c r="AE417" s="18" t="str">
        <x:v>2026-05-21</x:v>
      </x:c>
      <x:c r="AF417" s="18" t="n">
        <x:v>46275.114583333336</x:v>
      </x:c>
      <x:c r="AG417" s="18" t="str">
        <x:v>retained_terminal</x:v>
      </x:c>
      <x:c r="AH417" s="18" t="str">
        <x:v>READY</x:v>
      </x:c>
    </x:row>
    <x:row r="418">
      <x:c r="A418" s="18" t="str">
        <x:v>NYT-47-29ed0ff84914f592</x:v>
      </x:c>
      <x:c r="B418" s="18" t="str">
        <x:v>NCLT / NCLAT (Insolvency) source coverage</x:v>
      </x:c>
      <x:c r="C418" s="18" t="str">
        <x:v>2026-05-21</x:v>
      </x:c>
      <x:c r="D418" s="18" t="n">
        <x:v>2026</x:v>
      </x:c>
      <x:c r="E418" s="18" t="str">
        <x:v>2026-05</x:v>
      </x:c>
      <x:c r="F418" s="18" t="str"/>
      <x:c r="G418" s="18" t="str">
        <x:v>Public Announcement of Corporate Insolvency Resolution Process</x:v>
      </x:c>
      <x:c r="H418" s="18" t="str"/>
      <x:c r="I418" s="18" t="str"/>
      <x:c r="J418" s="20" t="str"/>
      <x:c r="K418" s="18" t="str"/>
      <x:c r="L418" s="18" t="str"/>
      <x:c r="M418" s="18" t="str">
        <x:v>2026-05-21</x:v>
      </x:c>
      <x:c r="N418" s="18" t="str"/>
      <x:c r="O418" s="18" t="str">
        <x:v>ibbi_1cf9u6h</x:v>
      </x:c>
      <x:c r="P418" s="18" t="str">
        <x:v>SWATI AGARAWAL</x:v>
      </x:c>
      <x:c r="Q418" s="18" t="str">
        <x:v>WCUBE SOLUTIONS PRIVATE LIMITED</x:v>
      </x:c>
      <x:c r="R418" s="18" t="str">
        <x:v>Kunwarpreet Singh</x:v>
      </x:c>
      <x:c r="S418" s="18" t="str">
        <x:v>2026-06-02</x:v>
      </x:c>
      <x:c r="T418" s="18" t="str">
        <x:v>Public Announcement of Corporate Insolvency Resolution Process</x:v>
      </x:c>
      <x:c r="U418" s="18" t="str"/>
      <x:c r="V418" s="18" t="str">
        <x:v>DEFINED_TERMINAL_OR_FEED_SCOPE</x:v>
      </x:c>
      <x:c r="W418" s="18" t="str">
        <x:v>national_ibbi_announcements.json — published records loaded</x:v>
      </x:c>
      <x:c r="X418" s="18" t="str"/>
      <x:c r="Y418" s="18" t="str"/>
      <x:c r="Z418" s="20" t="n">
        <x:v>434</x:v>
      </x:c>
      <x:c r="AA418" s="19" t="n">
        <x:f>IFERROR(TODAY()-DATEVALUE(C418),"")</x:f>
        <x:v>112</x:v>
      </x:c>
      <x:c r="AB418" s="21" t="n">
        <x:f>ROUND(COUNTA(A418:K418)/11*100,0)</x:f>
        <x:v>100</x:v>
      </x:c>
      <x:c r="AC418" s="18" t="str">
        <x:v>National Company Law Tribunal</x:v>
      </x:c>
      <x:c r="AD418" s="22" t="str">
        <x:v>https://ibbi.gov.in/uploads/announcement/3aaa21407d9d1f7c65af46e6fd65466c.pdf</x:v>
      </x:c>
      <x:c r="AE418" s="18" t="str">
        <x:v>2026-05-21</x:v>
      </x:c>
      <x:c r="AF418" s="18" t="n">
        <x:v>46275.114583333336</x:v>
      </x:c>
      <x:c r="AG418" s="18" t="str">
        <x:v>retained_terminal</x:v>
      </x:c>
      <x:c r="AH418" s="18" t="str">
        <x:v>READY</x:v>
      </x:c>
    </x:row>
    <x:row r="419">
      <x:c r="A419" s="18" t="str">
        <x:v>NYT-47-00ccf9b7a1e19f6c</x:v>
      </x:c>
      <x:c r="B419" s="18" t="str">
        <x:v>NCLT / NCLAT (Insolvency) source coverage</x:v>
      </x:c>
      <x:c r="C419" s="18" t="str">
        <x:v>2026-05-21</x:v>
      </x:c>
      <x:c r="D419" s="18" t="n">
        <x:v>2026</x:v>
      </x:c>
      <x:c r="E419" s="18" t="str">
        <x:v>2026-05</x:v>
      </x:c>
      <x:c r="F419" s="18" t="str"/>
      <x:c r="G419" s="18" t="str">
        <x:v>Public Announcement of Voluntary Liquidation Process</x:v>
      </x:c>
      <x:c r="H419" s="18" t="str"/>
      <x:c r="I419" s="18" t="str"/>
      <x:c r="J419" s="20" t="str"/>
      <x:c r="K419" s="18" t="str"/>
      <x:c r="L419" s="18" t="str"/>
      <x:c r="M419" s="18" t="str">
        <x:v>2026-05-21</x:v>
      </x:c>
      <x:c r="N419" s="18" t="str"/>
      <x:c r="O419" s="18" t="str">
        <x:v>ibbi_18lu2kc</x:v>
      </x:c>
      <x:c r="P419" s="18" t="str">
        <x:v>VERTEXONE PROCESS SOLUTIONS PRIVATE LIMITED</x:v>
      </x:c>
      <x:c r="Q419" s="18" t="str">
        <x:v>VERTEXONE PROCESS SOLUTIONS PRIVATE LIMITED</x:v>
      </x:c>
      <x:c r="R419" s="18" t="str">
        <x:v>Kunwarpreet Singh</x:v>
      </x:c>
      <x:c r="S419" s="18" t="str">
        <x:v>2026-06-18</x:v>
      </x:c>
      <x:c r="T419" s="18" t="str">
        <x:v>Public Announcement of Voluntary Liquidation Process</x:v>
      </x:c>
      <x:c r="U419" s="18" t="str"/>
      <x:c r="V419" s="18" t="str">
        <x:v>DEFINED_TERMINAL_OR_FEED_SCOPE</x:v>
      </x:c>
      <x:c r="W419" s="18" t="str">
        <x:v>national_ibbi_announcements.json — published records loaded</x:v>
      </x:c>
      <x:c r="X419" s="18" t="str"/>
      <x:c r="Y419" s="18" t="str"/>
      <x:c r="Z419" s="20" t="n">
        <x:v>434</x:v>
      </x:c>
      <x:c r="AA419" s="19" t="n">
        <x:f>IFERROR(TODAY()-DATEVALUE(C419),"")</x:f>
        <x:v>112</x:v>
      </x:c>
      <x:c r="AB419" s="21" t="n">
        <x:f>ROUND(COUNTA(A419:K419)/11*100,0)</x:f>
        <x:v>100</x:v>
      </x:c>
      <x:c r="AC419" s="18" t="str">
        <x:v>National Company Law Tribunal</x:v>
      </x:c>
      <x:c r="AD419" s="22" t="str">
        <x:v>https://ibbi.gov.in/uploads/announcement/099dcceb3b25a4978f0fcd11319a25b8.pdf</x:v>
      </x:c>
      <x:c r="AE419" s="18" t="str">
        <x:v>2026-05-21</x:v>
      </x:c>
      <x:c r="AF419" s="18" t="n">
        <x:v>46275.114583333336</x:v>
      </x:c>
      <x:c r="AG419" s="18" t="str">
        <x:v>retained_terminal</x:v>
      </x:c>
      <x:c r="AH419" s="18" t="str">
        <x:v>READY</x:v>
      </x:c>
    </x:row>
    <x:row r="420">
      <x:c r="A420" s="18" t="str">
        <x:v>NYT-47-e773d43d6292f664</x:v>
      </x:c>
      <x:c r="B420" s="18" t="str">
        <x:v>NCLT / NCLAT (Insolvency) source coverage</x:v>
      </x:c>
      <x:c r="C420" s="18" t="str">
        <x:v>2026-05-21</x:v>
      </x:c>
      <x:c r="D420" s="18" t="n">
        <x:v>2026</x:v>
      </x:c>
      <x:c r="E420" s="18" t="str">
        <x:v>2026-05</x:v>
      </x:c>
      <x:c r="F420" s="18" t="str"/>
      <x:c r="G420" s="18" t="str">
        <x:v>Public Announcement of Corporate Insolvency Resolution Process</x:v>
      </x:c>
      <x:c r="H420" s="18" t="str"/>
      <x:c r="I420" s="18" t="str"/>
      <x:c r="J420" s="20" t="str"/>
      <x:c r="K420" s="18" t="str"/>
      <x:c r="L420" s="18" t="str"/>
      <x:c r="M420" s="18" t="str">
        <x:v>2026-05-21</x:v>
      </x:c>
      <x:c r="N420" s="18" t="str"/>
      <x:c r="O420" s="18" t="str">
        <x:v>ibbi_azizcd</x:v>
      </x:c>
      <x:c r="P420" s="18" t="str">
        <x:v>Bank of India</x:v>
      </x:c>
      <x:c r="Q420" s="18" t="str">
        <x:v>BAHUBALI REALBUILD PRIVATE LIMITED</x:v>
      </x:c>
      <x:c r="R420" s="18" t="str">
        <x:v>Mr. Kanchan Dutta</x:v>
      </x:c>
      <x:c r="S420" s="18" t="str">
        <x:v>2026-06-02</x:v>
      </x:c>
      <x:c r="T420" s="18" t="str">
        <x:v>Public Announcement of Corporate Insolvency Resolution Process</x:v>
      </x:c>
      <x:c r="U420" s="18" t="str"/>
      <x:c r="V420" s="18" t="str">
        <x:v>DEFINED_TERMINAL_OR_FEED_SCOPE</x:v>
      </x:c>
      <x:c r="W420" s="18" t="str">
        <x:v>national_ibbi_announcements.json — published records loaded</x:v>
      </x:c>
      <x:c r="X420" s="18" t="str"/>
      <x:c r="Y420" s="18" t="str"/>
      <x:c r="Z420" s="20" t="n">
        <x:v>434</x:v>
      </x:c>
      <x:c r="AA420" s="19" t="n">
        <x:f>IFERROR(TODAY()-DATEVALUE(C420),"")</x:f>
        <x:v>112</x:v>
      </x:c>
      <x:c r="AB420" s="21" t="n">
        <x:f>ROUND(COUNTA(A420:K420)/11*100,0)</x:f>
        <x:v>100</x:v>
      </x:c>
      <x:c r="AC420" s="18" t="str">
        <x:v>National Company Law Tribunal</x:v>
      </x:c>
      <x:c r="AD420" s="22" t="str">
        <x:v>https://ibbi.gov.in/uploads/announcement/ab0cffa3d63f4d28aad67afde7f7dd6a.pdf</x:v>
      </x:c>
      <x:c r="AE420" s="18" t="str">
        <x:v>2026-05-21</x:v>
      </x:c>
      <x:c r="AF420" s="18" t="n">
        <x:v>46275.114583333336</x:v>
      </x:c>
      <x:c r="AG420" s="18" t="str">
        <x:v>retained_terminal</x:v>
      </x:c>
      <x:c r="AH420" s="18" t="str">
        <x:v>READY</x:v>
      </x:c>
    </x:row>
    <x:row r="421">
      <x:c r="A421" s="18" t="str">
        <x:v>NYT-47-13ff0e16e7e6c350</x:v>
      </x:c>
      <x:c r="B421" s="18" t="str">
        <x:v>NCLT / NCLAT (Insolvency) source coverage</x:v>
      </x:c>
      <x:c r="C421" s="18" t="str">
        <x:v>2026-05-20</x:v>
      </x:c>
      <x:c r="D421" s="18" t="n">
        <x:v>2026</x:v>
      </x:c>
      <x:c r="E421" s="18" t="str">
        <x:v>2026-05</x:v>
      </x:c>
      <x:c r="F421" s="18" t="str"/>
      <x:c r="G421" s="18" t="str">
        <x:v>Public Announcement of Corporate Insolvency Resolution Process</x:v>
      </x:c>
      <x:c r="H421" s="18" t="str"/>
      <x:c r="I421" s="18" t="str"/>
      <x:c r="J421" s="20" t="str"/>
      <x:c r="K421" s="18" t="str"/>
      <x:c r="L421" s="18" t="str"/>
      <x:c r="M421" s="18" t="str">
        <x:v>2026-05-20</x:v>
      </x:c>
      <x:c r="N421" s="18" t="str"/>
      <x:c r="O421" s="18" t="str">
        <x:v>ibbi_1nkeb65</x:v>
      </x:c>
      <x:c r="P421" s="18" t="str">
        <x:v>Ranisati Constructions Company Private Limited</x:v>
      </x:c>
      <x:c r="Q421" s="18" t="str">
        <x:v>OMNIBAY PRIVATE LIMITED</x:v>
      </x:c>
      <x:c r="R421" s="18" t="str">
        <x:v>SWAPNIL JAIN</x:v>
      </x:c>
      <x:c r="S421" s="18" t="str">
        <x:v>2026-06-01</x:v>
      </x:c>
      <x:c r="T421" s="18" t="str">
        <x:v>Public Announcement of Corporate Insolvency Resolution Process</x:v>
      </x:c>
      <x:c r="U421" s="18" t="str"/>
      <x:c r="V421" s="18" t="str">
        <x:v>DEFINED_TERMINAL_OR_FEED_SCOPE</x:v>
      </x:c>
      <x:c r="W421" s="18" t="str">
        <x:v>national_ibbi_announcements.json — published records loaded</x:v>
      </x:c>
      <x:c r="X421" s="18" t="str"/>
      <x:c r="Y421" s="18" t="str"/>
      <x:c r="Z421" s="20" t="n">
        <x:v>434</x:v>
      </x:c>
      <x:c r="AA421" s="19" t="n">
        <x:f>IFERROR(TODAY()-DATEVALUE(C421),"")</x:f>
        <x:v>113</x:v>
      </x:c>
      <x:c r="AB421" s="21" t="n">
        <x:f>ROUND(COUNTA(A421:K421)/11*100,0)</x:f>
        <x:v>100</x:v>
      </x:c>
      <x:c r="AC421" s="18" t="str">
        <x:v>National Company Law Tribunal</x:v>
      </x:c>
      <x:c r="AD421" s="22" t="str">
        <x:v>https://ibbi.gov.in/uploads/announcement/b25daa368512b9a7c62991ebfbd7d11b.pdf</x:v>
      </x:c>
      <x:c r="AE421" s="18" t="str">
        <x:v>2026-05-20</x:v>
      </x:c>
      <x:c r="AF421" s="18" t="n">
        <x:v>46275.114583333336</x:v>
      </x:c>
      <x:c r="AG421" s="18" t="str">
        <x:v>retained_terminal</x:v>
      </x:c>
      <x:c r="AH421" s="18" t="str">
        <x:v>READY</x:v>
      </x:c>
    </x:row>
    <x:row r="422">
      <x:c r="A422" s="18" t="str">
        <x:v>NYT-47-f097baed786a9d00</x:v>
      </x:c>
      <x:c r="B422" s="18" t="str">
        <x:v>NCLT / NCLAT (Insolvency) source coverage</x:v>
      </x:c>
      <x:c r="C422" s="18" t="str">
        <x:v>2026-05-20</x:v>
      </x:c>
      <x:c r="D422" s="18" t="n">
        <x:v>2026</x:v>
      </x:c>
      <x:c r="E422" s="18" t="str">
        <x:v>2026-05</x:v>
      </x:c>
      <x:c r="F422" s="18" t="str"/>
      <x:c r="G422" s="18" t="str">
        <x:v>Public Announcement of Corporate Insolvency Resolution Process</x:v>
      </x:c>
      <x:c r="H422" s="18" t="str"/>
      <x:c r="I422" s="18" t="str"/>
      <x:c r="J422" s="20" t="str"/>
      <x:c r="K422" s="18" t="str"/>
      <x:c r="L422" s="18" t="str"/>
      <x:c r="M422" s="18" t="str">
        <x:v>2026-05-20</x:v>
      </x:c>
      <x:c r="N422" s="18" t="str"/>
      <x:c r="O422" s="18" t="str">
        <x:v>ibbi_1y7nfky</x:v>
      </x:c>
      <x:c r="P422" s="18" t="str">
        <x:v>UCO BANK</x:v>
      </x:c>
      <x:c r="Q422" s="18" t="str">
        <x:v>SHAIVLINI IMPEX PVT LTD</x:v>
      </x:c>
      <x:c r="R422" s="18" t="str">
        <x:v>Mr. Rakesh Kumar Agarwal</x:v>
      </x:c>
      <x:c r="S422" s="18" t="str">
        <x:v>2026-06-01</x:v>
      </x:c>
      <x:c r="T422" s="18" t="str">
        <x:v>Public Announcement of Corporate Insolvency Resolution Process</x:v>
      </x:c>
      <x:c r="U422" s="18" t="str"/>
      <x:c r="V422" s="18" t="str">
        <x:v>DEFINED_TERMINAL_OR_FEED_SCOPE</x:v>
      </x:c>
      <x:c r="W422" s="18" t="str">
        <x:v>national_ibbi_announcements.json — published records loaded</x:v>
      </x:c>
      <x:c r="X422" s="18" t="str"/>
      <x:c r="Y422" s="18" t="str"/>
      <x:c r="Z422" s="20" t="n">
        <x:v>434</x:v>
      </x:c>
      <x:c r="AA422" s="19" t="n">
        <x:f>IFERROR(TODAY()-DATEVALUE(C422),"")</x:f>
        <x:v>113</x:v>
      </x:c>
      <x:c r="AB422" s="21" t="n">
        <x:f>ROUND(COUNTA(A422:K422)/11*100,0)</x:f>
        <x:v>100</x:v>
      </x:c>
      <x:c r="AC422" s="18" t="str">
        <x:v>National Company Law Tribunal</x:v>
      </x:c>
      <x:c r="AD422" s="22" t="str">
        <x:v>https://ibbi.gov.in/uploads/announcement/1ca787d8cdb2a4792e8c21c70a2835c6.pdf</x:v>
      </x:c>
      <x:c r="AE422" s="18" t="str">
        <x:v>2026-05-20</x:v>
      </x:c>
      <x:c r="AF422" s="18" t="n">
        <x:v>46275.114583333336</x:v>
      </x:c>
      <x:c r="AG422" s="18" t="str">
        <x:v>retained_terminal</x:v>
      </x:c>
      <x:c r="AH422" s="18" t="str">
        <x:v>READY</x:v>
      </x:c>
    </x:row>
    <x:row r="423">
      <x:c r="A423" s="18" t="str">
        <x:v>NYT-47-1e0bb2b5e92f3f41</x:v>
      </x:c>
      <x:c r="B423" s="18" t="str">
        <x:v>NCLT / NCLAT (Insolvency) source coverage</x:v>
      </x:c>
      <x:c r="C423" s="18" t="str">
        <x:v>2026-05-19</x:v>
      </x:c>
      <x:c r="D423" s="18" t="n">
        <x:v>2026</x:v>
      </x:c>
      <x:c r="E423" s="18" t="str">
        <x:v>2026-05</x:v>
      </x:c>
      <x:c r="F423" s="18" t="str"/>
      <x:c r="G423" s="18" t="str">
        <x:v>Public Announcement of Liquidation Process</x:v>
      </x:c>
      <x:c r="H423" s="18" t="str"/>
      <x:c r="I423" s="18" t="str"/>
      <x:c r="J423" s="20" t="str"/>
      <x:c r="K423" s="18" t="str"/>
      <x:c r="L423" s="18" t="str"/>
      <x:c r="M423" s="18" t="str">
        <x:v>2026-05-19</x:v>
      </x:c>
      <x:c r="N423" s="18" t="str"/>
      <x:c r="O423" s="18" t="str">
        <x:v>ibbi_13fizbh</x:v>
      </x:c>
      <x:c r="P423" s="18" t="str">
        <x:v>Srinidhi Comprint Pvt Ltd</x:v>
      </x:c>
      <x:c r="Q423" s="18" t="str">
        <x:v>FIRST FLIGHT COURIERS LIMITED</x:v>
      </x:c>
      <x:c r="R423" s="18" t="str">
        <x:v>Mr. Mahesh Kumar Gupta</x:v>
      </x:c>
      <x:c r="S423" s="18" t="str">
        <x:v>2026-06-17</x:v>
      </x:c>
      <x:c r="T423" s="18" t="str">
        <x:v>Public Announcement of Liquidation Process</x:v>
      </x:c>
      <x:c r="U423" s="18" t="str"/>
      <x:c r="V423" s="18" t="str">
        <x:v>DEFINED_TERMINAL_OR_FEED_SCOPE</x:v>
      </x:c>
      <x:c r="W423" s="18" t="str">
        <x:v>national_ibbi_announcements.json — published records loaded</x:v>
      </x:c>
      <x:c r="X423" s="18" t="str"/>
      <x:c r="Y423" s="18" t="str"/>
      <x:c r="Z423" s="20" t="n">
        <x:v>434</x:v>
      </x:c>
      <x:c r="AA423" s="19" t="n">
        <x:f>IFERROR(TODAY()-DATEVALUE(C423),"")</x:f>
        <x:v>114</x:v>
      </x:c>
      <x:c r="AB423" s="21" t="n">
        <x:f>ROUND(COUNTA(A423:K423)/11*100,0)</x:f>
        <x:v>100</x:v>
      </x:c>
      <x:c r="AC423" s="18" t="str">
        <x:v>National Company Law Tribunal</x:v>
      </x:c>
      <x:c r="AD423" s="22" t="str">
        <x:v>https://ibbi.gov.in/uploads/announcement/9f8b796f57c43fce2a9f0b94c84c513b.pdf</x:v>
      </x:c>
      <x:c r="AE423" s="18" t="str">
        <x:v>2026-05-19</x:v>
      </x:c>
      <x:c r="AF423" s="18" t="n">
        <x:v>46275.114583333336</x:v>
      </x:c>
      <x:c r="AG423" s="18" t="str">
        <x:v>retained_terminal</x:v>
      </x:c>
      <x:c r="AH423" s="18" t="str">
        <x:v>READY</x:v>
      </x:c>
    </x:row>
    <x:row r="424">
      <x:c r="A424" s="18" t="str">
        <x:v>NYT-47-9bb36a73a133e08e</x:v>
      </x:c>
      <x:c r="B424" s="18" t="str">
        <x:v>NCLT / NCLAT (Insolvency) source coverage</x:v>
      </x:c>
      <x:c r="C424" s="18" t="str">
        <x:v>2026-05-19</x:v>
      </x:c>
      <x:c r="D424" s="18" t="n">
        <x:v>2026</x:v>
      </x:c>
      <x:c r="E424" s="18" t="str">
        <x:v>2026-05</x:v>
      </x:c>
      <x:c r="F424" s="18" t="str"/>
      <x:c r="G424" s="18" t="str">
        <x:v>Public Announcement of Liquidation Process</x:v>
      </x:c>
      <x:c r="H424" s="18" t="str"/>
      <x:c r="I424" s="18" t="str"/>
      <x:c r="J424" s="20" t="str"/>
      <x:c r="K424" s="18" t="str"/>
      <x:c r="L424" s="18" t="str"/>
      <x:c r="M424" s="18" t="str">
        <x:v>2026-05-19</x:v>
      </x:c>
      <x:c r="N424" s="18" t="str"/>
      <x:c r="O424" s="18" t="str">
        <x:v>ibbi_1xidxpa</x:v>
      </x:c>
      <x:c r="P424" s="18" t="str">
        <x:v>State Bank of India</x:v>
      </x:c>
      <x:c r="Q424" s="18" t="str">
        <x:v>SHRI TRADCO DEESAN PRIVATE LIMITED</x:v>
      </x:c>
      <x:c r="R424" s="18" t="str">
        <x:v>Akhil Ahuja</x:v>
      </x:c>
      <x:c r="S424" s="18" t="str">
        <x:v>2026-06-14</x:v>
      </x:c>
      <x:c r="T424" s="18" t="str">
        <x:v>Public Announcement of Liquidation Process</x:v>
      </x:c>
      <x:c r="U424" s="18" t="str"/>
      <x:c r="V424" s="18" t="str">
        <x:v>DEFINED_TERMINAL_OR_FEED_SCOPE</x:v>
      </x:c>
      <x:c r="W424" s="18" t="str">
        <x:v>national_ibbi_announcements.json — published records loaded</x:v>
      </x:c>
      <x:c r="X424" s="18" t="str"/>
      <x:c r="Y424" s="18" t="str"/>
      <x:c r="Z424" s="20" t="n">
        <x:v>434</x:v>
      </x:c>
      <x:c r="AA424" s="19" t="n">
        <x:f>IFERROR(TODAY()-DATEVALUE(C424),"")</x:f>
        <x:v>114</x:v>
      </x:c>
      <x:c r="AB424" s="21" t="n">
        <x:f>ROUND(COUNTA(A424:K424)/11*100,0)</x:f>
        <x:v>100</x:v>
      </x:c>
      <x:c r="AC424" s="18" t="str">
        <x:v>National Company Law Tribunal</x:v>
      </x:c>
      <x:c r="AD424" s="22" t="str">
        <x:v>https://ibbi.gov.in/uploads/announcement/2026-05-20-140459-kzpdv-5dad8cc003e945e345e2a575cc014872.pdf</x:v>
      </x:c>
      <x:c r="AE424" s="18" t="str">
        <x:v>2026-05-19</x:v>
      </x:c>
      <x:c r="AF424" s="18" t="n">
        <x:v>46275.114583333336</x:v>
      </x:c>
      <x:c r="AG424" s="18" t="str">
        <x:v>retained_terminal</x:v>
      </x:c>
      <x:c r="AH424" s="18" t="str">
        <x:v>READY</x:v>
      </x:c>
    </x:row>
    <x:row r="425">
      <x:c r="A425" s="18" t="str">
        <x:v>NYT-47-71c71e8147188f25</x:v>
      </x:c>
      <x:c r="B425" s="18" t="str">
        <x:v>NCLT / NCLAT (Insolvency) source coverage</x:v>
      </x:c>
      <x:c r="C425" s="18" t="str">
        <x:v>2026-05-18</x:v>
      </x:c>
      <x:c r="D425" s="18" t="n">
        <x:v>2026</x:v>
      </x:c>
      <x:c r="E425" s="18" t="str">
        <x:v>2026-05</x:v>
      </x:c>
      <x:c r="F425" s="18" t="str"/>
      <x:c r="G425" s="18" t="str">
        <x:v>Public Announcement of Liquidation Process</x:v>
      </x:c>
      <x:c r="H425" s="18" t="str"/>
      <x:c r="I425" s="18" t="str"/>
      <x:c r="J425" s="20" t="str"/>
      <x:c r="K425" s="18" t="str"/>
      <x:c r="L425" s="18" t="str"/>
      <x:c r="M425" s="18" t="str">
        <x:v>2026-05-18</x:v>
      </x:c>
      <x:c r="N425" s="18" t="str"/>
      <x:c r="O425" s="18" t="str">
        <x:v>ibbi_chk3g8</x:v>
      </x:c>
      <x:c r="P425" s="18" t="str">
        <x:v>State Bank of India</x:v>
      </x:c>
      <x:c r="Q425" s="18" t="str">
        <x:v>SHREEM CORPORATION LIMITED</x:v>
      </x:c>
      <x:c r="R425" s="18" t="str">
        <x:v>Ms. Ritu Rastogi</x:v>
      </x:c>
      <x:c r="S425" s="18" t="str">
        <x:v>2026-06-14</x:v>
      </x:c>
      <x:c r="T425" s="18" t="str">
        <x:v>Public Announcement of Liquidation Process</x:v>
      </x:c>
      <x:c r="U425" s="18" t="str"/>
      <x:c r="V425" s="18" t="str">
        <x:v>DEFINED_TERMINAL_OR_FEED_SCOPE</x:v>
      </x:c>
      <x:c r="W425" s="18" t="str">
        <x:v>national_ibbi_announcements.json — published records loaded</x:v>
      </x:c>
      <x:c r="X425" s="18" t="str"/>
      <x:c r="Y425" s="18" t="str"/>
      <x:c r="Z425" s="20" t="n">
        <x:v>434</x:v>
      </x:c>
      <x:c r="AA425" s="19" t="n">
        <x:f>IFERROR(TODAY()-DATEVALUE(C425),"")</x:f>
        <x:v>115</x:v>
      </x:c>
      <x:c r="AB425" s="21" t="n">
        <x:f>ROUND(COUNTA(A425:K425)/11*100,0)</x:f>
        <x:v>100</x:v>
      </x:c>
      <x:c r="AC425" s="18" t="str">
        <x:v>National Company Law Tribunal</x:v>
      </x:c>
      <x:c r="AD425" s="22" t="str">
        <x:v>https://ibbi.gov.in/uploads/announcement/2026-05-18-164412-f0wut-2cd9c0126c9b40c5c35f570b0d4cb54f.pdf</x:v>
      </x:c>
      <x:c r="AE425" s="18" t="str">
        <x:v>2026-05-18</x:v>
      </x:c>
      <x:c r="AF425" s="18" t="n">
        <x:v>46275.114583333336</x:v>
      </x:c>
      <x:c r="AG425" s="18" t="str">
        <x:v>retained_terminal</x:v>
      </x:c>
      <x:c r="AH425" s="18" t="str">
        <x:v>READY</x:v>
      </x:c>
    </x:row>
    <x:row r="426">
      <x:c r="A426" s="18" t="str">
        <x:v>NYT-47-e58d33e5a525207b</x:v>
      </x:c>
      <x:c r="B426" s="18" t="str">
        <x:v>NCLT / NCLAT (Insolvency) source coverage</x:v>
      </x:c>
      <x:c r="C426" s="18" t="str">
        <x:v>2026-05-18</x:v>
      </x:c>
      <x:c r="D426" s="18" t="n">
        <x:v>2026</x:v>
      </x:c>
      <x:c r="E426" s="18" t="str">
        <x:v>2026-05</x:v>
      </x:c>
      <x:c r="F426" s="18" t="str"/>
      <x:c r="G426" s="18" t="str">
        <x:v>Public Announcement of Corporate Insolvency Resolution Process</x:v>
      </x:c>
      <x:c r="H426" s="18" t="str"/>
      <x:c r="I426" s="18" t="str"/>
      <x:c r="J426" s="20" t="str"/>
      <x:c r="K426" s="18" t="str"/>
      <x:c r="L426" s="18" t="str"/>
      <x:c r="M426" s="18" t="str">
        <x:v>2026-05-18</x:v>
      </x:c>
      <x:c r="N426" s="18" t="str"/>
      <x:c r="O426" s="18" t="str">
        <x:v>ibbi_hvz876</x:v>
      </x:c>
      <x:c r="P426" s="18" t="str">
        <x:v>Avenue 54 Welfare Association</x:v>
      </x:c>
      <x:c r="Q426" s="18" t="str">
        <x:v>Sumer Radius Realty Private Limited</x:v>
      </x:c>
      <x:c r="R426" s="18" t="str">
        <x:v>Siddhant Agrawal</x:v>
      </x:c>
      <x:c r="S426" s="18" t="str">
        <x:v>2026-05-29</x:v>
      </x:c>
      <x:c r="T426" s="18" t="str">
        <x:v>Public Announcement of Corporate Insolvency Resolution Process</x:v>
      </x:c>
      <x:c r="U426" s="18" t="str"/>
      <x:c r="V426" s="18" t="str">
        <x:v>DEFINED_TERMINAL_OR_FEED_SCOPE</x:v>
      </x:c>
      <x:c r="W426" s="18" t="str">
        <x:v>national_ibbi_announcements.json — published records loaded</x:v>
      </x:c>
      <x:c r="X426" s="18" t="str"/>
      <x:c r="Y426" s="18" t="str"/>
      <x:c r="Z426" s="20" t="n">
        <x:v>434</x:v>
      </x:c>
      <x:c r="AA426" s="19" t="n">
        <x:f>IFERROR(TODAY()-DATEVALUE(C426),"")</x:f>
        <x:v>115</x:v>
      </x:c>
      <x:c r="AB426" s="21" t="n">
        <x:f>ROUND(COUNTA(A426:K426)/11*100,0)</x:f>
        <x:v>100</x:v>
      </x:c>
      <x:c r="AC426" s="18" t="str">
        <x:v>National Company Law Tribunal</x:v>
      </x:c>
      <x:c r="AD426" s="22" t="str">
        <x:v>https://ibbi.gov.in/uploads/announcement/89b88f1b215cc10b61300a25470364f1.pdf</x:v>
      </x:c>
      <x:c r="AE426" s="18" t="str">
        <x:v>2026-05-18</x:v>
      </x:c>
      <x:c r="AF426" s="18" t="n">
        <x:v>46275.114583333336</x:v>
      </x:c>
      <x:c r="AG426" s="18" t="str">
        <x:v>retained_terminal</x:v>
      </x:c>
      <x:c r="AH426" s="18" t="str">
        <x:v>READY</x:v>
      </x:c>
    </x:row>
    <x:row r="427">
      <x:c r="A427" s="18" t="str">
        <x:v>NYT-47-f7c4565310da5823</x:v>
      </x:c>
      <x:c r="B427" s="18" t="str">
        <x:v>NCLT / NCLAT (Insolvency) source coverage</x:v>
      </x:c>
      <x:c r="C427" s="18" t="str">
        <x:v>2026-05-18</x:v>
      </x:c>
      <x:c r="D427" s="18" t="n">
        <x:v>2026</x:v>
      </x:c>
      <x:c r="E427" s="18" t="str">
        <x:v>2026-05</x:v>
      </x:c>
      <x:c r="F427" s="18" t="str"/>
      <x:c r="G427" s="18" t="str">
        <x:v>Public Announcement of Corporate Insolvency Resolution Process</x:v>
      </x:c>
      <x:c r="H427" s="18" t="str"/>
      <x:c r="I427" s="18" t="str"/>
      <x:c r="J427" s="20" t="str"/>
      <x:c r="K427" s="18" t="str"/>
      <x:c r="L427" s="18" t="str"/>
      <x:c r="M427" s="18" t="str">
        <x:v>2026-05-18</x:v>
      </x:c>
      <x:c r="N427" s="18" t="str"/>
      <x:c r="O427" s="18" t="str">
        <x:v>ibbi_1l0q3vh</x:v>
      </x:c>
      <x:c r="P427" s="18" t="str">
        <x:v>Avenue 54 Welfare Association</x:v>
      </x:c>
      <x:c r="Q427" s="18" t="str">
        <x:v>Sumer Buildcorp Private Limited</x:v>
      </x:c>
      <x:c r="R427" s="18" t="str">
        <x:v>Siddhant Agrawal</x:v>
      </x:c>
      <x:c r="S427" s="18" t="str">
        <x:v>2026-05-29</x:v>
      </x:c>
      <x:c r="T427" s="18" t="str">
        <x:v>Public Announcement of Corporate Insolvency Resolution Process</x:v>
      </x:c>
      <x:c r="U427" s="18" t="str"/>
      <x:c r="V427" s="18" t="str">
        <x:v>DEFINED_TERMINAL_OR_FEED_SCOPE</x:v>
      </x:c>
      <x:c r="W427" s="18" t="str">
        <x:v>national_ibbi_announcements.json — published records loaded</x:v>
      </x:c>
      <x:c r="X427" s="18" t="str"/>
      <x:c r="Y427" s="18" t="str"/>
      <x:c r="Z427" s="20" t="n">
        <x:v>434</x:v>
      </x:c>
      <x:c r="AA427" s="19" t="n">
        <x:f>IFERROR(TODAY()-DATEVALUE(C427),"")</x:f>
        <x:v>115</x:v>
      </x:c>
      <x:c r="AB427" s="21" t="n">
        <x:f>ROUND(COUNTA(A427:K427)/11*100,0)</x:f>
        <x:v>100</x:v>
      </x:c>
      <x:c r="AC427" s="18" t="str">
        <x:v>National Company Law Tribunal</x:v>
      </x:c>
      <x:c r="AD427" s="22" t="str">
        <x:v>https://ibbi.gov.in/uploads/announcement/2026-05-19-164941-1jmkg-89b88f1b215cc10b61300a25470364f1.pdf</x:v>
      </x:c>
      <x:c r="AE427" s="18" t="str">
        <x:v>2026-05-18</x:v>
      </x:c>
      <x:c r="AF427" s="18" t="n">
        <x:v>46275.114583333336</x:v>
      </x:c>
      <x:c r="AG427" s="18" t="str">
        <x:v>retained_terminal</x:v>
      </x:c>
      <x:c r="AH427" s="18" t="str">
        <x:v>READY</x:v>
      </x:c>
    </x:row>
    <x:row r="428">
      <x:c r="A428" s="18" t="str">
        <x:v>NYT-47-bd463ecd94c33729</x:v>
      </x:c>
      <x:c r="B428" s="18" t="str">
        <x:v>NCLT / NCLAT (Insolvency) source coverage</x:v>
      </x:c>
      <x:c r="C428" s="18" t="str">
        <x:v>2026-05-18</x:v>
      </x:c>
      <x:c r="D428" s="18" t="n">
        <x:v>2026</x:v>
      </x:c>
      <x:c r="E428" s="18" t="str">
        <x:v>2026-05</x:v>
      </x:c>
      <x:c r="F428" s="18" t="str"/>
      <x:c r="G428" s="18" t="str">
        <x:v>Public Announcement of Corporate Insolvency Resolution Process</x:v>
      </x:c>
      <x:c r="H428" s="18" t="str"/>
      <x:c r="I428" s="18" t="str"/>
      <x:c r="J428" s="20" t="str"/>
      <x:c r="K428" s="18" t="str"/>
      <x:c r="L428" s="18" t="str"/>
      <x:c r="M428" s="18" t="str">
        <x:v>2026-05-18</x:v>
      </x:c>
      <x:c r="N428" s="18" t="str"/>
      <x:c r="O428" s="18" t="str">
        <x:v>ibbi_a64j39</x:v>
      </x:c>
      <x:c r="P428" s="18" t="str">
        <x:v>SREI Equipment Finance Limited</x:v>
      </x:c>
      <x:c r="Q428" s="18" t="str">
        <x:v>RANKINI POWER GENERATION PRIVATE LIMITED</x:v>
      </x:c>
      <x:c r="R428" s="18" t="str">
        <x:v>Mr. Bijay Murmuria</x:v>
      </x:c>
      <x:c r="S428" s="18" t="str">
        <x:v>2026-05-29</x:v>
      </x:c>
      <x:c r="T428" s="18" t="str">
        <x:v>Public Announcement of Corporate Insolvency Resolution Process</x:v>
      </x:c>
      <x:c r="U428" s="18" t="str"/>
      <x:c r="V428" s="18" t="str">
        <x:v>DEFINED_TERMINAL_OR_FEED_SCOPE</x:v>
      </x:c>
      <x:c r="W428" s="18" t="str">
        <x:v>national_ibbi_announcements.json — published records loaded</x:v>
      </x:c>
      <x:c r="X428" s="18" t="str"/>
      <x:c r="Y428" s="18" t="str"/>
      <x:c r="Z428" s="20" t="n">
        <x:v>434</x:v>
      </x:c>
      <x:c r="AA428" s="19" t="n">
        <x:f>IFERROR(TODAY()-DATEVALUE(C428),"")</x:f>
        <x:v>115</x:v>
      </x:c>
      <x:c r="AB428" s="21" t="n">
        <x:f>ROUND(COUNTA(A428:K428)/11*100,0)</x:f>
        <x:v>100</x:v>
      </x:c>
      <x:c r="AC428" s="18" t="str">
        <x:v>National Company Law Tribunal</x:v>
      </x:c>
      <x:c r="AD428" s="22" t="str">
        <x:v>https://ibbi.gov.in/uploads/announcement/0a7694f1727e2439866a58edce7fe10b.pdf</x:v>
      </x:c>
      <x:c r="AE428" s="18" t="str">
        <x:v>2026-05-18</x:v>
      </x:c>
      <x:c r="AF428" s="18" t="n">
        <x:v>46275.114583333336</x:v>
      </x:c>
      <x:c r="AG428" s="18" t="str">
        <x:v>retained_terminal</x:v>
      </x:c>
      <x:c r="AH428" s="18" t="str">
        <x:v>READY</x:v>
      </x:c>
    </x:row>
    <x:row r="429">
      <x:c r="A429" s="18" t="str">
        <x:v>NYT-47-204d4599180bff6b</x:v>
      </x:c>
      <x:c r="B429" s="18" t="str">
        <x:v>NCLT / NCLAT (Insolvency) source coverage</x:v>
      </x:c>
      <x:c r="C429" s="18" t="str">
        <x:v>2026-05-18</x:v>
      </x:c>
      <x:c r="D429" s="18" t="n">
        <x:v>2026</x:v>
      </x:c>
      <x:c r="E429" s="18" t="str">
        <x:v>2026-05</x:v>
      </x:c>
      <x:c r="F429" s="18" t="str"/>
      <x:c r="G429" s="18" t="str">
        <x:v>Public Announcement of Corporate Insolvency Resolution Process</x:v>
      </x:c>
      <x:c r="H429" s="18" t="str"/>
      <x:c r="I429" s="18" t="str"/>
      <x:c r="J429" s="20" t="str"/>
      <x:c r="K429" s="18" t="str"/>
      <x:c r="L429" s="18" t="str"/>
      <x:c r="M429" s="18" t="str">
        <x:v>2026-05-18</x:v>
      </x:c>
      <x:c r="N429" s="18" t="str"/>
      <x:c r="O429" s="18" t="str">
        <x:v>ibbi_1sqf223</x:v>
      </x:c>
      <x:c r="P429" s="18" t="str">
        <x:v>State Bank of India</x:v>
      </x:c>
      <x:c r="Q429" s="18" t="str">
        <x:v>India Power Corporation Limited</x:v>
      </x:c>
      <x:c r="R429" s="18" t="str">
        <x:v>Ms. Medarametla Srinivasa Mano Ranjani</x:v>
      </x:c>
      <x:c r="S429" s="18" t="str">
        <x:v>2026-05-29</x:v>
      </x:c>
      <x:c r="T429" s="18" t="str">
        <x:v>Public Announcement of Corporate Insolvency Resolution Process</x:v>
      </x:c>
      <x:c r="U429" s="18" t="str"/>
      <x:c r="V429" s="18" t="str">
        <x:v>DEFINED_TERMINAL_OR_FEED_SCOPE</x:v>
      </x:c>
      <x:c r="W429" s="18" t="str">
        <x:v>national_ibbi_announcements.json — published records loaded</x:v>
      </x:c>
      <x:c r="X429" s="18" t="str"/>
      <x:c r="Y429" s="18" t="str"/>
      <x:c r="Z429" s="20" t="n">
        <x:v>434</x:v>
      </x:c>
      <x:c r="AA429" s="19" t="n">
        <x:f>IFERROR(TODAY()-DATEVALUE(C429),"")</x:f>
        <x:v>115</x:v>
      </x:c>
      <x:c r="AB429" s="21" t="n">
        <x:f>ROUND(COUNTA(A429:K429)/11*100,0)</x:f>
        <x:v>100</x:v>
      </x:c>
      <x:c r="AC429" s="18" t="str">
        <x:v>National Company Law Tribunal</x:v>
      </x:c>
      <x:c r="AD429" s="22" t="str">
        <x:v>https://ibbi.gov.in/uploads/announcement/e0728e27fb4658152edc010895f63fb2.pdf</x:v>
      </x:c>
      <x:c r="AE429" s="18" t="str">
        <x:v>2026-05-18</x:v>
      </x:c>
      <x:c r="AF429" s="18" t="n">
        <x:v>46275.114583333336</x:v>
      </x:c>
      <x:c r="AG429" s="18" t="str">
        <x:v>retained_terminal</x:v>
      </x:c>
      <x:c r="AH429" s="18" t="str">
        <x:v>READY</x:v>
      </x:c>
    </x:row>
    <x:row r="430">
      <x:c r="A430" s="18" t="str">
        <x:v>NYT-47-d4bbee3270a07fd4</x:v>
      </x:c>
      <x:c r="B430" s="18" t="str">
        <x:v>NCLT / NCLAT (Insolvency) source coverage</x:v>
      </x:c>
      <x:c r="C430" s="18" t="str">
        <x:v>2026-05-17</x:v>
      </x:c>
      <x:c r="D430" s="18" t="n">
        <x:v>2026</x:v>
      </x:c>
      <x:c r="E430" s="18" t="str">
        <x:v>2026-05</x:v>
      </x:c>
      <x:c r="F430" s="18" t="str"/>
      <x:c r="G430" s="18" t="str">
        <x:v>Public Announcement of Corporate Insolvency Resolution Process</x:v>
      </x:c>
      <x:c r="H430" s="18" t="str"/>
      <x:c r="I430" s="18" t="str"/>
      <x:c r="J430" s="20" t="str"/>
      <x:c r="K430" s="18" t="str"/>
      <x:c r="L430" s="18" t="str"/>
      <x:c r="M430" s="18" t="str">
        <x:v>2026-05-17</x:v>
      </x:c>
      <x:c r="N430" s="18" t="str"/>
      <x:c r="O430" s="18" t="str">
        <x:v>ibbi_khvd0</x:v>
      </x:c>
      <x:c r="P430" s="18" t="str">
        <x:v>Union Bank of India</x:v>
      </x:c>
      <x:c r="Q430" s="18" t="str">
        <x:v>SSAGRI GROUP PRIVATE LIMITED</x:v>
      </x:c>
      <x:c r="R430" s="18" t="str">
        <x:v>P V B Sudhakararao</x:v>
      </x:c>
      <x:c r="S430" s="18" t="str">
        <x:v>2026-05-29</x:v>
      </x:c>
      <x:c r="T430" s="18" t="str">
        <x:v>Public Announcement of Corporate Insolvency Resolution Process</x:v>
      </x:c>
      <x:c r="U430" s="18" t="str"/>
      <x:c r="V430" s="18" t="str">
        <x:v>DEFINED_TERMINAL_OR_FEED_SCOPE</x:v>
      </x:c>
      <x:c r="W430" s="18" t="str">
        <x:v>national_ibbi_announcements.json — published records loaded</x:v>
      </x:c>
      <x:c r="X430" s="18" t="str"/>
      <x:c r="Y430" s="18" t="str"/>
      <x:c r="Z430" s="20" t="n">
        <x:v>434</x:v>
      </x:c>
      <x:c r="AA430" s="19" t="n">
        <x:f>IFERROR(TODAY()-DATEVALUE(C430),"")</x:f>
        <x:v>116</x:v>
      </x:c>
      <x:c r="AB430" s="21" t="n">
        <x:f>ROUND(COUNTA(A430:K430)/11*100,0)</x:f>
        <x:v>100</x:v>
      </x:c>
      <x:c r="AC430" s="18" t="str">
        <x:v>National Company Law Tribunal</x:v>
      </x:c>
      <x:c r="AD430" s="22" t="str">
        <x:v>https://ibbi.gov.in/uploads/announcement/2026-05-23-124734-djtni-5c06ce6c0111806ecfd4fbad7e27f559.pdf</x:v>
      </x:c>
      <x:c r="AE430" s="18" t="str">
        <x:v>2026-05-17</x:v>
      </x:c>
      <x:c r="AF430" s="18" t="n">
        <x:v>46275.114583333336</x:v>
      </x:c>
      <x:c r="AG430" s="18" t="str">
        <x:v>retained_terminal</x:v>
      </x:c>
      <x:c r="AH430" s="18" t="str">
        <x:v>READY</x:v>
      </x:c>
    </x:row>
    <x:row r="431">
      <x:c r="A431" s="18" t="str">
        <x:v>NYT-47-c0c6fe39ceb7528a</x:v>
      </x:c>
      <x:c r="B431" s="18" t="str">
        <x:v>NCLT / NCLAT (Insolvency) source coverage</x:v>
      </x:c>
      <x:c r="C431" s="18" t="str">
        <x:v>2026-05-17</x:v>
      </x:c>
      <x:c r="D431" s="18" t="n">
        <x:v>2026</x:v>
      </x:c>
      <x:c r="E431" s="18" t="str">
        <x:v>2026-05</x:v>
      </x:c>
      <x:c r="F431" s="18" t="str"/>
      <x:c r="G431" s="18" t="str">
        <x:v>Public Announcement of Liquidation Process</x:v>
      </x:c>
      <x:c r="H431" s="18" t="str"/>
      <x:c r="I431" s="18" t="str"/>
      <x:c r="J431" s="20" t="str"/>
      <x:c r="K431" s="18" t="str"/>
      <x:c r="L431" s="18" t="str"/>
      <x:c r="M431" s="18" t="str">
        <x:v>2026-05-17</x:v>
      </x:c>
      <x:c r="N431" s="18" t="str"/>
      <x:c r="O431" s="18" t="str">
        <x:v>ibbi_6lumor</x:v>
      </x:c>
      <x:c r="P431" s="18" t="str">
        <x:v>Rahuraj Steel Traders Private Limited</x:v>
      </x:c>
      <x:c r="Q431" s="18" t="str">
        <x:v>SIDDHBALI STEELS &amp; STRIPS PRIVATE LIMITED</x:v>
      </x:c>
      <x:c r="R431" s="18" t="str">
        <x:v>NANDISH SUNILBHAI VIN</x:v>
      </x:c>
      <x:c r="S431" s="18" t="str">
        <x:v>2026-06-11</x:v>
      </x:c>
      <x:c r="T431" s="18" t="str">
        <x:v>Public Announcement of Liquidation Process</x:v>
      </x:c>
      <x:c r="U431" s="18" t="str"/>
      <x:c r="V431" s="18" t="str">
        <x:v>DEFINED_TERMINAL_OR_FEED_SCOPE</x:v>
      </x:c>
      <x:c r="W431" s="18" t="str">
        <x:v>national_ibbi_announcements.json — published records loaded</x:v>
      </x:c>
      <x:c r="X431" s="18" t="str"/>
      <x:c r="Y431" s="18" t="str"/>
      <x:c r="Z431" s="20" t="n">
        <x:v>434</x:v>
      </x:c>
      <x:c r="AA431" s="19" t="n">
        <x:f>IFERROR(TODAY()-DATEVALUE(C431),"")</x:f>
        <x:v>116</x:v>
      </x:c>
      <x:c r="AB431" s="21" t="n">
        <x:f>ROUND(COUNTA(A431:K431)/11*100,0)</x:f>
        <x:v>100</x:v>
      </x:c>
      <x:c r="AC431" s="18" t="str">
        <x:v>National Company Law Tribunal</x:v>
      </x:c>
      <x:c r="AD431" s="22" t="str">
        <x:v>https://ibbi.gov.in/uploads/announcement/590db319a8aa147170675065c72d9ce3.pdf</x:v>
      </x:c>
      <x:c r="AE431" s="18" t="str">
        <x:v>2026-05-17</x:v>
      </x:c>
      <x:c r="AF431" s="18" t="n">
        <x:v>46275.114583333336</x:v>
      </x:c>
      <x:c r="AG431" s="18" t="str">
        <x:v>retained_terminal</x:v>
      </x:c>
      <x:c r="AH431" s="18" t="str">
        <x:v>READY</x:v>
      </x:c>
    </x:row>
    <x:row r="432">
      <x:c r="A432" s="18" t="str">
        <x:v>NYT-47-b48d8856be089f61</x:v>
      </x:c>
      <x:c r="B432" s="18" t="str">
        <x:v>NCLT / NCLAT (Insolvency) source coverage</x:v>
      </x:c>
      <x:c r="C432" s="18" t="str">
        <x:v>2026-05-16</x:v>
      </x:c>
      <x:c r="D432" s="18" t="n">
        <x:v>2026</x:v>
      </x:c>
      <x:c r="E432" s="18" t="str">
        <x:v>2026-05</x:v>
      </x:c>
      <x:c r="F432" s="18" t="str"/>
      <x:c r="G432" s="18" t="str">
        <x:v>Public Announcement of Liquidation Process</x:v>
      </x:c>
      <x:c r="H432" s="18" t="str"/>
      <x:c r="I432" s="18" t="str"/>
      <x:c r="J432" s="20" t="str"/>
      <x:c r="K432" s="18" t="str"/>
      <x:c r="L432" s="18" t="str"/>
      <x:c r="M432" s="18" t="str">
        <x:v>2026-05-16</x:v>
      </x:c>
      <x:c r="N432" s="18" t="str"/>
      <x:c r="O432" s="18" t="str">
        <x:v>ibbi_7nx283</x:v>
      </x:c>
      <x:c r="P432" s="18" t="str">
        <x:v>Noma Infrastructure Private Limited</x:v>
      </x:c>
      <x:c r="Q432" s="18" t="str">
        <x:v>G. S. CONSTRO &amp; INFRA PRIVATE LIMITED</x:v>
      </x:c>
      <x:c r="R432" s="18" t="str">
        <x:v>Ashok Mittal</x:v>
      </x:c>
      <x:c r="S432" s="18" t="str">
        <x:v>2026-06-11</x:v>
      </x:c>
      <x:c r="T432" s="18" t="str">
        <x:v>Public Announcement of Liquidation Process</x:v>
      </x:c>
      <x:c r="U432" s="18" t="str"/>
      <x:c r="V432" s="18" t="str">
        <x:v>DEFINED_TERMINAL_OR_FEED_SCOPE</x:v>
      </x:c>
      <x:c r="W432" s="18" t="str">
        <x:v>national_ibbi_announcements.json — published records loaded</x:v>
      </x:c>
      <x:c r="X432" s="18" t="str"/>
      <x:c r="Y432" s="18" t="str"/>
      <x:c r="Z432" s="20" t="n">
        <x:v>434</x:v>
      </x:c>
      <x:c r="AA432" s="19" t="n">
        <x:f>IFERROR(TODAY()-DATEVALUE(C432),"")</x:f>
        <x:v>117</x:v>
      </x:c>
      <x:c r="AB432" s="21" t="n">
        <x:f>ROUND(COUNTA(A432:K432)/11*100,0)</x:f>
        <x:v>100</x:v>
      </x:c>
      <x:c r="AC432" s="18" t="str">
        <x:v>National Company Law Tribunal</x:v>
      </x:c>
      <x:c r="AD432" s="22" t="str">
        <x:v>https://ibbi.gov.in/uploads/announcement/dbc767394978bab70037a6d6b5245b87.pdf</x:v>
      </x:c>
      <x:c r="AE432" s="18" t="str">
        <x:v>2026-05-16</x:v>
      </x:c>
      <x:c r="AF432" s="18" t="n">
        <x:v>46275.114583333336</x:v>
      </x:c>
      <x:c r="AG432" s="18" t="str">
        <x:v>retained_terminal</x:v>
      </x:c>
      <x:c r="AH432" s="18" t="str">
        <x:v>READY</x:v>
      </x:c>
    </x:row>
    <x:row r="433">
      <x:c r="A433" s="18" t="str">
        <x:v>NYT-47-355cdc6b0b2baff0</x:v>
      </x:c>
      <x:c r="B433" s="18" t="str">
        <x:v>NCLT / NCLAT (Insolvency) source coverage</x:v>
      </x:c>
      <x:c r="C433" s="18" t="str">
        <x:v>2026-05-16</x:v>
      </x:c>
      <x:c r="D433" s="18" t="n">
        <x:v>2026</x:v>
      </x:c>
      <x:c r="E433" s="18" t="str">
        <x:v>2026-05</x:v>
      </x:c>
      <x:c r="F433" s="18" t="str"/>
      <x:c r="G433" s="18" t="str">
        <x:v>Public Announcement of Corporate Insolvency Resolution Process</x:v>
      </x:c>
      <x:c r="H433" s="18" t="str"/>
      <x:c r="I433" s="18" t="str"/>
      <x:c r="J433" s="20" t="str"/>
      <x:c r="K433" s="18" t="str"/>
      <x:c r="L433" s="18" t="str"/>
      <x:c r="M433" s="18" t="str">
        <x:v>2026-05-16</x:v>
      </x:c>
      <x:c r="N433" s="18" t="str"/>
      <x:c r="O433" s="18" t="str">
        <x:v>ibbi_16y4kuk</x:v>
      </x:c>
      <x:c r="P433" s="18" t="str">
        <x:v>Central Bank Of India Limited</x:v>
      </x:c>
      <x:c r="Q433" s="18" t="str">
        <x:v>ASWINIKRISHNAA TEXTILE PRIVATE LIMITED</x:v>
      </x:c>
      <x:c r="R433" s="18" t="str">
        <x:v>Dipti Narayan Mundra</x:v>
      </x:c>
      <x:c r="S433" s="18" t="str">
        <x:v>2026-06-04</x:v>
      </x:c>
      <x:c r="T433" s="18" t="str">
        <x:v>Public Announcement of Corporate Insolvency Resolution Process</x:v>
      </x:c>
      <x:c r="U433" s="18" t="str"/>
      <x:c r="V433" s="18" t="str">
        <x:v>DEFINED_TERMINAL_OR_FEED_SCOPE</x:v>
      </x:c>
      <x:c r="W433" s="18" t="str">
        <x:v>national_ibbi_announcements.json — published records loaded</x:v>
      </x:c>
      <x:c r="X433" s="18" t="str"/>
      <x:c r="Y433" s="18" t="str"/>
      <x:c r="Z433" s="20" t="n">
        <x:v>434</x:v>
      </x:c>
      <x:c r="AA433" s="19" t="n">
        <x:f>IFERROR(TODAY()-DATEVALUE(C433),"")</x:f>
        <x:v>117</x:v>
      </x:c>
      <x:c r="AB433" s="21" t="n">
        <x:f>ROUND(COUNTA(A433:K433)/11*100,0)</x:f>
        <x:v>100</x:v>
      </x:c>
      <x:c r="AC433" s="18" t="str">
        <x:v>National Company Law Tribunal</x:v>
      </x:c>
      <x:c r="AD433" s="22" t="str">
        <x:v>https://ibbi.gov.in/uploads/announcement/2026-05-18-124953-9wq1t-14ffc7b633f42fce6ad77a0f853fa346.pdf</x:v>
      </x:c>
      <x:c r="AE433" s="18" t="str">
        <x:v>2026-05-16</x:v>
      </x:c>
      <x:c r="AF433" s="18" t="n">
        <x:v>46275.114583333336</x:v>
      </x:c>
      <x:c r="AG433" s="18" t="str">
        <x:v>retained_terminal</x:v>
      </x:c>
      <x:c r="AH433" s="18" t="str">
        <x:v>READY</x:v>
      </x:c>
    </x:row>
    <x:row r="434">
      <x:c r="A434" s="18" t="str">
        <x:v>NYT-47-91a79b889b534515</x:v>
      </x:c>
      <x:c r="B434" s="18" t="str">
        <x:v>NCLT / NCLAT (Insolvency) source coverage</x:v>
      </x:c>
      <x:c r="C434" s="18" t="str">
        <x:v>2026-05-16</x:v>
      </x:c>
      <x:c r="D434" s="18" t="n">
        <x:v>2026</x:v>
      </x:c>
      <x:c r="E434" s="18" t="str">
        <x:v>2026-05</x:v>
      </x:c>
      <x:c r="F434" s="18" t="str"/>
      <x:c r="G434" s="18" t="str">
        <x:v>Public Announcement of Corporate Insolvency Resolution Process</x:v>
      </x:c>
      <x:c r="H434" s="18" t="str"/>
      <x:c r="I434" s="18" t="str"/>
      <x:c r="J434" s="20" t="str"/>
      <x:c r="K434" s="18" t="str"/>
      <x:c r="L434" s="18" t="str"/>
      <x:c r="M434" s="18" t="str">
        <x:v>2026-05-16</x:v>
      </x:c>
      <x:c r="N434" s="18" t="str"/>
      <x:c r="O434" s="18" t="str">
        <x:v>ibbi_1ki52rp</x:v>
      </x:c>
      <x:c r="P434" s="18" t="str">
        <x:v>SUNBEAM DEALERS PRIVATE LIMITED</x:v>
      </x:c>
      <x:c r="Q434" s="18" t="str">
        <x:v>SUNBEAM DEALERS PRIVATE LIMITED</x:v>
      </x:c>
      <x:c r="R434" s="18" t="str">
        <x:v>Mr. Rajesh Kumar Agrawal</x:v>
      </x:c>
      <x:c r="S434" s="18" t="str">
        <x:v>2026-05-29</x:v>
      </x:c>
      <x:c r="T434" s="18" t="str">
        <x:v>Public Announcement of Corporate Insolvency Resolution Process</x:v>
      </x:c>
      <x:c r="U434" s="18" t="str"/>
      <x:c r="V434" s="18" t="str">
        <x:v>DEFINED_TERMINAL_OR_FEED_SCOPE</x:v>
      </x:c>
      <x:c r="W434" s="18" t="str">
        <x:v>national_ibbi_announcements.json — published records loaded</x:v>
      </x:c>
      <x:c r="X434" s="18" t="str"/>
      <x:c r="Y434" s="18" t="str"/>
      <x:c r="Z434" s="20" t="n">
        <x:v>434</x:v>
      </x:c>
      <x:c r="AA434" s="19" t="n">
        <x:f>IFERROR(TODAY()-DATEVALUE(C434),"")</x:f>
        <x:v>117</x:v>
      </x:c>
      <x:c r="AB434" s="21" t="n">
        <x:f>ROUND(COUNTA(A434:K434)/11*100,0)</x:f>
        <x:v>100</x:v>
      </x:c>
      <x:c r="AC434" s="18" t="str">
        <x:v>National Company Law Tribunal</x:v>
      </x:c>
      <x:c r="AD434" s="22" t="str">
        <x:v>https://ibbi.gov.in/uploads/announcement/bc83b2fcf3d0d67d8941de35ea649707.pdf</x:v>
      </x:c>
      <x:c r="AE434" s="18" t="str">
        <x:v>2026-05-16</x:v>
      </x:c>
      <x:c r="AF434" s="18" t="n">
        <x:v>46275.114583333336</x:v>
      </x:c>
      <x:c r="AG434" s="18" t="str">
        <x:v>retained_terminal</x:v>
      </x:c>
      <x:c r="AH434" s="18" t="str">
        <x:v>READY</x:v>
      </x:c>
    </x:row>
    <x:row r="435">
      <x:c r="A435" s="18" t="str">
        <x:v>NYT-47-61132d267017d914</x:v>
      </x:c>
      <x:c r="B435" s="18" t="str">
        <x:v>NCLT / NCLAT (Insolvency) source coverage</x:v>
      </x:c>
      <x:c r="C435" s="18" t="str">
        <x:v>2026-05-16</x:v>
      </x:c>
      <x:c r="D435" s="18" t="n">
        <x:v>2026</x:v>
      </x:c>
      <x:c r="E435" s="18" t="str">
        <x:v>2026-05</x:v>
      </x:c>
      <x:c r="F435" s="18" t="str"/>
      <x:c r="G435" s="18" t="str">
        <x:v>Public Announcement of Corporate Insolvency Resolution Process</x:v>
      </x:c>
      <x:c r="H435" s="18" t="str"/>
      <x:c r="I435" s="18" t="str"/>
      <x:c r="J435" s="20" t="str"/>
      <x:c r="K435" s="18" t="str"/>
      <x:c r="L435" s="18" t="str"/>
      <x:c r="M435" s="18" t="str">
        <x:v>2026-05-16</x:v>
      </x:c>
      <x:c r="N435" s="18" t="str"/>
      <x:c r="O435" s="18" t="str">
        <x:v>ibbi_67z5f6</x:v>
      </x:c>
      <x:c r="P435" s="18" t="str">
        <x:v>Bank of India Limited</x:v>
      </x:c>
      <x:c r="Q435" s="18" t="str">
        <x:v>DISTRIBUTION LOGISTICS INFRASTRUCTURE PRIVATE LIMITED</x:v>
      </x:c>
      <x:c r="R435" s="18" t="str">
        <x:v>Mr. Prashant Jain</x:v>
      </x:c>
      <x:c r="S435" s="18" t="str">
        <x:v>2026-05-28</x:v>
      </x:c>
      <x:c r="T435" s="18" t="str">
        <x:v>Public Announcement of Corporate Insolvency Resolution Process</x:v>
      </x:c>
      <x:c r="U435" s="18" t="str"/>
      <x:c r="V435" s="18" t="str">
        <x:v>DEFINED_TERMINAL_OR_FEED_SCOPE</x:v>
      </x:c>
      <x:c r="W435" s="18" t="str">
        <x:v>national_ibbi_announcements.json — published records loaded</x:v>
      </x:c>
      <x:c r="X435" s="18" t="str"/>
      <x:c r="Y435" s="18" t="str"/>
      <x:c r="Z435" s="20" t="n">
        <x:v>434</x:v>
      </x:c>
      <x:c r="AA435" s="19" t="n">
        <x:f>IFERROR(TODAY()-DATEVALUE(C435),"")</x:f>
        <x:v>117</x:v>
      </x:c>
      <x:c r="AB435" s="21" t="n">
        <x:f>ROUND(COUNTA(A435:K435)/11*100,0)</x:f>
        <x:v>100</x:v>
      </x:c>
      <x:c r="AC435" s="18" t="str">
        <x:v>National Company Law Tribunal</x:v>
      </x:c>
      <x:c r="AD435" s="22" t="str">
        <x:v>https://ibbi.gov.in/uploads/announcement/ae5fa731354f0f954ca3782f8e0273ec.pdf</x:v>
      </x:c>
      <x:c r="AE435" s="18" t="str">
        <x:v>2026-05-16</x:v>
      </x:c>
      <x:c r="AF435" s="18" t="n">
        <x:v>46275.114583333336</x:v>
      </x:c>
      <x:c r="AG435" s="18" t="str">
        <x:v>retained_terminal</x:v>
      </x:c>
      <x:c r="AH435" s="18" t="str">
        <x:v>READY</x:v>
      </x:c>
    </x:row>
    <x:row r="436">
      <x:c r="A436" s="18" t="str">
        <x:v>NYT-47-7613249f97be26bb</x:v>
      </x:c>
      <x:c r="B436" s="18" t="str">
        <x:v>NCLT / NCLAT (Insolvency) source coverage</x:v>
      </x:c>
      <x:c r="C436" s="18" t="str">
        <x:v>2026-05-16</x:v>
      </x:c>
      <x:c r="D436" s="18" t="n">
        <x:v>2026</x:v>
      </x:c>
      <x:c r="E436" s="18" t="str">
        <x:v>2026-05</x:v>
      </x:c>
      <x:c r="F436" s="18" t="str"/>
      <x:c r="G436" s="18" t="str">
        <x:v>Public Announcement of Corporate Insolvency Resolution Process</x:v>
      </x:c>
      <x:c r="H436" s="18" t="str"/>
      <x:c r="I436" s="18" t="str"/>
      <x:c r="J436" s="20" t="str"/>
      <x:c r="K436" s="18" t="str"/>
      <x:c r="L436" s="18" t="str"/>
      <x:c r="M436" s="18" t="str">
        <x:v>2026-05-16</x:v>
      </x:c>
      <x:c r="N436" s="18" t="str"/>
      <x:c r="O436" s="18" t="str">
        <x:v>ibbi_povq0n</x:v>
      </x:c>
      <x:c r="P436" s="18" t="str">
        <x:v>TRIG DETECTIVES PVT LTD</x:v>
      </x:c>
      <x:c r="Q436" s="18" t="str">
        <x:v>TRIG DETECTIVES PVT LTD</x:v>
      </x:c>
      <x:c r="R436" s="18" t="str">
        <x:v>Deepali Jinesh Parekh</x:v>
      </x:c>
      <x:c r="S436" s="18" t="str">
        <x:v>2026-05-27</x:v>
      </x:c>
      <x:c r="T436" s="18" t="str">
        <x:v>Public Announcement of Corporate Insolvency Resolution Process</x:v>
      </x:c>
      <x:c r="U436" s="18" t="str"/>
      <x:c r="V436" s="18" t="str">
        <x:v>DEFINED_TERMINAL_OR_FEED_SCOPE</x:v>
      </x:c>
      <x:c r="W436" s="18" t="str">
        <x:v>national_ibbi_announcements.json — published records loaded</x:v>
      </x:c>
      <x:c r="X436" s="18" t="str"/>
      <x:c r="Y436" s="18" t="str"/>
      <x:c r="Z436" s="20" t="n">
        <x:v>434</x:v>
      </x:c>
      <x:c r="AA436" s="19" t="n">
        <x:f>IFERROR(TODAY()-DATEVALUE(C436),"")</x:f>
        <x:v>117</x:v>
      </x:c>
      <x:c r="AB436" s="21" t="n">
        <x:f>ROUND(COUNTA(A436:K436)/11*100,0)</x:f>
        <x:v>100</x:v>
      </x:c>
      <x:c r="AC436" s="18" t="str">
        <x:v>National Company Law Tribunal</x:v>
      </x:c>
      <x:c r="AD436" s="22" t="str">
        <x:v>https://ibbi.gov.in/uploads/announcement/fe2a85a1c310cdda46ccb69f506be83a.pdf</x:v>
      </x:c>
      <x:c r="AE436" s="18" t="str">
        <x:v>2026-05-16</x:v>
      </x:c>
      <x:c r="AF436" s="18" t="n">
        <x:v>46275.114583333336</x:v>
      </x:c>
      <x:c r="AG436" s="18" t="str">
        <x:v>retained_terminal</x:v>
      </x:c>
      <x:c r="AH436" s="18" t="str">
        <x:v>READY</x:v>
      </x:c>
    </x:row>
    <x:row r="437">
      <x:c r="A437" s="18" t="str">
        <x:v>NYT-47-e9c73ca336ed5ae3</x:v>
      </x:c>
      <x:c r="B437" s="18" t="str">
        <x:v>NCLT / NCLAT (Insolvency) source coverage</x:v>
      </x:c>
      <x:c r="C437" s="18" t="str">
        <x:v>2026-05-16</x:v>
      </x:c>
      <x:c r="D437" s="18" t="n">
        <x:v>2026</x:v>
      </x:c>
      <x:c r="E437" s="18" t="str">
        <x:v>2026-05</x:v>
      </x:c>
      <x:c r="F437" s="18" t="str"/>
      <x:c r="G437" s="18" t="str">
        <x:v>Public Announcement of Corporate Insolvency Resolution Process</x:v>
      </x:c>
      <x:c r="H437" s="18" t="str"/>
      <x:c r="I437" s="18" t="str"/>
      <x:c r="J437" s="20" t="str"/>
      <x:c r="K437" s="18" t="str"/>
      <x:c r="L437" s="18" t="str"/>
      <x:c r="M437" s="18" t="str">
        <x:v>2026-05-16</x:v>
      </x:c>
      <x:c r="N437" s="18" t="str"/>
      <x:c r="O437" s="18" t="str">
        <x:v>ibbi_1suye0</x:v>
      </x:c>
      <x:c r="P437" s="18" t="str">
        <x:v>Empire Sony PTY Limited</x:v>
      </x:c>
      <x:c r="Q437" s="18" t="str">
        <x:v>Astron Paper &amp; Board Limited</x:v>
      </x:c>
      <x:c r="R437" s="18" t="str">
        <x:v>Atul Jashwantrai Sheth</x:v>
      </x:c>
      <x:c r="S437" s="18" t="str">
        <x:v>2026-05-28</x:v>
      </x:c>
      <x:c r="T437" s="18" t="str">
        <x:v>Public Announcement of Corporate Insolvency Resolution Process</x:v>
      </x:c>
      <x:c r="U437" s="18" t="str"/>
      <x:c r="V437" s="18" t="str">
        <x:v>DEFINED_TERMINAL_OR_FEED_SCOPE</x:v>
      </x:c>
      <x:c r="W437" s="18" t="str">
        <x:v>national_ibbi_announcements.json — published records loaded</x:v>
      </x:c>
      <x:c r="X437" s="18" t="str"/>
      <x:c r="Y437" s="18" t="str"/>
      <x:c r="Z437" s="20" t="n">
        <x:v>434</x:v>
      </x:c>
      <x:c r="AA437" s="19" t="n">
        <x:f>IFERROR(TODAY()-DATEVALUE(C437),"")</x:f>
        <x:v>117</x:v>
      </x:c>
      <x:c r="AB437" s="21" t="n">
        <x:f>ROUND(COUNTA(A437:K437)/11*100,0)</x:f>
        <x:v>100</x:v>
      </x:c>
      <x:c r="AC437" s="18" t="str">
        <x:v>National Company Law Tribunal</x:v>
      </x:c>
      <x:c r="AD437" s="22" t="str">
        <x:v>https://ibbi.gov.in/uploads/announcement/de2e8e31b8114c20a6326d773b4cd798.pdf</x:v>
      </x:c>
      <x:c r="AE437" s="18" t="str">
        <x:v>2026-05-16</x:v>
      </x:c>
      <x:c r="AF437" s="18" t="n">
        <x:v>46275.114583333336</x:v>
      </x:c>
      <x:c r="AG437" s="18" t="str">
        <x:v>retained_terminal</x:v>
      </x:c>
      <x:c r="AH437" s="18" t="str">
        <x:v>READY</x:v>
      </x:c>
    </x:row>
    <x:row r="438">
      <x:c r="A438" s="18" t="str">
        <x:v>NYT-47-acffc67a8335a369</x:v>
      </x:c>
      <x:c r="B438" s="18" t="str">
        <x:v>NCLT / NCLAT (Insolvency) source coverage</x:v>
      </x:c>
      <x:c r="C438" s="18" t="str">
        <x:v>2026-05-16</x:v>
      </x:c>
      <x:c r="D438" s="18" t="n">
        <x:v>2026</x:v>
      </x:c>
      <x:c r="E438" s="18" t="str">
        <x:v>2026-05</x:v>
      </x:c>
      <x:c r="F438" s="18" t="str"/>
      <x:c r="G438" s="18" t="str">
        <x:v>Public Announcement of Corporate Insolvency Resolution Process</x:v>
      </x:c>
      <x:c r="H438" s="18" t="str"/>
      <x:c r="I438" s="18" t="str"/>
      <x:c r="J438" s="20" t="str"/>
      <x:c r="K438" s="18" t="str"/>
      <x:c r="L438" s="18" t="str"/>
      <x:c r="M438" s="18" t="str">
        <x:v>2026-05-16</x:v>
      </x:c>
      <x:c r="N438" s="18" t="str"/>
      <x:c r="O438" s="18" t="str">
        <x:v>ibbi_144dhpa</x:v>
      </x:c>
      <x:c r="P438" s="18" t="str">
        <x:v>Sammaan Capital Limited</x:v>
      </x:c>
      <x:c r="Q438" s="18" t="str">
        <x:v>NOIDA MARKETING PRIVATE LIMITED</x:v>
      </x:c>
      <x:c r="R438" s="18" t="str">
        <x:v>Mr. Manoj Kumar Anand</x:v>
      </x:c>
      <x:c r="S438" s="18" t="str">
        <x:v>2026-05-30</x:v>
      </x:c>
      <x:c r="T438" s="18" t="str">
        <x:v>Public Announcement of Corporate Insolvency Resolution Process</x:v>
      </x:c>
      <x:c r="U438" s="18" t="str"/>
      <x:c r="V438" s="18" t="str">
        <x:v>DEFINED_TERMINAL_OR_FEED_SCOPE</x:v>
      </x:c>
      <x:c r="W438" s="18" t="str">
        <x:v>national_ibbi_announcements.json — published records loaded</x:v>
      </x:c>
      <x:c r="X438" s="18" t="str"/>
      <x:c r="Y438" s="18" t="str"/>
      <x:c r="Z438" s="20" t="n">
        <x:v>434</x:v>
      </x:c>
      <x:c r="AA438" s="19" t="n">
        <x:f>IFERROR(TODAY()-DATEVALUE(C438),"")</x:f>
        <x:v>117</x:v>
      </x:c>
      <x:c r="AB438" s="21" t="n">
        <x:f>ROUND(COUNTA(A438:K438)/11*100,0)</x:f>
        <x:v>100</x:v>
      </x:c>
      <x:c r="AC438" s="18" t="str">
        <x:v>National Company Law Tribunal</x:v>
      </x:c>
      <x:c r="AD438" s="22" t="str">
        <x:v>https://ibbi.gov.in/uploads/announcement/7f2927a3a3628678bf7859b7ae07ea83.pdf</x:v>
      </x:c>
      <x:c r="AE438" s="18" t="str">
        <x:v>2026-05-16</x:v>
      </x:c>
      <x:c r="AF438" s="18" t="n">
        <x:v>46275.114583333336</x:v>
      </x:c>
      <x:c r="AG438" s="18" t="str">
        <x:v>retained_terminal</x:v>
      </x:c>
      <x:c r="AH438" s="18" t="str">
        <x:v>READY</x:v>
      </x:c>
    </x:row>
    <x:row r="439">
      <x:c r="A439" s="18" t="str">
        <x:v>NYT-47-9d82c61791cde8dc</x:v>
      </x:c>
      <x:c r="B439" s="18" t="str">
        <x:v>NCLT / NCLAT (Insolvency) source coverage</x:v>
      </x:c>
      <x:c r="C439" s="18" t="str">
        <x:v>2026-05-16</x:v>
      </x:c>
      <x:c r="D439" s="18" t="n">
        <x:v>2026</x:v>
      </x:c>
      <x:c r="E439" s="18" t="str">
        <x:v>2026-05</x:v>
      </x:c>
      <x:c r="F439" s="18" t="str"/>
      <x:c r="G439" s="18" t="str">
        <x:v>Public Announcement of Corporate Insolvency Resolution Process</x:v>
      </x:c>
      <x:c r="H439" s="18" t="str"/>
      <x:c r="I439" s="18" t="str"/>
      <x:c r="J439" s="20" t="str"/>
      <x:c r="K439" s="18" t="str"/>
      <x:c r="L439" s="18" t="str"/>
      <x:c r="M439" s="18" t="str">
        <x:v>2026-05-16</x:v>
      </x:c>
      <x:c r="N439" s="18" t="str"/>
      <x:c r="O439" s="18" t="str">
        <x:v>ibbi_1dbskse</x:v>
      </x:c>
      <x:c r="P439" s="18" t="str">
        <x:v>Authum Investment &amp; Infrastructure Limited</x:v>
      </x:c>
      <x:c r="Q439" s="18" t="str">
        <x:v>RNA LIFESTYLE PRIVATE LIMITED</x:v>
      </x:c>
      <x:c r="R439" s="18" t="str">
        <x:v>Mr. Amrish Navinchandra Gandhi</x:v>
      </x:c>
      <x:c r="S439" s="18" t="str">
        <x:v>2026-05-29</x:v>
      </x:c>
      <x:c r="T439" s="18" t="str">
        <x:v>Public Announcement of Corporate Insolvency Resolution Process</x:v>
      </x:c>
      <x:c r="U439" s="18" t="str"/>
      <x:c r="V439" s="18" t="str">
        <x:v>DEFINED_TERMINAL_OR_FEED_SCOPE</x:v>
      </x:c>
      <x:c r="W439" s="18" t="str">
        <x:v>national_ibbi_announcements.json — published records loaded</x:v>
      </x:c>
      <x:c r="X439" s="18" t="str"/>
      <x:c r="Y439" s="18" t="str"/>
      <x:c r="Z439" s="20" t="n">
        <x:v>434</x:v>
      </x:c>
      <x:c r="AA439" s="19" t="n">
        <x:f>IFERROR(TODAY()-DATEVALUE(C439),"")</x:f>
        <x:v>117</x:v>
      </x:c>
      <x:c r="AB439" s="21" t="n">
        <x:f>ROUND(COUNTA(A439:K439)/11*100,0)</x:f>
        <x:v>100</x:v>
      </x:c>
      <x:c r="AC439" s="18" t="str">
        <x:v>National Company Law Tribunal</x:v>
      </x:c>
      <x:c r="AD439" s="22" t="str">
        <x:v>https://ibbi.gov.in/uploads/announcement/2026-05-30-125913-c5ht6-6dfe058e93b4a16e3e2f823b8227eaca.pdf</x:v>
      </x:c>
      <x:c r="AE439" s="18" t="str">
        <x:v>2026-05-16</x:v>
      </x:c>
      <x:c r="AF439" s="18" t="n">
        <x:v>46275.114583333336</x:v>
      </x:c>
      <x:c r="AG439" s="18" t="str">
        <x:v>retained_terminal</x:v>
      </x:c>
      <x:c r="AH439" s="18" t="str">
        <x:v>READY</x:v>
      </x:c>
    </x:row>
    <x:row r="440">
      <x:c r="A440" s="18" t="str">
        <x:v>NYT-47-945eeb37673ef26a</x:v>
      </x:c>
      <x:c r="B440" s="18" t="str">
        <x:v>NCLT / NCLAT (Insolvency) source coverage</x:v>
      </x:c>
      <x:c r="C440" s="18" t="str">
        <x:v>2026-05-15</x:v>
      </x:c>
      <x:c r="D440" s="18" t="n">
        <x:v>2026</x:v>
      </x:c>
      <x:c r="E440" s="18" t="str">
        <x:v>2026-05</x:v>
      </x:c>
      <x:c r="F440" s="18" t="str"/>
      <x:c r="G440" s="18" t="str">
        <x:v>Public Announcement of Corporate Insolvency Resolution Process</x:v>
      </x:c>
      <x:c r="H440" s="18" t="str"/>
      <x:c r="I440" s="18" t="str"/>
      <x:c r="J440" s="20" t="str"/>
      <x:c r="K440" s="18" t="str"/>
      <x:c r="L440" s="18" t="str"/>
      <x:c r="M440" s="18" t="str">
        <x:v>2026-05-15</x:v>
      </x:c>
      <x:c r="N440" s="18" t="str"/>
      <x:c r="O440" s="18" t="str">
        <x:v>ibbi_jm96oz</x:v>
      </x:c>
      <x:c r="P440" s="18" t="str">
        <x:v>State Bank of India</x:v>
      </x:c>
      <x:c r="Q440" s="18" t="str">
        <x:v>SRI VENKATA SIVAPARVATHI SPINNING MILLS PRIVATE LIMITED</x:v>
      </x:c>
      <x:c r="R440" s="18" t="str">
        <x:v>Mr. Mahalingam Suresh Kumar</x:v>
      </x:c>
      <x:c r="S440" s="18" t="str">
        <x:v>2026-05-27</x:v>
      </x:c>
      <x:c r="T440" s="18" t="str">
        <x:v>Public Announcement of Corporate Insolvency Resolution Process</x:v>
      </x:c>
      <x:c r="U440" s="18" t="str"/>
      <x:c r="V440" s="18" t="str">
        <x:v>DEFINED_TERMINAL_OR_FEED_SCOPE</x:v>
      </x:c>
      <x:c r="W440" s="18" t="str">
        <x:v>national_ibbi_announcements.json — published records loaded</x:v>
      </x:c>
      <x:c r="X440" s="18" t="str"/>
      <x:c r="Y440" s="18" t="str"/>
      <x:c r="Z440" s="20" t="n">
        <x:v>434</x:v>
      </x:c>
      <x:c r="AA440" s="19" t="n">
        <x:f>IFERROR(TODAY()-DATEVALUE(C440),"")</x:f>
        <x:v>118</x:v>
      </x:c>
      <x:c r="AB440" s="21" t="n">
        <x:f>ROUND(COUNTA(A440:K440)/11*100,0)</x:f>
        <x:v>100</x:v>
      </x:c>
      <x:c r="AC440" s="18" t="str">
        <x:v>National Company Law Tribunal</x:v>
      </x:c>
      <x:c r="AD440" s="22" t="str">
        <x:v>https://ibbi.gov.in/uploads/announcement/2026-05-16-115022-ukf9a-5c06ce6c0111806ecfd4fbad7e27f559.pdf</x:v>
      </x:c>
      <x:c r="AE440" s="18" t="str">
        <x:v>2026-05-15</x:v>
      </x:c>
      <x:c r="AF440" s="18" t="n">
        <x:v>46275.114583333336</x:v>
      </x:c>
      <x:c r="AG440" s="18" t="str">
        <x:v>retained_terminal</x:v>
      </x:c>
      <x:c r="AH440" s="18" t="str">
        <x:v>READY</x:v>
      </x:c>
    </x:row>
    <x:row r="441">
      <x:c r="A441" s="18" t="str">
        <x:v>NYT-47-b17800a5ecf791c5</x:v>
      </x:c>
      <x:c r="B441" s="18" t="str">
        <x:v>NCLT / NCLAT (Insolvency) source coverage</x:v>
      </x:c>
      <x:c r="C441" s="18" t="str">
        <x:v>2026-05-15</x:v>
      </x:c>
      <x:c r="D441" s="18" t="n">
        <x:v>2026</x:v>
      </x:c>
      <x:c r="E441" s="18" t="str">
        <x:v>2026-05</x:v>
      </x:c>
      <x:c r="F441" s="18" t="str"/>
      <x:c r="G441" s="18" t="str">
        <x:v>Public Announcement of Voluntary Liquidation Process</x:v>
      </x:c>
      <x:c r="H441" s="18" t="str"/>
      <x:c r="I441" s="18" t="str"/>
      <x:c r="J441" s="20" t="str"/>
      <x:c r="K441" s="18" t="str"/>
      <x:c r="L441" s="18" t="str"/>
      <x:c r="M441" s="18" t="str">
        <x:v>2026-05-15</x:v>
      </x:c>
      <x:c r="N441" s="18" t="str"/>
      <x:c r="O441" s="18" t="str">
        <x:v>ibbi_lvxs7s</x:v>
      </x:c>
      <x:c r="P441" s="18" t="str">
        <x:v>WOOD?BURNING?STOVES?INDIA?PRIVATE?LIMITED</x:v>
      </x:c>
      <x:c r="Q441" s="18" t="str">
        <x:v>WOOD BURNING STOVES INDIA PRIVATE LIMITED</x:v>
      </x:c>
      <x:c r="R441" s="18" t="str">
        <x:v>Vanita Agarwal</x:v>
      </x:c>
      <x:c r="S441" s="18" t="str">
        <x:v>2026-06-13</x:v>
      </x:c>
      <x:c r="T441" s="18" t="str">
        <x:v>Public Announcement of Voluntary Liquidation Process</x:v>
      </x:c>
      <x:c r="U441" s="18" t="str"/>
      <x:c r="V441" s="18" t="str">
        <x:v>DEFINED_TERMINAL_OR_FEED_SCOPE</x:v>
      </x:c>
      <x:c r="W441" s="18" t="str">
        <x:v>national_ibbi_announcements.json — published records loaded</x:v>
      </x:c>
      <x:c r="X441" s="18" t="str"/>
      <x:c r="Y441" s="18" t="str"/>
      <x:c r="Z441" s="20" t="n">
        <x:v>434</x:v>
      </x:c>
      <x:c r="AA441" s="19" t="n">
        <x:f>IFERROR(TODAY()-DATEVALUE(C441),"")</x:f>
        <x:v>118</x:v>
      </x:c>
      <x:c r="AB441" s="21" t="n">
        <x:f>ROUND(COUNTA(A441:K441)/11*100,0)</x:f>
        <x:v>100</x:v>
      </x:c>
      <x:c r="AC441" s="18" t="str">
        <x:v>National Company Law Tribunal</x:v>
      </x:c>
      <x:c r="AD441" s="22" t="str">
        <x:v>https://ibbi.gov.in/uploads/announcement/7984861880a0939ad3547375f1ba371c.pdf</x:v>
      </x:c>
      <x:c r="AE441" s="18" t="str">
        <x:v>2026-05-15</x:v>
      </x:c>
      <x:c r="AF441" s="18" t="n">
        <x:v>46275.114583333336</x:v>
      </x:c>
      <x:c r="AG441" s="18" t="str">
        <x:v>retained_terminal</x:v>
      </x:c>
      <x:c r="AH441" s="18" t="str">
        <x:v>READY</x:v>
      </x:c>
    </x:row>
    <x:row r="442">
      <x:c r="A442" s="18" t="str">
        <x:v>NYT-47-1acf331b400873e0</x:v>
      </x:c>
      <x:c r="B442" s="18" t="str">
        <x:v>NCLT / NCLAT (Insolvency) source coverage</x:v>
      </x:c>
      <x:c r="C442" s="18" t="str">
        <x:v>2026-05-15</x:v>
      </x:c>
      <x:c r="D442" s="18" t="n">
        <x:v>2026</x:v>
      </x:c>
      <x:c r="E442" s="18" t="str">
        <x:v>2026-05</x:v>
      </x:c>
      <x:c r="F442" s="18" t="str"/>
      <x:c r="G442" s="18" t="str">
        <x:v>Public Announcement of Corporate Insolvency Resolution Process</x:v>
      </x:c>
      <x:c r="H442" s="18" t="str"/>
      <x:c r="I442" s="18" t="str"/>
      <x:c r="J442" s="20" t="str"/>
      <x:c r="K442" s="18" t="str"/>
      <x:c r="L442" s="18" t="str"/>
      <x:c r="M442" s="18" t="str">
        <x:v>2026-05-15</x:v>
      </x:c>
      <x:c r="N442" s="18" t="str"/>
      <x:c r="O442" s="18" t="str">
        <x:v>ibbi_1xt2v66</x:v>
      </x:c>
      <x:c r="P442" s="18" t="str">
        <x:v>JAINCO AUTOMOTIVE PVT LTD</x:v>
      </x:c>
      <x:c r="Q442" s="18" t="str">
        <x:v>JAINCO AUTOMOTIVE PVT LTD</x:v>
      </x:c>
      <x:c r="R442" s="18" t="str">
        <x:v>Mr. Subodh Kumar Agrawal</x:v>
      </x:c>
      <x:c r="S442" s="18" t="str">
        <x:v>2026-05-28</x:v>
      </x:c>
      <x:c r="T442" s="18" t="str">
        <x:v>Public Announcement of Corporate Insolvency Resolution Process</x:v>
      </x:c>
      <x:c r="U442" s="18" t="str"/>
      <x:c r="V442" s="18" t="str">
        <x:v>DEFINED_TERMINAL_OR_FEED_SCOPE</x:v>
      </x:c>
      <x:c r="W442" s="18" t="str">
        <x:v>national_ibbi_announcements.json — published records loaded</x:v>
      </x:c>
      <x:c r="X442" s="18" t="str"/>
      <x:c r="Y442" s="18" t="str"/>
      <x:c r="Z442" s="20" t="n">
        <x:v>434</x:v>
      </x:c>
      <x:c r="AA442" s="19" t="n">
        <x:f>IFERROR(TODAY()-DATEVALUE(C442),"")</x:f>
        <x:v>118</x:v>
      </x:c>
      <x:c r="AB442" s="21" t="n">
        <x:f>ROUND(COUNTA(A442:K442)/11*100,0)</x:f>
        <x:v>100</x:v>
      </x:c>
      <x:c r="AC442" s="18" t="str">
        <x:v>National Company Law Tribunal</x:v>
      </x:c>
      <x:c r="AD442" s="22" t="str">
        <x:v>https://ibbi.gov.in/uploads/announcement/2a31bcd90658fad3b1250de2ea02b34f.pdf</x:v>
      </x:c>
      <x:c r="AE442" s="18" t="str">
        <x:v>2026-05-15</x:v>
      </x:c>
      <x:c r="AF442" s="18" t="n">
        <x:v>46275.114583333336</x:v>
      </x:c>
      <x:c r="AG442" s="18" t="str">
        <x:v>retained_terminal</x:v>
      </x:c>
      <x:c r="AH442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dc695b057ae04ef5"/>
  <x:tableParts count="1">
    <x:tablePart xmlns:r="http://schemas.openxmlformats.org/officeDocument/2006/relationships" r:id="R1f05ccd26e1842b7"/>
  </x:tableParts>
</x:worksheet>
</file>