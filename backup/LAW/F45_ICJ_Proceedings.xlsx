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8a2b5f804a146e6" /></Relationships>
</file>

<file path=xl/workbook.xml><?xml version="1.0" encoding="utf-8"?>
<x:workbook xmlns:x="http://schemas.openxmlformats.org/spreadsheetml/2006/main">
  <x:sheets>
    <x:sheet xmlns:r="http://schemas.openxmlformats.org/officeDocument/2006/relationships" name="F45 ICJ Proceedings" sheetId="1" r:id="R38041777cace44f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0.00"/>
  </x:numFmts>
  <x:fonts count="7">
    <x:font>
      <x:sz val="11"/>
      <x:name val="Carlito"/>
    </x:font>
    <x:font>
      <x:sz val="9"/>
      <x:color rgb="FF1F2937"/>
      <x:name val="Arial"/>
    </x:font>
    <x:font>
      <x:b/>
      <x:sz val="15"/>
      <x:color rgb="FF7030A0"/>
      <x:name val="Arial"/>
    </x:font>
    <x:font>
      <x:i/>
      <x:sz val="9"/>
      <x:color rgb="FF666666"/>
      <x:name val="Arial"/>
    </x:font>
    <x:font>
      <x:b/>
      <x:sz val="9"/>
      <x:color rgb="FF1F2937"/>
      <x:name val="Arial"/>
    </x:font>
    <x:font>
      <x:b/>
      <x:sz val="9"/>
      <x:color rgb="FFFFFFFF"/>
      <x:name val="Arial"/>
    </x:font>
    <x:font>
      <x:sz val="9"/>
      <x:color rgb="FF0563C1"/>
      <x:name val="Arial"/>
    </x:font>
  </x:fonts>
  <x:fills count="4">
    <x:fill>
      <x:patternFill patternType="none"/>
    </x:fill>
    <x:fill>
      <x:patternFill patternType="gray125"/>
    </x:fill>
    <x:fill>
      <x:patternFill patternType="solid">
        <x:fgColor rgb="FFF8F5EE"/>
      </x:patternFill>
    </x:fill>
    <x:fill>
      <x:patternFill patternType="solid">
        <x:fgColor rgb="FF7030A0"/>
      </x:patternFill>
    </x:fill>
  </x:fills>
  <x:borders count="3">
    <x:border/>
    <x:border>
      <x:bottom style="medium">
        <x:color rgb="FF7030A0"/>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3">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2" xfId="0" applyNumberFormat="1" applyFont="1" applyFill="1" applyBorder="1"/>
    <x:xf numFmtId="200" fontId="4" fillId="2" borderId="2"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2" xfId="0" applyNumberFormat="1" applyFont="1" applyFill="1" applyBorder="1" applyAlignment="1">
      <x:alignment wrapText="1"/>
    </x:xf>
    <x:xf numFmtId="0" fontId="5" fillId="3" borderId="2" xfId="0" applyNumberFormat="1" applyFont="1" applyFill="1" applyBorder="1" applyAlignment="1">
      <x:alignment vertical="center" wrapText="1"/>
    </x:xf>
    <x:xf numFmtId="0" fontId="1" fillId="0" borderId="2" xfId="0" applyNumberFormat="1" applyFont="1" applyFill="1" applyBorder="1"/>
    <x:xf numFmtId="0" fontId="1" fillId="0" borderId="2" xfId="0" applyNumberFormat="1" applyFont="1" applyFill="1" applyBorder="1" applyAlignment="1">
      <x:alignment wrapText="1"/>
    </x:xf>
    <x:xf numFmtId="0" fontId="1" fillId="0" borderId="2" xfId="0" applyNumberFormat="1" applyFont="1" applyFill="1" applyBorder="1" applyAlignment="1">
      <x:alignment vertical="top" wrapText="1"/>
    </x:xf>
    <x:xf numFmtId="200" fontId="1" fillId="0" borderId="2" xfId="0" applyNumberFormat="1" applyFont="1" applyFill="1" applyBorder="1" applyAlignment="1">
      <x:alignment vertical="top" wrapText="1"/>
    </x:xf>
    <x:xf numFmtId="201" fontId="1" fillId="0" borderId="2" xfId="0" applyNumberFormat="1" applyFont="1" applyFill="1" applyBorder="1" applyAlignment="1">
      <x:alignment vertical="top" wrapText="1"/>
    </x:xf>
    <x:xf numFmtId="202" fontId="1" fillId="0" borderId="2" xfId="0" applyNumberFormat="1" applyFont="1" applyFill="1" applyBorder="1" applyAlignment="1">
      <x:alignment vertical="top" wrapText="1"/>
    </x:xf>
    <x:xf numFmtId="0" fontId="6"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e7ca6880d884c34" /><Relationship Type="http://schemas.openxmlformats.org/officeDocument/2006/relationships/theme" Target="/xl/theme/theme1.xml" Id="R14eabeeb990b4f09" /><Relationship Type="http://schemas.openxmlformats.org/officeDocument/2006/relationships/sharedStrings" Target="/xl/sharedStrings.xml" Id="Re5c3126b8c224116" /><Relationship Type="http://schemas.openxmlformats.org/officeDocument/2006/relationships/worksheet" Target="/xl/worksheets/sheet1.xml" Id="R38041777cace44fa" /></Relationships>
</file>

<file path=xl/drawings/_rels/drawing1.xml.rels>&#65279;<?xml version="1.0" encoding="utf-8"?><Relationships xmlns="http://schemas.openxmlformats.org/package/2006/relationships"><Relationship Type="http://schemas.openxmlformats.org/officeDocument/2006/relationships/chart" Target="/xl/drawings/charts/chart1.xml" Id="Rb3985b75f6f6490a" /><Relationship Type="http://schemas.openxmlformats.org/officeDocument/2006/relationships/chart" Target="/xl/drawings/charts/chart2.xml" Id="R8db67e0ca4a74a2a" /><Relationship Type="http://schemas.openxmlformats.org/officeDocument/2006/relationships/chart" Target="/xl/drawings/charts/chart3.xml" Id="R12ddf45a897545b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Cases and orders over time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lineChart>
        <c:grouping val="standard"/>
        <c:varyColors val="0"/>
        <c:ser>
          <c:idx val="0"/>
          <c:order val="0"/>
          <c:tx>
            <c:v>Records</c:v>
          </c:tx>
          <c:marker>
            <c:symbol val="none"/>
          </c:marker>
          <c:cat>
            <c:strRef>
              <c:f>'F45 ICJ Proceedings'!$AZ$3:$AZ$10</c:f>
              <c:strCache>
                <c:ptCount val="0"/>
              </c:strCache>
            </c:strRef>
          </c:cat>
          <c:val>
            <c:numRef>
              <c:f>'F45 ICJ Proceedings'!$BA$3:$BA$10</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Cases by subject and procedure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varyColors val="0"/>
        <c:ser>
          <c:idx val="0"/>
          <c:order val="0"/>
          <c:tx>
            <c:v>Records</c:v>
          </c:tx>
          <c:cat>
            <c:strRef>
              <c:f>'F45 ICJ Proceedings'!$BC$3:$BC$4</c:f>
              <c:strCache>
                <c:ptCount val="0"/>
              </c:strCache>
            </c:strRef>
          </c:cat>
          <c:val>
            <c:numRef>
              <c:f>'F45 ICJ Proceedings'!$BD$3:$BD$4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State-party participation network — record count</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grouping val="clustered"/>
        <c:varyColors val="0"/>
        <c:ser>
          <c:idx val="0"/>
          <c:order val="0"/>
          <c:tx>
            <c:v>record count</c:v>
          </c:tx>
          <c:cat>
            <c:strRef>
              <c:f>'F45 ICJ Proceedings'!$BF$3:$BF$14</c:f>
              <c:strCache>
                <c:ptCount val="0"/>
              </c:strCache>
            </c:strRef>
          </c:cat>
          <c:val>
            <c:numRef>
              <c:f>'F45 ICJ Proceedings'!$BG$3:$BG$14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16</xdr:col>
      <xdr:colOff>0</xdr:colOff>
      <xdr:row>12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3985b75f6f6490a"/>
        </a:graphicData>
      </a:graphic>
    </xdr:graphicFrame>
    <xdr:clientData/>
  </xdr:twoCellAnchor>
  <xdr:twoCellAnchor>
    <xdr:from>
      <xdr:col>16</xdr:col>
      <xdr:colOff>0</xdr:colOff>
      <xdr:row>1</xdr:row>
      <xdr:rowOff>0</xdr:rowOff>
    </xdr:from>
    <xdr:to>
      <xdr:col>23</xdr:col>
      <xdr:colOff>0</xdr:colOff>
      <xdr:row>12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db67e0ca4a74a2a"/>
        </a:graphicData>
      </a:graphic>
    </xdr:graphicFrame>
    <xdr:clientData/>
  </xdr:twoCellAnchor>
  <xdr:twoCellAnchor>
    <xdr:from>
      <xdr:col>23</xdr:col>
      <xdr:colOff>0</xdr:colOff>
      <xdr:row>1</xdr:row>
      <xdr:rowOff>0</xdr:rowOff>
    </xdr:from>
    <xdr:to>
      <xdr:col>31</xdr:col>
      <xdr:colOff>0</xdr:colOff>
      <xdr:row>12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2ddf45a897545b4"/>
        </a:graphicData>
      </a:graphic>
    </xdr:graphicFrame>
    <xdr:clientData/>
  </xdr:twoCellAnchor>
</xdr:wsDr>
</file>

<file path=xl/tables/table1.xml><?xml version="1.0" encoding="utf-8"?>
<x:table xmlns:x="http://schemas.openxmlformats.org/spreadsheetml/2006/main" id="1" name="T_law_45_clean_08c9b4" displayName="T_law_45_clean_08c9b4" ref="A8:AF200" headerRowCount="1" totalsRowCount="0" totalsRowShown="0">
  <x:tableColumns count="32">
    <x:tableColumn id="1" name="record_id"/>
    <x:tableColumn id="2" name="record_title"/>
    <x:tableColumn id="3" name="record_date"/>
    <x:tableColumn id="4" name="year"/>
    <x:tableColumn id="5" name="month"/>
    <x:tableColumn id="6" name="status"/>
    <x:tableColumn id="7" name="category"/>
    <x:tableColumn id="8" name="geography"/>
    <x:tableColumn id="9" name="primary_entity"/>
    <x:tableColumn id="10" name="metric_value"/>
    <x:tableColumn id="11" name="metric_unit"/>
    <x:tableColumn id="12" name="court"/>
    <x:tableColumn id="13" name="case_title"/>
    <x:tableColumn id="14" name="title"/>
    <x:tableColumn id="15" name="publisher"/>
    <x:tableColumn id="16" name="query"/>
    <x:tableColumn id="17" name="case_id"/>
    <x:tableColumn id="18" name="published_at"/>
    <x:tableColumn id="19" name="publisher_url"/>
    <x:tableColumn id="20" name="coverage_status"/>
    <x:tableColumn id="21" name="coverage_scope"/>
    <x:tableColumn id="22" name="coverage_start"/>
    <x:tableColumn id="23" name="coverage_end"/>
    <x:tableColumn id="24" name="universe_count"/>
    <x:tableColumn id="25" name="record_age_days"/>
    <x:tableColumn id="26" name="record_completeness_pct"/>
    <x:tableColumn id="27" name="source_provider"/>
    <x:tableColumn id="28" name="source_url"/>
    <x:tableColumn id="29" name="source_published_at"/>
    <x:tableColumn id="30" name="source_retrieved_at"/>
    <x:tableColumn id="31" name="provenance"/>
    <x:tableColumn id="32" name="quality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b0683168d0d45d3" /><Relationship Type="http://schemas.openxmlformats.org/officeDocument/2006/relationships/table" Target="/xl/tables/table1.xml" Id="Ra4749795ce844c23" /></Relationships>
</file>

<file path=xl/worksheets/sheet1.xml><?xml version="1.0" encoding="utf-8"?>
<x:worksheet xmlns:x="http://schemas.openxmlformats.org/spreadsheetml/2006/main">
  <x:sheetPr>
    <x:tabColor rgb="FF7030A0"/>
  </x:sheetPr>
  <x:sheetViews>
    <x:sheetView showGridLines="0" workbookViewId="0">
      <x:pane xSplit="3" ySplit="8" topLeftCell="D9" activePane="bottomRight" state="frozen"/>
    </x:sheetView>
  </x:sheetViews>
  <x:sheetFormatPr defaultRowHeight="15"/>
  <x:cols>
    <x:col min="1" max="1" width="18" hidden="0" customWidth="1"/>
    <x:col min="2" max="2" width="32" hidden="0" customWidth="1"/>
    <x:col min="3" max="3" width="16" hidden="0" customWidth="1"/>
    <x:col min="4" max="4" width="15" hidden="0" customWidth="1"/>
    <x:col min="5" max="5" width="15" hidden="0" customWidth="1"/>
    <x:col min="6" max="6" width="15" hidden="0" customWidth="1"/>
    <x:col min="7" max="7" width="15" hidden="0" customWidth="1"/>
    <x:col min="8" max="8" width="24" hidden="0" customWidth="1"/>
    <x:col min="9" max="9" width="24" hidden="0" customWidth="1"/>
    <x:col min="10" max="10" width="15" hidden="0" customWidth="1"/>
    <x:col min="11" max="11" width="15" hidden="0" customWidth="1"/>
    <x:col min="12" max="12" width="15" hidden="0" customWidth="1"/>
    <x:col min="13" max="13" width="32" hidden="0" customWidth="1"/>
    <x:col min="14" max="14" width="32" hidden="0" customWidth="1"/>
    <x:col min="15" max="15" width="15" hidden="0" customWidth="1"/>
    <x:col min="16" max="16" width="15" hidden="0" customWidth="1"/>
    <x:col min="17" max="17" width="18" hidden="0" customWidth="1"/>
    <x:col min="18" max="18" width="15" hidden="0" customWidth="1"/>
    <x:col min="19" max="19" width="42" hidden="0" customWidth="1"/>
    <x:col min="20" max="20" width="15" hidden="0" customWidth="1"/>
    <x:col min="21" max="21" width="15" hidden="0" customWidth="1"/>
    <x:col min="22" max="22" width="15" hidden="0" customWidth="1"/>
    <x:col min="23" max="23" width="15" hidden="0" customWidth="1"/>
    <x:col min="24" max="24" width="15" hidden="0" customWidth="1"/>
    <x:col min="25" max="25" width="15" hidden="0" customWidth="1"/>
    <x:col min="26" max="26" width="15" hidden="0" customWidth="1"/>
    <x:col min="27" max="27" width="18" hidden="0" customWidth="1"/>
    <x:col min="28" max="28" width="42" hidden="0" customWidth="1"/>
    <x:col min="29" max="29" width="15" hidden="0" customWidth="1"/>
    <x:col min="30" max="30" width="15" hidden="0" customWidth="1"/>
    <x:col min="31" max="31" width="15" hidden="0" customWidth="1"/>
    <x:col min="32" max="32" width="15" hidden="0" customWidth="1"/>
  </x:cols>
  <x:sheetData>
    <x:row r="1" ht="25" customHeight="1">
      <x:c r="A1" s="4" t="str">
        <x:v>ICJ Proceedings</x:v>
      </x:c>
      <x:c r="B1" s="4"/>
      <x:c r="C1" s="4"/>
      <x:c r="D1" s="4"/>
      <x:c r="E1" s="4"/>
      <x:c r="F1" s="4"/>
      <x:c r="G1" s="4"/>
      <x:c r="H1" s="4"/>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ht="30" customHeight="1">
      <x:c r="A2" s="6" t="str">
        <x:v>192 enrichment records • COMPLETE_FINITE_SNAPSHOT; DEFINED_TERMINAL_OR_FEED_SCOPE • refreshed 2026-09-10</x:v>
      </x:c>
      <x:c r="B2" s="6"/>
      <x:c r="C2" s="6"/>
      <x:c r="D2" s="6"/>
      <x:c r="E2" s="6"/>
      <x:c r="F2" s="6"/>
      <x:c r="G2" s="6"/>
      <x:c r="H2" s="6"/>
      <x:c r="AZ2" s="15" t="str">
        <x:v>Date</x:v>
      </x:c>
      <x:c r="BA2" s="15" t="str">
        <x:v>Records</x:v>
      </x:c>
      <x:c r="BC2" s="15" t="str">
        <x:v>Category / status</x:v>
      </x:c>
      <x:c r="BD2" s="15" t="str">
        <x:v>Records</x:v>
      </x:c>
      <x:c r="BF2" s="15" t="str">
        <x:v>Entity</x:v>
      </x:c>
      <x:c r="BG2" s="15" t="str">
        <x:v>record count</x:v>
      </x:c>
    </x:row>
    <x:row r="3">
      <x:c r="AZ3" s="18" t="str">
        <x:v>2026-08-28</x:v>
      </x:c>
      <x:c r="BA3" s="18" t="n">
        <x:v>1</x:v>
      </x:c>
      <x:c r="BC3" s="18" t="str">
        <x:v>Unclassified</x:v>
      </x:c>
      <x:c r="BD3" s="18" t="n">
        <x:v>177</x:v>
      </x:c>
      <x:c r="BF3" s="18" t="str">
        <x:v>International Court of Justice</x:v>
      </x:c>
      <x:c r="BG3" s="18" t="n">
        <x:v>177</x:v>
      </x:c>
    </x:row>
    <x:row r="4">
      <x:c r="A4" s="9" t="str">
        <x:v>Records</x:v>
      </x:c>
      <x:c r="B4" s="10" t="n">
        <x:v>192</x:v>
      </x:c>
      <x:c r="C4" s="9" t="str">
        <x:v>Dated records</x:v>
      </x:c>
      <x:c r="D4" s="10" t="n">
        <x:v>15</x:v>
      </x:c>
      <x:c r="E4" s="9" t="str">
        <x:v>Sources</x:v>
      </x:c>
      <x:c r="F4" s="10" t="n">
        <x:v>2</x:v>
      </x:c>
      <x:c r="G4" s="9" t="str">
        <x:v>Freshest record</x:v>
      </x:c>
      <x:c r="H4" s="9" t="str">
        <x:v>2026-09-10</x:v>
      </x:c>
      <x:c r="AZ4" s="18" t="str">
        <x:v>2026-09-03</x:v>
      </x:c>
      <x:c r="BA4" s="18" t="n">
        <x:v>1</x:v>
      </x:c>
      <x:c r="BC4" s="18" t="str">
        <x:v>International Court of Justice proceeding</x:v>
      </x:c>
      <x:c r="BD4" s="18" t="n">
        <x:v>15</x:v>
      </x:c>
      <x:c r="BF4" s="18" t="str">
        <x:v>A News</x:v>
      </x:c>
      <x:c r="BG4" s="18" t="n">
        <x:v>1</x:v>
      </x:c>
    </x:row>
    <x:row r="5">
      <x:c r="AZ5" s="18" t="str">
        <x:v>2026-09-04</x:v>
      </x:c>
      <x:c r="BA5" s="18" t="n">
        <x:v>2</x:v>
      </x:c>
      <x:c r="BF5" s="18" t="str">
        <x:v>Deccan Chronicle</x:v>
      </x:c>
      <x:c r="BG5" s="18" t="n">
        <x:v>1</x:v>
      </x:c>
    </x:row>
    <x:row r="6">
      <x:c r="AZ6" s="18" t="str">
        <x:v>2026-09-05</x:v>
      </x:c>
      <x:c r="BA6" s="18" t="n">
        <x:v>1</x:v>
      </x:c>
      <x:c r="BF6" s="18" t="str">
        <x:v>East Asia Forum</x:v>
      </x:c>
      <x:c r="BG6" s="18" t="n">
        <x:v>1</x:v>
      </x:c>
    </x:row>
    <x:row r="7">
      <x:c r="AZ7" s="18" t="str">
        <x:v>2026-09-07</x:v>
      </x:c>
      <x:c r="BA7" s="18" t="n">
        <x:v>7</x:v>
      </x:c>
      <x:c r="BF7" s="18" t="str">
        <x:v>Canadian Lawyer</x:v>
      </x:c>
      <x:c r="BG7" s="18" t="n">
        <x:v>1</x:v>
      </x:c>
    </x:row>
    <x:row r="8" ht="30" customHeight="1">
      <x:c r="A8" s="15" t="str">
        <x:v>record_id</x:v>
      </x:c>
      <x:c r="B8" s="15" t="str">
        <x:v>record_title</x:v>
      </x:c>
      <x:c r="C8" s="15" t="str">
        <x:v>record_date</x:v>
      </x:c>
      <x:c r="D8" s="15" t="str">
        <x:v>year</x:v>
      </x:c>
      <x:c r="E8" s="15" t="str">
        <x:v>month</x:v>
      </x:c>
      <x:c r="F8" s="15" t="str">
        <x:v>status</x:v>
      </x:c>
      <x:c r="G8" s="15" t="str">
        <x:v>category</x:v>
      </x:c>
      <x:c r="H8" s="15" t="str">
        <x:v>geography</x:v>
      </x:c>
      <x:c r="I8" s="15" t="str">
        <x:v>primary_entity</x:v>
      </x:c>
      <x:c r="J8" s="15" t="str">
        <x:v>metric_value</x:v>
      </x:c>
      <x:c r="K8" s="15" t="str">
        <x:v>metric_unit</x:v>
      </x:c>
      <x:c r="L8" s="15" t="str">
        <x:v>court</x:v>
      </x:c>
      <x:c r="M8" s="15" t="str">
        <x:v>case_title</x:v>
      </x:c>
      <x:c r="N8" s="15" t="str">
        <x:v>title</x:v>
      </x:c>
      <x:c r="O8" s="15" t="str">
        <x:v>publisher</x:v>
      </x:c>
      <x:c r="P8" s="15" t="str">
        <x:v>query</x:v>
      </x:c>
      <x:c r="Q8" s="15" t="str">
        <x:v>case_id</x:v>
      </x:c>
      <x:c r="R8" s="15" t="str">
        <x:v>published_at</x:v>
      </x:c>
      <x:c r="S8" s="15" t="str">
        <x:v>publisher_url</x:v>
      </x:c>
      <x:c r="T8" s="15" t="str">
        <x:v>coverage_status</x:v>
      </x:c>
      <x:c r="U8" s="15" t="str">
        <x:v>coverage_scope</x:v>
      </x:c>
      <x:c r="V8" s="15" t="str">
        <x:v>coverage_start</x:v>
      </x:c>
      <x:c r="W8" s="15" t="str">
        <x:v>coverage_end</x:v>
      </x:c>
      <x:c r="X8" s="15" t="str">
        <x:v>universe_count</x:v>
      </x:c>
      <x:c r="Y8" s="15" t="str">
        <x:v>record_age_days</x:v>
      </x:c>
      <x:c r="Z8" s="15" t="str">
        <x:v>record_completeness_pct</x:v>
      </x:c>
      <x:c r="AA8" s="15" t="str">
        <x:v>source_provider</x:v>
      </x:c>
      <x:c r="AB8" s="15" t="str">
        <x:v>source_url</x:v>
      </x:c>
      <x:c r="AC8" s="15" t="str">
        <x:v>source_published_at</x:v>
      </x:c>
      <x:c r="AD8" s="15" t="str">
        <x:v>source_retrieved_at</x:v>
      </x:c>
      <x:c r="AE8" s="15" t="str">
        <x:v>provenance</x:v>
      </x:c>
      <x:c r="AF8" s="15" t="str">
        <x:v>quality_status</x:v>
      </x:c>
      <x:c r="AZ8" s="18" t="str">
        <x:v>2026-09-08</x:v>
      </x:c>
      <x:c r="BA8" s="18" t="n">
        <x:v>1</x:v>
      </x:c>
      <x:c r="BF8" s="18" t="str">
        <x:v>Anadolu Ajansı</x:v>
      </x:c>
      <x:c r="BG8" s="18" t="n">
        <x:v>1</x:v>
      </x:c>
    </x:row>
    <x:row r="9">
      <x:c r="A9" s="18" t="str">
        <x:v>NYT-45-0623b00be585e673</x:v>
      </x:c>
      <x:c r="B9" s="18" t="str">
        <x:v>Right to Strike under ILO Convention No. 87</x:v>
      </x:c>
      <x:c r="C9" s="18" t="str"/>
      <x:c r="D9" s="18" t="str"/>
      <x:c r="E9" s="18" t="str"/>
      <x:c r="F9" s="18" t="str"/>
      <x:c r="G9" s="18" t="str"/>
      <x:c r="H9" s="18" t="str"/>
      <x:c r="I9" s="18" t="str">
        <x:v>International Court of Justice</x:v>
      </x:c>
      <x:c r="J9" s="20" t="str"/>
      <x:c r="K9" s="18" t="str"/>
      <x:c r="L9" s="18" t="str">
        <x:v>International Court of Justice</x:v>
      </x:c>
      <x:c r="M9" s="18" t="str">
        <x:v>Right to Strike under ILO Convention No. 87</x:v>
      </x:c>
      <x:c r="N9" s="18" t="str"/>
      <x:c r="O9" s="18" t="str"/>
      <x:c r="P9" s="18" t="str"/>
      <x:c r="Q9" s="18" t="str">
        <x:v>191</x:v>
      </x:c>
      <x:c r="R9" s="18" t="str"/>
      <x:c r="S9" s="18" t="str"/>
      <x:c r="T9" s="18" t="str">
        <x:v>COMPLETE_FINITE_SNAPSHOT</x:v>
      </x:c>
      <x:c r="U9" s="18" t="str">
        <x:v>Complete ICJ General List on official all-cases page</x:v>
      </x:c>
      <x:c r="V9" s="18" t="str"/>
      <x:c r="W9" s="18" t="str"/>
      <x:c r="X9" s="20" t="n">
        <x:v>192</x:v>
      </x:c>
      <x:c r="Y9" s="19" t="str">
        <x:f>IFERROR(TODAY()-DATEVALUE(C9),"")</x:f>
      </x:c>
      <x:c r="Z9" s="21" t="n">
        <x:f>ROUND(COUNTA(A9:K9)/11*100,0)</x:f>
        <x:v>100</x:v>
      </x:c>
      <x:c r="AA9" s="18" t="str">
        <x:v>International Court of Justice</x:v>
      </x:c>
      <x:c r="AB9" s="22" t="str">
        <x:v>https://api.icj-cij.org/case/191</x:v>
      </x:c>
      <x:c r="AC9" s="18" t="str"/>
      <x:c r="AD9" s="18" t="n">
        <x:v>46275.42531791667</x:v>
      </x:c>
      <x:c r="AE9" s="18" t="str">
        <x:v>independent_public</x:v>
      </x:c>
      <x:c r="AF9" s="18" t="str">
        <x:v>PARTIAL_NO_DATE</x:v>
      </x:c>
      <x:c r="AZ9" s="18" t="str">
        <x:v>2026-09-09</x:v>
      </x:c>
      <x:c r="BA9" s="18" t="n">
        <x:v>1</x:v>
      </x:c>
      <x:c r="BF9" s="18" t="str">
        <x:v>The CSR Journal</x:v>
      </x:c>
      <x:c r="BG9" s="18" t="n">
        <x:v>1</x:v>
      </x:c>
    </x:row>
    <x:row r="10">
      <x:c r="A10" s="18" t="str">
        <x:v>NYT-45-f147f3d753fd24d8</x:v>
      </x:c>
      <x:c r="B10" s="18" t="str">
        <x:v>Kohler and Paris (France v. Islamic Republic of Iran)</x:v>
      </x:c>
      <x:c r="C10" s="18" t="str"/>
      <x:c r="D10" s="18" t="str"/>
      <x:c r="E10" s="18" t="str"/>
      <x:c r="F10" s="18" t="str"/>
      <x:c r="G10" s="18" t="str"/>
      <x:c r="H10" s="18" t="str"/>
      <x:c r="I10" s="18" t="str">
        <x:v>International Court of Justice</x:v>
      </x:c>
      <x:c r="J10" s="20" t="str"/>
      <x:c r="K10" s="18" t="str"/>
      <x:c r="L10" s="18" t="str">
        <x:v>International Court of Justice</x:v>
      </x:c>
      <x:c r="M10" s="18" t="str">
        <x:v>Kohler and Paris (France v. Islamic Republic of Iran)</x:v>
      </x:c>
      <x:c r="N10" s="18" t="str"/>
      <x:c r="O10" s="18" t="str"/>
      <x:c r="P10" s="18" t="str"/>
      <x:c r="Q10" s="18" t="str">
        <x:v>199</x:v>
      </x:c>
      <x:c r="R10" s="18" t="str"/>
      <x:c r="S10" s="18" t="str"/>
      <x:c r="T10" s="18" t="str">
        <x:v>COMPLETE_FINITE_SNAPSHOT</x:v>
      </x:c>
      <x:c r="U10" s="18" t="str">
        <x:v>Complete ICJ General List on official all-cases page</x:v>
      </x:c>
      <x:c r="V10" s="18" t="str"/>
      <x:c r="W10" s="18" t="str"/>
      <x:c r="X10" s="20" t="n">
        <x:v>192</x:v>
      </x:c>
      <x:c r="Y10" s="19" t="str">
        <x:f>IFERROR(TODAY()-DATEVALUE(C10),"")</x:f>
      </x:c>
      <x:c r="Z10" s="21" t="n">
        <x:f>ROUND(COUNTA(A10:K10)/11*100,0)</x:f>
        <x:v>100</x:v>
      </x:c>
      <x:c r="AA10" s="18" t="str">
        <x:v>International Court of Justice</x:v>
      </x:c>
      <x:c r="AB10" s="22" t="str">
        <x:v>https://api.icj-cij.org/case/199</x:v>
      </x:c>
      <x:c r="AC10" s="18" t="str"/>
      <x:c r="AD10" s="18" t="n">
        <x:v>46275.42531791667</x:v>
      </x:c>
      <x:c r="AE10" s="18" t="str">
        <x:v>independent_public</x:v>
      </x:c>
      <x:c r="AF10" s="18" t="str">
        <x:v>PARTIAL_NO_DATE</x:v>
      </x:c>
      <x:c r="AZ10" s="18" t="str">
        <x:v>2026-09-10</x:v>
      </x:c>
      <x:c r="BA10" s="18" t="n">
        <x:v>1</x:v>
      </x:c>
      <x:c r="BF10" s="18" t="str">
        <x:v>WSLS</x:v>
      </x:c>
      <x:c r="BG10" s="18" t="n">
        <x:v>1</x:v>
      </x:c>
    </x:row>
    <x:row r="11">
      <x:c r="A11" s="18" t="str">
        <x:v>NYT-45-769a5cfc70d44ff3</x:v>
      </x:c>
      <x:c r="B11" s="18" t="str">
        <x:v>Application of the Convention on the Prevention and Punishment of the Crime of Genocide in Sudan (Sudan v. United Arab Emirates)</x:v>
      </x:c>
      <x:c r="C11" s="18" t="str"/>
      <x:c r="D11" s="18" t="str"/>
      <x:c r="E11" s="18" t="str"/>
      <x:c r="F11" s="18" t="str"/>
      <x:c r="G11" s="18" t="str"/>
      <x:c r="H11" s="18" t="str"/>
      <x:c r="I11" s="18" t="str">
        <x:v>International Court of Justice</x:v>
      </x:c>
      <x:c r="J11" s="20" t="str"/>
      <x:c r="K11" s="18" t="str"/>
      <x:c r="L11" s="18" t="str">
        <x:v>International Court of Justice</x:v>
      </x:c>
      <x:c r="M11" s="18" t="str">
        <x:v>Application of the Convention on the Prevention and Punishment of the Crime of Genocide in Sudan (Sudan v. United Arab Emirates)</x:v>
      </x:c>
      <x:c r="N11" s="18" t="str"/>
      <x:c r="O11" s="18" t="str"/>
      <x:c r="P11" s="18" t="str"/>
      <x:c r="Q11" s="18" t="str">
        <x:v>197</x:v>
      </x:c>
      <x:c r="R11" s="18" t="str"/>
      <x:c r="S11" s="18" t="str"/>
      <x:c r="T11" s="18" t="str">
        <x:v>COMPLETE_FINITE_SNAPSHOT</x:v>
      </x:c>
      <x:c r="U11" s="18" t="str">
        <x:v>Complete ICJ General List on official all-cases page</x:v>
      </x:c>
      <x:c r="V11" s="18" t="str"/>
      <x:c r="W11" s="18" t="str"/>
      <x:c r="X11" s="20" t="n">
        <x:v>192</x:v>
      </x:c>
      <x:c r="Y11" s="19" t="str">
        <x:f>IFERROR(TODAY()-DATEVALUE(C11),"")</x:f>
      </x:c>
      <x:c r="Z11" s="21" t="n">
        <x:f>ROUND(COUNTA(A11:K11)/11*100,0)</x:f>
        <x:v>100</x:v>
      </x:c>
      <x:c r="AA11" s="18" t="str">
        <x:v>International Court of Justice</x:v>
      </x:c>
      <x:c r="AB11" s="22" t="str">
        <x:v>https://api.icj-cij.org/case/197</x:v>
      </x:c>
      <x:c r="AC11" s="18" t="str"/>
      <x:c r="AD11" s="18" t="n">
        <x:v>46275.42531791667</x:v>
      </x:c>
      <x:c r="AE11" s="18" t="str">
        <x:v>independent_public</x:v>
      </x:c>
      <x:c r="AF11" s="18" t="str">
        <x:v>PARTIAL_NO_DATE</x:v>
      </x:c>
      <x:c r="BF11" s="18" t="str">
        <x:v>Diplomacy and Law</x:v>
      </x:c>
      <x:c r="BG11" s="18" t="n">
        <x:v>1</x:v>
      </x:c>
    </x:row>
    <x:row r="12">
      <x:c r="A12" s="18" t="str">
        <x:v>NYT-45-2ef529b999c9f10a</x:v>
      </x:c>
      <x:c r="B12" s="18" t="str">
        <x:v>Obligations of Israel in relation to the Presence and Activities of the United Nations, Other International Organizations and Third States in and in relation to the Occupied Palestinian Territory</x:v>
      </x:c>
      <x:c r="C12" s="18" t="str"/>
      <x:c r="D12" s="18" t="str"/>
      <x:c r="E12" s="18" t="str"/>
      <x:c r="F12" s="18" t="str"/>
      <x:c r="G12" s="18" t="str"/>
      <x:c r="H12" s="18" t="str"/>
      <x:c r="I12" s="18" t="str">
        <x:v>International Court of Justice</x:v>
      </x:c>
      <x:c r="J12" s="20" t="str"/>
      <x:c r="K12" s="18" t="str"/>
      <x:c r="L12" s="18" t="str">
        <x:v>International Court of Justice</x:v>
      </x:c>
      <x:c r="M12" s="18" t="str">
        <x:v>Obligations of Israel in relation to the Presence and Activities of the United Nations, Other International Organizations and Third States in and in relation to the Occupied Palestinian Territory</x:v>
      </x:c>
      <x:c r="N12" s="18" t="str"/>
      <x:c r="O12" s="18" t="str"/>
      <x:c r="P12" s="18" t="str"/>
      <x:c r="Q12" s="18" t="str">
        <x:v>196</x:v>
      </x:c>
      <x:c r="R12" s="18" t="str"/>
      <x:c r="S12" s="18" t="str"/>
      <x:c r="T12" s="18" t="str">
        <x:v>COMPLETE_FINITE_SNAPSHOT</x:v>
      </x:c>
      <x:c r="U12" s="18" t="str">
        <x:v>Complete ICJ General List on official all-cases page</x:v>
      </x:c>
      <x:c r="V12" s="18" t="str"/>
      <x:c r="W12" s="18" t="str"/>
      <x:c r="X12" s="20" t="n">
        <x:v>192</x:v>
      </x:c>
      <x:c r="Y12" s="19" t="str">
        <x:f>IFERROR(TODAY()-DATEVALUE(C12),"")</x:f>
      </x:c>
      <x:c r="Z12" s="21" t="n">
        <x:f>ROUND(COUNTA(A12:K12)/11*100,0)</x:f>
        <x:v>100</x:v>
      </x:c>
      <x:c r="AA12" s="18" t="str">
        <x:v>International Court of Justice</x:v>
      </x:c>
      <x:c r="AB12" s="22" t="str">
        <x:v>https://api.icj-cij.org/case/196</x:v>
      </x:c>
      <x:c r="AC12" s="18" t="str"/>
      <x:c r="AD12" s="18" t="n">
        <x:v>46275.42531791667</x:v>
      </x:c>
      <x:c r="AE12" s="18" t="str">
        <x:v>independent_public</x:v>
      </x:c>
      <x:c r="AF12" s="18" t="str">
        <x:v>PARTIAL_NO_DATE</x:v>
      </x:c>
      <x:c r="BF12" s="18" t="str">
        <x:v>South China Morning Post</x:v>
      </x:c>
      <x:c r="BG12" s="18" t="n">
        <x:v>1</x:v>
      </x:c>
    </x:row>
    <x:row r="13">
      <x:c r="A13" s="18" t="str">
        <x:v>NYT-45-8c1681d8b7d6c908</x:v>
      </x:c>
      <x:c r="B13" s="18" t="str">
        <x:v>Obligations of States in respect of Climate Change</x:v>
      </x:c>
      <x:c r="C13" s="18" t="str"/>
      <x:c r="D13" s="18" t="str"/>
      <x:c r="E13" s="18" t="str"/>
      <x:c r="F13" s="18" t="str"/>
      <x:c r="G13" s="18" t="str"/>
      <x:c r="H13" s="18" t="str"/>
      <x:c r="I13" s="18" t="str">
        <x:v>International Court of Justice</x:v>
      </x:c>
      <x:c r="J13" s="20" t="str"/>
      <x:c r="K13" s="18" t="str"/>
      <x:c r="L13" s="18" t="str">
        <x:v>International Court of Justice</x:v>
      </x:c>
      <x:c r="M13" s="18" t="str">
        <x:v>Obligations of States in respect of Climate Change</x:v>
      </x:c>
      <x:c r="N13" s="18" t="str"/>
      <x:c r="O13" s="18" t="str"/>
      <x:c r="P13" s="18" t="str"/>
      <x:c r="Q13" s="18" t="str">
        <x:v>187</x:v>
      </x:c>
      <x:c r="R13" s="18" t="str"/>
      <x:c r="S13" s="18" t="str"/>
      <x:c r="T13" s="18" t="str">
        <x:v>COMPLETE_FINITE_SNAPSHOT</x:v>
      </x:c>
      <x:c r="U13" s="18" t="str">
        <x:v>Complete ICJ General List on official all-cases page</x:v>
      </x:c>
      <x:c r="V13" s="18" t="str"/>
      <x:c r="W13" s="18" t="str"/>
      <x:c r="X13" s="20" t="n">
        <x:v>192</x:v>
      </x:c>
      <x:c r="Y13" s="19" t="str">
        <x:f>IFERROR(TODAY()-DATEVALUE(C13),"")</x:f>
      </x:c>
      <x:c r="Z13" s="21" t="n">
        <x:f>ROUND(COUNTA(A13:K13)/11*100,0)</x:f>
        <x:v>100</x:v>
      </x:c>
      <x:c r="AA13" s="18" t="str">
        <x:v>International Court of Justice</x:v>
      </x:c>
      <x:c r="AB13" s="22" t="str">
        <x:v>https://api.icj-cij.org/case/187</x:v>
      </x:c>
      <x:c r="AC13" s="18" t="str"/>
      <x:c r="AD13" s="18" t="n">
        <x:v>46275.42531791667</x:v>
      </x:c>
      <x:c r="AE13" s="18" t="str">
        <x:v>independent_public</x:v>
      </x:c>
      <x:c r="AF13" s="18" t="str">
        <x:v>PARTIAL_NO_DATE</x:v>
      </x:c>
      <x:c r="BF13" s="18" t="str">
        <x:v>EU Today</x:v>
      </x:c>
      <x:c r="BG13" s="18" t="n">
        <x:v>1</x:v>
      </x:c>
    </x:row>
    <x:row r="14">
      <x:c r="A14" s="18" t="str">
        <x:v>NYT-45-c7ff4eba4d40494e</x:v>
      </x:c>
      <x:c r="B14" s="18" t="str">
        <x:v>Land and Maritime Delimitation and Sovereignty over Islands (Gabon/Equatorial Guinea)</x:v>
      </x:c>
      <x:c r="C14" s="18" t="str"/>
      <x:c r="D14" s="18" t="str"/>
      <x:c r="E14" s="18" t="str"/>
      <x:c r="F14" s="18" t="str"/>
      <x:c r="G14" s="18" t="str"/>
      <x:c r="H14" s="18" t="str"/>
      <x:c r="I14" s="18" t="str">
        <x:v>International Court of Justice</x:v>
      </x:c>
      <x:c r="J14" s="20" t="str"/>
      <x:c r="K14" s="18" t="str"/>
      <x:c r="L14" s="18" t="str">
        <x:v>International Court of Justice</x:v>
      </x:c>
      <x:c r="M14" s="18" t="str">
        <x:v>Land and Maritime Delimitation and Sovereignty over Islands (Gabon/Equatorial Guinea)</x:v>
      </x:c>
      <x:c r="N14" s="18" t="str"/>
      <x:c r="O14" s="18" t="str"/>
      <x:c r="P14" s="18" t="str"/>
      <x:c r="Q14" s="18" t="str">
        <x:v>179</x:v>
      </x:c>
      <x:c r="R14" s="18" t="str"/>
      <x:c r="S14" s="18" t="str"/>
      <x:c r="T14" s="18" t="str">
        <x:v>COMPLETE_FINITE_SNAPSHOT</x:v>
      </x:c>
      <x:c r="U14" s="18" t="str">
        <x:v>Complete ICJ General List on official all-cases page</x:v>
      </x:c>
      <x:c r="V14" s="18" t="str"/>
      <x:c r="W14" s="18" t="str"/>
      <x:c r="X14" s="20" t="n">
        <x:v>192</x:v>
      </x:c>
      <x:c r="Y14" s="19" t="str">
        <x:f>IFERROR(TODAY()-DATEVALUE(C14),"")</x:f>
      </x:c>
      <x:c r="Z14" s="21" t="n">
        <x:f>ROUND(COUNTA(A14:K14)/11*100,0)</x:f>
        <x:v>100</x:v>
      </x:c>
      <x:c r="AA14" s="18" t="str">
        <x:v>International Court of Justice</x:v>
      </x:c>
      <x:c r="AB14" s="22" t="str">
        <x:v>https://api.icj-cij.org/case/179</x:v>
      </x:c>
      <x:c r="AC14" s="18" t="str"/>
      <x:c r="AD14" s="18" t="n">
        <x:v>46275.42531791667</x:v>
      </x:c>
      <x:c r="AE14" s="18" t="str">
        <x:v>independent_public</x:v>
      </x:c>
      <x:c r="AF14" s="18" t="str">
        <x:v>PARTIAL_NO_DATE</x:v>
      </x:c>
      <x:c r="BF14" s="18" t="str">
        <x:v>Yeni Safak English</x:v>
      </x:c>
      <x:c r="BG14" s="18" t="n">
        <x:v>1</x:v>
      </x:c>
    </x:row>
    <x:row r="15">
      <x:c r="A15" s="18" t="str">
        <x:v>NYT-45-1ef168667c0798dd</x:v>
      </x:c>
      <x:c r="B15" s="18" t="str">
        <x:v>Legal Consequences arising from the Policies and Practices of Israel in the Occupied Palestinian Territory, including East Jerusalem</x:v>
      </x:c>
      <x:c r="C15" s="18" t="str"/>
      <x:c r="D15" s="18" t="str"/>
      <x:c r="E15" s="18" t="str"/>
      <x:c r="F15" s="18" t="str"/>
      <x:c r="G15" s="18" t="str"/>
      <x:c r="H15" s="18" t="str"/>
      <x:c r="I15" s="18" t="str">
        <x:v>International Court of Justice</x:v>
      </x:c>
      <x:c r="J15" s="20" t="str"/>
      <x:c r="K15" s="18" t="str"/>
      <x:c r="L15" s="18" t="str">
        <x:v>International Court of Justice</x:v>
      </x:c>
      <x:c r="M15" s="18" t="str">
        <x:v>Legal Consequences arising from the Policies and Practices of Israel in the Occupied Palestinian Territory, including East Jerusalem</x:v>
      </x:c>
      <x:c r="N15" s="18" t="str"/>
      <x:c r="O15" s="18" t="str"/>
      <x:c r="P15" s="18" t="str"/>
      <x:c r="Q15" s="18" t="str">
        <x:v>186</x:v>
      </x:c>
      <x:c r="R15" s="18" t="str"/>
      <x:c r="S15" s="18" t="str"/>
      <x:c r="T15" s="18" t="str">
        <x:v>COMPLETE_FINITE_SNAPSHOT</x:v>
      </x:c>
      <x:c r="U15" s="18" t="str">
        <x:v>Complete ICJ General List on official all-cases page</x:v>
      </x:c>
      <x:c r="V15" s="18" t="str"/>
      <x:c r="W15" s="18" t="str"/>
      <x:c r="X15" s="20" t="n">
        <x:v>192</x:v>
      </x:c>
      <x:c r="Y15" s="19" t="str">
        <x:f>IFERROR(TODAY()-DATEVALUE(C15),"")</x:f>
      </x:c>
      <x:c r="Z15" s="21" t="n">
        <x:f>ROUND(COUNTA(A15:K15)/11*100,0)</x:f>
        <x:v>100</x:v>
      </x:c>
      <x:c r="AA15" s="18" t="str">
        <x:v>International Court of Justice</x:v>
      </x:c>
      <x:c r="AB15" s="22" t="str">
        <x:v>https://api.icj-cij.org/case/186</x:v>
      </x:c>
      <x:c r="AC15" s="18" t="str"/>
      <x:c r="AD15" s="18" t="n">
        <x:v>46275.42531791667</x:v>
      </x:c>
      <x:c r="AE15" s="18" t="str">
        <x:v>independent_public</x:v>
      </x:c>
      <x:c r="AF15" s="18" t="str">
        <x:v>PARTIAL_NO_DATE</x:v>
      </x:c>
    </x:row>
    <x:row r="16">
      <x:c r="A16" s="18" t="str">
        <x:v>NYT-45-57f03af8b32f3c04</x:v>
      </x:c>
      <x:c r="B16" s="18" t="str">
        <x:v>Application of the International Convention for the Suppression of the Financing of Terrorism and of the International Convention on the Elimination of All Forms of Racial Discrimination (Ukraine v. Russian Federation)</x:v>
      </x:c>
      <x:c r="C16" s="18" t="str"/>
      <x:c r="D16" s="18" t="str"/>
      <x:c r="E16" s="18" t="str"/>
      <x:c r="F16" s="18" t="str"/>
      <x:c r="G16" s="18" t="str"/>
      <x:c r="H16" s="18" t="str"/>
      <x:c r="I16" s="18" t="str">
        <x:v>International Court of Justice</x:v>
      </x:c>
      <x:c r="J16" s="20" t="str"/>
      <x:c r="K16" s="18" t="str"/>
      <x:c r="L16" s="18" t="str">
        <x:v>International Court of Justice</x:v>
      </x:c>
      <x:c r="M16" s="18" t="str">
        <x:v>Application of the International Convention for the Suppression of the Financing of Terrorism and of the International Convention on the Elimination of All Forms of Racial Discrimination (Ukraine v. Russian Federation)</x:v>
      </x:c>
      <x:c r="N16" s="18" t="str"/>
      <x:c r="O16" s="18" t="str"/>
      <x:c r="P16" s="18" t="str"/>
      <x:c r="Q16" s="18" t="str">
        <x:v>166</x:v>
      </x:c>
      <x:c r="R16" s="18" t="str"/>
      <x:c r="S16" s="18" t="str"/>
      <x:c r="T16" s="18" t="str">
        <x:v>COMPLETE_FINITE_SNAPSHOT</x:v>
      </x:c>
      <x:c r="U16" s="18" t="str">
        <x:v>Complete ICJ General List on official all-cases page</x:v>
      </x:c>
      <x:c r="V16" s="18" t="str"/>
      <x:c r="W16" s="18" t="str"/>
      <x:c r="X16" s="20" t="n">
        <x:v>192</x:v>
      </x:c>
      <x:c r="Y16" s="19" t="str">
        <x:f>IFERROR(TODAY()-DATEVALUE(C16),"")</x:f>
      </x:c>
      <x:c r="Z16" s="21" t="n">
        <x:f>ROUND(COUNTA(A16:K16)/11*100,0)</x:f>
        <x:v>100</x:v>
      </x:c>
      <x:c r="AA16" s="18" t="str">
        <x:v>International Court of Justice</x:v>
      </x:c>
      <x:c r="AB16" s="22" t="str">
        <x:v>https://api.icj-cij.org/case/166</x:v>
      </x:c>
      <x:c r="AC16" s="18" t="str"/>
      <x:c r="AD16" s="18" t="n">
        <x:v>46275.42531791667</x:v>
      </x:c>
      <x:c r="AE16" s="18" t="str">
        <x:v>independent_public</x:v>
      </x:c>
      <x:c r="AF16" s="18" t="str">
        <x:v>PARTIAL_NO_DATE</x:v>
      </x:c>
    </x:row>
    <x:row r="17">
      <x:c r="A17" s="18" t="str">
        <x:v>NYT-45-cc27cb51b3ed58e7</x:v>
      </x:c>
      <x:c r="B17" s="18" t="str">
        <x:v>Question of the Delimitation of the Continental Shelf between Nicaragua and Colombia beyond 200 nautical miles from the Nicaraguan Coast (Nicaragua v. Colombia)</x:v>
      </x:c>
      <x:c r="C17" s="18" t="str"/>
      <x:c r="D17" s="18" t="str"/>
      <x:c r="E17" s="18" t="str"/>
      <x:c r="F17" s="18" t="str"/>
      <x:c r="G17" s="18" t="str"/>
      <x:c r="H17" s="18" t="str"/>
      <x:c r="I17" s="18" t="str">
        <x:v>International Court of Justice</x:v>
      </x:c>
      <x:c r="J17" s="20" t="str"/>
      <x:c r="K17" s="18" t="str"/>
      <x:c r="L17" s="18" t="str">
        <x:v>International Court of Justice</x:v>
      </x:c>
      <x:c r="M17" s="18" t="str">
        <x:v>Question of the Delimitation of the Continental Shelf between Nicaragua and Colombia beyond 200 nautical miles from the Nicaraguan Coast (Nicaragua v. Colombia)</x:v>
      </x:c>
      <x:c r="N17" s="18" t="str"/>
      <x:c r="O17" s="18" t="str"/>
      <x:c r="P17" s="18" t="str"/>
      <x:c r="Q17" s="18" t="str">
        <x:v>154</x:v>
      </x:c>
      <x:c r="R17" s="18" t="str"/>
      <x:c r="S17" s="18" t="str"/>
      <x:c r="T17" s="18" t="str">
        <x:v>COMPLETE_FINITE_SNAPSHOT</x:v>
      </x:c>
      <x:c r="U17" s="18" t="str">
        <x:v>Complete ICJ General List on official all-cases page</x:v>
      </x:c>
      <x:c r="V17" s="18" t="str"/>
      <x:c r="W17" s="18" t="str"/>
      <x:c r="X17" s="20" t="n">
        <x:v>192</x:v>
      </x:c>
      <x:c r="Y17" s="19" t="str">
        <x:f>IFERROR(TODAY()-DATEVALUE(C17),"")</x:f>
      </x:c>
      <x:c r="Z17" s="21" t="n">
        <x:f>ROUND(COUNTA(A17:K17)/11*100,0)</x:f>
        <x:v>100</x:v>
      </x:c>
      <x:c r="AA17" s="18" t="str">
        <x:v>International Court of Justice</x:v>
      </x:c>
      <x:c r="AB17" s="22" t="str">
        <x:v>https://api.icj-cij.org/case/154</x:v>
      </x:c>
      <x:c r="AC17" s="18" t="str"/>
      <x:c r="AD17" s="18" t="n">
        <x:v>46275.42531791667</x:v>
      </x:c>
      <x:c r="AE17" s="18" t="str">
        <x:v>independent_public</x:v>
      </x:c>
      <x:c r="AF17" s="18" t="str">
        <x:v>PARTIAL_NO_DATE</x:v>
      </x:c>
    </x:row>
    <x:row r="18">
      <x:c r="A18" s="18" t="str">
        <x:v>NYT-45-435f053283235991</x:v>
      </x:c>
      <x:c r="B18" s="18" t="str">
        <x:v>Alleged Violations of Sovereign Rights and Maritime Spaces in the Caribbean Sea (Nicaragua v. Colombia)</x:v>
      </x:c>
      <x:c r="C18" s="18" t="str"/>
      <x:c r="D18" s="18" t="str"/>
      <x:c r="E18" s="18" t="str"/>
      <x:c r="F18" s="18" t="str"/>
      <x:c r="G18" s="18" t="str"/>
      <x:c r="H18" s="18" t="str"/>
      <x:c r="I18" s="18" t="str">
        <x:v>International Court of Justice</x:v>
      </x:c>
      <x:c r="J18" s="20" t="str"/>
      <x:c r="K18" s="18" t="str"/>
      <x:c r="L18" s="18" t="str">
        <x:v>International Court of Justice</x:v>
      </x:c>
      <x:c r="M18" s="18" t="str">
        <x:v>Alleged Violations of Sovereign Rights and Maritime Spaces in the Caribbean Sea (Nicaragua v. Colombia)</x:v>
      </x:c>
      <x:c r="N18" s="18" t="str"/>
      <x:c r="O18" s="18" t="str"/>
      <x:c r="P18" s="18" t="str"/>
      <x:c r="Q18" s="18" t="str">
        <x:v>155</x:v>
      </x:c>
      <x:c r="R18" s="18" t="str"/>
      <x:c r="S18" s="18" t="str"/>
      <x:c r="T18" s="18" t="str">
        <x:v>COMPLETE_FINITE_SNAPSHOT</x:v>
      </x:c>
      <x:c r="U18" s="18" t="str">
        <x:v>Complete ICJ General List on official all-cases page</x:v>
      </x:c>
      <x:c r="V18" s="18" t="str"/>
      <x:c r="W18" s="18" t="str"/>
      <x:c r="X18" s="20" t="n">
        <x:v>192</x:v>
      </x:c>
      <x:c r="Y18" s="19" t="str">
        <x:f>IFERROR(TODAY()-DATEVALUE(C18),"")</x:f>
      </x:c>
      <x:c r="Z18" s="21" t="n">
        <x:f>ROUND(COUNTA(A18:K18)/11*100,0)</x:f>
        <x:v>100</x:v>
      </x:c>
      <x:c r="AA18" s="18" t="str">
        <x:v>International Court of Justice</x:v>
      </x:c>
      <x:c r="AB18" s="22" t="str">
        <x:v>https://api.icj-cij.org/case/155</x:v>
      </x:c>
      <x:c r="AC18" s="18" t="str"/>
      <x:c r="AD18" s="18" t="n">
        <x:v>46275.42531791667</x:v>
      </x:c>
      <x:c r="AE18" s="18" t="str">
        <x:v>independent_public</x:v>
      </x:c>
      <x:c r="AF18" s="18" t="str">
        <x:v>PARTIAL_NO_DATE</x:v>
      </x:c>
    </x:row>
    <x:row r="19">
      <x:c r="A19" s="18" t="str">
        <x:v>NYT-45-6aadc98c7c6c69f9</x:v>
      </x:c>
      <x:c r="B19" s="18" t="str">
        <x:v>Armed Activities on the Territory of the Congo (Democratic Republic of the Congo v. Uganda)</x:v>
      </x:c>
      <x:c r="C19" s="18" t="str"/>
      <x:c r="D19" s="18" t="str"/>
      <x:c r="E19" s="18" t="str"/>
      <x:c r="F19" s="18" t="str"/>
      <x:c r="G19" s="18" t="str"/>
      <x:c r="H19" s="18" t="str"/>
      <x:c r="I19" s="18" t="str">
        <x:v>International Court of Justice</x:v>
      </x:c>
      <x:c r="J19" s="20" t="str"/>
      <x:c r="K19" s="18" t="str"/>
      <x:c r="L19" s="18" t="str">
        <x:v>International Court of Justice</x:v>
      </x:c>
      <x:c r="M19" s="18" t="str">
        <x:v>Armed Activities on the Territory of the Congo (Democratic Republic of the Congo v. Uganda)</x:v>
      </x:c>
      <x:c r="N19" s="18" t="str"/>
      <x:c r="O19" s="18" t="str"/>
      <x:c r="P19" s="18" t="str"/>
      <x:c r="Q19" s="18" t="str">
        <x:v>116</x:v>
      </x:c>
      <x:c r="R19" s="18" t="str"/>
      <x:c r="S19" s="18" t="str"/>
      <x:c r="T19" s="18" t="str">
        <x:v>COMPLETE_FINITE_SNAPSHOT</x:v>
      </x:c>
      <x:c r="U19" s="18" t="str">
        <x:v>Complete ICJ General List on official all-cases page</x:v>
      </x:c>
      <x:c r="V19" s="18" t="str"/>
      <x:c r="W19" s="18" t="str"/>
      <x:c r="X19" s="20" t="n">
        <x:v>192</x:v>
      </x:c>
      <x:c r="Y19" s="19" t="str">
        <x:f>IFERROR(TODAY()-DATEVALUE(C19),"")</x:f>
      </x:c>
      <x:c r="Z19" s="21" t="n">
        <x:f>ROUND(COUNTA(A19:K19)/11*100,0)</x:f>
        <x:v>100</x:v>
      </x:c>
      <x:c r="AA19" s="18" t="str">
        <x:v>International Court of Justice</x:v>
      </x:c>
      <x:c r="AB19" s="22" t="str">
        <x:v>https://api.icj-cij.org/case/116</x:v>
      </x:c>
      <x:c r="AC19" s="18" t="str"/>
      <x:c r="AD19" s="18" t="n">
        <x:v>46275.42531791667</x:v>
      </x:c>
      <x:c r="AE19" s="18" t="str">
        <x:v>independent_public</x:v>
      </x:c>
      <x:c r="AF19" s="18" t="str">
        <x:v>PARTIAL_NO_DATE</x:v>
      </x:c>
    </x:row>
    <x:row r="20">
      <x:c r="A20" s="18" t="str">
        <x:v>NYT-45-87ef3f4a6aaf279d</x:v>
      </x:c>
      <x:c r="B20" s="18" t="str">
        <x:v>Dispute over the Status and Use of the Waters of the Silala (Chile v. Bolivia)</x:v>
      </x:c>
      <x:c r="C20" s="18" t="str"/>
      <x:c r="D20" s="18" t="str"/>
      <x:c r="E20" s="18" t="str"/>
      <x:c r="F20" s="18" t="str"/>
      <x:c r="G20" s="18" t="str"/>
      <x:c r="H20" s="18" t="str"/>
      <x:c r="I20" s="18" t="str">
        <x:v>International Court of Justice</x:v>
      </x:c>
      <x:c r="J20" s="20" t="str"/>
      <x:c r="K20" s="18" t="str"/>
      <x:c r="L20" s="18" t="str">
        <x:v>International Court of Justice</x:v>
      </x:c>
      <x:c r="M20" s="18" t="str">
        <x:v>Dispute over the Status and Use of the Waters of the Silala (Chile v. Bolivia)</x:v>
      </x:c>
      <x:c r="N20" s="18" t="str"/>
      <x:c r="O20" s="18" t="str"/>
      <x:c r="P20" s="18" t="str"/>
      <x:c r="Q20" s="18" t="str">
        <x:v>162</x:v>
      </x:c>
      <x:c r="R20" s="18" t="str"/>
      <x:c r="S20" s="18" t="str"/>
      <x:c r="T20" s="18" t="str">
        <x:v>COMPLETE_FINITE_SNAPSHOT</x:v>
      </x:c>
      <x:c r="U20" s="18" t="str">
        <x:v>Complete ICJ General List on official all-cases page</x:v>
      </x:c>
      <x:c r="V20" s="18" t="str"/>
      <x:c r="W20" s="18" t="str"/>
      <x:c r="X20" s="20" t="n">
        <x:v>192</x:v>
      </x:c>
      <x:c r="Y20" s="19" t="str">
        <x:f>IFERROR(TODAY()-DATEVALUE(C20),"")</x:f>
      </x:c>
      <x:c r="Z20" s="21" t="n">
        <x:f>ROUND(COUNTA(A20:K20)/11*100,0)</x:f>
        <x:v>100</x:v>
      </x:c>
      <x:c r="AA20" s="18" t="str">
        <x:v>International Court of Justice</x:v>
      </x:c>
      <x:c r="AB20" s="22" t="str">
        <x:v>https://api.icj-cij.org/case/162</x:v>
      </x:c>
      <x:c r="AC20" s="18" t="str"/>
      <x:c r="AD20" s="18" t="n">
        <x:v>46275.42531791667</x:v>
      </x:c>
      <x:c r="AE20" s="18" t="str">
        <x:v>independent_public</x:v>
      </x:c>
      <x:c r="AF20" s="18" t="str">
        <x:v>PARTIAL_NO_DATE</x:v>
      </x:c>
    </x:row>
    <x:row r="21">
      <x:c r="A21" s="18" t="str">
        <x:v>NYT-45-40d6010e352cbb22</x:v>
      </x:c>
      <x:c r="B21" s="18" t="str">
        <x:v>Application of the International Convention on the Elimination of All Forms of Racial Discrimination (Qatar v. United Arab Emirates)</x:v>
      </x:c>
      <x:c r="C21" s="18" t="str"/>
      <x:c r="D21" s="18" t="str"/>
      <x:c r="E21" s="18" t="str"/>
      <x:c r="F21" s="18" t="str"/>
      <x:c r="G21" s="18" t="str"/>
      <x:c r="H21" s="18" t="str"/>
      <x:c r="I21" s="18" t="str">
        <x:v>International Court of Justice</x:v>
      </x:c>
      <x:c r="J21" s="20" t="str"/>
      <x:c r="K21" s="18" t="str"/>
      <x:c r="L21" s="18" t="str">
        <x:v>International Court of Justice</x:v>
      </x:c>
      <x:c r="M21" s="18" t="str">
        <x:v>Application of the International Convention on the Elimination of All Forms of Racial Discrimination (Qatar v. United Arab Emirates)</x:v>
      </x:c>
      <x:c r="N21" s="18" t="str"/>
      <x:c r="O21" s="18" t="str"/>
      <x:c r="P21" s="18" t="str"/>
      <x:c r="Q21" s="18" t="str">
        <x:v>172</x:v>
      </x:c>
      <x:c r="R21" s="18" t="str"/>
      <x:c r="S21" s="18" t="str"/>
      <x:c r="T21" s="18" t="str">
        <x:v>COMPLETE_FINITE_SNAPSHOT</x:v>
      </x:c>
      <x:c r="U21" s="18" t="str">
        <x:v>Complete ICJ General List on official all-cases page</x:v>
      </x:c>
      <x:c r="V21" s="18" t="str"/>
      <x:c r="W21" s="18" t="str"/>
      <x:c r="X21" s="20" t="n">
        <x:v>192</x:v>
      </x:c>
      <x:c r="Y21" s="19" t="str">
        <x:f>IFERROR(TODAY()-DATEVALUE(C21),"")</x:f>
      </x:c>
      <x:c r="Z21" s="21" t="n">
        <x:f>ROUND(COUNTA(A21:K21)/11*100,0)</x:f>
        <x:v>100</x:v>
      </x:c>
      <x:c r="AA21" s="18" t="str">
        <x:v>International Court of Justice</x:v>
      </x:c>
      <x:c r="AB21" s="22" t="str">
        <x:v>https://api.icj-cij.org/case/172</x:v>
      </x:c>
      <x:c r="AC21" s="18" t="str"/>
      <x:c r="AD21" s="18" t="n">
        <x:v>46275.42531791667</x:v>
      </x:c>
      <x:c r="AE21" s="18" t="str">
        <x:v>independent_public</x:v>
      </x:c>
      <x:c r="AF21" s="18" t="str">
        <x:v>PARTIAL_NO_DATE</x:v>
      </x:c>
    </x:row>
    <x:row r="22">
      <x:c r="A22" s="18" t="str">
        <x:v>NYT-45-46172a3a0da289cd</x:v>
      </x:c>
      <x:c r="B22" s="18" t="str">
        <x:v>Maritime Delimitation in the Indian Ocean (Somalia v. Kenya)</x:v>
      </x:c>
      <x:c r="C22" s="18" t="str"/>
      <x:c r="D22" s="18" t="str"/>
      <x:c r="E22" s="18" t="str"/>
      <x:c r="F22" s="18" t="str"/>
      <x:c r="G22" s="18" t="str"/>
      <x:c r="H22" s="18" t="str"/>
      <x:c r="I22" s="18" t="str">
        <x:v>International Court of Justice</x:v>
      </x:c>
      <x:c r="J22" s="20" t="str"/>
      <x:c r="K22" s="18" t="str"/>
      <x:c r="L22" s="18" t="str">
        <x:v>International Court of Justice</x:v>
      </x:c>
      <x:c r="M22" s="18" t="str">
        <x:v>Maritime Delimitation in the Indian Ocean (Somalia v. Kenya)</x:v>
      </x:c>
      <x:c r="N22" s="18" t="str"/>
      <x:c r="O22" s="18" t="str"/>
      <x:c r="P22" s="18" t="str"/>
      <x:c r="Q22" s="18" t="str">
        <x:v>161</x:v>
      </x:c>
      <x:c r="R22" s="18" t="str"/>
      <x:c r="S22" s="18" t="str"/>
      <x:c r="T22" s="18" t="str">
        <x:v>COMPLETE_FINITE_SNAPSHOT</x:v>
      </x:c>
      <x:c r="U22" s="18" t="str">
        <x:v>Complete ICJ General List on official all-cases page</x:v>
      </x:c>
      <x:c r="V22" s="18" t="str"/>
      <x:c r="W22" s="18" t="str"/>
      <x:c r="X22" s="20" t="n">
        <x:v>192</x:v>
      </x:c>
      <x:c r="Y22" s="19" t="str">
        <x:f>IFERROR(TODAY()-DATEVALUE(C22),"")</x:f>
      </x:c>
      <x:c r="Z22" s="21" t="n">
        <x:f>ROUND(COUNTA(A22:K22)/11*100,0)</x:f>
        <x:v>100</x:v>
      </x:c>
      <x:c r="AA22" s="18" t="str">
        <x:v>International Court of Justice</x:v>
      </x:c>
      <x:c r="AB22" s="22" t="str">
        <x:v>https://api.icj-cij.org/case/161</x:v>
      </x:c>
      <x:c r="AC22" s="18" t="str"/>
      <x:c r="AD22" s="18" t="n">
        <x:v>46275.42531791667</x:v>
      </x:c>
      <x:c r="AE22" s="18" t="str">
        <x:v>independent_public</x:v>
      </x:c>
      <x:c r="AF22" s="18" t="str">
        <x:v>PARTIAL_NO_DATE</x:v>
      </x:c>
    </x:row>
    <x:row r="23">
      <x:c r="A23" s="18" t="str">
        <x:v>NYT-45-ffc173a6542ed832</x:v>
      </x:c>
      <x:c r="B23" s="18" t="str">
        <x:v>Immunities and Criminal Proceedings (Equatorial Guinea v. France)</x:v>
      </x:c>
      <x:c r="C23" s="18" t="str"/>
      <x:c r="D23" s="18" t="str"/>
      <x:c r="E23" s="18" t="str"/>
      <x:c r="F23" s="18" t="str"/>
      <x:c r="G23" s="18" t="str"/>
      <x:c r="H23" s="18" t="str"/>
      <x:c r="I23" s="18" t="str">
        <x:v>International Court of Justice</x:v>
      </x:c>
      <x:c r="J23" s="20" t="str"/>
      <x:c r="K23" s="18" t="str"/>
      <x:c r="L23" s="18" t="str">
        <x:v>International Court of Justice</x:v>
      </x:c>
      <x:c r="M23" s="18" t="str">
        <x:v>Immunities and Criminal Proceedings (Equatorial Guinea v. France)</x:v>
      </x:c>
      <x:c r="N23" s="18" t="str"/>
      <x:c r="O23" s="18" t="str"/>
      <x:c r="P23" s="18" t="str"/>
      <x:c r="Q23" s="18" t="str">
        <x:v>163</x:v>
      </x:c>
      <x:c r="R23" s="18" t="str"/>
      <x:c r="S23" s="18" t="str"/>
      <x:c r="T23" s="18" t="str">
        <x:v>COMPLETE_FINITE_SNAPSHOT</x:v>
      </x:c>
      <x:c r="U23" s="18" t="str">
        <x:v>Complete ICJ General List on official all-cases page</x:v>
      </x:c>
      <x:c r="V23" s="18" t="str"/>
      <x:c r="W23" s="18" t="str"/>
      <x:c r="X23" s="20" t="n">
        <x:v>192</x:v>
      </x:c>
      <x:c r="Y23" s="19" t="str">
        <x:f>IFERROR(TODAY()-DATEVALUE(C23),"")</x:f>
      </x:c>
      <x:c r="Z23" s="21" t="n">
        <x:f>ROUND(COUNTA(A23:K23)/11*100,0)</x:f>
        <x:v>100</x:v>
      </x:c>
      <x:c r="AA23" s="18" t="str">
        <x:v>International Court of Justice</x:v>
      </x:c>
      <x:c r="AB23" s="22" t="str">
        <x:v>https://api.icj-cij.org/case/163</x:v>
      </x:c>
      <x:c r="AC23" s="18" t="str"/>
      <x:c r="AD23" s="18" t="n">
        <x:v>46275.42531791667</x:v>
      </x:c>
      <x:c r="AE23" s="18" t="str">
        <x:v>independent_public</x:v>
      </x:c>
      <x:c r="AF23" s="18" t="str">
        <x:v>PARTIAL_NO_DATE</x:v>
      </x:c>
    </x:row>
    <x:row r="24">
      <x:c r="A24" s="18" t="str">
        <x:v>NYT-45-9eb54f42818a54ff</x:v>
      </x:c>
      <x:c r="B24" s="18" t="str">
        <x:v>Appeal relating to the Jurisdiction of the ICAO Council under Article II, Section 2, of the 1944 International Air Services Transit Agreement (Bahrain, Egypt and United Arab Emirates v. Qatar)</x:v>
      </x:c>
      <x:c r="C24" s="18" t="str"/>
      <x:c r="D24" s="18" t="str"/>
      <x:c r="E24" s="18" t="str"/>
      <x:c r="F24" s="18" t="str"/>
      <x:c r="G24" s="18" t="str"/>
      <x:c r="H24" s="18" t="str"/>
      <x:c r="I24" s="18" t="str">
        <x:v>International Court of Justice</x:v>
      </x:c>
      <x:c r="J24" s="20" t="str"/>
      <x:c r="K24" s="18" t="str"/>
      <x:c r="L24" s="18" t="str">
        <x:v>International Court of Justice</x:v>
      </x:c>
      <x:c r="M24" s="18" t="str">
        <x:v>Appeal relating to the Jurisdiction of the ICAO Council under Article II, Section 2, of the 1944 International Air Services Transit Agreement (Bahrain, Egypt and United Arab Emirates v. Qatar)</x:v>
      </x:c>
      <x:c r="N24" s="18" t="str"/>
      <x:c r="O24" s="18" t="str"/>
      <x:c r="P24" s="18" t="str"/>
      <x:c r="Q24" s="18" t="str">
        <x:v>174</x:v>
      </x:c>
      <x:c r="R24" s="18" t="str"/>
      <x:c r="S24" s="18" t="str"/>
      <x:c r="T24" s="18" t="str">
        <x:v>COMPLETE_FINITE_SNAPSHOT</x:v>
      </x:c>
      <x:c r="U24" s="18" t="str">
        <x:v>Complete ICJ General List on official all-cases page</x:v>
      </x:c>
      <x:c r="V24" s="18" t="str"/>
      <x:c r="W24" s="18" t="str"/>
      <x:c r="X24" s="20" t="n">
        <x:v>192</x:v>
      </x:c>
      <x:c r="Y24" s="19" t="str">
        <x:f>IFERROR(TODAY()-DATEVALUE(C24),"")</x:f>
      </x:c>
      <x:c r="Z24" s="21" t="n">
        <x:f>ROUND(COUNTA(A24:K24)/11*100,0)</x:f>
        <x:v>100</x:v>
      </x:c>
      <x:c r="AA24" s="18" t="str">
        <x:v>International Court of Justice</x:v>
      </x:c>
      <x:c r="AB24" s="22" t="str">
        <x:v>https://api.icj-cij.org/case/174</x:v>
      </x:c>
      <x:c r="AC24" s="18" t="str"/>
      <x:c r="AD24" s="18" t="n">
        <x:v>46275.42531791667</x:v>
      </x:c>
      <x:c r="AE24" s="18" t="str">
        <x:v>independent_public</x:v>
      </x:c>
      <x:c r="AF24" s="18" t="str">
        <x:v>PARTIAL_NO_DATE</x:v>
      </x:c>
    </x:row>
    <x:row r="25">
      <x:c r="A25" s="18" t="str">
        <x:v>NYT-45-f7c271d839fceefa</x:v>
      </x:c>
      <x:c r="B25" s="18" t="str">
        <x:v>Appeal relating to the Jurisdiction of the ICAO Council under Article 84 of the Convention on International Civil Aviation (Bahrain, Egypt, Saudi Arabia and United Arab Emirates v. Qatar)</x:v>
      </x:c>
      <x:c r="C25" s="18" t="str"/>
      <x:c r="D25" s="18" t="str"/>
      <x:c r="E25" s="18" t="str"/>
      <x:c r="F25" s="18" t="str"/>
      <x:c r="G25" s="18" t="str"/>
      <x:c r="H25" s="18" t="str"/>
      <x:c r="I25" s="18" t="str">
        <x:v>International Court of Justice</x:v>
      </x:c>
      <x:c r="J25" s="20" t="str"/>
      <x:c r="K25" s="18" t="str"/>
      <x:c r="L25" s="18" t="str">
        <x:v>International Court of Justice</x:v>
      </x:c>
      <x:c r="M25" s="18" t="str">
        <x:v>Appeal relating to the Jurisdiction of the ICAO Council under Article 84 of the Convention on International Civil Aviation (Bahrain, Egypt, Saudi Arabia and United Arab Emirates v. Qatar)</x:v>
      </x:c>
      <x:c r="N25" s="18" t="str"/>
      <x:c r="O25" s="18" t="str"/>
      <x:c r="P25" s="18" t="str"/>
      <x:c r="Q25" s="18" t="str">
        <x:v>173</x:v>
      </x:c>
      <x:c r="R25" s="18" t="str"/>
      <x:c r="S25" s="18" t="str"/>
      <x:c r="T25" s="18" t="str">
        <x:v>COMPLETE_FINITE_SNAPSHOT</x:v>
      </x:c>
      <x:c r="U25" s="18" t="str">
        <x:v>Complete ICJ General List on official all-cases page</x:v>
      </x:c>
      <x:c r="V25" s="18" t="str"/>
      <x:c r="W25" s="18" t="str"/>
      <x:c r="X25" s="20" t="n">
        <x:v>192</x:v>
      </x:c>
      <x:c r="Y25" s="19" t="str">
        <x:f>IFERROR(TODAY()-DATEVALUE(C25),"")</x:f>
      </x:c>
      <x:c r="Z25" s="21" t="n">
        <x:f>ROUND(COUNTA(A25:K25)/11*100,0)</x:f>
        <x:v>100</x:v>
      </x:c>
      <x:c r="AA25" s="18" t="str">
        <x:v>International Court of Justice</x:v>
      </x:c>
      <x:c r="AB25" s="22" t="str">
        <x:v>https://api.icj-cij.org/case/173</x:v>
      </x:c>
      <x:c r="AC25" s="18" t="str"/>
      <x:c r="AD25" s="18" t="n">
        <x:v>46275.42531791667</x:v>
      </x:c>
      <x:c r="AE25" s="18" t="str">
        <x:v>independent_public</x:v>
      </x:c>
      <x:c r="AF25" s="18" t="str">
        <x:v>PARTIAL_NO_DATE</x:v>
      </x:c>
    </x:row>
    <x:row r="26">
      <x:c r="A26" s="18" t="str">
        <x:v>NYT-45-c89cc95c1a77c898</x:v>
      </x:c>
      <x:c r="B26" s="18" t="str">
        <x:v>Jadhav (India v. Pakistan)</x:v>
      </x:c>
      <x:c r="C26" s="18" t="str"/>
      <x:c r="D26" s="18" t="str"/>
      <x:c r="E26" s="18" t="str"/>
      <x:c r="F26" s="18" t="str"/>
      <x:c r="G26" s="18" t="str"/>
      <x:c r="H26" s="18" t="str"/>
      <x:c r="I26" s="18" t="str">
        <x:v>International Court of Justice</x:v>
      </x:c>
      <x:c r="J26" s="20" t="str"/>
      <x:c r="K26" s="18" t="str"/>
      <x:c r="L26" s="18" t="str">
        <x:v>International Court of Justice</x:v>
      </x:c>
      <x:c r="M26" s="18" t="str">
        <x:v>Jadhav (India v. Pakistan)</x:v>
      </x:c>
      <x:c r="N26" s="18" t="str"/>
      <x:c r="O26" s="18" t="str"/>
      <x:c r="P26" s="18" t="str"/>
      <x:c r="Q26" s="18" t="str">
        <x:v>168</x:v>
      </x:c>
      <x:c r="R26" s="18" t="str"/>
      <x:c r="S26" s="18" t="str"/>
      <x:c r="T26" s="18" t="str">
        <x:v>COMPLETE_FINITE_SNAPSHOT</x:v>
      </x:c>
      <x:c r="U26" s="18" t="str">
        <x:v>Complete ICJ General List on official all-cases page</x:v>
      </x:c>
      <x:c r="V26" s="18" t="str"/>
      <x:c r="W26" s="18" t="str"/>
      <x:c r="X26" s="20" t="n">
        <x:v>192</x:v>
      </x:c>
      <x:c r="Y26" s="19" t="str">
        <x:f>IFERROR(TODAY()-DATEVALUE(C26),"")</x:f>
      </x:c>
      <x:c r="Z26" s="21" t="n">
        <x:f>ROUND(COUNTA(A26:K26)/11*100,0)</x:f>
        <x:v>100</x:v>
      </x:c>
      <x:c r="AA26" s="18" t="str">
        <x:v>International Court of Justice</x:v>
      </x:c>
      <x:c r="AB26" s="22" t="str">
        <x:v>https://api.icj-cij.org/case/168</x:v>
      </x:c>
      <x:c r="AC26" s="18" t="str"/>
      <x:c r="AD26" s="18" t="n">
        <x:v>46275.42531791667</x:v>
      </x:c>
      <x:c r="AE26" s="18" t="str">
        <x:v>independent_public</x:v>
      </x:c>
      <x:c r="AF26" s="18" t="str">
        <x:v>PARTIAL_NO_DATE</x:v>
      </x:c>
    </x:row>
    <x:row r="27">
      <x:c r="A27" s="18" t="str">
        <x:v>NYT-45-fb68ce707d3cd3bc</x:v>
      </x:c>
      <x:c r="B27" s="18" t="str">
        <x:v>Legal Consequences of the Separation of the Chagos Archipelago from Mauritius in 1965</x:v>
      </x:c>
      <x:c r="C27" s="18" t="str"/>
      <x:c r="D27" s="18" t="str"/>
      <x:c r="E27" s="18" t="str"/>
      <x:c r="F27" s="18" t="str"/>
      <x:c r="G27" s="18" t="str"/>
      <x:c r="H27" s="18" t="str"/>
      <x:c r="I27" s="18" t="str">
        <x:v>International Court of Justice</x:v>
      </x:c>
      <x:c r="J27" s="20" t="str"/>
      <x:c r="K27" s="18" t="str"/>
      <x:c r="L27" s="18" t="str">
        <x:v>International Court of Justice</x:v>
      </x:c>
      <x:c r="M27" s="18" t="str">
        <x:v>Legal Consequences of the Separation of the Chagos Archipelago from Mauritius in 1965</x:v>
      </x:c>
      <x:c r="N27" s="18" t="str"/>
      <x:c r="O27" s="18" t="str"/>
      <x:c r="P27" s="18" t="str"/>
      <x:c r="Q27" s="18" t="str">
        <x:v>169</x:v>
      </x:c>
      <x:c r="R27" s="18" t="str"/>
      <x:c r="S27" s="18" t="str"/>
      <x:c r="T27" s="18" t="str">
        <x:v>COMPLETE_FINITE_SNAPSHOT</x:v>
      </x:c>
      <x:c r="U27" s="18" t="str">
        <x:v>Complete ICJ General List on official all-cases page</x:v>
      </x:c>
      <x:c r="V27" s="18" t="str"/>
      <x:c r="W27" s="18" t="str"/>
      <x:c r="X27" s="20" t="n">
        <x:v>192</x:v>
      </x:c>
      <x:c r="Y27" s="19" t="str">
        <x:f>IFERROR(TODAY()-DATEVALUE(C27),"")</x:f>
      </x:c>
      <x:c r="Z27" s="21" t="n">
        <x:f>ROUND(COUNTA(A27:K27)/11*100,0)</x:f>
        <x:v>100</x:v>
      </x:c>
      <x:c r="AA27" s="18" t="str">
        <x:v>International Court of Justice</x:v>
      </x:c>
      <x:c r="AB27" s="22" t="str">
        <x:v>https://api.icj-cij.org/case/169</x:v>
      </x:c>
      <x:c r="AC27" s="18" t="str"/>
      <x:c r="AD27" s="18" t="n">
        <x:v>46275.42531791667</x:v>
      </x:c>
      <x:c r="AE27" s="18" t="str">
        <x:v>independent_public</x:v>
      </x:c>
      <x:c r="AF27" s="18" t="str">
        <x:v>PARTIAL_NO_DATE</x:v>
      </x:c>
    </x:row>
    <x:row r="28">
      <x:c r="A28" s="18" t="str">
        <x:v>NYT-45-b4c4bf540c7c86aa</x:v>
      </x:c>
      <x:c r="B28" s="18" t="str">
        <x:v>Land Boundary in the Northern Part of Isla Portillos (Costa Rica v. Nicaragua)</x:v>
      </x:c>
      <x:c r="C28" s="18" t="str"/>
      <x:c r="D28" s="18" t="str"/>
      <x:c r="E28" s="18" t="str"/>
      <x:c r="F28" s="18" t="str"/>
      <x:c r="G28" s="18" t="str"/>
      <x:c r="H28" s="18" t="str"/>
      <x:c r="I28" s="18" t="str">
        <x:v>International Court of Justice</x:v>
      </x:c>
      <x:c r="J28" s="20" t="str"/>
      <x:c r="K28" s="18" t="str"/>
      <x:c r="L28" s="18" t="str">
        <x:v>International Court of Justice</x:v>
      </x:c>
      <x:c r="M28" s="18" t="str">
        <x:v>Land Boundary in the Northern Part of Isla Portillos (Costa Rica v. Nicaragua)</x:v>
      </x:c>
      <x:c r="N28" s="18" t="str"/>
      <x:c r="O28" s="18" t="str"/>
      <x:c r="P28" s="18" t="str"/>
      <x:c r="Q28" s="18" t="str">
        <x:v>165</x:v>
      </x:c>
      <x:c r="R28" s="18" t="str"/>
      <x:c r="S28" s="18" t="str"/>
      <x:c r="T28" s="18" t="str">
        <x:v>COMPLETE_FINITE_SNAPSHOT</x:v>
      </x:c>
      <x:c r="U28" s="18" t="str">
        <x:v>Complete ICJ General List on official all-cases page</x:v>
      </x:c>
      <x:c r="V28" s="18" t="str"/>
      <x:c r="W28" s="18" t="str"/>
      <x:c r="X28" s="20" t="n">
        <x:v>192</x:v>
      </x:c>
      <x:c r="Y28" s="19" t="str">
        <x:f>IFERROR(TODAY()-DATEVALUE(C28),"")</x:f>
      </x:c>
      <x:c r="Z28" s="21" t="n">
        <x:f>ROUND(COUNTA(A28:K28)/11*100,0)</x:f>
        <x:v>100</x:v>
      </x:c>
      <x:c r="AA28" s="18" t="str">
        <x:v>International Court of Justice</x:v>
      </x:c>
      <x:c r="AB28" s="22" t="str">
        <x:v>https://api.icj-cij.org/case/165</x:v>
      </x:c>
      <x:c r="AC28" s="18" t="str"/>
      <x:c r="AD28" s="18" t="n">
        <x:v>46275.42531791667</x:v>
      </x:c>
      <x:c r="AE28" s="18" t="str">
        <x:v>independent_public</x:v>
      </x:c>
      <x:c r="AF28" s="18" t="str">
        <x:v>PARTIAL_NO_DATE</x:v>
      </x:c>
    </x:row>
    <x:row r="29">
      <x:c r="A29" s="18" t="str">
        <x:v>NYT-45-082a78728e209121</x:v>
      </x:c>
      <x:c r="B29" s="18" t="str">
        <x:v>Application for revision of the Judgment of 23 May 2008 in the case concerning Sovereignty over Pedra Branca/Pulau Batu Puteh, Middle Rocks and South Ledge (Malaysia/Singapore) (Malaysia v. Singapore)</x:v>
      </x:c>
      <x:c r="C29" s="18" t="str"/>
      <x:c r="D29" s="18" t="str"/>
      <x:c r="E29" s="18" t="str"/>
      <x:c r="F29" s="18" t="str"/>
      <x:c r="G29" s="18" t="str"/>
      <x:c r="H29" s="18" t="str"/>
      <x:c r="I29" s="18" t="str">
        <x:v>International Court of Justice</x:v>
      </x:c>
      <x:c r="J29" s="20" t="str"/>
      <x:c r="K29" s="18" t="str"/>
      <x:c r="L29" s="18" t="str">
        <x:v>International Court of Justice</x:v>
      </x:c>
      <x:c r="M29" s="18" t="str">
        <x:v>Application for revision of the Judgment of 23 May 2008 in the case concerning Sovereignty over Pedra Branca/Pulau Batu Puteh, Middle Rocks and South Ledge (Malaysia/Singapore) (Malaysia v. Singapore)</x:v>
      </x:c>
      <x:c r="N29" s="18" t="str"/>
      <x:c r="O29" s="18" t="str"/>
      <x:c r="P29" s="18" t="str"/>
      <x:c r="Q29" s="18" t="str">
        <x:v>167</x:v>
      </x:c>
      <x:c r="R29" s="18" t="str"/>
      <x:c r="S29" s="18" t="str"/>
      <x:c r="T29" s="18" t="str">
        <x:v>COMPLETE_FINITE_SNAPSHOT</x:v>
      </x:c>
      <x:c r="U29" s="18" t="str">
        <x:v>Complete ICJ General List on official all-cases page</x:v>
      </x:c>
      <x:c r="V29" s="18" t="str"/>
      <x:c r="W29" s="18" t="str"/>
      <x:c r="X29" s="20" t="n">
        <x:v>192</x:v>
      </x:c>
      <x:c r="Y29" s="19" t="str">
        <x:f>IFERROR(TODAY()-DATEVALUE(C29),"")</x:f>
      </x:c>
      <x:c r="Z29" s="21" t="n">
        <x:f>ROUND(COUNTA(A29:K29)/11*100,0)</x:f>
        <x:v>100</x:v>
      </x:c>
      <x:c r="AA29" s="18" t="str">
        <x:v>International Court of Justice</x:v>
      </x:c>
      <x:c r="AB29" s="22" t="str">
        <x:v>https://api.icj-cij.org/case/167</x:v>
      </x:c>
      <x:c r="AC29" s="18" t="str"/>
      <x:c r="AD29" s="18" t="n">
        <x:v>46275.42531791667</x:v>
      </x:c>
      <x:c r="AE29" s="18" t="str">
        <x:v>independent_public</x:v>
      </x:c>
      <x:c r="AF29" s="18" t="str">
        <x:v>PARTIAL_NO_DATE</x:v>
      </x:c>
    </x:row>
    <x:row r="30">
      <x:c r="A30" s="18" t="str">
        <x:v>NYT-45-f4bfc72cc915345c</x:v>
      </x:c>
      <x:c r="B30" s="18" t="str">
        <x:v>Obligation to Negotiate Access to the Pacific Ocean (Bolivia v. Chile)</x:v>
      </x:c>
      <x:c r="C30" s="18" t="str"/>
      <x:c r="D30" s="18" t="str"/>
      <x:c r="E30" s="18" t="str"/>
      <x:c r="F30" s="18" t="str"/>
      <x:c r="G30" s="18" t="str"/>
      <x:c r="H30" s="18" t="str"/>
      <x:c r="I30" s="18" t="str">
        <x:v>International Court of Justice</x:v>
      </x:c>
      <x:c r="J30" s="20" t="str"/>
      <x:c r="K30" s="18" t="str"/>
      <x:c r="L30" s="18" t="str">
        <x:v>International Court of Justice</x:v>
      </x:c>
      <x:c r="M30" s="18" t="str">
        <x:v>Obligation to Negotiate Access to the Pacific Ocean (Bolivia v. Chile)</x:v>
      </x:c>
      <x:c r="N30" s="18" t="str"/>
      <x:c r="O30" s="18" t="str"/>
      <x:c r="P30" s="18" t="str"/>
      <x:c r="Q30" s="18" t="str">
        <x:v>153</x:v>
      </x:c>
      <x:c r="R30" s="18" t="str"/>
      <x:c r="S30" s="18" t="str"/>
      <x:c r="T30" s="18" t="str">
        <x:v>COMPLETE_FINITE_SNAPSHOT</x:v>
      </x:c>
      <x:c r="U30" s="18" t="str">
        <x:v>Complete ICJ General List on official all-cases page</x:v>
      </x:c>
      <x:c r="V30" s="18" t="str"/>
      <x:c r="W30" s="18" t="str"/>
      <x:c r="X30" s="20" t="n">
        <x:v>192</x:v>
      </x:c>
      <x:c r="Y30" s="19" t="str">
        <x:f>IFERROR(TODAY()-DATEVALUE(C30),"")</x:f>
      </x:c>
      <x:c r="Z30" s="21" t="n">
        <x:f>ROUND(COUNTA(A30:K30)/11*100,0)</x:f>
        <x:v>100</x:v>
      </x:c>
      <x:c r="AA30" s="18" t="str">
        <x:v>International Court of Justice</x:v>
      </x:c>
      <x:c r="AB30" s="22" t="str">
        <x:v>https://api.icj-cij.org/case/153</x:v>
      </x:c>
      <x:c r="AC30" s="18" t="str"/>
      <x:c r="AD30" s="18" t="n">
        <x:v>46275.42531791667</x:v>
      </x:c>
      <x:c r="AE30" s="18" t="str">
        <x:v>independent_public</x:v>
      </x:c>
      <x:c r="AF30" s="18" t="str">
        <x:v>PARTIAL_NO_DATE</x:v>
      </x:c>
    </x:row>
    <x:row r="31">
      <x:c r="A31" s="18" t="str">
        <x:v>NYT-45-5fc69ba392561585</x:v>
      </x:c>
      <x:c r="B31" s="18" t="str">
        <x:v>Certain Activities Carried Out by Nicaragua in the Border Area (Costa Rica v. Nicaragua)</x:v>
      </x:c>
      <x:c r="C31" s="18" t="str"/>
      <x:c r="D31" s="18" t="str"/>
      <x:c r="E31" s="18" t="str"/>
      <x:c r="F31" s="18" t="str"/>
      <x:c r="G31" s="18" t="str"/>
      <x:c r="H31" s="18" t="str"/>
      <x:c r="I31" s="18" t="str">
        <x:v>International Court of Justice</x:v>
      </x:c>
      <x:c r="J31" s="20" t="str"/>
      <x:c r="K31" s="18" t="str"/>
      <x:c r="L31" s="18" t="str">
        <x:v>International Court of Justice</x:v>
      </x:c>
      <x:c r="M31" s="18" t="str">
        <x:v>Certain Activities Carried Out by Nicaragua in the Border Area (Costa Rica v. Nicaragua)</x:v>
      </x:c>
      <x:c r="N31" s="18" t="str"/>
      <x:c r="O31" s="18" t="str"/>
      <x:c r="P31" s="18" t="str"/>
      <x:c r="Q31" s="18" t="str">
        <x:v>150</x:v>
      </x:c>
      <x:c r="R31" s="18" t="str"/>
      <x:c r="S31" s="18" t="str"/>
      <x:c r="T31" s="18" t="str">
        <x:v>COMPLETE_FINITE_SNAPSHOT</x:v>
      </x:c>
      <x:c r="U31" s="18" t="str">
        <x:v>Complete ICJ General List on official all-cases page</x:v>
      </x:c>
      <x:c r="V31" s="18" t="str"/>
      <x:c r="W31" s="18" t="str"/>
      <x:c r="X31" s="20" t="n">
        <x:v>192</x:v>
      </x:c>
      <x:c r="Y31" s="19" t="str">
        <x:f>IFERROR(TODAY()-DATEVALUE(C31),"")</x:f>
      </x:c>
      <x:c r="Z31" s="21" t="n">
        <x:f>ROUND(COUNTA(A31:K31)/11*100,0)</x:f>
        <x:v>100</x:v>
      </x:c>
      <x:c r="AA31" s="18" t="str">
        <x:v>International Court of Justice</x:v>
      </x:c>
      <x:c r="AB31" s="22" t="str">
        <x:v>https://api.icj-cij.org/case/150</x:v>
      </x:c>
      <x:c r="AC31" s="18" t="str"/>
      <x:c r="AD31" s="18" t="n">
        <x:v>46275.42531791667</x:v>
      </x:c>
      <x:c r="AE31" s="18" t="str">
        <x:v>independent_public</x:v>
      </x:c>
      <x:c r="AF31" s="18" t="str">
        <x:v>PARTIAL_NO_DATE</x:v>
      </x:c>
    </x:row>
    <x:row r="32">
      <x:c r="A32" s="18" t="str">
        <x:v>NYT-45-991f6added32ee11</x:v>
      </x:c>
      <x:c r="B32" s="18" t="str">
        <x:v>Request for Interpretation of the Judgment of 23 May 2008 in the case concerning Sovereignty over Pedra Branca/Pulau Batu Puteh, Middle Rocks and South Ledge (Malaysia/Singapore) (Malaysia v. Singapore)</x:v>
      </x:c>
      <x:c r="C32" s="18" t="str"/>
      <x:c r="D32" s="18" t="str"/>
      <x:c r="E32" s="18" t="str"/>
      <x:c r="F32" s="18" t="str"/>
      <x:c r="G32" s="18" t="str"/>
      <x:c r="H32" s="18" t="str"/>
      <x:c r="I32" s="18" t="str">
        <x:v>International Court of Justice</x:v>
      </x:c>
      <x:c r="J32" s="20" t="str"/>
      <x:c r="K32" s="18" t="str"/>
      <x:c r="L32" s="18" t="str">
        <x:v>International Court of Justice</x:v>
      </x:c>
      <x:c r="M32" s="18" t="str">
        <x:v>Request for Interpretation of the Judgment of 23 May 2008 in the case concerning Sovereignty over Pedra Branca/Pulau Batu Puteh, Middle Rocks and South Ledge (Malaysia/Singapore) (Malaysia v. Singapore)</x:v>
      </x:c>
      <x:c r="N32" s="18" t="str"/>
      <x:c r="O32" s="18" t="str"/>
      <x:c r="P32" s="18" t="str"/>
      <x:c r="Q32" s="18" t="str">
        <x:v>170</x:v>
      </x:c>
      <x:c r="R32" s="18" t="str"/>
      <x:c r="S32" s="18" t="str"/>
      <x:c r="T32" s="18" t="str">
        <x:v>COMPLETE_FINITE_SNAPSHOT</x:v>
      </x:c>
      <x:c r="U32" s="18" t="str">
        <x:v>Complete ICJ General List on official all-cases page</x:v>
      </x:c>
      <x:c r="V32" s="18" t="str"/>
      <x:c r="W32" s="18" t="str"/>
      <x:c r="X32" s="20" t="n">
        <x:v>192</x:v>
      </x:c>
      <x:c r="Y32" s="19" t="str">
        <x:f>IFERROR(TODAY()-DATEVALUE(C32),"")</x:f>
      </x:c>
      <x:c r="Z32" s="21" t="n">
        <x:f>ROUND(COUNTA(A32:K32)/11*100,0)</x:f>
        <x:v>100</x:v>
      </x:c>
      <x:c r="AA32" s="18" t="str">
        <x:v>International Court of Justice</x:v>
      </x:c>
      <x:c r="AB32" s="22" t="str">
        <x:v>https://api.icj-cij.org/case/170</x:v>
      </x:c>
      <x:c r="AC32" s="18" t="str"/>
      <x:c r="AD32" s="18" t="n">
        <x:v>46275.42531791667</x:v>
      </x:c>
      <x:c r="AE32" s="18" t="str">
        <x:v>independent_public</x:v>
      </x:c>
      <x:c r="AF32" s="18" t="str">
        <x:v>PARTIAL_NO_DATE</x:v>
      </x:c>
    </x:row>
    <x:row r="33">
      <x:c r="A33" s="18" t="str">
        <x:v>NYT-45-0c3eb545275af2e3</x:v>
      </x:c>
      <x:c r="B33" s="18" t="str">
        <x:v>Maritime Delimitation in the Caribbean Sea and the Pacific Ocean (Costa Rica v. Nicaragua)</x:v>
      </x:c>
      <x:c r="C33" s="18" t="str"/>
      <x:c r="D33" s="18" t="str"/>
      <x:c r="E33" s="18" t="str"/>
      <x:c r="F33" s="18" t="str"/>
      <x:c r="G33" s="18" t="str"/>
      <x:c r="H33" s="18" t="str"/>
      <x:c r="I33" s="18" t="str">
        <x:v>International Court of Justice</x:v>
      </x:c>
      <x:c r="J33" s="20" t="str"/>
      <x:c r="K33" s="18" t="str"/>
      <x:c r="L33" s="18" t="str">
        <x:v>International Court of Justice</x:v>
      </x:c>
      <x:c r="M33" s="18" t="str">
        <x:v>Maritime Delimitation in the Caribbean Sea and the Pacific Ocean (Costa Rica v. Nicaragua)</x:v>
      </x:c>
      <x:c r="N33" s="18" t="str"/>
      <x:c r="O33" s="18" t="str"/>
      <x:c r="P33" s="18" t="str"/>
      <x:c r="Q33" s="18" t="str">
        <x:v>157</x:v>
      </x:c>
      <x:c r="R33" s="18" t="str"/>
      <x:c r="S33" s="18" t="str"/>
      <x:c r="T33" s="18" t="str">
        <x:v>COMPLETE_FINITE_SNAPSHOT</x:v>
      </x:c>
      <x:c r="U33" s="18" t="str">
        <x:v>Complete ICJ General List on official all-cases page</x:v>
      </x:c>
      <x:c r="V33" s="18" t="str"/>
      <x:c r="W33" s="18" t="str"/>
      <x:c r="X33" s="20" t="n">
        <x:v>192</x:v>
      </x:c>
      <x:c r="Y33" s="19" t="str">
        <x:f>IFERROR(TODAY()-DATEVALUE(C33),"")</x:f>
      </x:c>
      <x:c r="Z33" s="21" t="n">
        <x:f>ROUND(COUNTA(A33:K33)/11*100,0)</x:f>
        <x:v>100</x:v>
      </x:c>
      <x:c r="AA33" s="18" t="str">
        <x:v>International Court of Justice</x:v>
      </x:c>
      <x:c r="AB33" s="22" t="str">
        <x:v>https://api.icj-cij.org/case/157</x:v>
      </x:c>
      <x:c r="AC33" s="18" t="str"/>
      <x:c r="AD33" s="18" t="n">
        <x:v>46275.42531791667</x:v>
      </x:c>
      <x:c r="AE33" s="18" t="str">
        <x:v>independent_public</x:v>
      </x:c>
      <x:c r="AF33" s="18" t="str">
        <x:v>PARTIAL_NO_DATE</x:v>
      </x:c>
    </x:row>
    <x:row r="34">
      <x:c r="A34" s="18" t="str">
        <x:v>NYT-45-7302aa1cd14eb39b</x:v>
      </x:c>
      <x:c r="B34" s="18" t="str">
        <x:v>Obligations concerning Negotiations relating to Cessation of the Nuclear Arms Race and to Nuclear Disarmament (Marshall Islands v. United Kingdom)</x:v>
      </x:c>
      <x:c r="C34" s="18" t="str"/>
      <x:c r="D34" s="18" t="str"/>
      <x:c r="E34" s="18" t="str"/>
      <x:c r="F34" s="18" t="str"/>
      <x:c r="G34" s="18" t="str"/>
      <x:c r="H34" s="18" t="str"/>
      <x:c r="I34" s="18" t="str">
        <x:v>International Court of Justice</x:v>
      </x:c>
      <x:c r="J34" s="20" t="str"/>
      <x:c r="K34" s="18" t="str"/>
      <x:c r="L34" s="18" t="str">
        <x:v>International Court of Justice</x:v>
      </x:c>
      <x:c r="M34" s="18" t="str">
        <x:v>Obligations concerning Negotiations relating to Cessation of the Nuclear Arms Race and to Nuclear Disarmament (Marshall Islands v. United Kingdom)</x:v>
      </x:c>
      <x:c r="N34" s="18" t="str"/>
      <x:c r="O34" s="18" t="str"/>
      <x:c r="P34" s="18" t="str"/>
      <x:c r="Q34" s="18" t="str">
        <x:v>160</x:v>
      </x:c>
      <x:c r="R34" s="18" t="str"/>
      <x:c r="S34" s="18" t="str"/>
      <x:c r="T34" s="18" t="str">
        <x:v>COMPLETE_FINITE_SNAPSHOT</x:v>
      </x:c>
      <x:c r="U34" s="18" t="str">
        <x:v>Complete ICJ General List on official all-cases page</x:v>
      </x:c>
      <x:c r="V34" s="18" t="str"/>
      <x:c r="W34" s="18" t="str"/>
      <x:c r="X34" s="20" t="n">
        <x:v>192</x:v>
      </x:c>
      <x:c r="Y34" s="19" t="str">
        <x:f>IFERROR(TODAY()-DATEVALUE(C34),"")</x:f>
      </x:c>
      <x:c r="Z34" s="21" t="n">
        <x:f>ROUND(COUNTA(A34:K34)/11*100,0)</x:f>
        <x:v>100</x:v>
      </x:c>
      <x:c r="AA34" s="18" t="str">
        <x:v>International Court of Justice</x:v>
      </x:c>
      <x:c r="AB34" s="22" t="str">
        <x:v>https://api.icj-cij.org/case/160</x:v>
      </x:c>
      <x:c r="AC34" s="18" t="str"/>
      <x:c r="AD34" s="18" t="n">
        <x:v>46275.42531791667</x:v>
      </x:c>
      <x:c r="AE34" s="18" t="str">
        <x:v>independent_public</x:v>
      </x:c>
      <x:c r="AF34" s="18" t="str">
        <x:v>PARTIAL_NO_DATE</x:v>
      </x:c>
    </x:row>
    <x:row r="35">
      <x:c r="A35" s="18" t="str">
        <x:v>NYT-45-26eebf7fff8321fe</x:v>
      </x:c>
      <x:c r="B35" s="18" t="str">
        <x:v>Obligations concerning Negotiations relating to Cessation of the Nuclear Arms Race and to Nuclear Disarmament (Marshall Islands v. India)</x:v>
      </x:c>
      <x:c r="C35" s="18" t="str"/>
      <x:c r="D35" s="18" t="str"/>
      <x:c r="E35" s="18" t="str"/>
      <x:c r="F35" s="18" t="str"/>
      <x:c r="G35" s="18" t="str"/>
      <x:c r="H35" s="18" t="str"/>
      <x:c r="I35" s="18" t="str">
        <x:v>International Court of Justice</x:v>
      </x:c>
      <x:c r="J35" s="20" t="str"/>
      <x:c r="K35" s="18" t="str"/>
      <x:c r="L35" s="18" t="str">
        <x:v>International Court of Justice</x:v>
      </x:c>
      <x:c r="M35" s="18" t="str">
        <x:v>Obligations concerning Negotiations relating to Cessation of the Nuclear Arms Race and to Nuclear Disarmament (Marshall Islands v. India)</x:v>
      </x:c>
      <x:c r="N35" s="18" t="str"/>
      <x:c r="O35" s="18" t="str"/>
      <x:c r="P35" s="18" t="str"/>
      <x:c r="Q35" s="18" t="str">
        <x:v>158</x:v>
      </x:c>
      <x:c r="R35" s="18" t="str"/>
      <x:c r="S35" s="18" t="str"/>
      <x:c r="T35" s="18" t="str">
        <x:v>COMPLETE_FINITE_SNAPSHOT</x:v>
      </x:c>
      <x:c r="U35" s="18" t="str">
        <x:v>Complete ICJ General List on official all-cases page</x:v>
      </x:c>
      <x:c r="V35" s="18" t="str"/>
      <x:c r="W35" s="18" t="str"/>
      <x:c r="X35" s="20" t="n">
        <x:v>192</x:v>
      </x:c>
      <x:c r="Y35" s="19" t="str">
        <x:f>IFERROR(TODAY()-DATEVALUE(C35),"")</x:f>
      </x:c>
      <x:c r="Z35" s="21" t="n">
        <x:f>ROUND(COUNTA(A35:K35)/11*100,0)</x:f>
        <x:v>100</x:v>
      </x:c>
      <x:c r="AA35" s="18" t="str">
        <x:v>International Court of Justice</x:v>
      </x:c>
      <x:c r="AB35" s="22" t="str">
        <x:v>https://api.icj-cij.org/case/158</x:v>
      </x:c>
      <x:c r="AC35" s="18" t="str"/>
      <x:c r="AD35" s="18" t="n">
        <x:v>46275.42531791667</x:v>
      </x:c>
      <x:c r="AE35" s="18" t="str">
        <x:v>independent_public</x:v>
      </x:c>
      <x:c r="AF35" s="18" t="str">
        <x:v>PARTIAL_NO_DATE</x:v>
      </x:c>
    </x:row>
    <x:row r="36">
      <x:c r="A36" s="18" t="str">
        <x:v>NYT-45-f23c6055dca8a6dd</x:v>
      </x:c>
      <x:c r="B36" s="18" t="str">
        <x:v>Obligations concerning Negotiations relating to Cessation of the Nuclear Arms Race and to Nuclear Disarmament (Marshall Islands v. Pakistan)</x:v>
      </x:c>
      <x:c r="C36" s="18" t="str"/>
      <x:c r="D36" s="18" t="str"/>
      <x:c r="E36" s="18" t="str"/>
      <x:c r="F36" s="18" t="str"/>
      <x:c r="G36" s="18" t="str"/>
      <x:c r="H36" s="18" t="str"/>
      <x:c r="I36" s="18" t="str">
        <x:v>International Court of Justice</x:v>
      </x:c>
      <x:c r="J36" s="20" t="str"/>
      <x:c r="K36" s="18" t="str"/>
      <x:c r="L36" s="18" t="str">
        <x:v>International Court of Justice</x:v>
      </x:c>
      <x:c r="M36" s="18" t="str">
        <x:v>Obligations concerning Negotiations relating to Cessation of the Nuclear Arms Race and to Nuclear Disarmament (Marshall Islands v. Pakistan)</x:v>
      </x:c>
      <x:c r="N36" s="18" t="str"/>
      <x:c r="O36" s="18" t="str"/>
      <x:c r="P36" s="18" t="str"/>
      <x:c r="Q36" s="18" t="str">
        <x:v>159</x:v>
      </x:c>
      <x:c r="R36" s="18" t="str"/>
      <x:c r="S36" s="18" t="str"/>
      <x:c r="T36" s="18" t="str">
        <x:v>COMPLETE_FINITE_SNAPSHOT</x:v>
      </x:c>
      <x:c r="U36" s="18" t="str">
        <x:v>Complete ICJ General List on official all-cases page</x:v>
      </x:c>
      <x:c r="V36" s="18" t="str"/>
      <x:c r="W36" s="18" t="str"/>
      <x:c r="X36" s="20" t="n">
        <x:v>192</x:v>
      </x:c>
      <x:c r="Y36" s="19" t="str">
        <x:f>IFERROR(TODAY()-DATEVALUE(C36),"")</x:f>
      </x:c>
      <x:c r="Z36" s="21" t="n">
        <x:f>ROUND(COUNTA(A36:K36)/11*100,0)</x:f>
        <x:v>100</x:v>
      </x:c>
      <x:c r="AA36" s="18" t="str">
        <x:v>International Court of Justice</x:v>
      </x:c>
      <x:c r="AB36" s="22" t="str">
        <x:v>https://api.icj-cij.org/case/159</x:v>
      </x:c>
      <x:c r="AC36" s="18" t="str"/>
      <x:c r="AD36" s="18" t="n">
        <x:v>46275.42531791667</x:v>
      </x:c>
      <x:c r="AE36" s="18" t="str">
        <x:v>independent_public</x:v>
      </x:c>
      <x:c r="AF36" s="18" t="str">
        <x:v>PARTIAL_NO_DATE</x:v>
      </x:c>
    </x:row>
    <x:row r="37">
      <x:c r="A37" s="18" t="str">
        <x:v>NYT-45-782b8b97d846f8aa</x:v>
      </x:c>
      <x:c r="B37" s="18" t="str">
        <x:v>Questions relating to the Seizure and Detention of Certain Documents and Data (Timor-Leste v. Australia)</x:v>
      </x:c>
      <x:c r="C37" s="18" t="str"/>
      <x:c r="D37" s="18" t="str"/>
      <x:c r="E37" s="18" t="str"/>
      <x:c r="F37" s="18" t="str"/>
      <x:c r="G37" s="18" t="str"/>
      <x:c r="H37" s="18" t="str"/>
      <x:c r="I37" s="18" t="str">
        <x:v>International Court of Justice</x:v>
      </x:c>
      <x:c r="J37" s="20" t="str"/>
      <x:c r="K37" s="18" t="str"/>
      <x:c r="L37" s="18" t="str">
        <x:v>International Court of Justice</x:v>
      </x:c>
      <x:c r="M37" s="18" t="str">
        <x:v>Questions relating to the Seizure and Detention of Certain Documents and Data (Timor-Leste v. Australia)</x:v>
      </x:c>
      <x:c r="N37" s="18" t="str"/>
      <x:c r="O37" s="18" t="str"/>
      <x:c r="P37" s="18" t="str"/>
      <x:c r="Q37" s="18" t="str">
        <x:v>156</x:v>
      </x:c>
      <x:c r="R37" s="18" t="str"/>
      <x:c r="S37" s="18" t="str"/>
      <x:c r="T37" s="18" t="str">
        <x:v>COMPLETE_FINITE_SNAPSHOT</x:v>
      </x:c>
      <x:c r="U37" s="18" t="str">
        <x:v>Complete ICJ General List on official all-cases page</x:v>
      </x:c>
      <x:c r="V37" s="18" t="str"/>
      <x:c r="W37" s="18" t="str"/>
      <x:c r="X37" s="20" t="n">
        <x:v>192</x:v>
      </x:c>
      <x:c r="Y37" s="19" t="str">
        <x:f>IFERROR(TODAY()-DATEVALUE(C37),"")</x:f>
      </x:c>
      <x:c r="Z37" s="21" t="n">
        <x:f>ROUND(COUNTA(A37:K37)/11*100,0)</x:f>
        <x:v>100</x:v>
      </x:c>
      <x:c r="AA37" s="18" t="str">
        <x:v>International Court of Justice</x:v>
      </x:c>
      <x:c r="AB37" s="22" t="str">
        <x:v>https://api.icj-cij.org/case/156</x:v>
      </x:c>
      <x:c r="AC37" s="18" t="str"/>
      <x:c r="AD37" s="18" t="n">
        <x:v>46275.42531791667</x:v>
      </x:c>
      <x:c r="AE37" s="18" t="str">
        <x:v>independent_public</x:v>
      </x:c>
      <x:c r="AF37" s="18" t="str">
        <x:v>PARTIAL_NO_DATE</x:v>
      </x:c>
    </x:row>
    <x:row r="38">
      <x:c r="A38" s="18" t="str">
        <x:v>NYT-45-38fac8db03e8aa92</x:v>
      </x:c>
      <x:c r="B38" s="18" t="str">
        <x:v>Construction of a Road in Costa Rica along the San Juan River (Nicaragua v. Costa Rica)</x:v>
      </x:c>
      <x:c r="C38" s="18" t="str"/>
      <x:c r="D38" s="18" t="str"/>
      <x:c r="E38" s="18" t="str"/>
      <x:c r="F38" s="18" t="str"/>
      <x:c r="G38" s="18" t="str"/>
      <x:c r="H38" s="18" t="str"/>
      <x:c r="I38" s="18" t="str">
        <x:v>International Court of Justice</x:v>
      </x:c>
      <x:c r="J38" s="20" t="str"/>
      <x:c r="K38" s="18" t="str"/>
      <x:c r="L38" s="18" t="str">
        <x:v>International Court of Justice</x:v>
      </x:c>
      <x:c r="M38" s="18" t="str">
        <x:v>Construction of a Road in Costa Rica along the San Juan River (Nicaragua v. Costa Rica)</x:v>
      </x:c>
      <x:c r="N38" s="18" t="str"/>
      <x:c r="O38" s="18" t="str"/>
      <x:c r="P38" s="18" t="str"/>
      <x:c r="Q38" s="18" t="str">
        <x:v>152</x:v>
      </x:c>
      <x:c r="R38" s="18" t="str"/>
      <x:c r="S38" s="18" t="str"/>
      <x:c r="T38" s="18" t="str">
        <x:v>COMPLETE_FINITE_SNAPSHOT</x:v>
      </x:c>
      <x:c r="U38" s="18" t="str">
        <x:v>Complete ICJ General List on official all-cases page</x:v>
      </x:c>
      <x:c r="V38" s="18" t="str"/>
      <x:c r="W38" s="18" t="str"/>
      <x:c r="X38" s="20" t="n">
        <x:v>192</x:v>
      </x:c>
      <x:c r="Y38" s="19" t="str">
        <x:f>IFERROR(TODAY()-DATEVALUE(C38),"")</x:f>
      </x:c>
      <x:c r="Z38" s="21" t="n">
        <x:f>ROUND(COUNTA(A38:K38)/11*100,0)</x:f>
        <x:v>100</x:v>
      </x:c>
      <x:c r="AA38" s="18" t="str">
        <x:v>International Court of Justice</x:v>
      </x:c>
      <x:c r="AB38" s="22" t="str">
        <x:v>https://api.icj-cij.org/case/152</x:v>
      </x:c>
      <x:c r="AC38" s="18" t="str"/>
      <x:c r="AD38" s="18" t="n">
        <x:v>46275.42531791667</x:v>
      </x:c>
      <x:c r="AE38" s="18" t="str">
        <x:v>independent_public</x:v>
      </x:c>
      <x:c r="AF38" s="18" t="str">
        <x:v>PARTIAL_NO_DATE</x:v>
      </x:c>
    </x:row>
    <x:row r="39">
      <x:c r="A39" s="18" t="str">
        <x:v>NYT-45-a2dbccf45198f83f</x:v>
      </x:c>
      <x:c r="B39" s="18" t="str">
        <x:v>Application of the Convention on the Prevention and Punishment of the Crime of Genocide (Croatia v. Serbia)</x:v>
      </x:c>
      <x:c r="C39" s="18" t="str"/>
      <x:c r="D39" s="18" t="str"/>
      <x:c r="E39" s="18" t="str"/>
      <x:c r="F39" s="18" t="str"/>
      <x:c r="G39" s="18" t="str"/>
      <x:c r="H39" s="18" t="str"/>
      <x:c r="I39" s="18" t="str">
        <x:v>International Court of Justice</x:v>
      </x:c>
      <x:c r="J39" s="20" t="str"/>
      <x:c r="K39" s="18" t="str"/>
      <x:c r="L39" s="18" t="str">
        <x:v>International Court of Justice</x:v>
      </x:c>
      <x:c r="M39" s="18" t="str">
        <x:v>Application of the Convention on the Prevention and Punishment of the Crime of Genocide (Croatia v. Serbia)</x:v>
      </x:c>
      <x:c r="N39" s="18" t="str"/>
      <x:c r="O39" s="18" t="str"/>
      <x:c r="P39" s="18" t="str"/>
      <x:c r="Q39" s="18" t="str">
        <x:v>118</x:v>
      </x:c>
      <x:c r="R39" s="18" t="str"/>
      <x:c r="S39" s="18" t="str"/>
      <x:c r="T39" s="18" t="str">
        <x:v>COMPLETE_FINITE_SNAPSHOT</x:v>
      </x:c>
      <x:c r="U39" s="18" t="str">
        <x:v>Complete ICJ General List on official all-cases page</x:v>
      </x:c>
      <x:c r="V39" s="18" t="str"/>
      <x:c r="W39" s="18" t="str"/>
      <x:c r="X39" s="20" t="n">
        <x:v>192</x:v>
      </x:c>
      <x:c r="Y39" s="19" t="str">
        <x:f>IFERROR(TODAY()-DATEVALUE(C39),"")</x:f>
      </x:c>
      <x:c r="Z39" s="21" t="n">
        <x:f>ROUND(COUNTA(A39:K39)/11*100,0)</x:f>
        <x:v>100</x:v>
      </x:c>
      <x:c r="AA39" s="18" t="str">
        <x:v>International Court of Justice</x:v>
      </x:c>
      <x:c r="AB39" s="22" t="str">
        <x:v>https://api.icj-cij.org/case/118</x:v>
      </x:c>
      <x:c r="AC39" s="18" t="str"/>
      <x:c r="AD39" s="18" t="n">
        <x:v>46275.42531791667</x:v>
      </x:c>
      <x:c r="AE39" s="18" t="str">
        <x:v>independent_public</x:v>
      </x:c>
      <x:c r="AF39" s="18" t="str">
        <x:v>PARTIAL_NO_DATE</x:v>
      </x:c>
    </x:row>
    <x:row r="40">
      <x:c r="A40" s="18" t="str">
        <x:v>NYT-45-27379233a495e5e8</x:v>
      </x:c>
      <x:c r="B40" s="18" t="str">
        <x:v>Maritime Dispute (Peru v. Chile)</x:v>
      </x:c>
      <x:c r="C40" s="18" t="str"/>
      <x:c r="D40" s="18" t="str"/>
      <x:c r="E40" s="18" t="str"/>
      <x:c r="F40" s="18" t="str"/>
      <x:c r="G40" s="18" t="str"/>
      <x:c r="H40" s="18" t="str"/>
      <x:c r="I40" s="18" t="str">
        <x:v>International Court of Justice</x:v>
      </x:c>
      <x:c r="J40" s="20" t="str"/>
      <x:c r="K40" s="18" t="str"/>
      <x:c r="L40" s="18" t="str">
        <x:v>International Court of Justice</x:v>
      </x:c>
      <x:c r="M40" s="18" t="str">
        <x:v>Maritime Dispute (Peru v. Chile)</x:v>
      </x:c>
      <x:c r="N40" s="18" t="str"/>
      <x:c r="O40" s="18" t="str"/>
      <x:c r="P40" s="18" t="str"/>
      <x:c r="Q40" s="18" t="str">
        <x:v>137</x:v>
      </x:c>
      <x:c r="R40" s="18" t="str"/>
      <x:c r="S40" s="18" t="str"/>
      <x:c r="T40" s="18" t="str">
        <x:v>COMPLETE_FINITE_SNAPSHOT</x:v>
      </x:c>
      <x:c r="U40" s="18" t="str">
        <x:v>Complete ICJ General List on official all-cases page</x:v>
      </x:c>
      <x:c r="V40" s="18" t="str"/>
      <x:c r="W40" s="18" t="str"/>
      <x:c r="X40" s="20" t="n">
        <x:v>192</x:v>
      </x:c>
      <x:c r="Y40" s="19" t="str">
        <x:f>IFERROR(TODAY()-DATEVALUE(C40),"")</x:f>
      </x:c>
      <x:c r="Z40" s="21" t="n">
        <x:f>ROUND(COUNTA(A40:K40)/11*100,0)</x:f>
        <x:v>100</x:v>
      </x:c>
      <x:c r="AA40" s="18" t="str">
        <x:v>International Court of Justice</x:v>
      </x:c>
      <x:c r="AB40" s="22" t="str">
        <x:v>https://api.icj-cij.org/case/137</x:v>
      </x:c>
      <x:c r="AC40" s="18" t="str"/>
      <x:c r="AD40" s="18" t="n">
        <x:v>46275.42531791667</x:v>
      </x:c>
      <x:c r="AE40" s="18" t="str">
        <x:v>independent_public</x:v>
      </x:c>
      <x:c r="AF40" s="18" t="str">
        <x:v>PARTIAL_NO_DATE</x:v>
      </x:c>
    </x:row>
    <x:row r="41">
      <x:c r="A41" s="18" t="str">
        <x:v>NYT-45-d0b1ded388decb52</x:v>
      </x:c>
      <x:c r="B41" s="18" t="str">
        <x:v>Whaling in the Antarctic (Australia v. Japan: New Zealand intervening)</x:v>
      </x:c>
      <x:c r="C41" s="18" t="str"/>
      <x:c r="D41" s="18" t="str"/>
      <x:c r="E41" s="18" t="str"/>
      <x:c r="F41" s="18" t="str"/>
      <x:c r="G41" s="18" t="str"/>
      <x:c r="H41" s="18" t="str"/>
      <x:c r="I41" s="18" t="str">
        <x:v>International Court of Justice</x:v>
      </x:c>
      <x:c r="J41" s="20" t="str"/>
      <x:c r="K41" s="18" t="str"/>
      <x:c r="L41" s="18" t="str">
        <x:v>International Court of Justice</x:v>
      </x:c>
      <x:c r="M41" s="18" t="str">
        <x:v>Whaling in the Antarctic (Australia v. Japan: New Zealand intervening)</x:v>
      </x:c>
      <x:c r="N41" s="18" t="str"/>
      <x:c r="O41" s="18" t="str"/>
      <x:c r="P41" s="18" t="str"/>
      <x:c r="Q41" s="18" t="str">
        <x:v>148</x:v>
      </x:c>
      <x:c r="R41" s="18" t="str"/>
      <x:c r="S41" s="18" t="str"/>
      <x:c r="T41" s="18" t="str">
        <x:v>COMPLETE_FINITE_SNAPSHOT</x:v>
      </x:c>
      <x:c r="U41" s="18" t="str">
        <x:v>Complete ICJ General List on official all-cases page</x:v>
      </x:c>
      <x:c r="V41" s="18" t="str"/>
      <x:c r="W41" s="18" t="str"/>
      <x:c r="X41" s="20" t="n">
        <x:v>192</x:v>
      </x:c>
      <x:c r="Y41" s="19" t="str">
        <x:f>IFERROR(TODAY()-DATEVALUE(C41),"")</x:f>
      </x:c>
      <x:c r="Z41" s="21" t="n">
        <x:f>ROUND(COUNTA(A41:K41)/11*100,0)</x:f>
        <x:v>100</x:v>
      </x:c>
      <x:c r="AA41" s="18" t="str">
        <x:v>International Court of Justice</x:v>
      </x:c>
      <x:c r="AB41" s="22" t="str">
        <x:v>https://api.icj-cij.org/case/148</x:v>
      </x:c>
      <x:c r="AC41" s="18" t="str"/>
      <x:c r="AD41" s="18" t="n">
        <x:v>46275.42531791667</x:v>
      </x:c>
      <x:c r="AE41" s="18" t="str">
        <x:v>independent_public</x:v>
      </x:c>
      <x:c r="AF41" s="18" t="str">
        <x:v>PARTIAL_NO_DATE</x:v>
      </x:c>
    </x:row>
    <x:row r="42">
      <x:c r="A42" s="18" t="str">
        <x:v>NYT-45-995ac1a90bf4fc46</x:v>
      </x:c>
      <x:c r="B42" s="18" t="str">
        <x:v>Aerial Herbicide Spraying (Ecuador v. Colombia)</x:v>
      </x:c>
      <x:c r="C42" s="18" t="str"/>
      <x:c r="D42" s="18" t="str"/>
      <x:c r="E42" s="18" t="str"/>
      <x:c r="F42" s="18" t="str"/>
      <x:c r="G42" s="18" t="str"/>
      <x:c r="H42" s="18" t="str"/>
      <x:c r="I42" s="18" t="str">
        <x:v>International Court of Justice</x:v>
      </x:c>
      <x:c r="J42" s="20" t="str"/>
      <x:c r="K42" s="18" t="str"/>
      <x:c r="L42" s="18" t="str">
        <x:v>International Court of Justice</x:v>
      </x:c>
      <x:c r="M42" s="18" t="str">
        <x:v>Aerial Herbicide Spraying (Ecuador v. Colombia)</x:v>
      </x:c>
      <x:c r="N42" s="18" t="str"/>
      <x:c r="O42" s="18" t="str"/>
      <x:c r="P42" s="18" t="str"/>
      <x:c r="Q42" s="18" t="str">
        <x:v>138</x:v>
      </x:c>
      <x:c r="R42" s="18" t="str"/>
      <x:c r="S42" s="18" t="str"/>
      <x:c r="T42" s="18" t="str">
        <x:v>COMPLETE_FINITE_SNAPSHOT</x:v>
      </x:c>
      <x:c r="U42" s="18" t="str">
        <x:v>Complete ICJ General List on official all-cases page</x:v>
      </x:c>
      <x:c r="V42" s="18" t="str"/>
      <x:c r="W42" s="18" t="str"/>
      <x:c r="X42" s="20" t="n">
        <x:v>192</x:v>
      </x:c>
      <x:c r="Y42" s="19" t="str">
        <x:f>IFERROR(TODAY()-DATEVALUE(C42),"")</x:f>
      </x:c>
      <x:c r="Z42" s="21" t="n">
        <x:f>ROUND(COUNTA(A42:K42)/11*100,0)</x:f>
        <x:v>100</x:v>
      </x:c>
      <x:c r="AA42" s="18" t="str">
        <x:v>International Court of Justice</x:v>
      </x:c>
      <x:c r="AB42" s="22" t="str">
        <x:v>https://api.icj-cij.org/case/138</x:v>
      </x:c>
      <x:c r="AC42" s="18" t="str"/>
      <x:c r="AD42" s="18" t="n">
        <x:v>46275.42531791667</x:v>
      </x:c>
      <x:c r="AE42" s="18" t="str">
        <x:v>independent_public</x:v>
      </x:c>
      <x:c r="AF42" s="18" t="str">
        <x:v>PARTIAL_NO_DATE</x:v>
      </x:c>
    </x:row>
    <x:row r="43">
      <x:c r="A43" s="18" t="str">
        <x:v>NYT-45-fa3054a7f1232e62</x:v>
      </x:c>
      <x:c r="B43" s="18" t="str">
        <x:v>Frontier Dispute (Burkina Faso/Niger)</x:v>
      </x:c>
      <x:c r="C43" s="18" t="str"/>
      <x:c r="D43" s="18" t="str"/>
      <x:c r="E43" s="18" t="str"/>
      <x:c r="F43" s="18" t="str"/>
      <x:c r="G43" s="18" t="str"/>
      <x:c r="H43" s="18" t="str"/>
      <x:c r="I43" s="18" t="str">
        <x:v>International Court of Justice</x:v>
      </x:c>
      <x:c r="J43" s="20" t="str"/>
      <x:c r="K43" s="18" t="str"/>
      <x:c r="L43" s="18" t="str">
        <x:v>International Court of Justice</x:v>
      </x:c>
      <x:c r="M43" s="18" t="str">
        <x:v>Frontier Dispute (Burkina Faso/Niger)</x:v>
      </x:c>
      <x:c r="N43" s="18" t="str"/>
      <x:c r="O43" s="18" t="str"/>
      <x:c r="P43" s="18" t="str"/>
      <x:c r="Q43" s="18" t="str">
        <x:v>149</x:v>
      </x:c>
      <x:c r="R43" s="18" t="str"/>
      <x:c r="S43" s="18" t="str"/>
      <x:c r="T43" s="18" t="str">
        <x:v>COMPLETE_FINITE_SNAPSHOT</x:v>
      </x:c>
      <x:c r="U43" s="18" t="str">
        <x:v>Complete ICJ General List on official all-cases page</x:v>
      </x:c>
      <x:c r="V43" s="18" t="str"/>
      <x:c r="W43" s="18" t="str"/>
      <x:c r="X43" s="20" t="n">
        <x:v>192</x:v>
      </x:c>
      <x:c r="Y43" s="19" t="str">
        <x:f>IFERROR(TODAY()-DATEVALUE(C43),"")</x:f>
      </x:c>
      <x:c r="Z43" s="21" t="n">
        <x:f>ROUND(COUNTA(A43:K43)/11*100,0)</x:f>
        <x:v>100</x:v>
      </x:c>
      <x:c r="AA43" s="18" t="str">
        <x:v>International Court of Justice</x:v>
      </x:c>
      <x:c r="AB43" s="22" t="str">
        <x:v>https://api.icj-cij.org/case/149</x:v>
      </x:c>
      <x:c r="AC43" s="18" t="str"/>
      <x:c r="AD43" s="18" t="n">
        <x:v>46275.42531791667</x:v>
      </x:c>
      <x:c r="AE43" s="18" t="str">
        <x:v>independent_public</x:v>
      </x:c>
      <x:c r="AF43" s="18" t="str">
        <x:v>PARTIAL_NO_DATE</x:v>
      </x:c>
    </x:row>
    <x:row r="44">
      <x:c r="A44" s="18" t="str">
        <x:v>NYT-45-9ea48368f9af9d28</x:v>
      </x:c>
      <x:c r="B44" s="18" t="str">
        <x:v>Request for Interpretation of the Judgment of 15 June 1962 in the Case concerning the Temple of Preah Vihear (Cambodia v. Thailand) (Cambodia v. Thailand)</x:v>
      </x:c>
      <x:c r="C44" s="18" t="str"/>
      <x:c r="D44" s="18" t="str"/>
      <x:c r="E44" s="18" t="str"/>
      <x:c r="F44" s="18" t="str"/>
      <x:c r="G44" s="18" t="str"/>
      <x:c r="H44" s="18" t="str"/>
      <x:c r="I44" s="18" t="str">
        <x:v>International Court of Justice</x:v>
      </x:c>
      <x:c r="J44" s="20" t="str"/>
      <x:c r="K44" s="18" t="str"/>
      <x:c r="L44" s="18" t="str">
        <x:v>International Court of Justice</x:v>
      </x:c>
      <x:c r="M44" s="18" t="str">
        <x:v>Request for Interpretation of the Judgment of 15 June 1962 in the Case concerning the Temple of Preah Vihear (Cambodia v. Thailand) (Cambodia v. Thailand)</x:v>
      </x:c>
      <x:c r="N44" s="18" t="str"/>
      <x:c r="O44" s="18" t="str"/>
      <x:c r="P44" s="18" t="str"/>
      <x:c r="Q44" s="18" t="str">
        <x:v>151</x:v>
      </x:c>
      <x:c r="R44" s="18" t="str"/>
      <x:c r="S44" s="18" t="str"/>
      <x:c r="T44" s="18" t="str">
        <x:v>COMPLETE_FINITE_SNAPSHOT</x:v>
      </x:c>
      <x:c r="U44" s="18" t="str">
        <x:v>Complete ICJ General List on official all-cases page</x:v>
      </x:c>
      <x:c r="V44" s="18" t="str"/>
      <x:c r="W44" s="18" t="str"/>
      <x:c r="X44" s="20" t="n">
        <x:v>192</x:v>
      </x:c>
      <x:c r="Y44" s="19" t="str">
        <x:f>IFERROR(TODAY()-DATEVALUE(C44),"")</x:f>
      </x:c>
      <x:c r="Z44" s="21" t="n">
        <x:f>ROUND(COUNTA(A44:K44)/11*100,0)</x:f>
        <x:v>100</x:v>
      </x:c>
      <x:c r="AA44" s="18" t="str">
        <x:v>International Court of Justice</x:v>
      </x:c>
      <x:c r="AB44" s="22" t="str">
        <x:v>https://api.icj-cij.org/case/151</x:v>
      </x:c>
      <x:c r="AC44" s="18" t="str"/>
      <x:c r="AD44" s="18" t="n">
        <x:v>46275.42531791667</x:v>
      </x:c>
      <x:c r="AE44" s="18" t="str">
        <x:v>independent_public</x:v>
      </x:c>
      <x:c r="AF44" s="18" t="str">
        <x:v>PARTIAL_NO_DATE</x:v>
      </x:c>
    </x:row>
    <x:row r="45">
      <x:c r="A45" s="18" t="str">
        <x:v>NYT-45-c9176387c15d46e7</x:v>
      </x:c>
      <x:c r="B45" s="18" t="str">
        <x:v>Jurisdictional Immunities of the State (Germany v. Italy: Greece intervening)</x:v>
      </x:c>
      <x:c r="C45" s="18" t="str"/>
      <x:c r="D45" s="18" t="str"/>
      <x:c r="E45" s="18" t="str"/>
      <x:c r="F45" s="18" t="str"/>
      <x:c r="G45" s="18" t="str"/>
      <x:c r="H45" s="18" t="str"/>
      <x:c r="I45" s="18" t="str">
        <x:v>International Court of Justice</x:v>
      </x:c>
      <x:c r="J45" s="20" t="str"/>
      <x:c r="K45" s="18" t="str"/>
      <x:c r="L45" s="18" t="str">
        <x:v>International Court of Justice</x:v>
      </x:c>
      <x:c r="M45" s="18" t="str">
        <x:v>Jurisdictional Immunities of the State (Germany v. Italy: Greece intervening)</x:v>
      </x:c>
      <x:c r="N45" s="18" t="str"/>
      <x:c r="O45" s="18" t="str"/>
      <x:c r="P45" s="18" t="str"/>
      <x:c r="Q45" s="18" t="str">
        <x:v>143</x:v>
      </x:c>
      <x:c r="R45" s="18" t="str"/>
      <x:c r="S45" s="18" t="str"/>
      <x:c r="T45" s="18" t="str">
        <x:v>COMPLETE_FINITE_SNAPSHOT</x:v>
      </x:c>
      <x:c r="U45" s="18" t="str">
        <x:v>Complete ICJ General List on official all-cases page</x:v>
      </x:c>
      <x:c r="V45" s="18" t="str"/>
      <x:c r="W45" s="18" t="str"/>
      <x:c r="X45" s="20" t="n">
        <x:v>192</x:v>
      </x:c>
      <x:c r="Y45" s="19" t="str">
        <x:f>IFERROR(TODAY()-DATEVALUE(C45),"")</x:f>
      </x:c>
      <x:c r="Z45" s="21" t="n">
        <x:f>ROUND(COUNTA(A45:K45)/11*100,0)</x:f>
        <x:v>100</x:v>
      </x:c>
      <x:c r="AA45" s="18" t="str">
        <x:v>International Court of Justice</x:v>
      </x:c>
      <x:c r="AB45" s="22" t="str">
        <x:v>https://api.icj-cij.org/case/143</x:v>
      </x:c>
      <x:c r="AC45" s="18" t="str"/>
      <x:c r="AD45" s="18" t="n">
        <x:v>46275.42531791667</x:v>
      </x:c>
      <x:c r="AE45" s="18" t="str">
        <x:v>independent_public</x:v>
      </x:c>
      <x:c r="AF45" s="18" t="str">
        <x:v>PARTIAL_NO_DATE</x:v>
      </x:c>
    </x:row>
    <x:row r="46">
      <x:c r="A46" s="18" t="str">
        <x:v>NYT-45-2141cf5d7cfe9d38</x:v>
      </x:c>
      <x:c r="B46" s="18" t="str">
        <x:v>Judgment No. 2867 of the Administrative Tribunal of the International Labour Organization upon a Complaint Filed against the International Fund for Agricultural Development</x:v>
      </x:c>
      <x:c r="C46" s="18" t="str"/>
      <x:c r="D46" s="18" t="str"/>
      <x:c r="E46" s="18" t="str"/>
      <x:c r="F46" s="18" t="str"/>
      <x:c r="G46" s="18" t="str"/>
      <x:c r="H46" s="18" t="str"/>
      <x:c r="I46" s="18" t="str">
        <x:v>International Court of Justice</x:v>
      </x:c>
      <x:c r="J46" s="20" t="str"/>
      <x:c r="K46" s="18" t="str"/>
      <x:c r="L46" s="18" t="str">
        <x:v>International Court of Justice</x:v>
      </x:c>
      <x:c r="M46" s="18" t="str">
        <x:v>Judgment No. 2867 of the Administrative Tribunal of the International Labour Organization upon a Complaint Filed against the International Fund for Agricultural Development</x:v>
      </x:c>
      <x:c r="N46" s="18" t="str"/>
      <x:c r="O46" s="18" t="str"/>
      <x:c r="P46" s="18" t="str"/>
      <x:c r="Q46" s="18" t="str">
        <x:v>146</x:v>
      </x:c>
      <x:c r="R46" s="18" t="str"/>
      <x:c r="S46" s="18" t="str"/>
      <x:c r="T46" s="18" t="str">
        <x:v>COMPLETE_FINITE_SNAPSHOT</x:v>
      </x:c>
      <x:c r="U46" s="18" t="str">
        <x:v>Complete ICJ General List on official all-cases page</x:v>
      </x:c>
      <x:c r="V46" s="18" t="str"/>
      <x:c r="W46" s="18" t="str"/>
      <x:c r="X46" s="20" t="n">
        <x:v>192</x:v>
      </x:c>
      <x:c r="Y46" s="19" t="str">
        <x:f>IFERROR(TODAY()-DATEVALUE(C46),"")</x:f>
      </x:c>
      <x:c r="Z46" s="21" t="n">
        <x:f>ROUND(COUNTA(A46:K46)/11*100,0)</x:f>
        <x:v>100</x:v>
      </x:c>
      <x:c r="AA46" s="18" t="str">
        <x:v>International Court of Justice</x:v>
      </x:c>
      <x:c r="AB46" s="22" t="str">
        <x:v>https://api.icj-cij.org/case/146</x:v>
      </x:c>
      <x:c r="AC46" s="18" t="str"/>
      <x:c r="AD46" s="18" t="n">
        <x:v>46275.42531791667</x:v>
      </x:c>
      <x:c r="AE46" s="18" t="str">
        <x:v>independent_public</x:v>
      </x:c>
      <x:c r="AF46" s="18" t="str">
        <x:v>PARTIAL_NO_DATE</x:v>
      </x:c>
    </x:row>
    <x:row r="47">
      <x:c r="A47" s="18" t="str">
        <x:v>NYT-45-f216168b61cfd779</x:v>
      </x:c>
      <x:c r="B47" s="18" t="str">
        <x:v>Questions relating to the Obligation to Prosecute or Extradite (Belgium v. Senegal)</x:v>
      </x:c>
      <x:c r="C47" s="18" t="str"/>
      <x:c r="D47" s="18" t="str"/>
      <x:c r="E47" s="18" t="str"/>
      <x:c r="F47" s="18" t="str"/>
      <x:c r="G47" s="18" t="str"/>
      <x:c r="H47" s="18" t="str"/>
      <x:c r="I47" s="18" t="str">
        <x:v>International Court of Justice</x:v>
      </x:c>
      <x:c r="J47" s="20" t="str"/>
      <x:c r="K47" s="18" t="str"/>
      <x:c r="L47" s="18" t="str">
        <x:v>International Court of Justice</x:v>
      </x:c>
      <x:c r="M47" s="18" t="str">
        <x:v>Questions relating to the Obligation to Prosecute or Extradite (Belgium v. Senegal)</x:v>
      </x:c>
      <x:c r="N47" s="18" t="str"/>
      <x:c r="O47" s="18" t="str"/>
      <x:c r="P47" s="18" t="str"/>
      <x:c r="Q47" s="18" t="str">
        <x:v>144</x:v>
      </x:c>
      <x:c r="R47" s="18" t="str"/>
      <x:c r="S47" s="18" t="str"/>
      <x:c r="T47" s="18" t="str">
        <x:v>COMPLETE_FINITE_SNAPSHOT</x:v>
      </x:c>
      <x:c r="U47" s="18" t="str">
        <x:v>Complete ICJ General List on official all-cases page</x:v>
      </x:c>
      <x:c r="V47" s="18" t="str"/>
      <x:c r="W47" s="18" t="str"/>
      <x:c r="X47" s="20" t="n">
        <x:v>192</x:v>
      </x:c>
      <x:c r="Y47" s="19" t="str">
        <x:f>IFERROR(TODAY()-DATEVALUE(C47),"")</x:f>
      </x:c>
      <x:c r="Z47" s="21" t="n">
        <x:f>ROUND(COUNTA(A47:K47)/11*100,0)</x:f>
        <x:v>100</x:v>
      </x:c>
      <x:c r="AA47" s="18" t="str">
        <x:v>International Court of Justice</x:v>
      </x:c>
      <x:c r="AB47" s="22" t="str">
        <x:v>https://api.icj-cij.org/case/144</x:v>
      </x:c>
      <x:c r="AC47" s="18" t="str"/>
      <x:c r="AD47" s="18" t="n">
        <x:v>46275.42531791667</x:v>
      </x:c>
      <x:c r="AE47" s="18" t="str">
        <x:v>independent_public</x:v>
      </x:c>
      <x:c r="AF47" s="18" t="str">
        <x:v>PARTIAL_NO_DATE</x:v>
      </x:c>
    </x:row>
    <x:row r="48">
      <x:c r="A48" s="18" t="str">
        <x:v>NYT-45-cc5ef006c5eb282a</x:v>
      </x:c>
      <x:c r="B48" s="18" t="str">
        <x:v>Territorial and Maritime Dispute (Nicaragua v. Colombia)</x:v>
      </x:c>
      <x:c r="C48" s="18" t="str"/>
      <x:c r="D48" s="18" t="str"/>
      <x:c r="E48" s="18" t="str"/>
      <x:c r="F48" s="18" t="str"/>
      <x:c r="G48" s="18" t="str"/>
      <x:c r="H48" s="18" t="str"/>
      <x:c r="I48" s="18" t="str">
        <x:v>International Court of Justice</x:v>
      </x:c>
      <x:c r="J48" s="20" t="str"/>
      <x:c r="K48" s="18" t="str"/>
      <x:c r="L48" s="18" t="str">
        <x:v>International Court of Justice</x:v>
      </x:c>
      <x:c r="M48" s="18" t="str">
        <x:v>Territorial and Maritime Dispute (Nicaragua v. Colombia)</x:v>
      </x:c>
      <x:c r="N48" s="18" t="str"/>
      <x:c r="O48" s="18" t="str"/>
      <x:c r="P48" s="18" t="str"/>
      <x:c r="Q48" s="18" t="str">
        <x:v>124</x:v>
      </x:c>
      <x:c r="R48" s="18" t="str"/>
      <x:c r="S48" s="18" t="str"/>
      <x:c r="T48" s="18" t="str">
        <x:v>COMPLETE_FINITE_SNAPSHOT</x:v>
      </x:c>
      <x:c r="U48" s="18" t="str">
        <x:v>Complete ICJ General List on official all-cases page</x:v>
      </x:c>
      <x:c r="V48" s="18" t="str"/>
      <x:c r="W48" s="18" t="str"/>
      <x:c r="X48" s="20" t="n">
        <x:v>192</x:v>
      </x:c>
      <x:c r="Y48" s="19" t="str">
        <x:f>IFERROR(TODAY()-DATEVALUE(C48),"")</x:f>
      </x:c>
      <x:c r="Z48" s="21" t="n">
        <x:f>ROUND(COUNTA(A48:K48)/11*100,0)</x:f>
        <x:v>100</x:v>
      </x:c>
      <x:c r="AA48" s="18" t="str">
        <x:v>International Court of Justice</x:v>
      </x:c>
      <x:c r="AB48" s="22" t="str">
        <x:v>https://api.icj-cij.org/case/124</x:v>
      </x:c>
      <x:c r="AC48" s="18" t="str"/>
      <x:c r="AD48" s="18" t="n">
        <x:v>46275.42531791667</x:v>
      </x:c>
      <x:c r="AE48" s="18" t="str">
        <x:v>independent_public</x:v>
      </x:c>
      <x:c r="AF48" s="18" t="str">
        <x:v>PARTIAL_NO_DATE</x:v>
      </x:c>
    </x:row>
    <x:row r="49">
      <x:c r="A49" s="18" t="str">
        <x:v>NYT-45-9d6de306473da256</x:v>
      </x:c>
      <x:c r="B49" s="18" t="str">
        <x:v>Ahmadou Sadio Diallo (Republic of Guinea v. Democratic Republic of the Congo)</x:v>
      </x:c>
      <x:c r="C49" s="18" t="str"/>
      <x:c r="D49" s="18" t="str"/>
      <x:c r="E49" s="18" t="str"/>
      <x:c r="F49" s="18" t="str"/>
      <x:c r="G49" s="18" t="str"/>
      <x:c r="H49" s="18" t="str"/>
      <x:c r="I49" s="18" t="str">
        <x:v>International Court of Justice</x:v>
      </x:c>
      <x:c r="J49" s="20" t="str"/>
      <x:c r="K49" s="18" t="str"/>
      <x:c r="L49" s="18" t="str">
        <x:v>International Court of Justice</x:v>
      </x:c>
      <x:c r="M49" s="18" t="str">
        <x:v>Ahmadou Sadio Diallo (Republic of Guinea v. Democratic Republic of the Congo)</x:v>
      </x:c>
      <x:c r="N49" s="18" t="str"/>
      <x:c r="O49" s="18" t="str"/>
      <x:c r="P49" s="18" t="str"/>
      <x:c r="Q49" s="18" t="str">
        <x:v>103</x:v>
      </x:c>
      <x:c r="R49" s="18" t="str"/>
      <x:c r="S49" s="18" t="str"/>
      <x:c r="T49" s="18" t="str">
        <x:v>COMPLETE_FINITE_SNAPSHOT</x:v>
      </x:c>
      <x:c r="U49" s="18" t="str">
        <x:v>Complete ICJ General List on official all-cases page</x:v>
      </x:c>
      <x:c r="V49" s="18" t="str"/>
      <x:c r="W49" s="18" t="str"/>
      <x:c r="X49" s="20" t="n">
        <x:v>192</x:v>
      </x:c>
      <x:c r="Y49" s="19" t="str">
        <x:f>IFERROR(TODAY()-DATEVALUE(C49),"")</x:f>
      </x:c>
      <x:c r="Z49" s="21" t="n">
        <x:f>ROUND(COUNTA(A49:K49)/11*100,0)</x:f>
        <x:v>100</x:v>
      </x:c>
      <x:c r="AA49" s="18" t="str">
        <x:v>International Court of Justice</x:v>
      </x:c>
      <x:c r="AB49" s="22" t="str">
        <x:v>https://api.icj-cij.org/case/103</x:v>
      </x:c>
      <x:c r="AC49" s="18" t="str"/>
      <x:c r="AD49" s="18" t="n">
        <x:v>46275.42531791667</x:v>
      </x:c>
      <x:c r="AE49" s="18" t="str">
        <x:v>independent_public</x:v>
      </x:c>
      <x:c r="AF49" s="18" t="str">
        <x:v>PARTIAL_NO_DATE</x:v>
      </x:c>
    </x:row>
    <x:row r="50">
      <x:c r="A50" s="18" t="str">
        <x:v>NYT-45-2baf586756a7d633</x:v>
      </x:c>
      <x:c r="B50" s="18" t="str">
        <x:v>Jurisdiction and Enforcement of Judgments in Civil and Commercial Matters (Belgium v. Switzerland)</x:v>
      </x:c>
      <x:c r="C50" s="18" t="str"/>
      <x:c r="D50" s="18" t="str"/>
      <x:c r="E50" s="18" t="str"/>
      <x:c r="F50" s="18" t="str"/>
      <x:c r="G50" s="18" t="str"/>
      <x:c r="H50" s="18" t="str"/>
      <x:c r="I50" s="18" t="str">
        <x:v>International Court of Justice</x:v>
      </x:c>
      <x:c r="J50" s="20" t="str"/>
      <x:c r="K50" s="18" t="str"/>
      <x:c r="L50" s="18" t="str">
        <x:v>International Court of Justice</x:v>
      </x:c>
      <x:c r="M50" s="18" t="str">
        <x:v>Jurisdiction and Enforcement of Judgments in Civil and Commercial Matters (Belgium v. Switzerland)</x:v>
      </x:c>
      <x:c r="N50" s="18" t="str"/>
      <x:c r="O50" s="18" t="str"/>
      <x:c r="P50" s="18" t="str"/>
      <x:c r="Q50" s="18" t="str">
        <x:v>145</x:v>
      </x:c>
      <x:c r="R50" s="18" t="str"/>
      <x:c r="S50" s="18" t="str"/>
      <x:c r="T50" s="18" t="str">
        <x:v>COMPLETE_FINITE_SNAPSHOT</x:v>
      </x:c>
      <x:c r="U50" s="18" t="str">
        <x:v>Complete ICJ General List on official all-cases page</x:v>
      </x:c>
      <x:c r="V50" s="18" t="str"/>
      <x:c r="W50" s="18" t="str"/>
      <x:c r="X50" s="20" t="n">
        <x:v>192</x:v>
      </x:c>
      <x:c r="Y50" s="19" t="str">
        <x:f>IFERROR(TODAY()-DATEVALUE(C50),"")</x:f>
      </x:c>
      <x:c r="Z50" s="21" t="n">
        <x:f>ROUND(COUNTA(A50:K50)/11*100,0)</x:f>
        <x:v>100</x:v>
      </x:c>
      <x:c r="AA50" s="18" t="str">
        <x:v>International Court of Justice</x:v>
      </x:c>
      <x:c r="AB50" s="22" t="str">
        <x:v>https://api.icj-cij.org/case/145</x:v>
      </x:c>
      <x:c r="AC50" s="18" t="str"/>
      <x:c r="AD50" s="18" t="n">
        <x:v>46275.42531791667</x:v>
      </x:c>
      <x:c r="AE50" s="18" t="str">
        <x:v>independent_public</x:v>
      </x:c>
      <x:c r="AF50" s="18" t="str">
        <x:v>PARTIAL_NO_DATE</x:v>
      </x:c>
    </x:row>
    <x:row r="51">
      <x:c r="A51" s="18" t="str">
        <x:v>NYT-45-82843416f29c99aa</x:v>
      </x:c>
      <x:c r="B51" s="18" t="str">
        <x:v>Application of the Interim Accord of 13 September 1995 (the former Yugoslav Republic of Macedonia v. Greece)</x:v>
      </x:c>
      <x:c r="C51" s="18" t="str"/>
      <x:c r="D51" s="18" t="str"/>
      <x:c r="E51" s="18" t="str"/>
      <x:c r="F51" s="18" t="str"/>
      <x:c r="G51" s="18" t="str"/>
      <x:c r="H51" s="18" t="str"/>
      <x:c r="I51" s="18" t="str">
        <x:v>International Court of Justice</x:v>
      </x:c>
      <x:c r="J51" s="20" t="str"/>
      <x:c r="K51" s="18" t="str"/>
      <x:c r="L51" s="18" t="str">
        <x:v>International Court of Justice</x:v>
      </x:c>
      <x:c r="M51" s="18" t="str">
        <x:v>Application of the Interim Accord of 13 September 1995 (the former Yugoslav Republic of Macedonia v. Greece)</x:v>
      </x:c>
      <x:c r="N51" s="18" t="str"/>
      <x:c r="O51" s="18" t="str"/>
      <x:c r="P51" s="18" t="str"/>
      <x:c r="Q51" s="18" t="str">
        <x:v>142</x:v>
      </x:c>
      <x:c r="R51" s="18" t="str"/>
      <x:c r="S51" s="18" t="str"/>
      <x:c r="T51" s="18" t="str">
        <x:v>COMPLETE_FINITE_SNAPSHOT</x:v>
      </x:c>
      <x:c r="U51" s="18" t="str">
        <x:v>Complete ICJ General List on official all-cases page</x:v>
      </x:c>
      <x:c r="V51" s="18" t="str"/>
      <x:c r="W51" s="18" t="str"/>
      <x:c r="X51" s="20" t="n">
        <x:v>192</x:v>
      </x:c>
      <x:c r="Y51" s="19" t="str">
        <x:f>IFERROR(TODAY()-DATEVALUE(C51),"")</x:f>
      </x:c>
      <x:c r="Z51" s="21" t="n">
        <x:f>ROUND(COUNTA(A51:K51)/11*100,0)</x:f>
        <x:v>100</x:v>
      </x:c>
      <x:c r="AA51" s="18" t="str">
        <x:v>International Court of Justice</x:v>
      </x:c>
      <x:c r="AB51" s="22" t="str">
        <x:v>https://api.icj-cij.org/case/142</x:v>
      </x:c>
      <x:c r="AC51" s="18" t="str"/>
      <x:c r="AD51" s="18" t="n">
        <x:v>46275.42531791667</x:v>
      </x:c>
      <x:c r="AE51" s="18" t="str">
        <x:v>independent_public</x:v>
      </x:c>
      <x:c r="AF51" s="18" t="str">
        <x:v>PARTIAL_NO_DATE</x:v>
      </x:c>
    </x:row>
    <x:row r="52">
      <x:c r="A52" s="18" t="str">
        <x:v>NYT-45-a4076087f27c377b</x:v>
      </x:c>
      <x:c r="B52" s="18" t="str">
        <x:v>Application of the International Convention on the Elimination of All Forms of Racial Discrimination (Georgia v. Russian Federation)</x:v>
      </x:c>
      <x:c r="C52" s="18" t="str"/>
      <x:c r="D52" s="18" t="str"/>
      <x:c r="E52" s="18" t="str"/>
      <x:c r="F52" s="18" t="str"/>
      <x:c r="G52" s="18" t="str"/>
      <x:c r="H52" s="18" t="str"/>
      <x:c r="I52" s="18" t="str">
        <x:v>International Court of Justice</x:v>
      </x:c>
      <x:c r="J52" s="20" t="str"/>
      <x:c r="K52" s="18" t="str"/>
      <x:c r="L52" s="18" t="str">
        <x:v>International Court of Justice</x:v>
      </x:c>
      <x:c r="M52" s="18" t="str">
        <x:v>Application of the International Convention on the Elimination of All Forms of Racial Discrimination (Georgia v. Russian Federation)</x:v>
      </x:c>
      <x:c r="N52" s="18" t="str"/>
      <x:c r="O52" s="18" t="str"/>
      <x:c r="P52" s="18" t="str"/>
      <x:c r="Q52" s="18" t="str">
        <x:v>140</x:v>
      </x:c>
      <x:c r="R52" s="18" t="str"/>
      <x:c r="S52" s="18" t="str"/>
      <x:c r="T52" s="18" t="str">
        <x:v>COMPLETE_FINITE_SNAPSHOT</x:v>
      </x:c>
      <x:c r="U52" s="18" t="str">
        <x:v>Complete ICJ General List on official all-cases page</x:v>
      </x:c>
      <x:c r="V52" s="18" t="str"/>
      <x:c r="W52" s="18" t="str"/>
      <x:c r="X52" s="20" t="n">
        <x:v>192</x:v>
      </x:c>
      <x:c r="Y52" s="19" t="str">
        <x:f>IFERROR(TODAY()-DATEVALUE(C52),"")</x:f>
      </x:c>
      <x:c r="Z52" s="21" t="n">
        <x:f>ROUND(COUNTA(A52:K52)/11*100,0)</x:f>
        <x:v>100</x:v>
      </x:c>
      <x:c r="AA52" s="18" t="str">
        <x:v>International Court of Justice</x:v>
      </x:c>
      <x:c r="AB52" s="22" t="str">
        <x:v>https://api.icj-cij.org/case/140</x:v>
      </x:c>
      <x:c r="AC52" s="18" t="str"/>
      <x:c r="AD52" s="18" t="n">
        <x:v>46275.42531791667</x:v>
      </x:c>
      <x:c r="AE52" s="18" t="str">
        <x:v>independent_public</x:v>
      </x:c>
      <x:c r="AF52" s="18" t="str">
        <x:v>PARTIAL_NO_DATE</x:v>
      </x:c>
    </x:row>
    <x:row r="53">
      <x:c r="A53" s="18" t="str">
        <x:v>NYT-45-51afe887cd428a64</x:v>
      </x:c>
      <x:c r="B53" s="18" t="str">
        <x:v>Accordance with international law of the unilateral declaration of independence in respect of Kosovo</x:v>
      </x:c>
      <x:c r="C53" s="18" t="str"/>
      <x:c r="D53" s="18" t="str"/>
      <x:c r="E53" s="18" t="str"/>
      <x:c r="F53" s="18" t="str"/>
      <x:c r="G53" s="18" t="str"/>
      <x:c r="H53" s="18" t="str"/>
      <x:c r="I53" s="18" t="str">
        <x:v>International Court of Justice</x:v>
      </x:c>
      <x:c r="J53" s="20" t="str"/>
      <x:c r="K53" s="18" t="str"/>
      <x:c r="L53" s="18" t="str">
        <x:v>International Court of Justice</x:v>
      </x:c>
      <x:c r="M53" s="18" t="str">
        <x:v>Accordance with international law of the unilateral declaration of independence in respect of Kosovo</x:v>
      </x:c>
      <x:c r="N53" s="18" t="str"/>
      <x:c r="O53" s="18" t="str"/>
      <x:c r="P53" s="18" t="str"/>
      <x:c r="Q53" s="18" t="str">
        <x:v>141</x:v>
      </x:c>
      <x:c r="R53" s="18" t="str"/>
      <x:c r="S53" s="18" t="str"/>
      <x:c r="T53" s="18" t="str">
        <x:v>COMPLETE_FINITE_SNAPSHOT</x:v>
      </x:c>
      <x:c r="U53" s="18" t="str">
        <x:v>Complete ICJ General List on official all-cases page</x:v>
      </x:c>
      <x:c r="V53" s="18" t="str"/>
      <x:c r="W53" s="18" t="str"/>
      <x:c r="X53" s="20" t="n">
        <x:v>192</x:v>
      </x:c>
      <x:c r="Y53" s="19" t="str">
        <x:f>IFERROR(TODAY()-DATEVALUE(C53),"")</x:f>
      </x:c>
      <x:c r="Z53" s="21" t="n">
        <x:f>ROUND(COUNTA(A53:K53)/11*100,0)</x:f>
        <x:v>100</x:v>
      </x:c>
      <x:c r="AA53" s="18" t="str">
        <x:v>International Court of Justice</x:v>
      </x:c>
      <x:c r="AB53" s="22" t="str">
        <x:v>https://api.icj-cij.org/case/141</x:v>
      </x:c>
      <x:c r="AC53" s="18" t="str"/>
      <x:c r="AD53" s="18" t="n">
        <x:v>46275.42531791667</x:v>
      </x:c>
      <x:c r="AE53" s="18" t="str">
        <x:v>independent_public</x:v>
      </x:c>
      <x:c r="AF53" s="18" t="str">
        <x:v>PARTIAL_NO_DATE</x:v>
      </x:c>
    </x:row>
    <x:row r="54">
      <x:c r="A54" s="18" t="str">
        <x:v>NYT-45-93bc6c12a4de9ac7</x:v>
      </x:c>
      <x:c r="B54" s="18" t="str">
        <x:v>Certain Questions concerning Diplomatic Relations (Honduras v. Brazil)</x:v>
      </x:c>
      <x:c r="C54" s="18" t="str"/>
      <x:c r="D54" s="18" t="str"/>
      <x:c r="E54" s="18" t="str"/>
      <x:c r="F54" s="18" t="str"/>
      <x:c r="G54" s="18" t="str"/>
      <x:c r="H54" s="18" t="str"/>
      <x:c r="I54" s="18" t="str">
        <x:v>International Court of Justice</x:v>
      </x:c>
      <x:c r="J54" s="20" t="str"/>
      <x:c r="K54" s="18" t="str"/>
      <x:c r="L54" s="18" t="str">
        <x:v>International Court of Justice</x:v>
      </x:c>
      <x:c r="M54" s="18" t="str">
        <x:v>Certain Questions concerning Diplomatic Relations (Honduras v. Brazil)</x:v>
      </x:c>
      <x:c r="N54" s="18" t="str"/>
      <x:c r="O54" s="18" t="str"/>
      <x:c r="P54" s="18" t="str"/>
      <x:c r="Q54" s="18" t="str">
        <x:v>147</x:v>
      </x:c>
      <x:c r="R54" s="18" t="str"/>
      <x:c r="S54" s="18" t="str"/>
      <x:c r="T54" s="18" t="str">
        <x:v>COMPLETE_FINITE_SNAPSHOT</x:v>
      </x:c>
      <x:c r="U54" s="18" t="str">
        <x:v>Complete ICJ General List on official all-cases page</x:v>
      </x:c>
      <x:c r="V54" s="18" t="str"/>
      <x:c r="W54" s="18" t="str"/>
      <x:c r="X54" s="20" t="n">
        <x:v>192</x:v>
      </x:c>
      <x:c r="Y54" s="19" t="str">
        <x:f>IFERROR(TODAY()-DATEVALUE(C54),"")</x:f>
      </x:c>
      <x:c r="Z54" s="21" t="n">
        <x:f>ROUND(COUNTA(A54:K54)/11*100,0)</x:f>
        <x:v>100</x:v>
      </x:c>
      <x:c r="AA54" s="18" t="str">
        <x:v>International Court of Justice</x:v>
      </x:c>
      <x:c r="AB54" s="22" t="str">
        <x:v>https://api.icj-cij.org/case/147</x:v>
      </x:c>
      <x:c r="AC54" s="18" t="str"/>
      <x:c r="AD54" s="18" t="n">
        <x:v>46275.42531791667</x:v>
      </x:c>
      <x:c r="AE54" s="18" t="str">
        <x:v>independent_public</x:v>
      </x:c>
      <x:c r="AF54" s="18" t="str">
        <x:v>PARTIAL_NO_DATE</x:v>
      </x:c>
    </x:row>
    <x:row r="55">
      <x:c r="A55" s="18" t="str">
        <x:v>NYT-45-9a4f71bd92e98f29</x:v>
      </x:c>
      <x:c r="B55" s="18" t="str">
        <x:v>Certain Criminal Proceedings in France (Republic of the Congo v. France)</x:v>
      </x:c>
      <x:c r="C55" s="18" t="str"/>
      <x:c r="D55" s="18" t="str"/>
      <x:c r="E55" s="18" t="str"/>
      <x:c r="F55" s="18" t="str"/>
      <x:c r="G55" s="18" t="str"/>
      <x:c r="H55" s="18" t="str"/>
      <x:c r="I55" s="18" t="str">
        <x:v>International Court of Justice</x:v>
      </x:c>
      <x:c r="J55" s="20" t="str"/>
      <x:c r="K55" s="18" t="str"/>
      <x:c r="L55" s="18" t="str">
        <x:v>International Court of Justice</x:v>
      </x:c>
      <x:c r="M55" s="18" t="str">
        <x:v>Certain Criminal Proceedings in France (Republic of the Congo v. France)</x:v>
      </x:c>
      <x:c r="N55" s="18" t="str"/>
      <x:c r="O55" s="18" t="str"/>
      <x:c r="P55" s="18" t="str"/>
      <x:c r="Q55" s="18" t="str">
        <x:v>129</x:v>
      </x:c>
      <x:c r="R55" s="18" t="str"/>
      <x:c r="S55" s="18" t="str"/>
      <x:c r="T55" s="18" t="str">
        <x:v>COMPLETE_FINITE_SNAPSHOT</x:v>
      </x:c>
      <x:c r="U55" s="18" t="str">
        <x:v>Complete ICJ General List on official all-cases page</x:v>
      </x:c>
      <x:c r="V55" s="18" t="str"/>
      <x:c r="W55" s="18" t="str"/>
      <x:c r="X55" s="20" t="n">
        <x:v>192</x:v>
      </x:c>
      <x:c r="Y55" s="19" t="str">
        <x:f>IFERROR(TODAY()-DATEVALUE(C55),"")</x:f>
      </x:c>
      <x:c r="Z55" s="21" t="n">
        <x:f>ROUND(COUNTA(A55:K55)/11*100,0)</x:f>
        <x:v>100</x:v>
      </x:c>
      <x:c r="AA55" s="18" t="str">
        <x:v>International Court of Justice</x:v>
      </x:c>
      <x:c r="AB55" s="22" t="str">
        <x:v>https://api.icj-cij.org/case/129</x:v>
      </x:c>
      <x:c r="AC55" s="18" t="str"/>
      <x:c r="AD55" s="18" t="n">
        <x:v>46275.42531791667</x:v>
      </x:c>
      <x:c r="AE55" s="18" t="str">
        <x:v>independent_public</x:v>
      </x:c>
      <x:c r="AF55" s="18" t="str">
        <x:v>PARTIAL_NO_DATE</x:v>
      </x:c>
    </x:row>
    <x:row r="56">
      <x:c r="A56" s="18" t="str">
        <x:v>NYT-45-b38c89e29371ecb2</x:v>
      </x:c>
      <x:c r="B56" s="18" t="str">
        <x:v>Pulp Mills on the River Uruguay (Argentina v. Uruguay)</x:v>
      </x:c>
      <x:c r="C56" s="18" t="str"/>
      <x:c r="D56" s="18" t="str"/>
      <x:c r="E56" s="18" t="str"/>
      <x:c r="F56" s="18" t="str"/>
      <x:c r="G56" s="18" t="str"/>
      <x:c r="H56" s="18" t="str"/>
      <x:c r="I56" s="18" t="str">
        <x:v>International Court of Justice</x:v>
      </x:c>
      <x:c r="J56" s="20" t="str"/>
      <x:c r="K56" s="18" t="str"/>
      <x:c r="L56" s="18" t="str">
        <x:v>International Court of Justice</x:v>
      </x:c>
      <x:c r="M56" s="18" t="str">
        <x:v>Pulp Mills on the River Uruguay (Argentina v. Uruguay)</x:v>
      </x:c>
      <x:c r="N56" s="18" t="str"/>
      <x:c r="O56" s="18" t="str"/>
      <x:c r="P56" s="18" t="str"/>
      <x:c r="Q56" s="18" t="str">
        <x:v>135</x:v>
      </x:c>
      <x:c r="R56" s="18" t="str"/>
      <x:c r="S56" s="18" t="str"/>
      <x:c r="T56" s="18" t="str">
        <x:v>COMPLETE_FINITE_SNAPSHOT</x:v>
      </x:c>
      <x:c r="U56" s="18" t="str">
        <x:v>Complete ICJ General List on official all-cases page</x:v>
      </x:c>
      <x:c r="V56" s="18" t="str"/>
      <x:c r="W56" s="18" t="str"/>
      <x:c r="X56" s="20" t="n">
        <x:v>192</x:v>
      </x:c>
      <x:c r="Y56" s="19" t="str">
        <x:f>IFERROR(TODAY()-DATEVALUE(C56),"")</x:f>
      </x:c>
      <x:c r="Z56" s="21" t="n">
        <x:f>ROUND(COUNTA(A56:K56)/11*100,0)</x:f>
        <x:v>100</x:v>
      </x:c>
      <x:c r="AA56" s="18" t="str">
        <x:v>International Court of Justice</x:v>
      </x:c>
      <x:c r="AB56" s="22" t="str">
        <x:v>https://api.icj-cij.org/case/135</x:v>
      </x:c>
      <x:c r="AC56" s="18" t="str"/>
      <x:c r="AD56" s="18" t="n">
        <x:v>46275.42531791667</x:v>
      </x:c>
      <x:c r="AE56" s="18" t="str">
        <x:v>independent_public</x:v>
      </x:c>
      <x:c r="AF56" s="18" t="str">
        <x:v>PARTIAL_NO_DATE</x:v>
      </x:c>
    </x:row>
    <x:row r="57">
      <x:c r="A57" s="18" t="str">
        <x:v>NYT-45-07cf94db97ff835d</x:v>
      </x:c>
      <x:c r="B57" s="18" t="str">
        <x:v>Dispute regarding Navigational and Related Rights (Costa Rica v. Nicaragua)</x:v>
      </x:c>
      <x:c r="C57" s="18" t="str"/>
      <x:c r="D57" s="18" t="str"/>
      <x:c r="E57" s="18" t="str"/>
      <x:c r="F57" s="18" t="str"/>
      <x:c r="G57" s="18" t="str"/>
      <x:c r="H57" s="18" t="str"/>
      <x:c r="I57" s="18" t="str">
        <x:v>International Court of Justice</x:v>
      </x:c>
      <x:c r="J57" s="20" t="str"/>
      <x:c r="K57" s="18" t="str"/>
      <x:c r="L57" s="18" t="str">
        <x:v>International Court of Justice</x:v>
      </x:c>
      <x:c r="M57" s="18" t="str">
        <x:v>Dispute regarding Navigational and Related Rights (Costa Rica v. Nicaragua)</x:v>
      </x:c>
      <x:c r="N57" s="18" t="str"/>
      <x:c r="O57" s="18" t="str"/>
      <x:c r="P57" s="18" t="str"/>
      <x:c r="Q57" s="18" t="str">
        <x:v>133</x:v>
      </x:c>
      <x:c r="R57" s="18" t="str"/>
      <x:c r="S57" s="18" t="str"/>
      <x:c r="T57" s="18" t="str">
        <x:v>COMPLETE_FINITE_SNAPSHOT</x:v>
      </x:c>
      <x:c r="U57" s="18" t="str">
        <x:v>Complete ICJ General List on official all-cases page</x:v>
      </x:c>
      <x:c r="V57" s="18" t="str"/>
      <x:c r="W57" s="18" t="str"/>
      <x:c r="X57" s="20" t="n">
        <x:v>192</x:v>
      </x:c>
      <x:c r="Y57" s="19" t="str">
        <x:f>IFERROR(TODAY()-DATEVALUE(C57),"")</x:f>
      </x:c>
      <x:c r="Z57" s="21" t="n">
        <x:f>ROUND(COUNTA(A57:K57)/11*100,0)</x:f>
        <x:v>100</x:v>
      </x:c>
      <x:c r="AA57" s="18" t="str">
        <x:v>International Court of Justice</x:v>
      </x:c>
      <x:c r="AB57" s="22" t="str">
        <x:v>https://api.icj-cij.org/case/133</x:v>
      </x:c>
      <x:c r="AC57" s="18" t="str"/>
      <x:c r="AD57" s="18" t="n">
        <x:v>46275.42531791667</x:v>
      </x:c>
      <x:c r="AE57" s="18" t="str">
        <x:v>independent_public</x:v>
      </x:c>
      <x:c r="AF57" s="18" t="str">
        <x:v>PARTIAL_NO_DATE</x:v>
      </x:c>
    </x:row>
    <x:row r="58">
      <x:c r="A58" s="18" t="str">
        <x:v>NYT-45-840d7589459f2013</x:v>
      </x:c>
      <x:c r="B58" s="18" t="str">
        <x:v>Request for Interpretation of the Judgment of 31 March 2004 in the Case concerning Avena and Other Mexican Nationals (Mexico v. United States of America) (Mexico v. United States of America)</x:v>
      </x:c>
      <x:c r="C58" s="18" t="str"/>
      <x:c r="D58" s="18" t="str"/>
      <x:c r="E58" s="18" t="str"/>
      <x:c r="F58" s="18" t="str"/>
      <x:c r="G58" s="18" t="str"/>
      <x:c r="H58" s="18" t="str"/>
      <x:c r="I58" s="18" t="str">
        <x:v>International Court of Justice</x:v>
      </x:c>
      <x:c r="J58" s="20" t="str"/>
      <x:c r="K58" s="18" t="str"/>
      <x:c r="L58" s="18" t="str">
        <x:v>International Court of Justice</x:v>
      </x:c>
      <x:c r="M58" s="18" t="str">
        <x:v>Request for Interpretation of the Judgment of 31 March 2004 in the Case concerning Avena and Other Mexican Nationals (Mexico v. United States of America) (Mexico v. United States of America)</x:v>
      </x:c>
      <x:c r="N58" s="18" t="str"/>
      <x:c r="O58" s="18" t="str"/>
      <x:c r="P58" s="18" t="str"/>
      <x:c r="Q58" s="18" t="str">
        <x:v>139</x:v>
      </x:c>
      <x:c r="R58" s="18" t="str"/>
      <x:c r="S58" s="18" t="str"/>
      <x:c r="T58" s="18" t="str">
        <x:v>COMPLETE_FINITE_SNAPSHOT</x:v>
      </x:c>
      <x:c r="U58" s="18" t="str">
        <x:v>Complete ICJ General List on official all-cases page</x:v>
      </x:c>
      <x:c r="V58" s="18" t="str"/>
      <x:c r="W58" s="18" t="str"/>
      <x:c r="X58" s="20" t="n">
        <x:v>192</x:v>
      </x:c>
      <x:c r="Y58" s="19" t="str">
        <x:f>IFERROR(TODAY()-DATEVALUE(C58),"")</x:f>
      </x:c>
      <x:c r="Z58" s="21" t="n">
        <x:f>ROUND(COUNTA(A58:K58)/11*100,0)</x:f>
        <x:v>100</x:v>
      </x:c>
      <x:c r="AA58" s="18" t="str">
        <x:v>International Court of Justice</x:v>
      </x:c>
      <x:c r="AB58" s="22" t="str">
        <x:v>https://api.icj-cij.org/case/139</x:v>
      </x:c>
      <x:c r="AC58" s="18" t="str"/>
      <x:c r="AD58" s="18" t="n">
        <x:v>46275.42531791667</x:v>
      </x:c>
      <x:c r="AE58" s="18" t="str">
        <x:v>independent_public</x:v>
      </x:c>
      <x:c r="AF58" s="18" t="str">
        <x:v>PARTIAL_NO_DATE</x:v>
      </x:c>
    </x:row>
    <x:row r="59">
      <x:c r="A59" s="18" t="str">
        <x:v>NYT-45-30c9881d673c6403</x:v>
      </x:c>
      <x:c r="B59" s="18" t="str">
        <x:v>Maritime Delimitation in the Black Sea (Romania v. Ukraine)</x:v>
      </x:c>
      <x:c r="C59" s="18" t="str"/>
      <x:c r="D59" s="18" t="str"/>
      <x:c r="E59" s="18" t="str"/>
      <x:c r="F59" s="18" t="str"/>
      <x:c r="G59" s="18" t="str"/>
      <x:c r="H59" s="18" t="str"/>
      <x:c r="I59" s="18" t="str">
        <x:v>International Court of Justice</x:v>
      </x:c>
      <x:c r="J59" s="20" t="str"/>
      <x:c r="K59" s="18" t="str"/>
      <x:c r="L59" s="18" t="str">
        <x:v>International Court of Justice</x:v>
      </x:c>
      <x:c r="M59" s="18" t="str">
        <x:v>Maritime Delimitation in the Black Sea (Romania v. Ukraine)</x:v>
      </x:c>
      <x:c r="N59" s="18" t="str"/>
      <x:c r="O59" s="18" t="str"/>
      <x:c r="P59" s="18" t="str"/>
      <x:c r="Q59" s="18" t="str">
        <x:v>132</x:v>
      </x:c>
      <x:c r="R59" s="18" t="str"/>
      <x:c r="S59" s="18" t="str"/>
      <x:c r="T59" s="18" t="str">
        <x:v>COMPLETE_FINITE_SNAPSHOT</x:v>
      </x:c>
      <x:c r="U59" s="18" t="str">
        <x:v>Complete ICJ General List on official all-cases page</x:v>
      </x:c>
      <x:c r="V59" s="18" t="str"/>
      <x:c r="W59" s="18" t="str"/>
      <x:c r="X59" s="20" t="n">
        <x:v>192</x:v>
      </x:c>
      <x:c r="Y59" s="19" t="str">
        <x:f>IFERROR(TODAY()-DATEVALUE(C59),"")</x:f>
      </x:c>
      <x:c r="Z59" s="21" t="n">
        <x:f>ROUND(COUNTA(A59:K59)/11*100,0)</x:f>
        <x:v>100</x:v>
      </x:c>
      <x:c r="AA59" s="18" t="str">
        <x:v>International Court of Justice</x:v>
      </x:c>
      <x:c r="AB59" s="22" t="str">
        <x:v>https://api.icj-cij.org/case/132</x:v>
      </x:c>
      <x:c r="AC59" s="18" t="str"/>
      <x:c r="AD59" s="18" t="n">
        <x:v>46275.42531791667</x:v>
      </x:c>
      <x:c r="AE59" s="18" t="str">
        <x:v>independent_public</x:v>
      </x:c>
      <x:c r="AF59" s="18" t="str">
        <x:v>PARTIAL_NO_DATE</x:v>
      </x:c>
    </x:row>
    <x:row r="60">
      <x:c r="A60" s="18" t="str">
        <x:v>NYT-45-d8f3b985aeaa1728</x:v>
      </x:c>
      <x:c r="B60" s="18" t="str">
        <x:v>Certain Questions of Mutual Assistance in Criminal Matters (Djibouti v. France)</x:v>
      </x:c>
      <x:c r="C60" s="18" t="str"/>
      <x:c r="D60" s="18" t="str"/>
      <x:c r="E60" s="18" t="str"/>
      <x:c r="F60" s="18" t="str"/>
      <x:c r="G60" s="18" t="str"/>
      <x:c r="H60" s="18" t="str"/>
      <x:c r="I60" s="18" t="str">
        <x:v>International Court of Justice</x:v>
      </x:c>
      <x:c r="J60" s="20" t="str"/>
      <x:c r="K60" s="18" t="str"/>
      <x:c r="L60" s="18" t="str">
        <x:v>International Court of Justice</x:v>
      </x:c>
      <x:c r="M60" s="18" t="str">
        <x:v>Certain Questions of Mutual Assistance in Criminal Matters (Djibouti v. France)</x:v>
      </x:c>
      <x:c r="N60" s="18" t="str"/>
      <x:c r="O60" s="18" t="str"/>
      <x:c r="P60" s="18" t="str"/>
      <x:c r="Q60" s="18" t="str">
        <x:v>136</x:v>
      </x:c>
      <x:c r="R60" s="18" t="str"/>
      <x:c r="S60" s="18" t="str"/>
      <x:c r="T60" s="18" t="str">
        <x:v>COMPLETE_FINITE_SNAPSHOT</x:v>
      </x:c>
      <x:c r="U60" s="18" t="str">
        <x:v>Complete ICJ General List on official all-cases page</x:v>
      </x:c>
      <x:c r="V60" s="18" t="str"/>
      <x:c r="W60" s="18" t="str"/>
      <x:c r="X60" s="20" t="n">
        <x:v>192</x:v>
      </x:c>
      <x:c r="Y60" s="19" t="str">
        <x:f>IFERROR(TODAY()-DATEVALUE(C60),"")</x:f>
      </x:c>
      <x:c r="Z60" s="21" t="n">
        <x:f>ROUND(COUNTA(A60:K60)/11*100,0)</x:f>
        <x:v>100</x:v>
      </x:c>
      <x:c r="AA60" s="18" t="str">
        <x:v>International Court of Justice</x:v>
      </x:c>
      <x:c r="AB60" s="22" t="str">
        <x:v>https://api.icj-cij.org/case/136</x:v>
      </x:c>
      <x:c r="AC60" s="18" t="str"/>
      <x:c r="AD60" s="18" t="n">
        <x:v>46275.42531791667</x:v>
      </x:c>
      <x:c r="AE60" s="18" t="str">
        <x:v>independent_public</x:v>
      </x:c>
      <x:c r="AF60" s="18" t="str">
        <x:v>PARTIAL_NO_DATE</x:v>
      </x:c>
    </x:row>
    <x:row r="61">
      <x:c r="A61" s="18" t="str">
        <x:v>NYT-45-b8ed10f45bfafea0</x:v>
      </x:c>
      <x:c r="B61" s="18" t="str">
        <x:v>Sovereignty over Pedra Branca/Pulau Batu Puteh, Middle Rocks and South Ledge (Malaysia/Singapore)</x:v>
      </x:c>
      <x:c r="C61" s="18" t="str"/>
      <x:c r="D61" s="18" t="str"/>
      <x:c r="E61" s="18" t="str"/>
      <x:c r="F61" s="18" t="str"/>
      <x:c r="G61" s="18" t="str"/>
      <x:c r="H61" s="18" t="str"/>
      <x:c r="I61" s="18" t="str">
        <x:v>International Court of Justice</x:v>
      </x:c>
      <x:c r="J61" s="20" t="str"/>
      <x:c r="K61" s="18" t="str"/>
      <x:c r="L61" s="18" t="str">
        <x:v>International Court of Justice</x:v>
      </x:c>
      <x:c r="M61" s="18" t="str">
        <x:v>Sovereignty over Pedra Branca/Pulau Batu Puteh, Middle Rocks and South Ledge (Malaysia/Singapore)</x:v>
      </x:c>
      <x:c r="N61" s="18" t="str"/>
      <x:c r="O61" s="18" t="str"/>
      <x:c r="P61" s="18" t="str"/>
      <x:c r="Q61" s="18" t="str">
        <x:v>130</x:v>
      </x:c>
      <x:c r="R61" s="18" t="str"/>
      <x:c r="S61" s="18" t="str"/>
      <x:c r="T61" s="18" t="str">
        <x:v>COMPLETE_FINITE_SNAPSHOT</x:v>
      </x:c>
      <x:c r="U61" s="18" t="str">
        <x:v>Complete ICJ General List on official all-cases page</x:v>
      </x:c>
      <x:c r="V61" s="18" t="str"/>
      <x:c r="W61" s="18" t="str"/>
      <x:c r="X61" s="20" t="n">
        <x:v>192</x:v>
      </x:c>
      <x:c r="Y61" s="19" t="str">
        <x:f>IFERROR(TODAY()-DATEVALUE(C61),"")</x:f>
      </x:c>
      <x:c r="Z61" s="21" t="n">
        <x:f>ROUND(COUNTA(A61:K61)/11*100,0)</x:f>
        <x:v>100</x:v>
      </x:c>
      <x:c r="AA61" s="18" t="str">
        <x:v>International Court of Justice</x:v>
      </x:c>
      <x:c r="AB61" s="22" t="str">
        <x:v>https://api.icj-cij.org/case/130</x:v>
      </x:c>
      <x:c r="AC61" s="18" t="str"/>
      <x:c r="AD61" s="18" t="n">
        <x:v>46275.42531791667</x:v>
      </x:c>
      <x:c r="AE61" s="18" t="str">
        <x:v>independent_public</x:v>
      </x:c>
      <x:c r="AF61" s="18" t="str">
        <x:v>PARTIAL_NO_DATE</x:v>
      </x:c>
    </x:row>
    <x:row r="62">
      <x:c r="A62" s="18" t="str">
        <x:v>NYT-45-5ff408e2b7caeb06</x:v>
      </x:c>
      <x:c r="B62" s="18" t="str">
        <x:v>Application of the Convention on the Prevention and Punishment of the Crime of Genocide (Bosnia and Herzegovina v. Serbia and Montenegro)</x:v>
      </x:c>
      <x:c r="C62" s="18" t="str"/>
      <x:c r="D62" s="18" t="str"/>
      <x:c r="E62" s="18" t="str"/>
      <x:c r="F62" s="18" t="str"/>
      <x:c r="G62" s="18" t="str"/>
      <x:c r="H62" s="18" t="str"/>
      <x:c r="I62" s="18" t="str">
        <x:v>International Court of Justice</x:v>
      </x:c>
      <x:c r="J62" s="20" t="str"/>
      <x:c r="K62" s="18" t="str"/>
      <x:c r="L62" s="18" t="str">
        <x:v>International Court of Justice</x:v>
      </x:c>
      <x:c r="M62" s="18" t="str">
        <x:v>Application of the Convention on the Prevention and Punishment of the Crime of Genocide (Bosnia and Herzegovina v. Serbia and Montenegro)</x:v>
      </x:c>
      <x:c r="N62" s="18" t="str"/>
      <x:c r="O62" s="18" t="str"/>
      <x:c r="P62" s="18" t="str"/>
      <x:c r="Q62" s="18" t="str">
        <x:v>91</x:v>
      </x:c>
      <x:c r="R62" s="18" t="str"/>
      <x:c r="S62" s="18" t="str"/>
      <x:c r="T62" s="18" t="str">
        <x:v>COMPLETE_FINITE_SNAPSHOT</x:v>
      </x:c>
      <x:c r="U62" s="18" t="str">
        <x:v>Complete ICJ General List on official all-cases page</x:v>
      </x:c>
      <x:c r="V62" s="18" t="str"/>
      <x:c r="W62" s="18" t="str"/>
      <x:c r="X62" s="20" t="n">
        <x:v>192</x:v>
      </x:c>
      <x:c r="Y62" s="19" t="str">
        <x:f>IFERROR(TODAY()-DATEVALUE(C62),"")</x:f>
      </x:c>
      <x:c r="Z62" s="21" t="n">
        <x:f>ROUND(COUNTA(A62:K62)/11*100,0)</x:f>
        <x:v>100</x:v>
      </x:c>
      <x:c r="AA62" s="18" t="str">
        <x:v>International Court of Justice</x:v>
      </x:c>
      <x:c r="AB62" s="22" t="str">
        <x:v>https://api.icj-cij.org/case/91</x:v>
      </x:c>
      <x:c r="AC62" s="18" t="str"/>
      <x:c r="AD62" s="18" t="n">
        <x:v>46275.42531791667</x:v>
      </x:c>
      <x:c r="AE62" s="18" t="str">
        <x:v>independent_public</x:v>
      </x:c>
      <x:c r="AF62" s="18" t="str">
        <x:v>PARTIAL_NO_DATE</x:v>
      </x:c>
    </x:row>
    <x:row r="63">
      <x:c r="A63" s="18" t="str">
        <x:v>NYT-45-f6f5bc8c5ca726ca</x:v>
      </x:c>
      <x:c r="B63" s="18" t="str">
        <x:v>Territorial and Maritime Dispute between Nicaragua and Honduras in the Caribbean Sea (Nicaragua v. Honduras)</x:v>
      </x:c>
      <x:c r="C63" s="18" t="str"/>
      <x:c r="D63" s="18" t="str"/>
      <x:c r="E63" s="18" t="str"/>
      <x:c r="F63" s="18" t="str"/>
      <x:c r="G63" s="18" t="str"/>
      <x:c r="H63" s="18" t="str"/>
      <x:c r="I63" s="18" t="str">
        <x:v>International Court of Justice</x:v>
      </x:c>
      <x:c r="J63" s="20" t="str"/>
      <x:c r="K63" s="18" t="str"/>
      <x:c r="L63" s="18" t="str">
        <x:v>International Court of Justice</x:v>
      </x:c>
      <x:c r="M63" s="18" t="str">
        <x:v>Territorial and Maritime Dispute between Nicaragua and Honduras in the Caribbean Sea (Nicaragua v. Honduras)</x:v>
      </x:c>
      <x:c r="N63" s="18" t="str"/>
      <x:c r="O63" s="18" t="str"/>
      <x:c r="P63" s="18" t="str"/>
      <x:c r="Q63" s="18" t="str">
        <x:v>120</x:v>
      </x:c>
      <x:c r="R63" s="18" t="str"/>
      <x:c r="S63" s="18" t="str"/>
      <x:c r="T63" s="18" t="str">
        <x:v>COMPLETE_FINITE_SNAPSHOT</x:v>
      </x:c>
      <x:c r="U63" s="18" t="str">
        <x:v>Complete ICJ General List on official all-cases page</x:v>
      </x:c>
      <x:c r="V63" s="18" t="str"/>
      <x:c r="W63" s="18" t="str"/>
      <x:c r="X63" s="20" t="n">
        <x:v>192</x:v>
      </x:c>
      <x:c r="Y63" s="19" t="str">
        <x:f>IFERROR(TODAY()-DATEVALUE(C63),"")</x:f>
      </x:c>
      <x:c r="Z63" s="21" t="n">
        <x:f>ROUND(COUNTA(A63:K63)/11*100,0)</x:f>
        <x:v>100</x:v>
      </x:c>
      <x:c r="AA63" s="18" t="str">
        <x:v>International Court of Justice</x:v>
      </x:c>
      <x:c r="AB63" s="22" t="str">
        <x:v>https://api.icj-cij.org/case/120</x:v>
      </x:c>
      <x:c r="AC63" s="18" t="str"/>
      <x:c r="AD63" s="18" t="n">
        <x:v>46275.42531791667</x:v>
      </x:c>
      <x:c r="AE63" s="18" t="str">
        <x:v>independent_public</x:v>
      </x:c>
      <x:c r="AF63" s="18" t="str">
        <x:v>PARTIAL_NO_DATE</x:v>
      </x:c>
    </x:row>
    <x:row r="64">
      <x:c r="A64" s="18" t="str">
        <x:v>NYT-45-04467520cdc1ac9f</x:v>
      </x:c>
      <x:c r="B64" s="18" t="str">
        <x:v>Armed Activities on the Territory of the Congo (New Application: 2002) (Democratic Republic of the Congo v. Rwanda)</x:v>
      </x:c>
      <x:c r="C64" s="18" t="str"/>
      <x:c r="D64" s="18" t="str"/>
      <x:c r="E64" s="18" t="str"/>
      <x:c r="F64" s="18" t="str"/>
      <x:c r="G64" s="18" t="str"/>
      <x:c r="H64" s="18" t="str"/>
      <x:c r="I64" s="18" t="str">
        <x:v>International Court of Justice</x:v>
      </x:c>
      <x:c r="J64" s="20" t="str"/>
      <x:c r="K64" s="18" t="str"/>
      <x:c r="L64" s="18" t="str">
        <x:v>International Court of Justice</x:v>
      </x:c>
      <x:c r="M64" s="18" t="str">
        <x:v>Armed Activities on the Territory of the Congo (New Application: 2002) (Democratic Republic of the Congo v. Rwanda)</x:v>
      </x:c>
      <x:c r="N64" s="18" t="str"/>
      <x:c r="O64" s="18" t="str"/>
      <x:c r="P64" s="18" t="str"/>
      <x:c r="Q64" s="18" t="str">
        <x:v>126</x:v>
      </x:c>
      <x:c r="R64" s="18" t="str"/>
      <x:c r="S64" s="18" t="str"/>
      <x:c r="T64" s="18" t="str">
        <x:v>COMPLETE_FINITE_SNAPSHOT</x:v>
      </x:c>
      <x:c r="U64" s="18" t="str">
        <x:v>Complete ICJ General List on official all-cases page</x:v>
      </x:c>
      <x:c r="V64" s="18" t="str"/>
      <x:c r="W64" s="18" t="str"/>
      <x:c r="X64" s="20" t="n">
        <x:v>192</x:v>
      </x:c>
      <x:c r="Y64" s="19" t="str">
        <x:f>IFERROR(TODAY()-DATEVALUE(C64),"")</x:f>
      </x:c>
      <x:c r="Z64" s="21" t="n">
        <x:f>ROUND(COUNTA(A64:K64)/11*100,0)</x:f>
        <x:v>100</x:v>
      </x:c>
      <x:c r="AA64" s="18" t="str">
        <x:v>International Court of Justice</x:v>
      </x:c>
      <x:c r="AB64" s="22" t="str">
        <x:v>https://api.icj-cij.org/case/126</x:v>
      </x:c>
      <x:c r="AC64" s="18" t="str"/>
      <x:c r="AD64" s="18" t="n">
        <x:v>46275.42531791667</x:v>
      </x:c>
      <x:c r="AE64" s="18" t="str">
        <x:v>independent_public</x:v>
      </x:c>
      <x:c r="AF64" s="18" t="str">
        <x:v>PARTIAL_NO_DATE</x:v>
      </x:c>
    </x:row>
    <x:row r="65">
      <x:c r="A65" s="18" t="str">
        <x:v>NYT-45-a2b94e983a5c2316</x:v>
      </x:c>
      <x:c r="B65" s="18" t="str">
        <x:v>Status vis-à -vis the Host State of a Diplomatic Envoy to the United Nations (Commonwealth of Dominica v. Switzerland)</x:v>
      </x:c>
      <x:c r="C65" s="18" t="str"/>
      <x:c r="D65" s="18" t="str"/>
      <x:c r="E65" s="18" t="str"/>
      <x:c r="F65" s="18" t="str"/>
      <x:c r="G65" s="18" t="str"/>
      <x:c r="H65" s="18" t="str"/>
      <x:c r="I65" s="18" t="str">
        <x:v>International Court of Justice</x:v>
      </x:c>
      <x:c r="J65" s="20" t="str"/>
      <x:c r="K65" s="18" t="str"/>
      <x:c r="L65" s="18" t="str">
        <x:v>International Court of Justice</x:v>
      </x:c>
      <x:c r="M65" s="18" t="str">
        <x:v>Status vis-à -vis the Host State of a Diplomatic Envoy to the United Nations (Commonwealth of Dominica v. Switzerland)</x:v>
      </x:c>
      <x:c r="N65" s="18" t="str"/>
      <x:c r="O65" s="18" t="str"/>
      <x:c r="P65" s="18" t="str"/>
      <x:c r="Q65" s="18" t="str">
        <x:v>134</x:v>
      </x:c>
      <x:c r="R65" s="18" t="str"/>
      <x:c r="S65" s="18" t="str"/>
      <x:c r="T65" s="18" t="str">
        <x:v>COMPLETE_FINITE_SNAPSHOT</x:v>
      </x:c>
      <x:c r="U65" s="18" t="str">
        <x:v>Complete ICJ General List on official all-cases page</x:v>
      </x:c>
      <x:c r="V65" s="18" t="str"/>
      <x:c r="W65" s="18" t="str"/>
      <x:c r="X65" s="20" t="n">
        <x:v>192</x:v>
      </x:c>
      <x:c r="Y65" s="19" t="str">
        <x:f>IFERROR(TODAY()-DATEVALUE(C65),"")</x:f>
      </x:c>
      <x:c r="Z65" s="21" t="n">
        <x:f>ROUND(COUNTA(A65:K65)/11*100,0)</x:f>
        <x:v>100</x:v>
      </x:c>
      <x:c r="AA65" s="18" t="str">
        <x:v>International Court of Justice</x:v>
      </x:c>
      <x:c r="AB65" s="22" t="str">
        <x:v>https://api.icj-cij.org/case/134</x:v>
      </x:c>
      <x:c r="AC65" s="18" t="str"/>
      <x:c r="AD65" s="18" t="n">
        <x:v>46275.42531791667</x:v>
      </x:c>
      <x:c r="AE65" s="18" t="str">
        <x:v>independent_public</x:v>
      </x:c>
      <x:c r="AF65" s="18" t="str">
        <x:v>PARTIAL_NO_DATE</x:v>
      </x:c>
    </x:row>
    <x:row r="66">
      <x:c r="A66" s="18" t="str">
        <x:v>NYT-45-ff5d333714d7932e</x:v>
      </x:c>
      <x:c r="B66" s="18" t="str">
        <x:v>Certain Property (Liechtenstein v. Germany)</x:v>
      </x:c>
      <x:c r="C66" s="18" t="str"/>
      <x:c r="D66" s="18" t="str"/>
      <x:c r="E66" s="18" t="str"/>
      <x:c r="F66" s="18" t="str"/>
      <x:c r="G66" s="18" t="str"/>
      <x:c r="H66" s="18" t="str"/>
      <x:c r="I66" s="18" t="str">
        <x:v>International Court of Justice</x:v>
      </x:c>
      <x:c r="J66" s="20" t="str"/>
      <x:c r="K66" s="18" t="str"/>
      <x:c r="L66" s="18" t="str">
        <x:v>International Court of Justice</x:v>
      </x:c>
      <x:c r="M66" s="18" t="str">
        <x:v>Certain Property (Liechtenstein v. Germany)</x:v>
      </x:c>
      <x:c r="N66" s="18" t="str"/>
      <x:c r="O66" s="18" t="str"/>
      <x:c r="P66" s="18" t="str"/>
      <x:c r="Q66" s="18" t="str">
        <x:v>123</x:v>
      </x:c>
      <x:c r="R66" s="18" t="str"/>
      <x:c r="S66" s="18" t="str"/>
      <x:c r="T66" s="18" t="str">
        <x:v>COMPLETE_FINITE_SNAPSHOT</x:v>
      </x:c>
      <x:c r="U66" s="18" t="str">
        <x:v>Complete ICJ General List on official all-cases page</x:v>
      </x:c>
      <x:c r="V66" s="18" t="str"/>
      <x:c r="W66" s="18" t="str"/>
      <x:c r="X66" s="20" t="n">
        <x:v>192</x:v>
      </x:c>
      <x:c r="Y66" s="19" t="str">
        <x:f>IFERROR(TODAY()-DATEVALUE(C66),"")</x:f>
      </x:c>
      <x:c r="Z66" s="21" t="n">
        <x:f>ROUND(COUNTA(A66:K66)/11*100,0)</x:f>
        <x:v>100</x:v>
      </x:c>
      <x:c r="AA66" s="18" t="str">
        <x:v>International Court of Justice</x:v>
      </x:c>
      <x:c r="AB66" s="22" t="str">
        <x:v>https://api.icj-cij.org/case/123</x:v>
      </x:c>
      <x:c r="AC66" s="18" t="str"/>
      <x:c r="AD66" s="18" t="n">
        <x:v>46275.42531791667</x:v>
      </x:c>
      <x:c r="AE66" s="18" t="str">
        <x:v>independent_public</x:v>
      </x:c>
      <x:c r="AF66" s="18" t="str">
        <x:v>PARTIAL_NO_DATE</x:v>
      </x:c>
    </x:row>
    <x:row r="67">
      <x:c r="A67" s="18" t="str">
        <x:v>NYT-45-9bcdcbb4a1d19b52</x:v>
      </x:c>
      <x:c r="B67" s="18" t="str">
        <x:v>Frontier Dispute (Benin/Niger)</x:v>
      </x:c>
      <x:c r="C67" s="18" t="str"/>
      <x:c r="D67" s="18" t="str"/>
      <x:c r="E67" s="18" t="str"/>
      <x:c r="F67" s="18" t="str"/>
      <x:c r="G67" s="18" t="str"/>
      <x:c r="H67" s="18" t="str"/>
      <x:c r="I67" s="18" t="str">
        <x:v>International Court of Justice</x:v>
      </x:c>
      <x:c r="J67" s="20" t="str"/>
      <x:c r="K67" s="18" t="str"/>
      <x:c r="L67" s="18" t="str">
        <x:v>International Court of Justice</x:v>
      </x:c>
      <x:c r="M67" s="18" t="str">
        <x:v>Frontier Dispute (Benin/Niger)</x:v>
      </x:c>
      <x:c r="N67" s="18" t="str"/>
      <x:c r="O67" s="18" t="str"/>
      <x:c r="P67" s="18" t="str"/>
      <x:c r="Q67" s="18" t="str">
        <x:v>125</x:v>
      </x:c>
      <x:c r="R67" s="18" t="str"/>
      <x:c r="S67" s="18" t="str"/>
      <x:c r="T67" s="18" t="str">
        <x:v>COMPLETE_FINITE_SNAPSHOT</x:v>
      </x:c>
      <x:c r="U67" s="18" t="str">
        <x:v>Complete ICJ General List on official all-cases page</x:v>
      </x:c>
      <x:c r="V67" s="18" t="str"/>
      <x:c r="W67" s="18" t="str"/>
      <x:c r="X67" s="20" t="n">
        <x:v>192</x:v>
      </x:c>
      <x:c r="Y67" s="19" t="str">
        <x:f>IFERROR(TODAY()-DATEVALUE(C67),"")</x:f>
      </x:c>
      <x:c r="Z67" s="21" t="n">
        <x:f>ROUND(COUNTA(A67:K67)/11*100,0)</x:f>
        <x:v>100</x:v>
      </x:c>
      <x:c r="AA67" s="18" t="str">
        <x:v>International Court of Justice</x:v>
      </x:c>
      <x:c r="AB67" s="22" t="str">
        <x:v>https://api.icj-cij.org/case/125</x:v>
      </x:c>
      <x:c r="AC67" s="18" t="str"/>
      <x:c r="AD67" s="18" t="n">
        <x:v>46275.42531791667</x:v>
      </x:c>
      <x:c r="AE67" s="18" t="str">
        <x:v>independent_public</x:v>
      </x:c>
      <x:c r="AF67" s="18" t="str">
        <x:v>PARTIAL_NO_DATE</x:v>
      </x:c>
    </x:row>
    <x:row r="68">
      <x:c r="A68" s="18" t="str">
        <x:v>NYT-45-8332990c2cb0cb9f</x:v>
      </x:c>
      <x:c r="B68" s="18" t="str">
        <x:v>Legality of Use of Force (Serbia and Montenegro v. France)</x:v>
      </x:c>
      <x:c r="C68" s="18" t="str"/>
      <x:c r="D68" s="18" t="str"/>
      <x:c r="E68" s="18" t="str"/>
      <x:c r="F68" s="18" t="str"/>
      <x:c r="G68" s="18" t="str"/>
      <x:c r="H68" s="18" t="str"/>
      <x:c r="I68" s="18" t="str">
        <x:v>International Court of Justice</x:v>
      </x:c>
      <x:c r="J68" s="20" t="str"/>
      <x:c r="K68" s="18" t="str"/>
      <x:c r="L68" s="18" t="str">
        <x:v>International Court of Justice</x:v>
      </x:c>
      <x:c r="M68" s="18" t="str">
        <x:v>Legality of Use of Force (Serbia and Montenegro v. France)</x:v>
      </x:c>
      <x:c r="N68" s="18" t="str"/>
      <x:c r="O68" s="18" t="str"/>
      <x:c r="P68" s="18" t="str"/>
      <x:c r="Q68" s="18" t="str">
        <x:v>107</x:v>
      </x:c>
      <x:c r="R68" s="18" t="str"/>
      <x:c r="S68" s="18" t="str"/>
      <x:c r="T68" s="18" t="str">
        <x:v>COMPLETE_FINITE_SNAPSHOT</x:v>
      </x:c>
      <x:c r="U68" s="18" t="str">
        <x:v>Complete ICJ General List on official all-cases page</x:v>
      </x:c>
      <x:c r="V68" s="18" t="str"/>
      <x:c r="W68" s="18" t="str"/>
      <x:c r="X68" s="20" t="n">
        <x:v>192</x:v>
      </x:c>
      <x:c r="Y68" s="19" t="str">
        <x:f>IFERROR(TODAY()-DATEVALUE(C68),"")</x:f>
      </x:c>
      <x:c r="Z68" s="21" t="n">
        <x:f>ROUND(COUNTA(A68:K68)/11*100,0)</x:f>
        <x:v>100</x:v>
      </x:c>
      <x:c r="AA68" s="18" t="str">
        <x:v>International Court of Justice</x:v>
      </x:c>
      <x:c r="AB68" s="22" t="str">
        <x:v>https://api.icj-cij.org/case/107</x:v>
      </x:c>
      <x:c r="AC68" s="18" t="str"/>
      <x:c r="AD68" s="18" t="n">
        <x:v>46275.42531791667</x:v>
      </x:c>
      <x:c r="AE68" s="18" t="str">
        <x:v>independent_public</x:v>
      </x:c>
      <x:c r="AF68" s="18" t="str">
        <x:v>PARTIAL_NO_DATE</x:v>
      </x:c>
    </x:row>
    <x:row r="69">
      <x:c r="A69" s="18" t="str">
        <x:v>NYT-45-b0ccf71d2968bee1</x:v>
      </x:c>
      <x:c r="B69" s="18" t="str">
        <x:v>Legality of Use of Force (Serbia and Montenegro v. Italy)</x:v>
      </x:c>
      <x:c r="C69" s="18" t="str"/>
      <x:c r="D69" s="18" t="str"/>
      <x:c r="E69" s="18" t="str"/>
      <x:c r="F69" s="18" t="str"/>
      <x:c r="G69" s="18" t="str"/>
      <x:c r="H69" s="18" t="str"/>
      <x:c r="I69" s="18" t="str">
        <x:v>International Court of Justice</x:v>
      </x:c>
      <x:c r="J69" s="20" t="str"/>
      <x:c r="K69" s="18" t="str"/>
      <x:c r="L69" s="18" t="str">
        <x:v>International Court of Justice</x:v>
      </x:c>
      <x:c r="M69" s="18" t="str">
        <x:v>Legality of Use of Force (Serbia and Montenegro v. Italy)</x:v>
      </x:c>
      <x:c r="N69" s="18" t="str"/>
      <x:c r="O69" s="18" t="str"/>
      <x:c r="P69" s="18" t="str"/>
      <x:c r="Q69" s="18" t="str">
        <x:v>109</x:v>
      </x:c>
      <x:c r="R69" s="18" t="str"/>
      <x:c r="S69" s="18" t="str"/>
      <x:c r="T69" s="18" t="str">
        <x:v>COMPLETE_FINITE_SNAPSHOT</x:v>
      </x:c>
      <x:c r="U69" s="18" t="str">
        <x:v>Complete ICJ General List on official all-cases page</x:v>
      </x:c>
      <x:c r="V69" s="18" t="str"/>
      <x:c r="W69" s="18" t="str"/>
      <x:c r="X69" s="20" t="n">
        <x:v>192</x:v>
      </x:c>
      <x:c r="Y69" s="19" t="str">
        <x:f>IFERROR(TODAY()-DATEVALUE(C69),"")</x:f>
      </x:c>
      <x:c r="Z69" s="21" t="n">
        <x:f>ROUND(COUNTA(A69:K69)/11*100,0)</x:f>
        <x:v>100</x:v>
      </x:c>
      <x:c r="AA69" s="18" t="str">
        <x:v>International Court of Justice</x:v>
      </x:c>
      <x:c r="AB69" s="22" t="str">
        <x:v>https://api.icj-cij.org/case/109</x:v>
      </x:c>
      <x:c r="AC69" s="18" t="str"/>
      <x:c r="AD69" s="18" t="n">
        <x:v>46275.42531791667</x:v>
      </x:c>
      <x:c r="AE69" s="18" t="str">
        <x:v>independent_public</x:v>
      </x:c>
      <x:c r="AF69" s="18" t="str">
        <x:v>PARTIAL_NO_DATE</x:v>
      </x:c>
    </x:row>
    <x:row r="70">
      <x:c r="A70" s="18" t="str">
        <x:v>NYT-45-fa384b94b5b0ce43</x:v>
      </x:c>
      <x:c r="B70" s="18" t="str">
        <x:v>Legality of Use of Force (Serbia and Montenegro v. United Kingdom)</x:v>
      </x:c>
      <x:c r="C70" s="18" t="str"/>
      <x:c r="D70" s="18" t="str"/>
      <x:c r="E70" s="18" t="str"/>
      <x:c r="F70" s="18" t="str"/>
      <x:c r="G70" s="18" t="str"/>
      <x:c r="H70" s="18" t="str"/>
      <x:c r="I70" s="18" t="str">
        <x:v>International Court of Justice</x:v>
      </x:c>
      <x:c r="J70" s="20" t="str"/>
      <x:c r="K70" s="18" t="str"/>
      <x:c r="L70" s="18" t="str">
        <x:v>International Court of Justice</x:v>
      </x:c>
      <x:c r="M70" s="18" t="str">
        <x:v>Legality of Use of Force (Serbia and Montenegro v. United Kingdom)</x:v>
      </x:c>
      <x:c r="N70" s="18" t="str"/>
      <x:c r="O70" s="18" t="str"/>
      <x:c r="P70" s="18" t="str"/>
      <x:c r="Q70" s="18" t="str">
        <x:v>113</x:v>
      </x:c>
      <x:c r="R70" s="18" t="str"/>
      <x:c r="S70" s="18" t="str"/>
      <x:c r="T70" s="18" t="str">
        <x:v>COMPLETE_FINITE_SNAPSHOT</x:v>
      </x:c>
      <x:c r="U70" s="18" t="str">
        <x:v>Complete ICJ General List on official all-cases page</x:v>
      </x:c>
      <x:c r="V70" s="18" t="str"/>
      <x:c r="W70" s="18" t="str"/>
      <x:c r="X70" s="20" t="n">
        <x:v>192</x:v>
      </x:c>
      <x:c r="Y70" s="19" t="str">
        <x:f>IFERROR(TODAY()-DATEVALUE(C70),"")</x:f>
      </x:c>
      <x:c r="Z70" s="21" t="n">
        <x:f>ROUND(COUNTA(A70:K70)/11*100,0)</x:f>
        <x:v>100</x:v>
      </x:c>
      <x:c r="AA70" s="18" t="str">
        <x:v>International Court of Justice</x:v>
      </x:c>
      <x:c r="AB70" s="22" t="str">
        <x:v>https://api.icj-cij.org/case/113</x:v>
      </x:c>
      <x:c r="AC70" s="18" t="str"/>
      <x:c r="AD70" s="18" t="n">
        <x:v>46275.42531791667</x:v>
      </x:c>
      <x:c r="AE70" s="18" t="str">
        <x:v>independent_public</x:v>
      </x:c>
      <x:c r="AF70" s="18" t="str">
        <x:v>PARTIAL_NO_DATE</x:v>
      </x:c>
    </x:row>
    <x:row r="71">
      <x:c r="A71" s="18" t="str">
        <x:v>NYT-45-c53977fa3540e550</x:v>
      </x:c>
      <x:c r="B71" s="18" t="str">
        <x:v>Legality of Use of Force (Serbia and Montenegro v. Canada)</x:v>
      </x:c>
      <x:c r="C71" s="18" t="str"/>
      <x:c r="D71" s="18" t="str"/>
      <x:c r="E71" s="18" t="str"/>
      <x:c r="F71" s="18" t="str"/>
      <x:c r="G71" s="18" t="str"/>
      <x:c r="H71" s="18" t="str"/>
      <x:c r="I71" s="18" t="str">
        <x:v>International Court of Justice</x:v>
      </x:c>
      <x:c r="J71" s="20" t="str"/>
      <x:c r="K71" s="18" t="str"/>
      <x:c r="L71" s="18" t="str">
        <x:v>International Court of Justice</x:v>
      </x:c>
      <x:c r="M71" s="18" t="str">
        <x:v>Legality of Use of Force (Serbia and Montenegro v. Canada)</x:v>
      </x:c>
      <x:c r="N71" s="18" t="str"/>
      <x:c r="O71" s="18" t="str"/>
      <x:c r="P71" s="18" t="str"/>
      <x:c r="Q71" s="18" t="str">
        <x:v>106</x:v>
      </x:c>
      <x:c r="R71" s="18" t="str"/>
      <x:c r="S71" s="18" t="str"/>
      <x:c r="T71" s="18" t="str">
        <x:v>COMPLETE_FINITE_SNAPSHOT</x:v>
      </x:c>
      <x:c r="U71" s="18" t="str">
        <x:v>Complete ICJ General List on official all-cases page</x:v>
      </x:c>
      <x:c r="V71" s="18" t="str"/>
      <x:c r="W71" s="18" t="str"/>
      <x:c r="X71" s="20" t="n">
        <x:v>192</x:v>
      </x:c>
      <x:c r="Y71" s="19" t="str">
        <x:f>IFERROR(TODAY()-DATEVALUE(C71),"")</x:f>
      </x:c>
      <x:c r="Z71" s="21" t="n">
        <x:f>ROUND(COUNTA(A71:K71)/11*100,0)</x:f>
        <x:v>100</x:v>
      </x:c>
      <x:c r="AA71" s="18" t="str">
        <x:v>International Court of Justice</x:v>
      </x:c>
      <x:c r="AB71" s="22" t="str">
        <x:v>https://api.icj-cij.org/case/106</x:v>
      </x:c>
      <x:c r="AC71" s="18" t="str"/>
      <x:c r="AD71" s="18" t="n">
        <x:v>46275.42531791667</x:v>
      </x:c>
      <x:c r="AE71" s="18" t="str">
        <x:v>independent_public</x:v>
      </x:c>
      <x:c r="AF71" s="18" t="str">
        <x:v>PARTIAL_NO_DATE</x:v>
      </x:c>
    </x:row>
    <x:row r="72">
      <x:c r="A72" s="18" t="str">
        <x:v>NYT-45-b30dd18cb15c0bbc</x:v>
      </x:c>
      <x:c r="B72" s="18" t="str">
        <x:v>Avena and Other Mexican Nationals (Mexico v. United States of America)</x:v>
      </x:c>
      <x:c r="C72" s="18" t="str"/>
      <x:c r="D72" s="18" t="str"/>
      <x:c r="E72" s="18" t="str"/>
      <x:c r="F72" s="18" t="str"/>
      <x:c r="G72" s="18" t="str"/>
      <x:c r="H72" s="18" t="str"/>
      <x:c r="I72" s="18" t="str">
        <x:v>International Court of Justice</x:v>
      </x:c>
      <x:c r="J72" s="20" t="str"/>
      <x:c r="K72" s="18" t="str"/>
      <x:c r="L72" s="18" t="str">
        <x:v>International Court of Justice</x:v>
      </x:c>
      <x:c r="M72" s="18" t="str">
        <x:v>Avena and Other Mexican Nationals (Mexico v. United States of America)</x:v>
      </x:c>
      <x:c r="N72" s="18" t="str"/>
      <x:c r="O72" s="18" t="str"/>
      <x:c r="P72" s="18" t="str"/>
      <x:c r="Q72" s="18" t="str">
        <x:v>128</x:v>
      </x:c>
      <x:c r="R72" s="18" t="str"/>
      <x:c r="S72" s="18" t="str"/>
      <x:c r="T72" s="18" t="str">
        <x:v>COMPLETE_FINITE_SNAPSHOT</x:v>
      </x:c>
      <x:c r="U72" s="18" t="str">
        <x:v>Complete ICJ General List on official all-cases page</x:v>
      </x:c>
      <x:c r="V72" s="18" t="str"/>
      <x:c r="W72" s="18" t="str"/>
      <x:c r="X72" s="20" t="n">
        <x:v>192</x:v>
      </x:c>
      <x:c r="Y72" s="19" t="str">
        <x:f>IFERROR(TODAY()-DATEVALUE(C72),"")</x:f>
      </x:c>
      <x:c r="Z72" s="21" t="n">
        <x:f>ROUND(COUNTA(A72:K72)/11*100,0)</x:f>
        <x:v>100</x:v>
      </x:c>
      <x:c r="AA72" s="18" t="str">
        <x:v>International Court of Justice</x:v>
      </x:c>
      <x:c r="AB72" s="22" t="str">
        <x:v>https://api.icj-cij.org/case/128</x:v>
      </x:c>
      <x:c r="AC72" s="18" t="str"/>
      <x:c r="AD72" s="18" t="n">
        <x:v>46275.42531791667</x:v>
      </x:c>
      <x:c r="AE72" s="18" t="str">
        <x:v>independent_public</x:v>
      </x:c>
      <x:c r="AF72" s="18" t="str">
        <x:v>PARTIAL_NO_DATE</x:v>
      </x:c>
    </x:row>
    <x:row r="73">
      <x:c r="A73" s="18" t="str">
        <x:v>NYT-45-61cfebcb749f5f29</x:v>
      </x:c>
      <x:c r="B73" s="18" t="str">
        <x:v>Legal Consequences of the Construction of a Wall in the Occupied Palestinian Territory</x:v>
      </x:c>
      <x:c r="C73" s="18" t="str"/>
      <x:c r="D73" s="18" t="str"/>
      <x:c r="E73" s="18" t="str"/>
      <x:c r="F73" s="18" t="str"/>
      <x:c r="G73" s="18" t="str"/>
      <x:c r="H73" s="18" t="str"/>
      <x:c r="I73" s="18" t="str">
        <x:v>International Court of Justice</x:v>
      </x:c>
      <x:c r="J73" s="20" t="str"/>
      <x:c r="K73" s="18" t="str"/>
      <x:c r="L73" s="18" t="str">
        <x:v>International Court of Justice</x:v>
      </x:c>
      <x:c r="M73" s="18" t="str">
        <x:v>Legal Consequences of the Construction of a Wall in the Occupied Palestinian Territory</x:v>
      </x:c>
      <x:c r="N73" s="18" t="str"/>
      <x:c r="O73" s="18" t="str"/>
      <x:c r="P73" s="18" t="str"/>
      <x:c r="Q73" s="18" t="str">
        <x:v>131</x:v>
      </x:c>
      <x:c r="R73" s="18" t="str"/>
      <x:c r="S73" s="18" t="str"/>
      <x:c r="T73" s="18" t="str">
        <x:v>COMPLETE_FINITE_SNAPSHOT</x:v>
      </x:c>
      <x:c r="U73" s="18" t="str">
        <x:v>Complete ICJ General List on official all-cases page</x:v>
      </x:c>
      <x:c r="V73" s="18" t="str"/>
      <x:c r="W73" s="18" t="str"/>
      <x:c r="X73" s="20" t="n">
        <x:v>192</x:v>
      </x:c>
      <x:c r="Y73" s="19" t="str">
        <x:f>IFERROR(TODAY()-DATEVALUE(C73),"")</x:f>
      </x:c>
      <x:c r="Z73" s="21" t="n">
        <x:f>ROUND(COUNTA(A73:K73)/11*100,0)</x:f>
        <x:v>100</x:v>
      </x:c>
      <x:c r="AA73" s="18" t="str">
        <x:v>International Court of Justice</x:v>
      </x:c>
      <x:c r="AB73" s="22" t="str">
        <x:v>https://api.icj-cij.org/case/131</x:v>
      </x:c>
      <x:c r="AC73" s="18" t="str"/>
      <x:c r="AD73" s="18" t="n">
        <x:v>46275.42531791667</x:v>
      </x:c>
      <x:c r="AE73" s="18" t="str">
        <x:v>independent_public</x:v>
      </x:c>
      <x:c r="AF73" s="18" t="str">
        <x:v>PARTIAL_NO_DATE</x:v>
      </x:c>
    </x:row>
    <x:row r="74">
      <x:c r="A74" s="18" t="str">
        <x:v>NYT-45-c0cebe9ee5db1a98</x:v>
      </x:c>
      <x:c r="B74" s="18" t="str">
        <x:v>Legality of Use of Force (Serbia and Montenegro v. Germany)</x:v>
      </x:c>
      <x:c r="C74" s="18" t="str"/>
      <x:c r="D74" s="18" t="str"/>
      <x:c r="E74" s="18" t="str"/>
      <x:c r="F74" s="18" t="str"/>
      <x:c r="G74" s="18" t="str"/>
      <x:c r="H74" s="18" t="str"/>
      <x:c r="I74" s="18" t="str">
        <x:v>International Court of Justice</x:v>
      </x:c>
      <x:c r="J74" s="20" t="str"/>
      <x:c r="K74" s="18" t="str"/>
      <x:c r="L74" s="18" t="str">
        <x:v>International Court of Justice</x:v>
      </x:c>
      <x:c r="M74" s="18" t="str">
        <x:v>Legality of Use of Force (Serbia and Montenegro v. Germany)</x:v>
      </x:c>
      <x:c r="N74" s="18" t="str"/>
      <x:c r="O74" s="18" t="str"/>
      <x:c r="P74" s="18" t="str"/>
      <x:c r="Q74" s="18" t="str">
        <x:v>108</x:v>
      </x:c>
      <x:c r="R74" s="18" t="str"/>
      <x:c r="S74" s="18" t="str"/>
      <x:c r="T74" s="18" t="str">
        <x:v>COMPLETE_FINITE_SNAPSHOT</x:v>
      </x:c>
      <x:c r="U74" s="18" t="str">
        <x:v>Complete ICJ General List on official all-cases page</x:v>
      </x:c>
      <x:c r="V74" s="18" t="str"/>
      <x:c r="W74" s="18" t="str"/>
      <x:c r="X74" s="20" t="n">
        <x:v>192</x:v>
      </x:c>
      <x:c r="Y74" s="19" t="str">
        <x:f>IFERROR(TODAY()-DATEVALUE(C74),"")</x:f>
      </x:c>
      <x:c r="Z74" s="21" t="n">
        <x:f>ROUND(COUNTA(A74:K74)/11*100,0)</x:f>
        <x:v>100</x:v>
      </x:c>
      <x:c r="AA74" s="18" t="str">
        <x:v>International Court of Justice</x:v>
      </x:c>
      <x:c r="AB74" s="22" t="str">
        <x:v>https://api.icj-cij.org/case/108</x:v>
      </x:c>
      <x:c r="AC74" s="18" t="str"/>
      <x:c r="AD74" s="18" t="n">
        <x:v>46275.42531791667</x:v>
      </x:c>
      <x:c r="AE74" s="18" t="str">
        <x:v>independent_public</x:v>
      </x:c>
      <x:c r="AF74" s="18" t="str">
        <x:v>PARTIAL_NO_DATE</x:v>
      </x:c>
    </x:row>
    <x:row r="75">
      <x:c r="A75" s="18" t="str">
        <x:v>NYT-45-596f5510f2ebf108</x:v>
      </x:c>
      <x:c r="B75" s="18" t="str">
        <x:v>Legality of Use of Force (Serbia and Montenegro v. Belgium)</x:v>
      </x:c>
      <x:c r="C75" s="18" t="str"/>
      <x:c r="D75" s="18" t="str"/>
      <x:c r="E75" s="18" t="str"/>
      <x:c r="F75" s="18" t="str"/>
      <x:c r="G75" s="18" t="str"/>
      <x:c r="H75" s="18" t="str"/>
      <x:c r="I75" s="18" t="str">
        <x:v>International Court of Justice</x:v>
      </x:c>
      <x:c r="J75" s="20" t="str"/>
      <x:c r="K75" s="18" t="str"/>
      <x:c r="L75" s="18" t="str">
        <x:v>International Court of Justice</x:v>
      </x:c>
      <x:c r="M75" s="18" t="str">
        <x:v>Legality of Use of Force (Serbia and Montenegro v. Belgium)</x:v>
      </x:c>
      <x:c r="N75" s="18" t="str"/>
      <x:c r="O75" s="18" t="str"/>
      <x:c r="P75" s="18" t="str"/>
      <x:c r="Q75" s="18" t="str">
        <x:v>105</x:v>
      </x:c>
      <x:c r="R75" s="18" t="str"/>
      <x:c r="S75" s="18" t="str"/>
      <x:c r="T75" s="18" t="str">
        <x:v>COMPLETE_FINITE_SNAPSHOT</x:v>
      </x:c>
      <x:c r="U75" s="18" t="str">
        <x:v>Complete ICJ General List on official all-cases page</x:v>
      </x:c>
      <x:c r="V75" s="18" t="str"/>
      <x:c r="W75" s="18" t="str"/>
      <x:c r="X75" s="20" t="n">
        <x:v>192</x:v>
      </x:c>
      <x:c r="Y75" s="19" t="str">
        <x:f>IFERROR(TODAY()-DATEVALUE(C75),"")</x:f>
      </x:c>
      <x:c r="Z75" s="21" t="n">
        <x:f>ROUND(COUNTA(A75:K75)/11*100,0)</x:f>
        <x:v>100</x:v>
      </x:c>
      <x:c r="AA75" s="18" t="str">
        <x:v>International Court of Justice</x:v>
      </x:c>
      <x:c r="AB75" s="22" t="str">
        <x:v>https://api.icj-cij.org/case/105</x:v>
      </x:c>
      <x:c r="AC75" s="18" t="str"/>
      <x:c r="AD75" s="18" t="n">
        <x:v>46275.42531791667</x:v>
      </x:c>
      <x:c r="AE75" s="18" t="str">
        <x:v>independent_public</x:v>
      </x:c>
      <x:c r="AF75" s="18" t="str">
        <x:v>PARTIAL_NO_DATE</x:v>
      </x:c>
    </x:row>
    <x:row r="76">
      <x:c r="A76" s="18" t="str">
        <x:v>NYT-45-ac3d9a06b6d1fb6e</x:v>
      </x:c>
      <x:c r="B76" s="18" t="str">
        <x:v>Legality of Use of Force (Serbia and Montenegro v. Netherlands)</x:v>
      </x:c>
      <x:c r="C76" s="18" t="str"/>
      <x:c r="D76" s="18" t="str"/>
      <x:c r="E76" s="18" t="str"/>
      <x:c r="F76" s="18" t="str"/>
      <x:c r="G76" s="18" t="str"/>
      <x:c r="H76" s="18" t="str"/>
      <x:c r="I76" s="18" t="str">
        <x:v>International Court of Justice</x:v>
      </x:c>
      <x:c r="J76" s="20" t="str"/>
      <x:c r="K76" s="18" t="str"/>
      <x:c r="L76" s="18" t="str">
        <x:v>International Court of Justice</x:v>
      </x:c>
      <x:c r="M76" s="18" t="str">
        <x:v>Legality of Use of Force (Serbia and Montenegro v. Netherlands)</x:v>
      </x:c>
      <x:c r="N76" s="18" t="str"/>
      <x:c r="O76" s="18" t="str"/>
      <x:c r="P76" s="18" t="str"/>
      <x:c r="Q76" s="18" t="str">
        <x:v>110</x:v>
      </x:c>
      <x:c r="R76" s="18" t="str"/>
      <x:c r="S76" s="18" t="str"/>
      <x:c r="T76" s="18" t="str">
        <x:v>COMPLETE_FINITE_SNAPSHOT</x:v>
      </x:c>
      <x:c r="U76" s="18" t="str">
        <x:v>Complete ICJ General List on official all-cases page</x:v>
      </x:c>
      <x:c r="V76" s="18" t="str"/>
      <x:c r="W76" s="18" t="str"/>
      <x:c r="X76" s="20" t="n">
        <x:v>192</x:v>
      </x:c>
      <x:c r="Y76" s="19" t="str">
        <x:f>IFERROR(TODAY()-DATEVALUE(C76),"")</x:f>
      </x:c>
      <x:c r="Z76" s="21" t="n">
        <x:f>ROUND(COUNTA(A76:K76)/11*100,0)</x:f>
        <x:v>100</x:v>
      </x:c>
      <x:c r="AA76" s="18" t="str">
        <x:v>International Court of Justice</x:v>
      </x:c>
      <x:c r="AB76" s="22" t="str">
        <x:v>https://api.icj-cij.org/case/110</x:v>
      </x:c>
      <x:c r="AC76" s="18" t="str"/>
      <x:c r="AD76" s="18" t="n">
        <x:v>46275.42531791667</x:v>
      </x:c>
      <x:c r="AE76" s="18" t="str">
        <x:v>independent_public</x:v>
      </x:c>
      <x:c r="AF76" s="18" t="str">
        <x:v>PARTIAL_NO_DATE</x:v>
      </x:c>
    </x:row>
    <x:row r="77">
      <x:c r="A77" s="18" t="str">
        <x:v>NYT-45-c2924074cf03cb72</x:v>
      </x:c>
      <x:c r="B77" s="18" t="str">
        <x:v>Legality of Use of Force (Serbia and Montenegro v. Portugal)</x:v>
      </x:c>
      <x:c r="C77" s="18" t="str"/>
      <x:c r="D77" s="18" t="str"/>
      <x:c r="E77" s="18" t="str"/>
      <x:c r="F77" s="18" t="str"/>
      <x:c r="G77" s="18" t="str"/>
      <x:c r="H77" s="18" t="str"/>
      <x:c r="I77" s="18" t="str">
        <x:v>International Court of Justice</x:v>
      </x:c>
      <x:c r="J77" s="20" t="str"/>
      <x:c r="K77" s="18" t="str"/>
      <x:c r="L77" s="18" t="str">
        <x:v>International Court of Justice</x:v>
      </x:c>
      <x:c r="M77" s="18" t="str">
        <x:v>Legality of Use of Force (Serbia and Montenegro v. Portugal)</x:v>
      </x:c>
      <x:c r="N77" s="18" t="str"/>
      <x:c r="O77" s="18" t="str"/>
      <x:c r="P77" s="18" t="str"/>
      <x:c r="Q77" s="18" t="str">
        <x:v>111</x:v>
      </x:c>
      <x:c r="R77" s="18" t="str"/>
      <x:c r="S77" s="18" t="str"/>
      <x:c r="T77" s="18" t="str">
        <x:v>COMPLETE_FINITE_SNAPSHOT</x:v>
      </x:c>
      <x:c r="U77" s="18" t="str">
        <x:v>Complete ICJ General List on official all-cases page</x:v>
      </x:c>
      <x:c r="V77" s="18" t="str"/>
      <x:c r="W77" s="18" t="str"/>
      <x:c r="X77" s="20" t="n">
        <x:v>192</x:v>
      </x:c>
      <x:c r="Y77" s="19" t="str">
        <x:f>IFERROR(TODAY()-DATEVALUE(C77),"")</x:f>
      </x:c>
      <x:c r="Z77" s="21" t="n">
        <x:f>ROUND(COUNTA(A77:K77)/11*100,0)</x:f>
        <x:v>100</x:v>
      </x:c>
      <x:c r="AA77" s="18" t="str">
        <x:v>International Court of Justice</x:v>
      </x:c>
      <x:c r="AB77" s="22" t="str">
        <x:v>https://api.icj-cij.org/case/111</x:v>
      </x:c>
      <x:c r="AC77" s="18" t="str"/>
      <x:c r="AD77" s="18" t="n">
        <x:v>46275.42531791667</x:v>
      </x:c>
      <x:c r="AE77" s="18" t="str">
        <x:v>independent_public</x:v>
      </x:c>
      <x:c r="AF77" s="18" t="str">
        <x:v>PARTIAL_NO_DATE</x:v>
      </x:c>
    </x:row>
    <x:row r="78">
      <x:c r="A78" s="18" t="str">
        <x:v>NYT-45-72b9a9b7661a9f23</x:v>
      </x:c>
      <x:c r="B78" s="18" t="str">
        <x:v>Application for Revision of the Judgment of 11 July 1996 in the Case concerning Application of the Convention on the Prevention and Punishment of the Crime of Genocide (Bosnia and Herzegovina v. Yugoslavia), Preliminary Objections (Yugoslavia v. Bosnia and Herzegovina)</x:v>
      </x:c>
      <x:c r="C78" s="18" t="str"/>
      <x:c r="D78" s="18" t="str"/>
      <x:c r="E78" s="18" t="str"/>
      <x:c r="F78" s="18" t="str"/>
      <x:c r="G78" s="18" t="str"/>
      <x:c r="H78" s="18" t="str"/>
      <x:c r="I78" s="18" t="str">
        <x:v>International Court of Justice</x:v>
      </x:c>
      <x:c r="J78" s="20" t="str"/>
      <x:c r="K78" s="18" t="str"/>
      <x:c r="L78" s="18" t="str">
        <x:v>International Court of Justice</x:v>
      </x:c>
      <x:c r="M78" s="18" t="str">
        <x:v>Application for Revision of the Judgment of 11 July 1996 in the Case concerning Application of the Convention on the Prevention and Punishment of the Crime of Genocide (Bosnia and Herzegovina v. Yugoslavia), Preliminary Objections (Yugoslavia v. Bosnia and Herzegovina)</x:v>
      </x:c>
      <x:c r="N78" s="18" t="str"/>
      <x:c r="O78" s="18" t="str"/>
      <x:c r="P78" s="18" t="str"/>
      <x:c r="Q78" s="18" t="str">
        <x:v>122</x:v>
      </x:c>
      <x:c r="R78" s="18" t="str"/>
      <x:c r="S78" s="18" t="str"/>
      <x:c r="T78" s="18" t="str">
        <x:v>COMPLETE_FINITE_SNAPSHOT</x:v>
      </x:c>
      <x:c r="U78" s="18" t="str">
        <x:v>Complete ICJ General List on official all-cases page</x:v>
      </x:c>
      <x:c r="V78" s="18" t="str"/>
      <x:c r="W78" s="18" t="str"/>
      <x:c r="X78" s="20" t="n">
        <x:v>192</x:v>
      </x:c>
      <x:c r="Y78" s="19" t="str">
        <x:f>IFERROR(TODAY()-DATEVALUE(C78),"")</x:f>
      </x:c>
      <x:c r="Z78" s="21" t="n">
        <x:f>ROUND(COUNTA(A78:K78)/11*100,0)</x:f>
        <x:v>100</x:v>
      </x:c>
      <x:c r="AA78" s="18" t="str">
        <x:v>International Court of Justice</x:v>
      </x:c>
      <x:c r="AB78" s="22" t="str">
        <x:v>https://api.icj-cij.org/case/122</x:v>
      </x:c>
      <x:c r="AC78" s="18" t="str"/>
      <x:c r="AD78" s="18" t="n">
        <x:v>46275.42531791667</x:v>
      </x:c>
      <x:c r="AE78" s="18" t="str">
        <x:v>independent_public</x:v>
      </x:c>
      <x:c r="AF78" s="18" t="str">
        <x:v>PARTIAL_NO_DATE</x:v>
      </x:c>
    </x:row>
    <x:row r="79">
      <x:c r="A79" s="18" t="str">
        <x:v>NYT-45-ab8ee0a855761b7f</x:v>
      </x:c>
      <x:c r="B79" s="18" t="str">
        <x:v>Questions of Interpretation and Application of the 1971 Montreal Convention arising from the Aerial Incident at Lockerbie (Libyan Arab Jamahiriya v. United Kingdom)</x:v>
      </x:c>
      <x:c r="C79" s="18" t="str"/>
      <x:c r="D79" s="18" t="str"/>
      <x:c r="E79" s="18" t="str"/>
      <x:c r="F79" s="18" t="str"/>
      <x:c r="G79" s="18" t="str"/>
      <x:c r="H79" s="18" t="str"/>
      <x:c r="I79" s="18" t="str">
        <x:v>International Court of Justice</x:v>
      </x:c>
      <x:c r="J79" s="20" t="str"/>
      <x:c r="K79" s="18" t="str"/>
      <x:c r="L79" s="18" t="str">
        <x:v>International Court of Justice</x:v>
      </x:c>
      <x:c r="M79" s="18" t="str">
        <x:v>Questions of Interpretation and Application of the 1971 Montreal Convention arising from the Aerial Incident at Lockerbie (Libyan Arab Jamahiriya v. United Kingdom)</x:v>
      </x:c>
      <x:c r="N79" s="18" t="str"/>
      <x:c r="O79" s="18" t="str"/>
      <x:c r="P79" s="18" t="str"/>
      <x:c r="Q79" s="18" t="str">
        <x:v>88</x:v>
      </x:c>
      <x:c r="R79" s="18" t="str"/>
      <x:c r="S79" s="18" t="str"/>
      <x:c r="T79" s="18" t="str">
        <x:v>COMPLETE_FINITE_SNAPSHOT</x:v>
      </x:c>
      <x:c r="U79" s="18" t="str">
        <x:v>Complete ICJ General List on official all-cases page</x:v>
      </x:c>
      <x:c r="V79" s="18" t="str"/>
      <x:c r="W79" s="18" t="str"/>
      <x:c r="X79" s="20" t="n">
        <x:v>192</x:v>
      </x:c>
      <x:c r="Y79" s="19" t="str">
        <x:f>IFERROR(TODAY()-DATEVALUE(C79),"")</x:f>
      </x:c>
      <x:c r="Z79" s="21" t="n">
        <x:f>ROUND(COUNTA(A79:K79)/11*100,0)</x:f>
        <x:v>100</x:v>
      </x:c>
      <x:c r="AA79" s="18" t="str">
        <x:v>International Court of Justice</x:v>
      </x:c>
      <x:c r="AB79" s="22" t="str">
        <x:v>https://api.icj-cij.org/case/88</x:v>
      </x:c>
      <x:c r="AC79" s="18" t="str"/>
      <x:c r="AD79" s="18" t="n">
        <x:v>46275.42531791667</x:v>
      </x:c>
      <x:c r="AE79" s="18" t="str">
        <x:v>independent_public</x:v>
      </x:c>
      <x:c r="AF79" s="18" t="str">
        <x:v>PARTIAL_NO_DATE</x:v>
      </x:c>
    </x:row>
    <x:row r="80">
      <x:c r="A80" s="18" t="str">
        <x:v>NYT-45-fea86d0993444b4f</x:v>
      </x:c>
      <x:c r="B80" s="18" t="str">
        <x:v>Application for Revision of the Judgment of 11 September 1992 in the Case concerning the Land, Island and Maritime Frontier Dispute (El Salvador/Honduras: Nicaragua intervening) (El Salvador v. Honduras)</x:v>
      </x:c>
      <x:c r="C80" s="18" t="str"/>
      <x:c r="D80" s="18" t="str"/>
      <x:c r="E80" s="18" t="str"/>
      <x:c r="F80" s="18" t="str"/>
      <x:c r="G80" s="18" t="str"/>
      <x:c r="H80" s="18" t="str"/>
      <x:c r="I80" s="18" t="str">
        <x:v>International Court of Justice</x:v>
      </x:c>
      <x:c r="J80" s="20" t="str"/>
      <x:c r="K80" s="18" t="str"/>
      <x:c r="L80" s="18" t="str">
        <x:v>International Court of Justice</x:v>
      </x:c>
      <x:c r="M80" s="18" t="str">
        <x:v>Application for Revision of the Judgment of 11 September 1992 in the Case concerning the Land, Island and Maritime Frontier Dispute (El Salvador/Honduras: Nicaragua intervening) (El Salvador v. Honduras)</x:v>
      </x:c>
      <x:c r="N80" s="18" t="str"/>
      <x:c r="O80" s="18" t="str"/>
      <x:c r="P80" s="18" t="str"/>
      <x:c r="Q80" s="18" t="str">
        <x:v>127</x:v>
      </x:c>
      <x:c r="R80" s="18" t="str"/>
      <x:c r="S80" s="18" t="str"/>
      <x:c r="T80" s="18" t="str">
        <x:v>COMPLETE_FINITE_SNAPSHOT</x:v>
      </x:c>
      <x:c r="U80" s="18" t="str">
        <x:v>Complete ICJ General List on official all-cases page</x:v>
      </x:c>
      <x:c r="V80" s="18" t="str"/>
      <x:c r="W80" s="18" t="str"/>
      <x:c r="X80" s="20" t="n">
        <x:v>192</x:v>
      </x:c>
      <x:c r="Y80" s="19" t="str">
        <x:f>IFERROR(TODAY()-DATEVALUE(C80),"")</x:f>
      </x:c>
      <x:c r="Z80" s="21" t="n">
        <x:f>ROUND(COUNTA(A80:K80)/11*100,0)</x:f>
        <x:v>100</x:v>
      </x:c>
      <x:c r="AA80" s="18" t="str">
        <x:v>International Court of Justice</x:v>
      </x:c>
      <x:c r="AB80" s="22" t="str">
        <x:v>https://api.icj-cij.org/case/127</x:v>
      </x:c>
      <x:c r="AC80" s="18" t="str"/>
      <x:c r="AD80" s="18" t="n">
        <x:v>46275.42531791667</x:v>
      </x:c>
      <x:c r="AE80" s="18" t="str">
        <x:v>independent_public</x:v>
      </x:c>
      <x:c r="AF80" s="18" t="str">
        <x:v>PARTIAL_NO_DATE</x:v>
      </x:c>
    </x:row>
    <x:row r="81">
      <x:c r="A81" s="18" t="str">
        <x:v>NYT-45-04167dce75832fa4</x:v>
      </x:c>
      <x:c r="B81" s="18" t="str">
        <x:v>Questions of Interpretation and Application of the 1971 Montreal Convention arising from the Aerial Incident at Lockerbie (Libyan Arab Jamahiriya v. United States of America)</x:v>
      </x:c>
      <x:c r="C81" s="18" t="str"/>
      <x:c r="D81" s="18" t="str"/>
      <x:c r="E81" s="18" t="str"/>
      <x:c r="F81" s="18" t="str"/>
      <x:c r="G81" s="18" t="str"/>
      <x:c r="H81" s="18" t="str"/>
      <x:c r="I81" s="18" t="str">
        <x:v>International Court of Justice</x:v>
      </x:c>
      <x:c r="J81" s="20" t="str"/>
      <x:c r="K81" s="18" t="str"/>
      <x:c r="L81" s="18" t="str">
        <x:v>International Court of Justice</x:v>
      </x:c>
      <x:c r="M81" s="18" t="str">
        <x:v>Questions of Interpretation and Application of the 1971 Montreal Convention arising from the Aerial Incident at Lockerbie (Libyan Arab Jamahiriya v. United States of America)</x:v>
      </x:c>
      <x:c r="N81" s="18" t="str"/>
      <x:c r="O81" s="18" t="str"/>
      <x:c r="P81" s="18" t="str"/>
      <x:c r="Q81" s="18" t="str">
        <x:v>89</x:v>
      </x:c>
      <x:c r="R81" s="18" t="str"/>
      <x:c r="S81" s="18" t="str"/>
      <x:c r="T81" s="18" t="str">
        <x:v>COMPLETE_FINITE_SNAPSHOT</x:v>
      </x:c>
      <x:c r="U81" s="18" t="str">
        <x:v>Complete ICJ General List on official all-cases page</x:v>
      </x:c>
      <x:c r="V81" s="18" t="str"/>
      <x:c r="W81" s="18" t="str"/>
      <x:c r="X81" s="20" t="n">
        <x:v>192</x:v>
      </x:c>
      <x:c r="Y81" s="19" t="str">
        <x:f>IFERROR(TODAY()-DATEVALUE(C81),"")</x:f>
      </x:c>
      <x:c r="Z81" s="21" t="n">
        <x:f>ROUND(COUNTA(A81:K81)/11*100,0)</x:f>
        <x:v>100</x:v>
      </x:c>
      <x:c r="AA81" s="18" t="str">
        <x:v>International Court of Justice</x:v>
      </x:c>
      <x:c r="AB81" s="22" t="str">
        <x:v>https://api.icj-cij.org/case/89</x:v>
      </x:c>
      <x:c r="AC81" s="18" t="str"/>
      <x:c r="AD81" s="18" t="n">
        <x:v>46275.42531791667</x:v>
      </x:c>
      <x:c r="AE81" s="18" t="str">
        <x:v>independent_public</x:v>
      </x:c>
      <x:c r="AF81" s="18" t="str">
        <x:v>PARTIAL_NO_DATE</x:v>
      </x:c>
    </x:row>
    <x:row r="82">
      <x:c r="A82" s="18" t="str">
        <x:v>NYT-45-af35c9392839e9d9</x:v>
      </x:c>
      <x:c r="B82" s="18" t="str">
        <x:v>Oil Platforms (Islamic Republic of Iran v. United States of America)</x:v>
      </x:c>
      <x:c r="C82" s="18" t="str"/>
      <x:c r="D82" s="18" t="str"/>
      <x:c r="E82" s="18" t="str"/>
      <x:c r="F82" s="18" t="str"/>
      <x:c r="G82" s="18" t="str"/>
      <x:c r="H82" s="18" t="str"/>
      <x:c r="I82" s="18" t="str">
        <x:v>International Court of Justice</x:v>
      </x:c>
      <x:c r="J82" s="20" t="str"/>
      <x:c r="K82" s="18" t="str"/>
      <x:c r="L82" s="18" t="str">
        <x:v>International Court of Justice</x:v>
      </x:c>
      <x:c r="M82" s="18" t="str">
        <x:v>Oil Platforms (Islamic Republic of Iran v. United States of America)</x:v>
      </x:c>
      <x:c r="N82" s="18" t="str"/>
      <x:c r="O82" s="18" t="str"/>
      <x:c r="P82" s="18" t="str"/>
      <x:c r="Q82" s="18" t="str">
        <x:v>90</x:v>
      </x:c>
      <x:c r="R82" s="18" t="str"/>
      <x:c r="S82" s="18" t="str"/>
      <x:c r="T82" s="18" t="str">
        <x:v>COMPLETE_FINITE_SNAPSHOT</x:v>
      </x:c>
      <x:c r="U82" s="18" t="str">
        <x:v>Complete ICJ General List on official all-cases page</x:v>
      </x:c>
      <x:c r="V82" s="18" t="str"/>
      <x:c r="W82" s="18" t="str"/>
      <x:c r="X82" s="20" t="n">
        <x:v>192</x:v>
      </x:c>
      <x:c r="Y82" s="19" t="str">
        <x:f>IFERROR(TODAY()-DATEVALUE(C82),"")</x:f>
      </x:c>
      <x:c r="Z82" s="21" t="n">
        <x:f>ROUND(COUNTA(A82:K82)/11*100,0)</x:f>
        <x:v>100</x:v>
      </x:c>
      <x:c r="AA82" s="18" t="str">
        <x:v>International Court of Justice</x:v>
      </x:c>
      <x:c r="AB82" s="22" t="str">
        <x:v>https://api.icj-cij.org/case/90</x:v>
      </x:c>
      <x:c r="AC82" s="18" t="str"/>
      <x:c r="AD82" s="18" t="n">
        <x:v>46275.42531791667</x:v>
      </x:c>
      <x:c r="AE82" s="18" t="str">
        <x:v>independent_public</x:v>
      </x:c>
      <x:c r="AF82" s="18" t="str">
        <x:v>PARTIAL_NO_DATE</x:v>
      </x:c>
    </x:row>
    <x:row r="83">
      <x:c r="A83" s="18" t="str">
        <x:v>NYT-45-74fc2a68d48e102e</x:v>
      </x:c>
      <x:c r="B83" s="18" t="str">
        <x:v>Arrest Warrant of 11 April 2000 (Democratic Republic of the Congo v. Belgium)</x:v>
      </x:c>
      <x:c r="C83" s="18" t="str"/>
      <x:c r="D83" s="18" t="str"/>
      <x:c r="E83" s="18" t="str"/>
      <x:c r="F83" s="18" t="str"/>
      <x:c r="G83" s="18" t="str"/>
      <x:c r="H83" s="18" t="str"/>
      <x:c r="I83" s="18" t="str">
        <x:v>International Court of Justice</x:v>
      </x:c>
      <x:c r="J83" s="20" t="str"/>
      <x:c r="K83" s="18" t="str"/>
      <x:c r="L83" s="18" t="str">
        <x:v>International Court of Justice</x:v>
      </x:c>
      <x:c r="M83" s="18" t="str">
        <x:v>Arrest Warrant of 11 April 2000 (Democratic Republic of the Congo v. Belgium)</x:v>
      </x:c>
      <x:c r="N83" s="18" t="str"/>
      <x:c r="O83" s="18" t="str"/>
      <x:c r="P83" s="18" t="str"/>
      <x:c r="Q83" s="18" t="str">
        <x:v>121</x:v>
      </x:c>
      <x:c r="R83" s="18" t="str"/>
      <x:c r="S83" s="18" t="str"/>
      <x:c r="T83" s="18" t="str">
        <x:v>COMPLETE_FINITE_SNAPSHOT</x:v>
      </x:c>
      <x:c r="U83" s="18" t="str">
        <x:v>Complete ICJ General List on official all-cases page</x:v>
      </x:c>
      <x:c r="V83" s="18" t="str"/>
      <x:c r="W83" s="18" t="str"/>
      <x:c r="X83" s="20" t="n">
        <x:v>192</x:v>
      </x:c>
      <x:c r="Y83" s="19" t="str">
        <x:f>IFERROR(TODAY()-DATEVALUE(C83),"")</x:f>
      </x:c>
      <x:c r="Z83" s="21" t="n">
        <x:f>ROUND(COUNTA(A83:K83)/11*100,0)</x:f>
        <x:v>100</x:v>
      </x:c>
      <x:c r="AA83" s="18" t="str">
        <x:v>International Court of Justice</x:v>
      </x:c>
      <x:c r="AB83" s="22" t="str">
        <x:v>https://api.icj-cij.org/case/121</x:v>
      </x:c>
      <x:c r="AC83" s="18" t="str"/>
      <x:c r="AD83" s="18" t="n">
        <x:v>46275.42531791667</x:v>
      </x:c>
      <x:c r="AE83" s="18" t="str">
        <x:v>independent_public</x:v>
      </x:c>
      <x:c r="AF83" s="18" t="str">
        <x:v>PARTIAL_NO_DATE</x:v>
      </x:c>
    </x:row>
    <x:row r="84">
      <x:c r="A84" s="18" t="str">
        <x:v>NYT-45-8a04a90d66dd688d</x:v>
      </x:c>
      <x:c r="B84" s="18" t="str">
        <x:v>Land and Maritime Boundary between Cameroon and Nigeria (Cameroon v. Nigeria: Equatorial Guinea intervening)</x:v>
      </x:c>
      <x:c r="C84" s="18" t="str"/>
      <x:c r="D84" s="18" t="str"/>
      <x:c r="E84" s="18" t="str"/>
      <x:c r="F84" s="18" t="str"/>
      <x:c r="G84" s="18" t="str"/>
      <x:c r="H84" s="18" t="str"/>
      <x:c r="I84" s="18" t="str">
        <x:v>International Court of Justice</x:v>
      </x:c>
      <x:c r="J84" s="20" t="str"/>
      <x:c r="K84" s="18" t="str"/>
      <x:c r="L84" s="18" t="str">
        <x:v>International Court of Justice</x:v>
      </x:c>
      <x:c r="M84" s="18" t="str">
        <x:v>Land and Maritime Boundary between Cameroon and Nigeria (Cameroon v. Nigeria: Equatorial Guinea intervening)</x:v>
      </x:c>
      <x:c r="N84" s="18" t="str"/>
      <x:c r="O84" s="18" t="str"/>
      <x:c r="P84" s="18" t="str"/>
      <x:c r="Q84" s="18" t="str">
        <x:v>94</x:v>
      </x:c>
      <x:c r="R84" s="18" t="str"/>
      <x:c r="S84" s="18" t="str"/>
      <x:c r="T84" s="18" t="str">
        <x:v>COMPLETE_FINITE_SNAPSHOT</x:v>
      </x:c>
      <x:c r="U84" s="18" t="str">
        <x:v>Complete ICJ General List on official all-cases page</x:v>
      </x:c>
      <x:c r="V84" s="18" t="str"/>
      <x:c r="W84" s="18" t="str"/>
      <x:c r="X84" s="20" t="n">
        <x:v>192</x:v>
      </x:c>
      <x:c r="Y84" s="19" t="str">
        <x:f>IFERROR(TODAY()-DATEVALUE(C84),"")</x:f>
      </x:c>
      <x:c r="Z84" s="21" t="n">
        <x:f>ROUND(COUNTA(A84:K84)/11*100,0)</x:f>
        <x:v>100</x:v>
      </x:c>
      <x:c r="AA84" s="18" t="str">
        <x:v>International Court of Justice</x:v>
      </x:c>
      <x:c r="AB84" s="22" t="str">
        <x:v>https://api.icj-cij.org/case/94</x:v>
      </x:c>
      <x:c r="AC84" s="18" t="str"/>
      <x:c r="AD84" s="18" t="n">
        <x:v>46275.42531791667</x:v>
      </x:c>
      <x:c r="AE84" s="18" t="str">
        <x:v>independent_public</x:v>
      </x:c>
      <x:c r="AF84" s="18" t="str">
        <x:v>PARTIAL_NO_DATE</x:v>
      </x:c>
    </x:row>
    <x:row r="85">
      <x:c r="A85" s="18" t="str">
        <x:v>NYT-45-d4703117a0fd7d83</x:v>
      </x:c>
      <x:c r="B85" s="18" t="str">
        <x:v>Sovereignty over Pulau Ligitan and Pulau Sipadan (Indonesia/Malaysia)</x:v>
      </x:c>
      <x:c r="C85" s="18" t="str"/>
      <x:c r="D85" s="18" t="str"/>
      <x:c r="E85" s="18" t="str"/>
      <x:c r="F85" s="18" t="str"/>
      <x:c r="G85" s="18" t="str"/>
      <x:c r="H85" s="18" t="str"/>
      <x:c r="I85" s="18" t="str">
        <x:v>International Court of Justice</x:v>
      </x:c>
      <x:c r="J85" s="20" t="str"/>
      <x:c r="K85" s="18" t="str"/>
      <x:c r="L85" s="18" t="str">
        <x:v>International Court of Justice</x:v>
      </x:c>
      <x:c r="M85" s="18" t="str">
        <x:v>Sovereignty over Pulau Ligitan and Pulau Sipadan (Indonesia/Malaysia)</x:v>
      </x:c>
      <x:c r="N85" s="18" t="str"/>
      <x:c r="O85" s="18" t="str"/>
      <x:c r="P85" s="18" t="str"/>
      <x:c r="Q85" s="18" t="str">
        <x:v>102</x:v>
      </x:c>
      <x:c r="R85" s="18" t="str"/>
      <x:c r="S85" s="18" t="str"/>
      <x:c r="T85" s="18" t="str">
        <x:v>COMPLETE_FINITE_SNAPSHOT</x:v>
      </x:c>
      <x:c r="U85" s="18" t="str">
        <x:v>Complete ICJ General List on official all-cases page</x:v>
      </x:c>
      <x:c r="V85" s="18" t="str"/>
      <x:c r="W85" s="18" t="str"/>
      <x:c r="X85" s="20" t="n">
        <x:v>192</x:v>
      </x:c>
      <x:c r="Y85" s="19" t="str">
        <x:f>IFERROR(TODAY()-DATEVALUE(C85),"")</x:f>
      </x:c>
      <x:c r="Z85" s="21" t="n">
        <x:f>ROUND(COUNTA(A85:K85)/11*100,0)</x:f>
        <x:v>100</x:v>
      </x:c>
      <x:c r="AA85" s="18" t="str">
        <x:v>International Court of Justice</x:v>
      </x:c>
      <x:c r="AB85" s="22" t="str">
        <x:v>https://api.icj-cij.org/case/102</x:v>
      </x:c>
      <x:c r="AC85" s="18" t="str"/>
      <x:c r="AD85" s="18" t="n">
        <x:v>46275.42531791667</x:v>
      </x:c>
      <x:c r="AE85" s="18" t="str">
        <x:v>independent_public</x:v>
      </x:c>
      <x:c r="AF85" s="18" t="str">
        <x:v>PARTIAL_NO_DATE</x:v>
      </x:c>
    </x:row>
    <x:row r="86">
      <x:c r="A86" s="18" t="str">
        <x:v>NYT-45-73d89932af8ff92b</x:v>
      </x:c>
      <x:c r="B86" s="18" t="str">
        <x:v>Armed Activities on the Territory of the Congo (Democratic Republic of the Congo v. Rwanda)</x:v>
      </x:c>
      <x:c r="C86" s="18" t="str"/>
      <x:c r="D86" s="18" t="str"/>
      <x:c r="E86" s="18" t="str"/>
      <x:c r="F86" s="18" t="str"/>
      <x:c r="G86" s="18" t="str"/>
      <x:c r="H86" s="18" t="str"/>
      <x:c r="I86" s="18" t="str">
        <x:v>International Court of Justice</x:v>
      </x:c>
      <x:c r="J86" s="20" t="str"/>
      <x:c r="K86" s="18" t="str"/>
      <x:c r="L86" s="18" t="str">
        <x:v>International Court of Justice</x:v>
      </x:c>
      <x:c r="M86" s="18" t="str">
        <x:v>Armed Activities on the Territory of the Congo (Democratic Republic of the Congo v. Rwanda)</x:v>
      </x:c>
      <x:c r="N86" s="18" t="str"/>
      <x:c r="O86" s="18" t="str"/>
      <x:c r="P86" s="18" t="str"/>
      <x:c r="Q86" s="18" t="str">
        <x:v>117</x:v>
      </x:c>
      <x:c r="R86" s="18" t="str"/>
      <x:c r="S86" s="18" t="str"/>
      <x:c r="T86" s="18" t="str">
        <x:v>COMPLETE_FINITE_SNAPSHOT</x:v>
      </x:c>
      <x:c r="U86" s="18" t="str">
        <x:v>Complete ICJ General List on official all-cases page</x:v>
      </x:c>
      <x:c r="V86" s="18" t="str"/>
      <x:c r="W86" s="18" t="str"/>
      <x:c r="X86" s="20" t="n">
        <x:v>192</x:v>
      </x:c>
      <x:c r="Y86" s="19" t="str">
        <x:f>IFERROR(TODAY()-DATEVALUE(C86),"")</x:f>
      </x:c>
      <x:c r="Z86" s="21" t="n">
        <x:f>ROUND(COUNTA(A86:K86)/11*100,0)</x:f>
        <x:v>100</x:v>
      </x:c>
      <x:c r="AA86" s="18" t="str">
        <x:v>International Court of Justice</x:v>
      </x:c>
      <x:c r="AB86" s="22" t="str">
        <x:v>https://api.icj-cij.org/case/117</x:v>
      </x:c>
      <x:c r="AC86" s="18" t="str"/>
      <x:c r="AD86" s="18" t="n">
        <x:v>46275.42531791667</x:v>
      </x:c>
      <x:c r="AE86" s="18" t="str">
        <x:v>independent_public</x:v>
      </x:c>
      <x:c r="AF86" s="18" t="str">
        <x:v>PARTIAL_NO_DATE</x:v>
      </x:c>
    </x:row>
    <x:row r="87">
      <x:c r="A87" s="18" t="str">
        <x:v>NYT-45-f25340eadd82d1d6</x:v>
      </x:c>
      <x:c r="B87" s="18" t="str">
        <x:v>LaGrand (Germany v. United States of America)</x:v>
      </x:c>
      <x:c r="C87" s="18" t="str"/>
      <x:c r="D87" s="18" t="str"/>
      <x:c r="E87" s="18" t="str"/>
      <x:c r="F87" s="18" t="str"/>
      <x:c r="G87" s="18" t="str"/>
      <x:c r="H87" s="18" t="str"/>
      <x:c r="I87" s="18" t="str">
        <x:v>International Court of Justice</x:v>
      </x:c>
      <x:c r="J87" s="20" t="str"/>
      <x:c r="K87" s="18" t="str"/>
      <x:c r="L87" s="18" t="str">
        <x:v>International Court of Justice</x:v>
      </x:c>
      <x:c r="M87" s="18" t="str">
        <x:v>LaGrand (Germany v. United States of America)</x:v>
      </x:c>
      <x:c r="N87" s="18" t="str"/>
      <x:c r="O87" s="18" t="str"/>
      <x:c r="P87" s="18" t="str"/>
      <x:c r="Q87" s="18" t="str">
        <x:v>104</x:v>
      </x:c>
      <x:c r="R87" s="18" t="str"/>
      <x:c r="S87" s="18" t="str"/>
      <x:c r="T87" s="18" t="str">
        <x:v>COMPLETE_FINITE_SNAPSHOT</x:v>
      </x:c>
      <x:c r="U87" s="18" t="str">
        <x:v>Complete ICJ General List on official all-cases page</x:v>
      </x:c>
      <x:c r="V87" s="18" t="str"/>
      <x:c r="W87" s="18" t="str"/>
      <x:c r="X87" s="20" t="n">
        <x:v>192</x:v>
      </x:c>
      <x:c r="Y87" s="19" t="str">
        <x:f>IFERROR(TODAY()-DATEVALUE(C87),"")</x:f>
      </x:c>
      <x:c r="Z87" s="21" t="n">
        <x:f>ROUND(COUNTA(A87:K87)/11*100,0)</x:f>
        <x:v>100</x:v>
      </x:c>
      <x:c r="AA87" s="18" t="str">
        <x:v>International Court of Justice</x:v>
      </x:c>
      <x:c r="AB87" s="22" t="str">
        <x:v>https://api.icj-cij.org/case/104</x:v>
      </x:c>
      <x:c r="AC87" s="18" t="str"/>
      <x:c r="AD87" s="18" t="n">
        <x:v>46275.42531791667</x:v>
      </x:c>
      <x:c r="AE87" s="18" t="str">
        <x:v>independent_public</x:v>
      </x:c>
      <x:c r="AF87" s="18" t="str">
        <x:v>PARTIAL_NO_DATE</x:v>
      </x:c>
    </x:row>
    <x:row r="88">
      <x:c r="A88" s="18" t="str">
        <x:v>NYT-45-a913d36a6699e084</x:v>
      </x:c>
      <x:c r="B88" s="18" t="str">
        <x:v>Maritime Delimitation and Territorial Questions between Qatar and Bahrain (Qatar v. Bahrain)</x:v>
      </x:c>
      <x:c r="C88" s="18" t="str"/>
      <x:c r="D88" s="18" t="str"/>
      <x:c r="E88" s="18" t="str"/>
      <x:c r="F88" s="18" t="str"/>
      <x:c r="G88" s="18" t="str"/>
      <x:c r="H88" s="18" t="str"/>
      <x:c r="I88" s="18" t="str">
        <x:v>International Court of Justice</x:v>
      </x:c>
      <x:c r="J88" s="20" t="str"/>
      <x:c r="K88" s="18" t="str"/>
      <x:c r="L88" s="18" t="str">
        <x:v>International Court of Justice</x:v>
      </x:c>
      <x:c r="M88" s="18" t="str">
        <x:v>Maritime Delimitation and Territorial Questions between Qatar and Bahrain (Qatar v. Bahrain)</x:v>
      </x:c>
      <x:c r="N88" s="18" t="str"/>
      <x:c r="O88" s="18" t="str"/>
      <x:c r="P88" s="18" t="str"/>
      <x:c r="Q88" s="18" t="str">
        <x:v>87</x:v>
      </x:c>
      <x:c r="R88" s="18" t="str"/>
      <x:c r="S88" s="18" t="str"/>
      <x:c r="T88" s="18" t="str">
        <x:v>COMPLETE_FINITE_SNAPSHOT</x:v>
      </x:c>
      <x:c r="U88" s="18" t="str">
        <x:v>Complete ICJ General List on official all-cases page</x:v>
      </x:c>
      <x:c r="V88" s="18" t="str"/>
      <x:c r="W88" s="18" t="str"/>
      <x:c r="X88" s="20" t="n">
        <x:v>192</x:v>
      </x:c>
      <x:c r="Y88" s="19" t="str">
        <x:f>IFERROR(TODAY()-DATEVALUE(C88),"")</x:f>
      </x:c>
      <x:c r="Z88" s="21" t="n">
        <x:f>ROUND(COUNTA(A88:K88)/11*100,0)</x:f>
        <x:v>100</x:v>
      </x:c>
      <x:c r="AA88" s="18" t="str">
        <x:v>International Court of Justice</x:v>
      </x:c>
      <x:c r="AB88" s="22" t="str">
        <x:v>https://api.icj-cij.org/case/87</x:v>
      </x:c>
      <x:c r="AC88" s="18" t="str"/>
      <x:c r="AD88" s="18" t="n">
        <x:v>46275.42531791667</x:v>
      </x:c>
      <x:c r="AE88" s="18" t="str">
        <x:v>independent_public</x:v>
      </x:c>
      <x:c r="AF88" s="18" t="str">
        <x:v>PARTIAL_NO_DATE</x:v>
      </x:c>
    </x:row>
    <x:row r="89">
      <x:c r="A89" s="18" t="str">
        <x:v>NYT-45-8789737a0b28dd27</x:v>
      </x:c>
      <x:c r="B89" s="18" t="str">
        <x:v>Armed Activities on the Territory of the Congo (Democratic Republic of the Congo v. Burundi)</x:v>
      </x:c>
      <x:c r="C89" s="18" t="str"/>
      <x:c r="D89" s="18" t="str"/>
      <x:c r="E89" s="18" t="str"/>
      <x:c r="F89" s="18" t="str"/>
      <x:c r="G89" s="18" t="str"/>
      <x:c r="H89" s="18" t="str"/>
      <x:c r="I89" s="18" t="str">
        <x:v>International Court of Justice</x:v>
      </x:c>
      <x:c r="J89" s="20" t="str"/>
      <x:c r="K89" s="18" t="str"/>
      <x:c r="L89" s="18" t="str">
        <x:v>International Court of Justice</x:v>
      </x:c>
      <x:c r="M89" s="18" t="str">
        <x:v>Armed Activities on the Territory of the Congo (Democratic Republic of the Congo v. Burundi)</x:v>
      </x:c>
      <x:c r="N89" s="18" t="str"/>
      <x:c r="O89" s="18" t="str"/>
      <x:c r="P89" s="18" t="str"/>
      <x:c r="Q89" s="18" t="str">
        <x:v>115</x:v>
      </x:c>
      <x:c r="R89" s="18" t="str"/>
      <x:c r="S89" s="18" t="str"/>
      <x:c r="T89" s="18" t="str">
        <x:v>COMPLETE_FINITE_SNAPSHOT</x:v>
      </x:c>
      <x:c r="U89" s="18" t="str">
        <x:v>Complete ICJ General List on official all-cases page</x:v>
      </x:c>
      <x:c r="V89" s="18" t="str"/>
      <x:c r="W89" s="18" t="str"/>
      <x:c r="X89" s="20" t="n">
        <x:v>192</x:v>
      </x:c>
      <x:c r="Y89" s="19" t="str">
        <x:f>IFERROR(TODAY()-DATEVALUE(C89),"")</x:f>
      </x:c>
      <x:c r="Z89" s="21" t="n">
        <x:f>ROUND(COUNTA(A89:K89)/11*100,0)</x:f>
        <x:v>100</x:v>
      </x:c>
      <x:c r="AA89" s="18" t="str">
        <x:v>International Court of Justice</x:v>
      </x:c>
      <x:c r="AB89" s="22" t="str">
        <x:v>https://api.icj-cij.org/case/115</x:v>
      </x:c>
      <x:c r="AC89" s="18" t="str"/>
      <x:c r="AD89" s="18" t="n">
        <x:v>46275.42531791667</x:v>
      </x:c>
      <x:c r="AE89" s="18" t="str">
        <x:v>independent_public</x:v>
      </x:c>
      <x:c r="AF89" s="18" t="str">
        <x:v>PARTIAL_NO_DATE</x:v>
      </x:c>
    </x:row>
    <x:row r="90">
      <x:c r="A90" s="18" t="str">
        <x:v>NYT-45-6437fc0ebedb7e62</x:v>
      </x:c>
      <x:c r="B90" s="18" t="str">
        <x:v>Aerial Incident of 10 August 1999 (Pakistan v. India)</x:v>
      </x:c>
      <x:c r="C90" s="18" t="str"/>
      <x:c r="D90" s="18" t="str"/>
      <x:c r="E90" s="18" t="str"/>
      <x:c r="F90" s="18" t="str"/>
      <x:c r="G90" s="18" t="str"/>
      <x:c r="H90" s="18" t="str"/>
      <x:c r="I90" s="18" t="str">
        <x:v>International Court of Justice</x:v>
      </x:c>
      <x:c r="J90" s="20" t="str"/>
      <x:c r="K90" s="18" t="str"/>
      <x:c r="L90" s="18" t="str">
        <x:v>International Court of Justice</x:v>
      </x:c>
      <x:c r="M90" s="18" t="str">
        <x:v>Aerial Incident of 10 August 1999 (Pakistan v. India)</x:v>
      </x:c>
      <x:c r="N90" s="18" t="str"/>
      <x:c r="O90" s="18" t="str"/>
      <x:c r="P90" s="18" t="str"/>
      <x:c r="Q90" s="18" t="str">
        <x:v>119</x:v>
      </x:c>
      <x:c r="R90" s="18" t="str"/>
      <x:c r="S90" s="18" t="str"/>
      <x:c r="T90" s="18" t="str">
        <x:v>COMPLETE_FINITE_SNAPSHOT</x:v>
      </x:c>
      <x:c r="U90" s="18" t="str">
        <x:v>Complete ICJ General List on official all-cases page</x:v>
      </x:c>
      <x:c r="V90" s="18" t="str"/>
      <x:c r="W90" s="18" t="str"/>
      <x:c r="X90" s="20" t="n">
        <x:v>192</x:v>
      </x:c>
      <x:c r="Y90" s="19" t="str">
        <x:f>IFERROR(TODAY()-DATEVALUE(C90),"")</x:f>
      </x:c>
      <x:c r="Z90" s="21" t="n">
        <x:f>ROUND(COUNTA(A90:K90)/11*100,0)</x:f>
        <x:v>100</x:v>
      </x:c>
      <x:c r="AA90" s="18" t="str">
        <x:v>International Court of Justice</x:v>
      </x:c>
      <x:c r="AB90" s="22" t="str">
        <x:v>https://api.icj-cij.org/case/119</x:v>
      </x:c>
      <x:c r="AC90" s="18" t="str"/>
      <x:c r="AD90" s="18" t="n">
        <x:v>46275.42531791667</x:v>
      </x:c>
      <x:c r="AE90" s="18" t="str">
        <x:v>independent_public</x:v>
      </x:c>
      <x:c r="AF90" s="18" t="str">
        <x:v>PARTIAL_NO_DATE</x:v>
      </x:c>
    </x:row>
    <x:row r="91">
      <x:c r="A91" s="18" t="str">
        <x:v>NYT-45-997a76ca4871b650</x:v>
      </x:c>
      <x:c r="B91" s="18" t="str">
        <x:v>Legality of Use of Force (Yugoslavia v. Spain)</x:v>
      </x:c>
      <x:c r="C91" s="18" t="str"/>
      <x:c r="D91" s="18" t="str"/>
      <x:c r="E91" s="18" t="str"/>
      <x:c r="F91" s="18" t="str"/>
      <x:c r="G91" s="18" t="str"/>
      <x:c r="H91" s="18" t="str"/>
      <x:c r="I91" s="18" t="str">
        <x:v>International Court of Justice</x:v>
      </x:c>
      <x:c r="J91" s="20" t="str"/>
      <x:c r="K91" s="18" t="str"/>
      <x:c r="L91" s="18" t="str">
        <x:v>International Court of Justice</x:v>
      </x:c>
      <x:c r="M91" s="18" t="str">
        <x:v>Legality of Use of Force (Yugoslavia v. Spain)</x:v>
      </x:c>
      <x:c r="N91" s="18" t="str"/>
      <x:c r="O91" s="18" t="str"/>
      <x:c r="P91" s="18" t="str"/>
      <x:c r="Q91" s="18" t="str">
        <x:v>112</x:v>
      </x:c>
      <x:c r="R91" s="18" t="str"/>
      <x:c r="S91" s="18" t="str"/>
      <x:c r="T91" s="18" t="str">
        <x:v>COMPLETE_FINITE_SNAPSHOT</x:v>
      </x:c>
      <x:c r="U91" s="18" t="str">
        <x:v>Complete ICJ General List on official all-cases page</x:v>
      </x:c>
      <x:c r="V91" s="18" t="str"/>
      <x:c r="W91" s="18" t="str"/>
      <x:c r="X91" s="20" t="n">
        <x:v>192</x:v>
      </x:c>
      <x:c r="Y91" s="19" t="str">
        <x:f>IFERROR(TODAY()-DATEVALUE(C91),"")</x:f>
      </x:c>
      <x:c r="Z91" s="21" t="n">
        <x:f>ROUND(COUNTA(A91:K91)/11*100,0)</x:f>
        <x:v>100</x:v>
      </x:c>
      <x:c r="AA91" s="18" t="str">
        <x:v>International Court of Justice</x:v>
      </x:c>
      <x:c r="AB91" s="22" t="str">
        <x:v>https://api.icj-cij.org/case/112</x:v>
      </x:c>
      <x:c r="AC91" s="18" t="str"/>
      <x:c r="AD91" s="18" t="n">
        <x:v>46275.42531791667</x:v>
      </x:c>
      <x:c r="AE91" s="18" t="str">
        <x:v>independent_public</x:v>
      </x:c>
      <x:c r="AF91" s="18" t="str">
        <x:v>PARTIAL_NO_DATE</x:v>
      </x:c>
    </x:row>
    <x:row r="92">
      <x:c r="A92" s="18" t="str">
        <x:v>NYT-45-ca6ef1e862fedb7a</x:v>
      </x:c>
      <x:c r="B92" s="18" t="str">
        <x:v>Request for Interpretation of the Judgment of 11 June 1998 in the Case concerning the Land and Maritime Boundary between Cameroon and Nigeria (Cameroon v. Nigeria), Preliminary Objections (Nigeria v. Cameroon)</x:v>
      </x:c>
      <x:c r="C92" s="18" t="str"/>
      <x:c r="D92" s="18" t="str"/>
      <x:c r="E92" s="18" t="str"/>
      <x:c r="F92" s="18" t="str"/>
      <x:c r="G92" s="18" t="str"/>
      <x:c r="H92" s="18" t="str"/>
      <x:c r="I92" s="18" t="str">
        <x:v>International Court of Justice</x:v>
      </x:c>
      <x:c r="J92" s="20" t="str"/>
      <x:c r="K92" s="18" t="str"/>
      <x:c r="L92" s="18" t="str">
        <x:v>International Court of Justice</x:v>
      </x:c>
      <x:c r="M92" s="18" t="str">
        <x:v>Request for Interpretation of the Judgment of 11 June 1998 in the Case concerning the Land and Maritime Boundary between Cameroon and Nigeria (Cameroon v. Nigeria), Preliminary Objections (Nigeria v. Cameroon)</x:v>
      </x:c>
      <x:c r="N92" s="18" t="str"/>
      <x:c r="O92" s="18" t="str"/>
      <x:c r="P92" s="18" t="str"/>
      <x:c r="Q92" s="18" t="str">
        <x:v>101</x:v>
      </x:c>
      <x:c r="R92" s="18" t="str"/>
      <x:c r="S92" s="18" t="str"/>
      <x:c r="T92" s="18" t="str">
        <x:v>COMPLETE_FINITE_SNAPSHOT</x:v>
      </x:c>
      <x:c r="U92" s="18" t="str">
        <x:v>Complete ICJ General List on official all-cases page</x:v>
      </x:c>
      <x:c r="V92" s="18" t="str"/>
      <x:c r="W92" s="18" t="str"/>
      <x:c r="X92" s="20" t="n">
        <x:v>192</x:v>
      </x:c>
      <x:c r="Y92" s="19" t="str">
        <x:f>IFERROR(TODAY()-DATEVALUE(C92),"")</x:f>
      </x:c>
      <x:c r="Z92" s="21" t="n">
        <x:f>ROUND(COUNTA(A92:K92)/11*100,0)</x:f>
        <x:v>100</x:v>
      </x:c>
      <x:c r="AA92" s="18" t="str">
        <x:v>International Court of Justice</x:v>
      </x:c>
      <x:c r="AB92" s="22" t="str">
        <x:v>https://api.icj-cij.org/case/101</x:v>
      </x:c>
      <x:c r="AC92" s="18" t="str"/>
      <x:c r="AD92" s="18" t="n">
        <x:v>46275.42531791667</x:v>
      </x:c>
      <x:c r="AE92" s="18" t="str">
        <x:v>independent_public</x:v>
      </x:c>
      <x:c r="AF92" s="18" t="str">
        <x:v>PARTIAL_NO_DATE</x:v>
      </x:c>
    </x:row>
    <x:row r="93">
      <x:c r="A93" s="18" t="str">
        <x:v>NYT-45-24059fe9cbbafdbc</x:v>
      </x:c>
      <x:c r="B93" s="18" t="str">
        <x:v>Legality of Use of Force (Yugoslavia v. United States of America)</x:v>
      </x:c>
      <x:c r="C93" s="18" t="str"/>
      <x:c r="D93" s="18" t="str"/>
      <x:c r="E93" s="18" t="str"/>
      <x:c r="F93" s="18" t="str"/>
      <x:c r="G93" s="18" t="str"/>
      <x:c r="H93" s="18" t="str"/>
      <x:c r="I93" s="18" t="str">
        <x:v>International Court of Justice</x:v>
      </x:c>
      <x:c r="J93" s="20" t="str"/>
      <x:c r="K93" s="18" t="str"/>
      <x:c r="L93" s="18" t="str">
        <x:v>International Court of Justice</x:v>
      </x:c>
      <x:c r="M93" s="18" t="str">
        <x:v>Legality of Use of Force (Yugoslavia v. United States of America)</x:v>
      </x:c>
      <x:c r="N93" s="18" t="str"/>
      <x:c r="O93" s="18" t="str"/>
      <x:c r="P93" s="18" t="str"/>
      <x:c r="Q93" s="18" t="str">
        <x:v>114</x:v>
      </x:c>
      <x:c r="R93" s="18" t="str"/>
      <x:c r="S93" s="18" t="str"/>
      <x:c r="T93" s="18" t="str">
        <x:v>COMPLETE_FINITE_SNAPSHOT</x:v>
      </x:c>
      <x:c r="U93" s="18" t="str">
        <x:v>Complete ICJ General List on official all-cases page</x:v>
      </x:c>
      <x:c r="V93" s="18" t="str"/>
      <x:c r="W93" s="18" t="str"/>
      <x:c r="X93" s="20" t="n">
        <x:v>192</x:v>
      </x:c>
      <x:c r="Y93" s="19" t="str">
        <x:f>IFERROR(TODAY()-DATEVALUE(C93),"")</x:f>
      </x:c>
      <x:c r="Z93" s="21" t="n">
        <x:f>ROUND(COUNTA(A93:K93)/11*100,0)</x:f>
        <x:v>100</x:v>
      </x:c>
      <x:c r="AA93" s="18" t="str">
        <x:v>International Court of Justice</x:v>
      </x:c>
      <x:c r="AB93" s="22" t="str">
        <x:v>https://api.icj-cij.org/case/114</x:v>
      </x:c>
      <x:c r="AC93" s="18" t="str"/>
      <x:c r="AD93" s="18" t="n">
        <x:v>46275.42531791667</x:v>
      </x:c>
      <x:c r="AE93" s="18" t="str">
        <x:v>independent_public</x:v>
      </x:c>
      <x:c r="AF93" s="18" t="str">
        <x:v>PARTIAL_NO_DATE</x:v>
      </x:c>
    </x:row>
    <x:row r="94">
      <x:c r="A94" s="18" t="str">
        <x:v>NYT-45-2719cfc703d8783e</x:v>
      </x:c>
      <x:c r="B94" s="18" t="str">
        <x:v>Kasikili/Sedudu Island (Botswana/Namibia)</x:v>
      </x:c>
      <x:c r="C94" s="18" t="str"/>
      <x:c r="D94" s="18" t="str"/>
      <x:c r="E94" s="18" t="str"/>
      <x:c r="F94" s="18" t="str"/>
      <x:c r="G94" s="18" t="str"/>
      <x:c r="H94" s="18" t="str"/>
      <x:c r="I94" s="18" t="str">
        <x:v>International Court of Justice</x:v>
      </x:c>
      <x:c r="J94" s="20" t="str"/>
      <x:c r="K94" s="18" t="str"/>
      <x:c r="L94" s="18" t="str">
        <x:v>International Court of Justice</x:v>
      </x:c>
      <x:c r="M94" s="18" t="str">
        <x:v>Kasikili/Sedudu Island (Botswana/Namibia)</x:v>
      </x:c>
      <x:c r="N94" s="18" t="str"/>
      <x:c r="O94" s="18" t="str"/>
      <x:c r="P94" s="18" t="str"/>
      <x:c r="Q94" s="18" t="str">
        <x:v>98</x:v>
      </x:c>
      <x:c r="R94" s="18" t="str"/>
      <x:c r="S94" s="18" t="str"/>
      <x:c r="T94" s="18" t="str">
        <x:v>COMPLETE_FINITE_SNAPSHOT</x:v>
      </x:c>
      <x:c r="U94" s="18" t="str">
        <x:v>Complete ICJ General List on official all-cases page</x:v>
      </x:c>
      <x:c r="V94" s="18" t="str"/>
      <x:c r="W94" s="18" t="str"/>
      <x:c r="X94" s="20" t="n">
        <x:v>192</x:v>
      </x:c>
      <x:c r="Y94" s="19" t="str">
        <x:f>IFERROR(TODAY()-DATEVALUE(C94),"")</x:f>
      </x:c>
      <x:c r="Z94" s="21" t="n">
        <x:f>ROUND(COUNTA(A94:K94)/11*100,0)</x:f>
        <x:v>100</x:v>
      </x:c>
      <x:c r="AA94" s="18" t="str">
        <x:v>International Court of Justice</x:v>
      </x:c>
      <x:c r="AB94" s="22" t="str">
        <x:v>https://api.icj-cij.org/case/98</x:v>
      </x:c>
      <x:c r="AC94" s="18" t="str"/>
      <x:c r="AD94" s="18" t="n">
        <x:v>46275.42531791667</x:v>
      </x:c>
      <x:c r="AE94" s="18" t="str">
        <x:v>independent_public</x:v>
      </x:c>
      <x:c r="AF94" s="18" t="str">
        <x:v>PARTIAL_NO_DATE</x:v>
      </x:c>
    </x:row>
    <x:row r="95">
      <x:c r="A95" s="18" t="str">
        <x:v>NYT-45-a905ccd270fcc06a</x:v>
      </x:c>
      <x:c r="B95" s="18" t="str">
        <x:v>Difference Relating to Immunity from Legal Process of a Special Rapporteur of the Commission on Human Rights</x:v>
      </x:c>
      <x:c r="C95" s="18" t="str"/>
      <x:c r="D95" s="18" t="str"/>
      <x:c r="E95" s="18" t="str"/>
      <x:c r="F95" s="18" t="str"/>
      <x:c r="G95" s="18" t="str"/>
      <x:c r="H95" s="18" t="str"/>
      <x:c r="I95" s="18" t="str">
        <x:v>International Court of Justice</x:v>
      </x:c>
      <x:c r="J95" s="20" t="str"/>
      <x:c r="K95" s="18" t="str"/>
      <x:c r="L95" s="18" t="str">
        <x:v>International Court of Justice</x:v>
      </x:c>
      <x:c r="M95" s="18" t="str">
        <x:v>Difference Relating to Immunity from Legal Process of a Special Rapporteur of the Commission on Human Rights</x:v>
      </x:c>
      <x:c r="N95" s="18" t="str"/>
      <x:c r="O95" s="18" t="str"/>
      <x:c r="P95" s="18" t="str"/>
      <x:c r="Q95" s="18" t="str">
        <x:v>100</x:v>
      </x:c>
      <x:c r="R95" s="18" t="str"/>
      <x:c r="S95" s="18" t="str"/>
      <x:c r="T95" s="18" t="str">
        <x:v>COMPLETE_FINITE_SNAPSHOT</x:v>
      </x:c>
      <x:c r="U95" s="18" t="str">
        <x:v>Complete ICJ General List on official all-cases page</x:v>
      </x:c>
      <x:c r="V95" s="18" t="str"/>
      <x:c r="W95" s="18" t="str"/>
      <x:c r="X95" s="20" t="n">
        <x:v>192</x:v>
      </x:c>
      <x:c r="Y95" s="19" t="str">
        <x:f>IFERROR(TODAY()-DATEVALUE(C95),"")</x:f>
      </x:c>
      <x:c r="Z95" s="21" t="n">
        <x:f>ROUND(COUNTA(A95:K95)/11*100,0)</x:f>
        <x:v>100</x:v>
      </x:c>
      <x:c r="AA95" s="18" t="str">
        <x:v>International Court of Justice</x:v>
      </x:c>
      <x:c r="AB95" s="22" t="str">
        <x:v>https://api.icj-cij.org/case/100</x:v>
      </x:c>
      <x:c r="AC95" s="18" t="str"/>
      <x:c r="AD95" s="18" t="n">
        <x:v>46275.42531791667</x:v>
      </x:c>
      <x:c r="AE95" s="18" t="str">
        <x:v>independent_public</x:v>
      </x:c>
      <x:c r="AF95" s="18" t="str">
        <x:v>PARTIAL_NO_DATE</x:v>
      </x:c>
    </x:row>
    <x:row r="96">
      <x:c r="A96" s="18" t="str">
        <x:v>NYT-45-78089360430ffd6b</x:v>
      </x:c>
      <x:c r="B96" s="18" t="str">
        <x:v>Vienna Convention on Consular Relations (Paraguay v. United States of America)</x:v>
      </x:c>
      <x:c r="C96" s="18" t="str"/>
      <x:c r="D96" s="18" t="str"/>
      <x:c r="E96" s="18" t="str"/>
      <x:c r="F96" s="18" t="str"/>
      <x:c r="G96" s="18" t="str"/>
      <x:c r="H96" s="18" t="str"/>
      <x:c r="I96" s="18" t="str">
        <x:v>International Court of Justice</x:v>
      </x:c>
      <x:c r="J96" s="20" t="str"/>
      <x:c r="K96" s="18" t="str"/>
      <x:c r="L96" s="18" t="str">
        <x:v>International Court of Justice</x:v>
      </x:c>
      <x:c r="M96" s="18" t="str">
        <x:v>Vienna Convention on Consular Relations (Paraguay v. United States of America)</x:v>
      </x:c>
      <x:c r="N96" s="18" t="str"/>
      <x:c r="O96" s="18" t="str"/>
      <x:c r="P96" s="18" t="str"/>
      <x:c r="Q96" s="18" t="str">
        <x:v>99</x:v>
      </x:c>
      <x:c r="R96" s="18" t="str"/>
      <x:c r="S96" s="18" t="str"/>
      <x:c r="T96" s="18" t="str">
        <x:v>COMPLETE_FINITE_SNAPSHOT</x:v>
      </x:c>
      <x:c r="U96" s="18" t="str">
        <x:v>Complete ICJ General List on official all-cases page</x:v>
      </x:c>
      <x:c r="V96" s="18" t="str"/>
      <x:c r="W96" s="18" t="str"/>
      <x:c r="X96" s="20" t="n">
        <x:v>192</x:v>
      </x:c>
      <x:c r="Y96" s="19" t="str">
        <x:f>IFERROR(TODAY()-DATEVALUE(C96),"")</x:f>
      </x:c>
      <x:c r="Z96" s="21" t="n">
        <x:f>ROUND(COUNTA(A96:K96)/11*100,0)</x:f>
        <x:v>100</x:v>
      </x:c>
      <x:c r="AA96" s="18" t="str">
        <x:v>International Court of Justice</x:v>
      </x:c>
      <x:c r="AB96" s="22" t="str">
        <x:v>https://api.icj-cij.org/case/99</x:v>
      </x:c>
      <x:c r="AC96" s="18" t="str"/>
      <x:c r="AD96" s="18" t="n">
        <x:v>46275.42531791667</x:v>
      </x:c>
      <x:c r="AE96" s="18" t="str">
        <x:v>independent_public</x:v>
      </x:c>
      <x:c r="AF96" s="18" t="str">
        <x:v>PARTIAL_NO_DATE</x:v>
      </x:c>
    </x:row>
    <x:row r="97">
      <x:c r="A97" s="18" t="str">
        <x:v>NYT-45-d6d324e0b56e27fb</x:v>
      </x:c>
      <x:c r="B97" s="18" t="str">
        <x:v>Fisheries Jurisdiction (Spain v. Canada)</x:v>
      </x:c>
      <x:c r="C97" s="18" t="str"/>
      <x:c r="D97" s="18" t="str"/>
      <x:c r="E97" s="18" t="str"/>
      <x:c r="F97" s="18" t="str"/>
      <x:c r="G97" s="18" t="str"/>
      <x:c r="H97" s="18" t="str"/>
      <x:c r="I97" s="18" t="str">
        <x:v>International Court of Justice</x:v>
      </x:c>
      <x:c r="J97" s="20" t="str"/>
      <x:c r="K97" s="18" t="str"/>
      <x:c r="L97" s="18" t="str">
        <x:v>International Court of Justice</x:v>
      </x:c>
      <x:c r="M97" s="18" t="str">
        <x:v>Fisheries Jurisdiction (Spain v. Canada)</x:v>
      </x:c>
      <x:c r="N97" s="18" t="str"/>
      <x:c r="O97" s="18" t="str"/>
      <x:c r="P97" s="18" t="str"/>
      <x:c r="Q97" s="18" t="str">
        <x:v>96</x:v>
      </x:c>
      <x:c r="R97" s="18" t="str"/>
      <x:c r="S97" s="18" t="str"/>
      <x:c r="T97" s="18" t="str">
        <x:v>COMPLETE_FINITE_SNAPSHOT</x:v>
      </x:c>
      <x:c r="U97" s="18" t="str">
        <x:v>Complete ICJ General List on official all-cases page</x:v>
      </x:c>
      <x:c r="V97" s="18" t="str"/>
      <x:c r="W97" s="18" t="str"/>
      <x:c r="X97" s="20" t="n">
        <x:v>192</x:v>
      </x:c>
      <x:c r="Y97" s="19" t="str">
        <x:f>IFERROR(TODAY()-DATEVALUE(C97),"")</x:f>
      </x:c>
      <x:c r="Z97" s="21" t="n">
        <x:f>ROUND(COUNTA(A97:K97)/11*100,0)</x:f>
        <x:v>100</x:v>
      </x:c>
      <x:c r="AA97" s="18" t="str">
        <x:v>International Court of Justice</x:v>
      </x:c>
      <x:c r="AB97" s="22" t="str">
        <x:v>https://api.icj-cij.org/case/96</x:v>
      </x:c>
      <x:c r="AC97" s="18" t="str"/>
      <x:c r="AD97" s="18" t="n">
        <x:v>46275.42531791667</x:v>
      </x:c>
      <x:c r="AE97" s="18" t="str">
        <x:v>independent_public</x:v>
      </x:c>
      <x:c r="AF97" s="18" t="str">
        <x:v>PARTIAL_NO_DATE</x:v>
      </x:c>
    </x:row>
    <x:row r="98">
      <x:c r="A98" s="18" t="str">
        <x:v>NYT-45-03734d572b71cdd5</x:v>
      </x:c>
      <x:c r="B98" s="18" t="str">
        <x:v>Legality of the Threat or Use of Nuclear Weapons</x:v>
      </x:c>
      <x:c r="C98" s="18" t="str"/>
      <x:c r="D98" s="18" t="str"/>
      <x:c r="E98" s="18" t="str"/>
      <x:c r="F98" s="18" t="str"/>
      <x:c r="G98" s="18" t="str"/>
      <x:c r="H98" s="18" t="str"/>
      <x:c r="I98" s="18" t="str">
        <x:v>International Court of Justice</x:v>
      </x:c>
      <x:c r="J98" s="20" t="str"/>
      <x:c r="K98" s="18" t="str"/>
      <x:c r="L98" s="18" t="str">
        <x:v>International Court of Justice</x:v>
      </x:c>
      <x:c r="M98" s="18" t="str">
        <x:v>Legality of the Threat or Use of Nuclear Weapons</x:v>
      </x:c>
      <x:c r="N98" s="18" t="str"/>
      <x:c r="O98" s="18" t="str"/>
      <x:c r="P98" s="18" t="str"/>
      <x:c r="Q98" s="18" t="str">
        <x:v>95</x:v>
      </x:c>
      <x:c r="R98" s="18" t="str"/>
      <x:c r="S98" s="18" t="str"/>
      <x:c r="T98" s="18" t="str">
        <x:v>COMPLETE_FINITE_SNAPSHOT</x:v>
      </x:c>
      <x:c r="U98" s="18" t="str">
        <x:v>Complete ICJ General List on official all-cases page</x:v>
      </x:c>
      <x:c r="V98" s="18" t="str"/>
      <x:c r="W98" s="18" t="str"/>
      <x:c r="X98" s="20" t="n">
        <x:v>192</x:v>
      </x:c>
      <x:c r="Y98" s="19" t="str">
        <x:f>IFERROR(TODAY()-DATEVALUE(C98),"")</x:f>
      </x:c>
      <x:c r="Z98" s="21" t="n">
        <x:f>ROUND(COUNTA(A98:K98)/11*100,0)</x:f>
        <x:v>100</x:v>
      </x:c>
      <x:c r="AA98" s="18" t="str">
        <x:v>International Court of Justice</x:v>
      </x:c>
      <x:c r="AB98" s="22" t="str">
        <x:v>https://api.icj-cij.org/case/95</x:v>
      </x:c>
      <x:c r="AC98" s="18" t="str"/>
      <x:c r="AD98" s="18" t="n">
        <x:v>46275.42531791667</x:v>
      </x:c>
      <x:c r="AE98" s="18" t="str">
        <x:v>independent_public</x:v>
      </x:c>
      <x:c r="AF98" s="18" t="str">
        <x:v>PARTIAL_NO_DATE</x:v>
      </x:c>
    </x:row>
    <x:row r="99">
      <x:c r="A99" s="18" t="str">
        <x:v>NYT-45-ca7f65eb254972f1</x:v>
      </x:c>
      <x:c r="B99" s="18" t="str">
        <x:v>Aerial Incident of 3 July 1988 (Islamic Republic of Iran v. United States of America)</x:v>
      </x:c>
      <x:c r="C99" s="18" t="str"/>
      <x:c r="D99" s="18" t="str"/>
      <x:c r="E99" s="18" t="str"/>
      <x:c r="F99" s="18" t="str"/>
      <x:c r="G99" s="18" t="str"/>
      <x:c r="H99" s="18" t="str"/>
      <x:c r="I99" s="18" t="str">
        <x:v>International Court of Justice</x:v>
      </x:c>
      <x:c r="J99" s="20" t="str"/>
      <x:c r="K99" s="18" t="str"/>
      <x:c r="L99" s="18" t="str">
        <x:v>International Court of Justice</x:v>
      </x:c>
      <x:c r="M99" s="18" t="str">
        <x:v>Aerial Incident of 3 July 1988 (Islamic Republic of Iran v. United States of America)</x:v>
      </x:c>
      <x:c r="N99" s="18" t="str"/>
      <x:c r="O99" s="18" t="str"/>
      <x:c r="P99" s="18" t="str"/>
      <x:c r="Q99" s="18" t="str">
        <x:v>79</x:v>
      </x:c>
      <x:c r="R99" s="18" t="str"/>
      <x:c r="S99" s="18" t="str"/>
      <x:c r="T99" s="18" t="str">
        <x:v>COMPLETE_FINITE_SNAPSHOT</x:v>
      </x:c>
      <x:c r="U99" s="18" t="str">
        <x:v>Complete ICJ General List on official all-cases page</x:v>
      </x:c>
      <x:c r="V99" s="18" t="str"/>
      <x:c r="W99" s="18" t="str"/>
      <x:c r="X99" s="20" t="n">
        <x:v>192</x:v>
      </x:c>
      <x:c r="Y99" s="19" t="str">
        <x:f>IFERROR(TODAY()-DATEVALUE(C99),"")</x:f>
      </x:c>
      <x:c r="Z99" s="21" t="n">
        <x:f>ROUND(COUNTA(A99:K99)/11*100,0)</x:f>
        <x:v>100</x:v>
      </x:c>
      <x:c r="AA99" s="18" t="str">
        <x:v>International Court of Justice</x:v>
      </x:c>
      <x:c r="AB99" s="22" t="str">
        <x:v>https://api.icj-cij.org/case/79</x:v>
      </x:c>
      <x:c r="AC99" s="18" t="str"/>
      <x:c r="AD99" s="18" t="n">
        <x:v>46275.42531791667</x:v>
      </x:c>
      <x:c r="AE99" s="18" t="str">
        <x:v>independent_public</x:v>
      </x:c>
      <x:c r="AF99" s="18" t="str">
        <x:v>PARTIAL_NO_DATE</x:v>
      </x:c>
    </x:row>
    <x:row r="100">
      <x:c r="A100" s="18" t="str">
        <x:v>NYT-45-6db0e02b27398595</x:v>
      </x:c>
      <x:c r="B100" s="18" t="str">
        <x:v>Legality of the Use by a State of Nuclear Weapons in Armed Conflict</x:v>
      </x:c>
      <x:c r="C100" s="18" t="str"/>
      <x:c r="D100" s="18" t="str"/>
      <x:c r="E100" s="18" t="str"/>
      <x:c r="F100" s="18" t="str"/>
      <x:c r="G100" s="18" t="str"/>
      <x:c r="H100" s="18" t="str"/>
      <x:c r="I100" s="18" t="str">
        <x:v>International Court of Justice</x:v>
      </x:c>
      <x:c r="J100" s="20" t="str"/>
      <x:c r="K100" s="18" t="str"/>
      <x:c r="L100" s="18" t="str">
        <x:v>International Court of Justice</x:v>
      </x:c>
      <x:c r="M100" s="18" t="str">
        <x:v>Legality of the Use by a State of Nuclear Weapons in Armed Conflict</x:v>
      </x:c>
      <x:c r="N100" s="18" t="str"/>
      <x:c r="O100" s="18" t="str"/>
      <x:c r="P100" s="18" t="str"/>
      <x:c r="Q100" s="18" t="str">
        <x:v>93</x:v>
      </x:c>
      <x:c r="R100" s="18" t="str"/>
      <x:c r="S100" s="18" t="str"/>
      <x:c r="T100" s="18" t="str">
        <x:v>COMPLETE_FINITE_SNAPSHOT</x:v>
      </x:c>
      <x:c r="U100" s="18" t="str">
        <x:v>Complete ICJ General List on official all-cases page</x:v>
      </x:c>
      <x:c r="V100" s="18" t="str"/>
      <x:c r="W100" s="18" t="str"/>
      <x:c r="X100" s="20" t="n">
        <x:v>192</x:v>
      </x:c>
      <x:c r="Y100" s="19" t="str">
        <x:f>IFERROR(TODAY()-DATEVALUE(C100),"")</x:f>
      </x:c>
      <x:c r="Z100" s="21" t="n">
        <x:f>ROUND(COUNTA(A100:K100)/11*100,0)</x:f>
        <x:v>100</x:v>
      </x:c>
      <x:c r="AA100" s="18" t="str">
        <x:v>International Court of Justice</x:v>
      </x:c>
      <x:c r="AB100" s="22" t="str">
        <x:v>https://api.icj-cij.org/case/93</x:v>
      </x:c>
      <x:c r="AC100" s="18" t="str"/>
      <x:c r="AD100" s="18" t="n">
        <x:v>46275.42531791667</x:v>
      </x:c>
      <x:c r="AE100" s="18" t="str">
        <x:v>independent_public</x:v>
      </x:c>
      <x:c r="AF100" s="18" t="str">
        <x:v>PARTIAL_NO_DATE</x:v>
      </x:c>
    </x:row>
    <x:row r="101">
      <x:c r="A101" s="18" t="str">
        <x:v>NYT-45-93cd50dd163d7518</x:v>
      </x:c>
      <x:c r="B101" s="18" t="str">
        <x:v>East Timor (Portugal v. Australia)</x:v>
      </x:c>
      <x:c r="C101" s="18" t="str"/>
      <x:c r="D101" s="18" t="str"/>
      <x:c r="E101" s="18" t="str"/>
      <x:c r="F101" s="18" t="str"/>
      <x:c r="G101" s="18" t="str"/>
      <x:c r="H101" s="18" t="str"/>
      <x:c r="I101" s="18" t="str">
        <x:v>International Court of Justice</x:v>
      </x:c>
      <x:c r="J101" s="20" t="str"/>
      <x:c r="K101" s="18" t="str"/>
      <x:c r="L101" s="18" t="str">
        <x:v>International Court of Justice</x:v>
      </x:c>
      <x:c r="M101" s="18" t="str">
        <x:v>East Timor (Portugal v. Australia)</x:v>
      </x:c>
      <x:c r="N101" s="18" t="str"/>
      <x:c r="O101" s="18" t="str"/>
      <x:c r="P101" s="18" t="str"/>
      <x:c r="Q101" s="18" t="str">
        <x:v>84</x:v>
      </x:c>
      <x:c r="R101" s="18" t="str"/>
      <x:c r="S101" s="18" t="str"/>
      <x:c r="T101" s="18" t="str">
        <x:v>COMPLETE_FINITE_SNAPSHOT</x:v>
      </x:c>
      <x:c r="U101" s="18" t="str">
        <x:v>Complete ICJ General List on official all-cases page</x:v>
      </x:c>
      <x:c r="V101" s="18" t="str"/>
      <x:c r="W101" s="18" t="str"/>
      <x:c r="X101" s="20" t="n">
        <x:v>192</x:v>
      </x:c>
      <x:c r="Y101" s="19" t="str">
        <x:f>IFERROR(TODAY()-DATEVALUE(C101),"")</x:f>
      </x:c>
      <x:c r="Z101" s="21" t="n">
        <x:f>ROUND(COUNTA(A101:K101)/11*100,0)</x:f>
        <x:v>100</x:v>
      </x:c>
      <x:c r="AA101" s="18" t="str">
        <x:v>International Court of Justice</x:v>
      </x:c>
      <x:c r="AB101" s="22" t="str">
        <x:v>https://api.icj-cij.org/case/84</x:v>
      </x:c>
      <x:c r="AC101" s="18" t="str"/>
      <x:c r="AD101" s="18" t="n">
        <x:v>46275.42531791667</x:v>
      </x:c>
      <x:c r="AE101" s="18" t="str">
        <x:v>independent_public</x:v>
      </x:c>
      <x:c r="AF101" s="18" t="str">
        <x:v>PARTIAL_NO_DATE</x:v>
      </x:c>
    </x:row>
    <x:row r="102">
      <x:c r="A102" s="18" t="str">
        <x:v>NYT-45-ee40ba1d29363df9</x:v>
      </x:c>
      <x:c r="B102" s="18" t="str">
        <x:v>Maritime Delimitation between Guinea-Bissau and Senegal (Guinea-Bissau v. Senegal)</x:v>
      </x:c>
      <x:c r="C102" s="18" t="str"/>
      <x:c r="D102" s="18" t="str"/>
      <x:c r="E102" s="18" t="str"/>
      <x:c r="F102" s="18" t="str"/>
      <x:c r="G102" s="18" t="str"/>
      <x:c r="H102" s="18" t="str"/>
      <x:c r="I102" s="18" t="str">
        <x:v>International Court of Justice</x:v>
      </x:c>
      <x:c r="J102" s="20" t="str"/>
      <x:c r="K102" s="18" t="str"/>
      <x:c r="L102" s="18" t="str">
        <x:v>International Court of Justice</x:v>
      </x:c>
      <x:c r="M102" s="18" t="str">
        <x:v>Maritime Delimitation between Guinea-Bissau and Senegal (Guinea-Bissau v. Senegal)</x:v>
      </x:c>
      <x:c r="N102" s="18" t="str"/>
      <x:c r="O102" s="18" t="str"/>
      <x:c r="P102" s="18" t="str"/>
      <x:c r="Q102" s="18" t="str">
        <x:v>85</x:v>
      </x:c>
      <x:c r="R102" s="18" t="str"/>
      <x:c r="S102" s="18" t="str"/>
      <x:c r="T102" s="18" t="str">
        <x:v>COMPLETE_FINITE_SNAPSHOT</x:v>
      </x:c>
      <x:c r="U102" s="18" t="str">
        <x:v>Complete ICJ General List on official all-cases page</x:v>
      </x:c>
      <x:c r="V102" s="18" t="str"/>
      <x:c r="W102" s="18" t="str"/>
      <x:c r="X102" s="20" t="n">
        <x:v>192</x:v>
      </x:c>
      <x:c r="Y102" s="19" t="str">
        <x:f>IFERROR(TODAY()-DATEVALUE(C102),"")</x:f>
      </x:c>
      <x:c r="Z102" s="21" t="n">
        <x:f>ROUND(COUNTA(A102:K102)/11*100,0)</x:f>
        <x:v>100</x:v>
      </x:c>
      <x:c r="AA102" s="18" t="str">
        <x:v>International Court of Justice</x:v>
      </x:c>
      <x:c r="AB102" s="22" t="str">
        <x:v>https://api.icj-cij.org/case/85</x:v>
      </x:c>
      <x:c r="AC102" s="18" t="str"/>
      <x:c r="AD102" s="18" t="n">
        <x:v>46275.42531791667</x:v>
      </x:c>
      <x:c r="AE102" s="18" t="str">
        <x:v>independent_public</x:v>
      </x:c>
      <x:c r="AF102" s="18" t="str">
        <x:v>PARTIAL_NO_DATE</x:v>
      </x:c>
    </x:row>
    <x:row r="103">
      <x:c r="A103" s="18" t="str">
        <x:v>NYT-45-532400cda84acdd3</x:v>
      </x:c>
      <x:c r="B103" s="18" t="str">
        <x:v>Request for an Examination of the Situation in Accordance with Paragraph 63 of the Courts Judgment of 20 December 1974 in the Nuclear Tests (New Zealand v. France) Case</x:v>
      </x:c>
      <x:c r="C103" s="18" t="str"/>
      <x:c r="D103" s="18" t="str"/>
      <x:c r="E103" s="18" t="str"/>
      <x:c r="F103" s="18" t="str"/>
      <x:c r="G103" s="18" t="str"/>
      <x:c r="H103" s="18" t="str"/>
      <x:c r="I103" s="18" t="str">
        <x:v>International Court of Justice</x:v>
      </x:c>
      <x:c r="J103" s="20" t="str"/>
      <x:c r="K103" s="18" t="str"/>
      <x:c r="L103" s="18" t="str">
        <x:v>International Court of Justice</x:v>
      </x:c>
      <x:c r="M103" s="18" t="str">
        <x:v>Request for an Examination of the Situation in Accordance with Paragraph 63 of the Courts Judgment of 20 December 1974 in the Nuclear Tests (New Zealand v. France) Case</x:v>
      </x:c>
      <x:c r="N103" s="18" t="str"/>
      <x:c r="O103" s="18" t="str"/>
      <x:c r="P103" s="18" t="str"/>
      <x:c r="Q103" s="18" t="str">
        <x:v>97</x:v>
      </x:c>
      <x:c r="R103" s="18" t="str"/>
      <x:c r="S103" s="18" t="str"/>
      <x:c r="T103" s="18" t="str">
        <x:v>COMPLETE_FINITE_SNAPSHOT</x:v>
      </x:c>
      <x:c r="U103" s="18" t="str">
        <x:v>Complete ICJ General List on official all-cases page</x:v>
      </x:c>
      <x:c r="V103" s="18" t="str"/>
      <x:c r="W103" s="18" t="str"/>
      <x:c r="X103" s="20" t="n">
        <x:v>192</x:v>
      </x:c>
      <x:c r="Y103" s="19" t="str">
        <x:f>IFERROR(TODAY()-DATEVALUE(C103),"")</x:f>
      </x:c>
      <x:c r="Z103" s="21" t="n">
        <x:f>ROUND(COUNTA(A103:K103)/11*100,0)</x:f>
        <x:v>100</x:v>
      </x:c>
      <x:c r="AA103" s="18" t="str">
        <x:v>International Court of Justice</x:v>
      </x:c>
      <x:c r="AB103" s="22" t="str">
        <x:v>https://api.icj-cij.org/case/97</x:v>
      </x:c>
      <x:c r="AC103" s="18" t="str"/>
      <x:c r="AD103" s="18" t="n">
        <x:v>46275.42531791667</x:v>
      </x:c>
      <x:c r="AE103" s="18" t="str">
        <x:v>independent_public</x:v>
      </x:c>
      <x:c r="AF103" s="18" t="str">
        <x:v>PARTIAL_NO_DATE</x:v>
      </x:c>
    </x:row>
    <x:row r="104">
      <x:c r="A104" s="18" t="str">
        <x:v>NYT-45-5395102e5d129d88</x:v>
      </x:c>
      <x:c r="B104" s="18" t="str">
        <x:v>Territorial Dispute (Libyan Arab Jamahiriya/Chad)</x:v>
      </x:c>
      <x:c r="C104" s="18" t="str"/>
      <x:c r="D104" s="18" t="str"/>
      <x:c r="E104" s="18" t="str"/>
      <x:c r="F104" s="18" t="str"/>
      <x:c r="G104" s="18" t="str"/>
      <x:c r="H104" s="18" t="str"/>
      <x:c r="I104" s="18" t="str">
        <x:v>International Court of Justice</x:v>
      </x:c>
      <x:c r="J104" s="20" t="str"/>
      <x:c r="K104" s="18" t="str"/>
      <x:c r="L104" s="18" t="str">
        <x:v>International Court of Justice</x:v>
      </x:c>
      <x:c r="M104" s="18" t="str">
        <x:v>Territorial Dispute (Libyan Arab Jamahiriya/Chad)</x:v>
      </x:c>
      <x:c r="N104" s="18" t="str"/>
      <x:c r="O104" s="18" t="str"/>
      <x:c r="P104" s="18" t="str"/>
      <x:c r="Q104" s="18" t="str">
        <x:v>83</x:v>
      </x:c>
      <x:c r="R104" s="18" t="str"/>
      <x:c r="S104" s="18" t="str"/>
      <x:c r="T104" s="18" t="str">
        <x:v>COMPLETE_FINITE_SNAPSHOT</x:v>
      </x:c>
      <x:c r="U104" s="18" t="str">
        <x:v>Complete ICJ General List on official all-cases page</x:v>
      </x:c>
      <x:c r="V104" s="18" t="str"/>
      <x:c r="W104" s="18" t="str"/>
      <x:c r="X104" s="20" t="n">
        <x:v>192</x:v>
      </x:c>
      <x:c r="Y104" s="19" t="str">
        <x:f>IFERROR(TODAY()-DATEVALUE(C104),"")</x:f>
      </x:c>
      <x:c r="Z104" s="21" t="n">
        <x:f>ROUND(COUNTA(A104:K104)/11*100,0)</x:f>
        <x:v>100</x:v>
      </x:c>
      <x:c r="AA104" s="18" t="str">
        <x:v>International Court of Justice</x:v>
      </x:c>
      <x:c r="AB104" s="22" t="str">
        <x:v>https://api.icj-cij.org/case/83</x:v>
      </x:c>
      <x:c r="AC104" s="18" t="str"/>
      <x:c r="AD104" s="18" t="n">
        <x:v>46275.42531791667</x:v>
      </x:c>
      <x:c r="AE104" s="18" t="str">
        <x:v>independent_public</x:v>
      </x:c>
      <x:c r="AF104" s="18" t="str">
        <x:v>PARTIAL_NO_DATE</x:v>
      </x:c>
    </x:row>
    <x:row r="105">
      <x:c r="A105" s="18" t="str">
        <x:v>NYT-45-757bfee0299b813f</x:v>
      </x:c>
      <x:c r="B105" s="18" t="str">
        <x:v>Certain Phosphate Lands in Nauru (Nauru v. Australia)</x:v>
      </x:c>
      <x:c r="C105" s="18" t="str"/>
      <x:c r="D105" s="18" t="str"/>
      <x:c r="E105" s="18" t="str"/>
      <x:c r="F105" s="18" t="str"/>
      <x:c r="G105" s="18" t="str"/>
      <x:c r="H105" s="18" t="str"/>
      <x:c r="I105" s="18" t="str">
        <x:v>International Court of Justice</x:v>
      </x:c>
      <x:c r="J105" s="20" t="str"/>
      <x:c r="K105" s="18" t="str"/>
      <x:c r="L105" s="18" t="str">
        <x:v>International Court of Justice</x:v>
      </x:c>
      <x:c r="M105" s="18" t="str">
        <x:v>Certain Phosphate Lands in Nauru (Nauru v. Australia)</x:v>
      </x:c>
      <x:c r="N105" s="18" t="str"/>
      <x:c r="O105" s="18" t="str"/>
      <x:c r="P105" s="18" t="str"/>
      <x:c r="Q105" s="18" t="str">
        <x:v>80</x:v>
      </x:c>
      <x:c r="R105" s="18" t="str"/>
      <x:c r="S105" s="18" t="str"/>
      <x:c r="T105" s="18" t="str">
        <x:v>COMPLETE_FINITE_SNAPSHOT</x:v>
      </x:c>
      <x:c r="U105" s="18" t="str">
        <x:v>Complete ICJ General List on official all-cases page</x:v>
      </x:c>
      <x:c r="V105" s="18" t="str"/>
      <x:c r="W105" s="18" t="str"/>
      <x:c r="X105" s="20" t="n">
        <x:v>192</x:v>
      </x:c>
      <x:c r="Y105" s="19" t="str">
        <x:f>IFERROR(TODAY()-DATEVALUE(C105),"")</x:f>
      </x:c>
      <x:c r="Z105" s="21" t="n">
        <x:f>ROUND(COUNTA(A105:K105)/11*100,0)</x:f>
        <x:v>100</x:v>
      </x:c>
      <x:c r="AA105" s="18" t="str">
        <x:v>International Court of Justice</x:v>
      </x:c>
      <x:c r="AB105" s="22" t="str">
        <x:v>https://api.icj-cij.org/case/80</x:v>
      </x:c>
      <x:c r="AC105" s="18" t="str"/>
      <x:c r="AD105" s="18" t="n">
        <x:v>46275.42531791667</x:v>
      </x:c>
      <x:c r="AE105" s="18" t="str">
        <x:v>independent_public</x:v>
      </x:c>
      <x:c r="AF105" s="18" t="str">
        <x:v>PARTIAL_NO_DATE</x:v>
      </x:c>
    </x:row>
    <x:row r="106">
      <x:c r="A106" s="18" t="str">
        <x:v>NYT-45-9f68f1f57fa5ab16</x:v>
      </x:c>
      <x:c r="B106" s="18" t="str">
        <x:v>Maritime Delimitation in the Area between Greenland and Jan Mayen (Denmark v. Norway)</x:v>
      </x:c>
      <x:c r="C106" s="18" t="str"/>
      <x:c r="D106" s="18" t="str"/>
      <x:c r="E106" s="18" t="str"/>
      <x:c r="F106" s="18" t="str"/>
      <x:c r="G106" s="18" t="str"/>
      <x:c r="H106" s="18" t="str"/>
      <x:c r="I106" s="18" t="str">
        <x:v>International Court of Justice</x:v>
      </x:c>
      <x:c r="J106" s="20" t="str"/>
      <x:c r="K106" s="18" t="str"/>
      <x:c r="L106" s="18" t="str">
        <x:v>International Court of Justice</x:v>
      </x:c>
      <x:c r="M106" s="18" t="str">
        <x:v>Maritime Delimitation in the Area between Greenland and Jan Mayen (Denmark v. Norway)</x:v>
      </x:c>
      <x:c r="N106" s="18" t="str"/>
      <x:c r="O106" s="18" t="str"/>
      <x:c r="P106" s="18" t="str"/>
      <x:c r="Q106" s="18" t="str">
        <x:v>78</x:v>
      </x:c>
      <x:c r="R106" s="18" t="str"/>
      <x:c r="S106" s="18" t="str"/>
      <x:c r="T106" s="18" t="str">
        <x:v>COMPLETE_FINITE_SNAPSHOT</x:v>
      </x:c>
      <x:c r="U106" s="18" t="str">
        <x:v>Complete ICJ General List on official all-cases page</x:v>
      </x:c>
      <x:c r="V106" s="18" t="str"/>
      <x:c r="W106" s="18" t="str"/>
      <x:c r="X106" s="20" t="n">
        <x:v>192</x:v>
      </x:c>
      <x:c r="Y106" s="19" t="str">
        <x:f>IFERROR(TODAY()-DATEVALUE(C106),"")</x:f>
      </x:c>
      <x:c r="Z106" s="21" t="n">
        <x:f>ROUND(COUNTA(A106:K106)/11*100,0)</x:f>
        <x:v>100</x:v>
      </x:c>
      <x:c r="AA106" s="18" t="str">
        <x:v>International Court of Justice</x:v>
      </x:c>
      <x:c r="AB106" s="22" t="str">
        <x:v>https://api.icj-cij.org/case/78</x:v>
      </x:c>
      <x:c r="AC106" s="18" t="str"/>
      <x:c r="AD106" s="18" t="n">
        <x:v>46275.42531791667</x:v>
      </x:c>
      <x:c r="AE106" s="18" t="str">
        <x:v>independent_public</x:v>
      </x:c>
      <x:c r="AF106" s="18" t="str">
        <x:v>PARTIAL_NO_DATE</x:v>
      </x:c>
    </x:row>
    <x:row r="107">
      <x:c r="A107" s="18" t="str">
        <x:v>NYT-45-8c19bd9eb5c82dbb</x:v>
      </x:c>
      <x:c r="B107" s="18" t="str">
        <x:v>Border and Transborder Armed Actions (Nicaragua v. Honduras)</x:v>
      </x:c>
      <x:c r="C107" s="18" t="str"/>
      <x:c r="D107" s="18" t="str"/>
      <x:c r="E107" s="18" t="str"/>
      <x:c r="F107" s="18" t="str"/>
      <x:c r="G107" s="18" t="str"/>
      <x:c r="H107" s="18" t="str"/>
      <x:c r="I107" s="18" t="str">
        <x:v>International Court of Justice</x:v>
      </x:c>
      <x:c r="J107" s="20" t="str"/>
      <x:c r="K107" s="18" t="str"/>
      <x:c r="L107" s="18" t="str">
        <x:v>International Court of Justice</x:v>
      </x:c>
      <x:c r="M107" s="18" t="str">
        <x:v>Border and Transborder Armed Actions (Nicaragua v. Honduras)</x:v>
      </x:c>
      <x:c r="N107" s="18" t="str"/>
      <x:c r="O107" s="18" t="str"/>
      <x:c r="P107" s="18" t="str"/>
      <x:c r="Q107" s="18" t="str">
        <x:v>74</x:v>
      </x:c>
      <x:c r="R107" s="18" t="str"/>
      <x:c r="S107" s="18" t="str"/>
      <x:c r="T107" s="18" t="str">
        <x:v>COMPLETE_FINITE_SNAPSHOT</x:v>
      </x:c>
      <x:c r="U107" s="18" t="str">
        <x:v>Complete ICJ General List on official all-cases page</x:v>
      </x:c>
      <x:c r="V107" s="18" t="str"/>
      <x:c r="W107" s="18" t="str"/>
      <x:c r="X107" s="20" t="n">
        <x:v>192</x:v>
      </x:c>
      <x:c r="Y107" s="19" t="str">
        <x:f>IFERROR(TODAY()-DATEVALUE(C107),"")</x:f>
      </x:c>
      <x:c r="Z107" s="21" t="n">
        <x:f>ROUND(COUNTA(A107:K107)/11*100,0)</x:f>
        <x:v>100</x:v>
      </x:c>
      <x:c r="AA107" s="18" t="str">
        <x:v>International Court of Justice</x:v>
      </x:c>
      <x:c r="AB107" s="22" t="str">
        <x:v>https://api.icj-cij.org/case/74</x:v>
      </x:c>
      <x:c r="AC107" s="18" t="str"/>
      <x:c r="AD107" s="18" t="n">
        <x:v>46275.42531791667</x:v>
      </x:c>
      <x:c r="AE107" s="18" t="str">
        <x:v>independent_public</x:v>
      </x:c>
      <x:c r="AF107" s="18" t="str">
        <x:v>PARTIAL_NO_DATE</x:v>
      </x:c>
    </x:row>
    <x:row r="108">
      <x:c r="A108" s="18" t="str">
        <x:v>NYT-45-f5df649e0a8b09c5</x:v>
      </x:c>
      <x:c r="B108" s="18" t="str">
        <x:v>Passage through the Great Belt (Finland v. Denmark)</x:v>
      </x:c>
      <x:c r="C108" s="18" t="str"/>
      <x:c r="D108" s="18" t="str"/>
      <x:c r="E108" s="18" t="str"/>
      <x:c r="F108" s="18" t="str"/>
      <x:c r="G108" s="18" t="str"/>
      <x:c r="H108" s="18" t="str"/>
      <x:c r="I108" s="18" t="str">
        <x:v>International Court of Justice</x:v>
      </x:c>
      <x:c r="J108" s="20" t="str"/>
      <x:c r="K108" s="18" t="str"/>
      <x:c r="L108" s="18" t="str">
        <x:v>International Court of Justice</x:v>
      </x:c>
      <x:c r="M108" s="18" t="str">
        <x:v>Passage through the Great Belt (Finland v. Denmark)</x:v>
      </x:c>
      <x:c r="N108" s="18" t="str"/>
      <x:c r="O108" s="18" t="str"/>
      <x:c r="P108" s="18" t="str"/>
      <x:c r="Q108" s="18" t="str">
        <x:v>86</x:v>
      </x:c>
      <x:c r="R108" s="18" t="str"/>
      <x:c r="S108" s="18" t="str"/>
      <x:c r="T108" s="18" t="str">
        <x:v>COMPLETE_FINITE_SNAPSHOT</x:v>
      </x:c>
      <x:c r="U108" s="18" t="str">
        <x:v>Complete ICJ General List on official all-cases page</x:v>
      </x:c>
      <x:c r="V108" s="18" t="str"/>
      <x:c r="W108" s="18" t="str"/>
      <x:c r="X108" s="20" t="n">
        <x:v>192</x:v>
      </x:c>
      <x:c r="Y108" s="19" t="str">
        <x:f>IFERROR(TODAY()-DATEVALUE(C108),"")</x:f>
      </x:c>
      <x:c r="Z108" s="21" t="n">
        <x:f>ROUND(COUNTA(A108:K108)/11*100,0)</x:f>
        <x:v>100</x:v>
      </x:c>
      <x:c r="AA108" s="18" t="str">
        <x:v>International Court of Justice</x:v>
      </x:c>
      <x:c r="AB108" s="22" t="str">
        <x:v>https://api.icj-cij.org/case/86</x:v>
      </x:c>
      <x:c r="AC108" s="18" t="str"/>
      <x:c r="AD108" s="18" t="n">
        <x:v>46275.42531791667</x:v>
      </x:c>
      <x:c r="AE108" s="18" t="str">
        <x:v>independent_public</x:v>
      </x:c>
      <x:c r="AF108" s="18" t="str">
        <x:v>PARTIAL_NO_DATE</x:v>
      </x:c>
    </x:row>
    <x:row r="109">
      <x:c r="A109" s="18" t="str">
        <x:v>NYT-45-a04a8e94038a4ffa</x:v>
      </x:c>
      <x:c r="B109" s="18" t="str">
        <x:v>Land, Island and Maritime Frontier Dispute (El Salvador/Honduras: Nicaragua intervening)</x:v>
      </x:c>
      <x:c r="C109" s="18" t="str"/>
      <x:c r="D109" s="18" t="str"/>
      <x:c r="E109" s="18" t="str"/>
      <x:c r="F109" s="18" t="str"/>
      <x:c r="G109" s="18" t="str"/>
      <x:c r="H109" s="18" t="str"/>
      <x:c r="I109" s="18" t="str">
        <x:v>International Court of Justice</x:v>
      </x:c>
      <x:c r="J109" s="20" t="str"/>
      <x:c r="K109" s="18" t="str"/>
      <x:c r="L109" s="18" t="str">
        <x:v>International Court of Justice</x:v>
      </x:c>
      <x:c r="M109" s="18" t="str">
        <x:v>Land, Island and Maritime Frontier Dispute (El Salvador/Honduras: Nicaragua intervening)</x:v>
      </x:c>
      <x:c r="N109" s="18" t="str"/>
      <x:c r="O109" s="18" t="str"/>
      <x:c r="P109" s="18" t="str"/>
      <x:c r="Q109" s="18" t="str">
        <x:v>75</x:v>
      </x:c>
      <x:c r="R109" s="18" t="str"/>
      <x:c r="S109" s="18" t="str"/>
      <x:c r="T109" s="18" t="str">
        <x:v>COMPLETE_FINITE_SNAPSHOT</x:v>
      </x:c>
      <x:c r="U109" s="18" t="str">
        <x:v>Complete ICJ General List on official all-cases page</x:v>
      </x:c>
      <x:c r="V109" s="18" t="str"/>
      <x:c r="W109" s="18" t="str"/>
      <x:c r="X109" s="20" t="n">
        <x:v>192</x:v>
      </x:c>
      <x:c r="Y109" s="19" t="str">
        <x:f>IFERROR(TODAY()-DATEVALUE(C109),"")</x:f>
      </x:c>
      <x:c r="Z109" s="21" t="n">
        <x:f>ROUND(COUNTA(A109:K109)/11*100,0)</x:f>
        <x:v>100</x:v>
      </x:c>
      <x:c r="AA109" s="18" t="str">
        <x:v>International Court of Justice</x:v>
      </x:c>
      <x:c r="AB109" s="22" t="str">
        <x:v>https://api.icj-cij.org/case/75</x:v>
      </x:c>
      <x:c r="AC109" s="18" t="str"/>
      <x:c r="AD109" s="18" t="n">
        <x:v>46275.42531791667</x:v>
      </x:c>
      <x:c r="AE109" s="18" t="str">
        <x:v>independent_public</x:v>
      </x:c>
      <x:c r="AF109" s="18" t="str">
        <x:v>PARTIAL_NO_DATE</x:v>
      </x:c>
    </x:row>
    <x:row r="110">
      <x:c r="A110" s="18" t="str">
        <x:v>NYT-45-75c61c1dfcb65fed</x:v>
      </x:c>
      <x:c r="B110" s="18" t="str">
        <x:v>Arbitral Award of 31 July 1989 (Guinea-Bissau v. Senegal)</x:v>
      </x:c>
      <x:c r="C110" s="18" t="str"/>
      <x:c r="D110" s="18" t="str"/>
      <x:c r="E110" s="18" t="str"/>
      <x:c r="F110" s="18" t="str"/>
      <x:c r="G110" s="18" t="str"/>
      <x:c r="H110" s="18" t="str"/>
      <x:c r="I110" s="18" t="str">
        <x:v>International Court of Justice</x:v>
      </x:c>
      <x:c r="J110" s="20" t="str"/>
      <x:c r="K110" s="18" t="str"/>
      <x:c r="L110" s="18" t="str">
        <x:v>International Court of Justice</x:v>
      </x:c>
      <x:c r="M110" s="18" t="str">
        <x:v>Arbitral Award of 31 July 1989 (Guinea-Bissau v. Senegal)</x:v>
      </x:c>
      <x:c r="N110" s="18" t="str"/>
      <x:c r="O110" s="18" t="str"/>
      <x:c r="P110" s="18" t="str"/>
      <x:c r="Q110" s="18" t="str">
        <x:v>82</x:v>
      </x:c>
      <x:c r="R110" s="18" t="str"/>
      <x:c r="S110" s="18" t="str"/>
      <x:c r="T110" s="18" t="str">
        <x:v>COMPLETE_FINITE_SNAPSHOT</x:v>
      </x:c>
      <x:c r="U110" s="18" t="str">
        <x:v>Complete ICJ General List on official all-cases page</x:v>
      </x:c>
      <x:c r="V110" s="18" t="str"/>
      <x:c r="W110" s="18" t="str"/>
      <x:c r="X110" s="20" t="n">
        <x:v>192</x:v>
      </x:c>
      <x:c r="Y110" s="19" t="str">
        <x:f>IFERROR(TODAY()-DATEVALUE(C110),"")</x:f>
      </x:c>
      <x:c r="Z110" s="21" t="n">
        <x:f>ROUND(COUNTA(A110:K110)/11*100,0)</x:f>
        <x:v>100</x:v>
      </x:c>
      <x:c r="AA110" s="18" t="str">
        <x:v>International Court of Justice</x:v>
      </x:c>
      <x:c r="AB110" s="22" t="str">
        <x:v>https://api.icj-cij.org/case/82</x:v>
      </x:c>
      <x:c r="AC110" s="18" t="str"/>
      <x:c r="AD110" s="18" t="n">
        <x:v>46275.42531791667</x:v>
      </x:c>
      <x:c r="AE110" s="18" t="str">
        <x:v>independent_public</x:v>
      </x:c>
      <x:c r="AF110" s="18" t="str">
        <x:v>PARTIAL_NO_DATE</x:v>
      </x:c>
    </x:row>
    <x:row r="111">
      <x:c r="A111" s="18" t="str">
        <x:v>NYT-45-9a71a200193372ea</x:v>
      </x:c>
      <x:c r="B111" s="18" t="str">
        <x:v>Military and Paramilitary Activities in and against Nicaragua (Nicaragua v. United States of America)</x:v>
      </x:c>
      <x:c r="C111" s="18" t="str"/>
      <x:c r="D111" s="18" t="str"/>
      <x:c r="E111" s="18" t="str"/>
      <x:c r="F111" s="18" t="str"/>
      <x:c r="G111" s="18" t="str"/>
      <x:c r="H111" s="18" t="str"/>
      <x:c r="I111" s="18" t="str">
        <x:v>International Court of Justice</x:v>
      </x:c>
      <x:c r="J111" s="20" t="str"/>
      <x:c r="K111" s="18" t="str"/>
      <x:c r="L111" s="18" t="str">
        <x:v>International Court of Justice</x:v>
      </x:c>
      <x:c r="M111" s="18" t="str">
        <x:v>Military and Paramilitary Activities in and against Nicaragua (Nicaragua v. United States of America)</x:v>
      </x:c>
      <x:c r="N111" s="18" t="str"/>
      <x:c r="O111" s="18" t="str"/>
      <x:c r="P111" s="18" t="str"/>
      <x:c r="Q111" s="18" t="str">
        <x:v>70</x:v>
      </x:c>
      <x:c r="R111" s="18" t="str"/>
      <x:c r="S111" s="18" t="str"/>
      <x:c r="T111" s="18" t="str">
        <x:v>COMPLETE_FINITE_SNAPSHOT</x:v>
      </x:c>
      <x:c r="U111" s="18" t="str">
        <x:v>Complete ICJ General List on official all-cases page</x:v>
      </x:c>
      <x:c r="V111" s="18" t="str"/>
      <x:c r="W111" s="18" t="str"/>
      <x:c r="X111" s="20" t="n">
        <x:v>192</x:v>
      </x:c>
      <x:c r="Y111" s="19" t="str">
        <x:f>IFERROR(TODAY()-DATEVALUE(C111),"")</x:f>
      </x:c>
      <x:c r="Z111" s="21" t="n">
        <x:f>ROUND(COUNTA(A111:K111)/11*100,0)</x:f>
        <x:v>100</x:v>
      </x:c>
      <x:c r="AA111" s="18" t="str">
        <x:v>International Court of Justice</x:v>
      </x:c>
      <x:c r="AB111" s="22" t="str">
        <x:v>https://api.icj-cij.org/case/70</x:v>
      </x:c>
      <x:c r="AC111" s="18" t="str"/>
      <x:c r="AD111" s="18" t="n">
        <x:v>46275.42531791667</x:v>
      </x:c>
      <x:c r="AE111" s="18" t="str">
        <x:v>independent_public</x:v>
      </x:c>
      <x:c r="AF111" s="18" t="str">
        <x:v>PARTIAL_NO_DATE</x:v>
      </x:c>
    </x:row>
    <x:row r="112">
      <x:c r="A112" s="18" t="str">
        <x:v>NYT-45-dfe3b2e32c2f4574</x:v>
      </x:c>
      <x:c r="B112" s="18" t="str">
        <x:v>Elettronica Sicula S.p.A. (ELSI) (United States of America v. Italy)</x:v>
      </x:c>
      <x:c r="C112" s="18" t="str"/>
      <x:c r="D112" s="18" t="str"/>
      <x:c r="E112" s="18" t="str"/>
      <x:c r="F112" s="18" t="str"/>
      <x:c r="G112" s="18" t="str"/>
      <x:c r="H112" s="18" t="str"/>
      <x:c r="I112" s="18" t="str">
        <x:v>International Court of Justice</x:v>
      </x:c>
      <x:c r="J112" s="20" t="str"/>
      <x:c r="K112" s="18" t="str"/>
      <x:c r="L112" s="18" t="str">
        <x:v>International Court of Justice</x:v>
      </x:c>
      <x:c r="M112" s="18" t="str">
        <x:v>Elettronica Sicula S.p.A. (ELSI) (United States of America v. Italy)</x:v>
      </x:c>
      <x:c r="N112" s="18" t="str"/>
      <x:c r="O112" s="18" t="str"/>
      <x:c r="P112" s="18" t="str"/>
      <x:c r="Q112" s="18" t="str">
        <x:v>76</x:v>
      </x:c>
      <x:c r="R112" s="18" t="str"/>
      <x:c r="S112" s="18" t="str"/>
      <x:c r="T112" s="18" t="str">
        <x:v>COMPLETE_FINITE_SNAPSHOT</x:v>
      </x:c>
      <x:c r="U112" s="18" t="str">
        <x:v>Complete ICJ General List on official all-cases page</x:v>
      </x:c>
      <x:c r="V112" s="18" t="str"/>
      <x:c r="W112" s="18" t="str"/>
      <x:c r="X112" s="20" t="n">
        <x:v>192</x:v>
      </x:c>
      <x:c r="Y112" s="19" t="str">
        <x:f>IFERROR(TODAY()-DATEVALUE(C112),"")</x:f>
      </x:c>
      <x:c r="Z112" s="21" t="n">
        <x:f>ROUND(COUNTA(A112:K112)/11*100,0)</x:f>
        <x:v>100</x:v>
      </x:c>
      <x:c r="AA112" s="18" t="str">
        <x:v>International Court of Justice</x:v>
      </x:c>
      <x:c r="AB112" s="22" t="str">
        <x:v>https://api.icj-cij.org/case/76</x:v>
      </x:c>
      <x:c r="AC112" s="18" t="str"/>
      <x:c r="AD112" s="18" t="n">
        <x:v>46275.42531791667</x:v>
      </x:c>
      <x:c r="AE112" s="18" t="str">
        <x:v>independent_public</x:v>
      </x:c>
      <x:c r="AF112" s="18" t="str">
        <x:v>PARTIAL_NO_DATE</x:v>
      </x:c>
    </x:row>
    <x:row r="113">
      <x:c r="A113" s="18" t="str">
        <x:v>NYT-45-2b1bfbcb6a0b2d64</x:v>
      </x:c>
      <x:c r="B113" s="18" t="str">
        <x:v>Applicability of Article VI, Section 22, of the Convention on the Privileges and Immunities of the United Nations</x:v>
      </x:c>
      <x:c r="C113" s="18" t="str"/>
      <x:c r="D113" s="18" t="str"/>
      <x:c r="E113" s="18" t="str"/>
      <x:c r="F113" s="18" t="str"/>
      <x:c r="G113" s="18" t="str"/>
      <x:c r="H113" s="18" t="str"/>
      <x:c r="I113" s="18" t="str">
        <x:v>International Court of Justice</x:v>
      </x:c>
      <x:c r="J113" s="20" t="str"/>
      <x:c r="K113" s="18" t="str"/>
      <x:c r="L113" s="18" t="str">
        <x:v>International Court of Justice</x:v>
      </x:c>
      <x:c r="M113" s="18" t="str">
        <x:v>Applicability of Article VI, Section 22, of the Convention on the Privileges and Immunities of the United Nations</x:v>
      </x:c>
      <x:c r="N113" s="18" t="str"/>
      <x:c r="O113" s="18" t="str"/>
      <x:c r="P113" s="18" t="str"/>
      <x:c r="Q113" s="18" t="str">
        <x:v>81</x:v>
      </x:c>
      <x:c r="R113" s="18" t="str"/>
      <x:c r="S113" s="18" t="str"/>
      <x:c r="T113" s="18" t="str">
        <x:v>COMPLETE_FINITE_SNAPSHOT</x:v>
      </x:c>
      <x:c r="U113" s="18" t="str">
        <x:v>Complete ICJ General List on official all-cases page</x:v>
      </x:c>
      <x:c r="V113" s="18" t="str"/>
      <x:c r="W113" s="18" t="str"/>
      <x:c r="X113" s="20" t="n">
        <x:v>192</x:v>
      </x:c>
      <x:c r="Y113" s="19" t="str">
        <x:f>IFERROR(TODAY()-DATEVALUE(C113),"")</x:f>
      </x:c>
      <x:c r="Z113" s="21" t="n">
        <x:f>ROUND(COUNTA(A113:K113)/11*100,0)</x:f>
        <x:v>100</x:v>
      </x:c>
      <x:c r="AA113" s="18" t="str">
        <x:v>International Court of Justice</x:v>
      </x:c>
      <x:c r="AB113" s="22" t="str">
        <x:v>https://api.icj-cij.org/case/81</x:v>
      </x:c>
      <x:c r="AC113" s="18" t="str"/>
      <x:c r="AD113" s="18" t="n">
        <x:v>46275.42531791667</x:v>
      </x:c>
      <x:c r="AE113" s="18" t="str">
        <x:v>independent_public</x:v>
      </x:c>
      <x:c r="AF113" s="18" t="str">
        <x:v>PARTIAL_NO_DATE</x:v>
      </x:c>
    </x:row>
    <x:row r="114">
      <x:c r="A114" s="18" t="str">
        <x:v>NYT-45-be6c79652f1f4f93</x:v>
      </x:c>
      <x:c r="B114" s="18" t="str">
        <x:v>Applicability of the Obligation to Arbitrate under Section 21 of the United Nations Headquarters Agreement of 26 June 1947</x:v>
      </x:c>
      <x:c r="C114" s="18" t="str"/>
      <x:c r="D114" s="18" t="str"/>
      <x:c r="E114" s="18" t="str"/>
      <x:c r="F114" s="18" t="str"/>
      <x:c r="G114" s="18" t="str"/>
      <x:c r="H114" s="18" t="str"/>
      <x:c r="I114" s="18" t="str">
        <x:v>International Court of Justice</x:v>
      </x:c>
      <x:c r="J114" s="20" t="str"/>
      <x:c r="K114" s="18" t="str"/>
      <x:c r="L114" s="18" t="str">
        <x:v>International Court of Justice</x:v>
      </x:c>
      <x:c r="M114" s="18" t="str">
        <x:v>Applicability of the Obligation to Arbitrate under Section 21 of the United Nations Headquarters Agreement of 26 June 1947</x:v>
      </x:c>
      <x:c r="N114" s="18" t="str"/>
      <x:c r="O114" s="18" t="str"/>
      <x:c r="P114" s="18" t="str"/>
      <x:c r="Q114" s="18" t="str">
        <x:v>77</x:v>
      </x:c>
      <x:c r="R114" s="18" t="str"/>
      <x:c r="S114" s="18" t="str"/>
      <x:c r="T114" s="18" t="str">
        <x:v>COMPLETE_FINITE_SNAPSHOT</x:v>
      </x:c>
      <x:c r="U114" s="18" t="str">
        <x:v>Complete ICJ General List on official all-cases page</x:v>
      </x:c>
      <x:c r="V114" s="18" t="str"/>
      <x:c r="W114" s="18" t="str"/>
      <x:c r="X114" s="20" t="n">
        <x:v>192</x:v>
      </x:c>
      <x:c r="Y114" s="19" t="str">
        <x:f>IFERROR(TODAY()-DATEVALUE(C114),"")</x:f>
      </x:c>
      <x:c r="Z114" s="21" t="n">
        <x:f>ROUND(COUNTA(A114:K114)/11*100,0)</x:f>
        <x:v>100</x:v>
      </x:c>
      <x:c r="AA114" s="18" t="str">
        <x:v>International Court of Justice</x:v>
      </x:c>
      <x:c r="AB114" s="22" t="str">
        <x:v>https://api.icj-cij.org/case/77</x:v>
      </x:c>
      <x:c r="AC114" s="18" t="str"/>
      <x:c r="AD114" s="18" t="n">
        <x:v>46275.42531791667</x:v>
      </x:c>
      <x:c r="AE114" s="18" t="str">
        <x:v>independent_public</x:v>
      </x:c>
      <x:c r="AF114" s="18" t="str">
        <x:v>PARTIAL_NO_DATE</x:v>
      </x:c>
    </x:row>
    <x:row r="115">
      <x:c r="A115" s="18" t="str">
        <x:v>NYT-45-4c236bb41a58237f</x:v>
      </x:c>
      <x:c r="B115" s="18" t="str">
        <x:v>Border and Transborder Armed Actions (Nicaragua v. Costa Rica)</x:v>
      </x:c>
      <x:c r="C115" s="18" t="str"/>
      <x:c r="D115" s="18" t="str"/>
      <x:c r="E115" s="18" t="str"/>
      <x:c r="F115" s="18" t="str"/>
      <x:c r="G115" s="18" t="str"/>
      <x:c r="H115" s="18" t="str"/>
      <x:c r="I115" s="18" t="str">
        <x:v>International Court of Justice</x:v>
      </x:c>
      <x:c r="J115" s="20" t="str"/>
      <x:c r="K115" s="18" t="str"/>
      <x:c r="L115" s="18" t="str">
        <x:v>International Court of Justice</x:v>
      </x:c>
      <x:c r="M115" s="18" t="str">
        <x:v>Border and Transborder Armed Actions (Nicaragua v. Costa Rica)</x:v>
      </x:c>
      <x:c r="N115" s="18" t="str"/>
      <x:c r="O115" s="18" t="str"/>
      <x:c r="P115" s="18" t="str"/>
      <x:c r="Q115" s="18" t="str">
        <x:v>73</x:v>
      </x:c>
      <x:c r="R115" s="18" t="str"/>
      <x:c r="S115" s="18" t="str"/>
      <x:c r="T115" s="18" t="str">
        <x:v>COMPLETE_FINITE_SNAPSHOT</x:v>
      </x:c>
      <x:c r="U115" s="18" t="str">
        <x:v>Complete ICJ General List on official all-cases page</x:v>
      </x:c>
      <x:c r="V115" s="18" t="str"/>
      <x:c r="W115" s="18" t="str"/>
      <x:c r="X115" s="20" t="n">
        <x:v>192</x:v>
      </x:c>
      <x:c r="Y115" s="19" t="str">
        <x:f>IFERROR(TODAY()-DATEVALUE(C115),"")</x:f>
      </x:c>
      <x:c r="Z115" s="21" t="n">
        <x:f>ROUND(COUNTA(A115:K115)/11*100,0)</x:f>
        <x:v>100</x:v>
      </x:c>
      <x:c r="AA115" s="18" t="str">
        <x:v>International Court of Justice</x:v>
      </x:c>
      <x:c r="AB115" s="22" t="str">
        <x:v>https://api.icj-cij.org/case/73</x:v>
      </x:c>
      <x:c r="AC115" s="18" t="str"/>
      <x:c r="AD115" s="18" t="n">
        <x:v>46275.42531791667</x:v>
      </x:c>
      <x:c r="AE115" s="18" t="str">
        <x:v>independent_public</x:v>
      </x:c>
      <x:c r="AF115" s="18" t="str">
        <x:v>PARTIAL_NO_DATE</x:v>
      </x:c>
    </x:row>
    <x:row r="116">
      <x:c r="A116" s="18" t="str">
        <x:v>NYT-45-6dbce64786929674</x:v>
      </x:c>
      <x:c r="B116" s="18" t="str">
        <x:v>Application for Review of Judgment No. 333 of the United Nations Administrative Tribunal</x:v>
      </x:c>
      <x:c r="C116" s="18" t="str"/>
      <x:c r="D116" s="18" t="str"/>
      <x:c r="E116" s="18" t="str"/>
      <x:c r="F116" s="18" t="str"/>
      <x:c r="G116" s="18" t="str"/>
      <x:c r="H116" s="18" t="str"/>
      <x:c r="I116" s="18" t="str">
        <x:v>International Court of Justice</x:v>
      </x:c>
      <x:c r="J116" s="20" t="str"/>
      <x:c r="K116" s="18" t="str"/>
      <x:c r="L116" s="18" t="str">
        <x:v>International Court of Justice</x:v>
      </x:c>
      <x:c r="M116" s="18" t="str">
        <x:v>Application for Review of Judgment No. 333 of the United Nations Administrative Tribunal</x:v>
      </x:c>
      <x:c r="N116" s="18" t="str"/>
      <x:c r="O116" s="18" t="str"/>
      <x:c r="P116" s="18" t="str"/>
      <x:c r="Q116" s="18" t="str">
        <x:v>72</x:v>
      </x:c>
      <x:c r="R116" s="18" t="str"/>
      <x:c r="S116" s="18" t="str"/>
      <x:c r="T116" s="18" t="str">
        <x:v>COMPLETE_FINITE_SNAPSHOT</x:v>
      </x:c>
      <x:c r="U116" s="18" t="str">
        <x:v>Complete ICJ General List on official all-cases page</x:v>
      </x:c>
      <x:c r="V116" s="18" t="str"/>
      <x:c r="W116" s="18" t="str"/>
      <x:c r="X116" s="20" t="n">
        <x:v>192</x:v>
      </x:c>
      <x:c r="Y116" s="19" t="str">
        <x:f>IFERROR(TODAY()-DATEVALUE(C116),"")</x:f>
      </x:c>
      <x:c r="Z116" s="21" t="n">
        <x:f>ROUND(COUNTA(A116:K116)/11*100,0)</x:f>
        <x:v>100</x:v>
      </x:c>
      <x:c r="AA116" s="18" t="str">
        <x:v>International Court of Justice</x:v>
      </x:c>
      <x:c r="AB116" s="22" t="str">
        <x:v>https://api.icj-cij.org/case/72</x:v>
      </x:c>
      <x:c r="AC116" s="18" t="str"/>
      <x:c r="AD116" s="18" t="n">
        <x:v>46275.42531791667</x:v>
      </x:c>
      <x:c r="AE116" s="18" t="str">
        <x:v>independent_public</x:v>
      </x:c>
      <x:c r="AF116" s="18" t="str">
        <x:v>PARTIAL_NO_DATE</x:v>
      </x:c>
    </x:row>
    <x:row r="117">
      <x:c r="A117" s="18" t="str">
        <x:v>NYT-45-ee82e2be949a5761</x:v>
      </x:c>
      <x:c r="B117" s="18" t="str">
        <x:v>Frontier Dispute (Burkina Faso/Republic of Mali)</x:v>
      </x:c>
      <x:c r="C117" s="18" t="str"/>
      <x:c r="D117" s="18" t="str"/>
      <x:c r="E117" s="18" t="str"/>
      <x:c r="F117" s="18" t="str"/>
      <x:c r="G117" s="18" t="str"/>
      <x:c r="H117" s="18" t="str"/>
      <x:c r="I117" s="18" t="str">
        <x:v>International Court of Justice</x:v>
      </x:c>
      <x:c r="J117" s="20" t="str"/>
      <x:c r="K117" s="18" t="str"/>
      <x:c r="L117" s="18" t="str">
        <x:v>International Court of Justice</x:v>
      </x:c>
      <x:c r="M117" s="18" t="str">
        <x:v>Frontier Dispute (Burkina Faso/Republic of Mali)</x:v>
      </x:c>
      <x:c r="N117" s="18" t="str"/>
      <x:c r="O117" s="18" t="str"/>
      <x:c r="P117" s="18" t="str"/>
      <x:c r="Q117" s="18" t="str">
        <x:v>69</x:v>
      </x:c>
      <x:c r="R117" s="18" t="str"/>
      <x:c r="S117" s="18" t="str"/>
      <x:c r="T117" s="18" t="str">
        <x:v>COMPLETE_FINITE_SNAPSHOT</x:v>
      </x:c>
      <x:c r="U117" s="18" t="str">
        <x:v>Complete ICJ General List on official all-cases page</x:v>
      </x:c>
      <x:c r="V117" s="18" t="str"/>
      <x:c r="W117" s="18" t="str"/>
      <x:c r="X117" s="20" t="n">
        <x:v>192</x:v>
      </x:c>
      <x:c r="Y117" s="19" t="str">
        <x:f>IFERROR(TODAY()-DATEVALUE(C117),"")</x:f>
      </x:c>
      <x:c r="Z117" s="21" t="n">
        <x:f>ROUND(COUNTA(A117:K117)/11*100,0)</x:f>
        <x:v>100</x:v>
      </x:c>
      <x:c r="AA117" s="18" t="str">
        <x:v>International Court of Justice</x:v>
      </x:c>
      <x:c r="AB117" s="22" t="str">
        <x:v>https://api.icj-cij.org/case/69</x:v>
      </x:c>
      <x:c r="AC117" s="18" t="str"/>
      <x:c r="AD117" s="18" t="n">
        <x:v>46275.42531791667</x:v>
      </x:c>
      <x:c r="AE117" s="18" t="str">
        <x:v>independent_public</x:v>
      </x:c>
      <x:c r="AF117" s="18" t="str">
        <x:v>PARTIAL_NO_DATE</x:v>
      </x:c>
    </x:row>
    <x:row r="118">
      <x:c r="A118" s="18" t="str">
        <x:v>NYT-45-67c9b1ecee54f618</x:v>
      </x:c>
      <x:c r="B118" s="18" t="str">
        <x:v>Continental Shelf (Libyan Arab Jamahiriya/Malta)</x:v>
      </x:c>
      <x:c r="C118" s="18" t="str"/>
      <x:c r="D118" s="18" t="str"/>
      <x:c r="E118" s="18" t="str"/>
      <x:c r="F118" s="18" t="str"/>
      <x:c r="G118" s="18" t="str"/>
      <x:c r="H118" s="18" t="str"/>
      <x:c r="I118" s="18" t="str">
        <x:v>International Court of Justice</x:v>
      </x:c>
      <x:c r="J118" s="20" t="str"/>
      <x:c r="K118" s="18" t="str"/>
      <x:c r="L118" s="18" t="str">
        <x:v>International Court of Justice</x:v>
      </x:c>
      <x:c r="M118" s="18" t="str">
        <x:v>Continental Shelf (Libyan Arab Jamahiriya/Malta)</x:v>
      </x:c>
      <x:c r="N118" s="18" t="str"/>
      <x:c r="O118" s="18" t="str"/>
      <x:c r="P118" s="18" t="str"/>
      <x:c r="Q118" s="18" t="str">
        <x:v>68</x:v>
      </x:c>
      <x:c r="R118" s="18" t="str"/>
      <x:c r="S118" s="18" t="str"/>
      <x:c r="T118" s="18" t="str">
        <x:v>COMPLETE_FINITE_SNAPSHOT</x:v>
      </x:c>
      <x:c r="U118" s="18" t="str">
        <x:v>Complete ICJ General List on official all-cases page</x:v>
      </x:c>
      <x:c r="V118" s="18" t="str"/>
      <x:c r="W118" s="18" t="str"/>
      <x:c r="X118" s="20" t="n">
        <x:v>192</x:v>
      </x:c>
      <x:c r="Y118" s="19" t="str">
        <x:f>IFERROR(TODAY()-DATEVALUE(C118),"")</x:f>
      </x:c>
      <x:c r="Z118" s="21" t="n">
        <x:f>ROUND(COUNTA(A118:K118)/11*100,0)</x:f>
        <x:v>100</x:v>
      </x:c>
      <x:c r="AA118" s="18" t="str">
        <x:v>International Court of Justice</x:v>
      </x:c>
      <x:c r="AB118" s="22" t="str">
        <x:v>https://api.icj-cij.org/case/68</x:v>
      </x:c>
      <x:c r="AC118" s="18" t="str"/>
      <x:c r="AD118" s="18" t="n">
        <x:v>46275.42531791667</x:v>
      </x:c>
      <x:c r="AE118" s="18" t="str">
        <x:v>independent_public</x:v>
      </x:c>
      <x:c r="AF118" s="18" t="str">
        <x:v>PARTIAL_NO_DATE</x:v>
      </x:c>
    </x:row>
    <x:row r="119">
      <x:c r="A119" s="18" t="str">
        <x:v>NYT-45-45896179579020e5</x:v>
      </x:c>
      <x:c r="B119" s="18" t="str">
        <x:v>Application for Revision and Interpretation of the Judgment of 24 February 1982 in the Case concerning the Continental Shelf (Tunisia/Libyan Arab Jamahiriya) (Tunisia v. Libyan Arab Jamahiriya)</x:v>
      </x:c>
      <x:c r="C119" s="18" t="str"/>
      <x:c r="D119" s="18" t="str"/>
      <x:c r="E119" s="18" t="str"/>
      <x:c r="F119" s="18" t="str"/>
      <x:c r="G119" s="18" t="str"/>
      <x:c r="H119" s="18" t="str"/>
      <x:c r="I119" s="18" t="str">
        <x:v>International Court of Justice</x:v>
      </x:c>
      <x:c r="J119" s="20" t="str"/>
      <x:c r="K119" s="18" t="str"/>
      <x:c r="L119" s="18" t="str">
        <x:v>International Court of Justice</x:v>
      </x:c>
      <x:c r="M119" s="18" t="str">
        <x:v>Application for Revision and Interpretation of the Judgment of 24 February 1982 in the Case concerning the Continental Shelf (Tunisia/Libyan Arab Jamahiriya) (Tunisia v. Libyan Arab Jamahiriya)</x:v>
      </x:c>
      <x:c r="N119" s="18" t="str"/>
      <x:c r="O119" s="18" t="str"/>
      <x:c r="P119" s="18" t="str"/>
      <x:c r="Q119" s="18" t="str">
        <x:v>71</x:v>
      </x:c>
      <x:c r="R119" s="18" t="str"/>
      <x:c r="S119" s="18" t="str"/>
      <x:c r="T119" s="18" t="str">
        <x:v>COMPLETE_FINITE_SNAPSHOT</x:v>
      </x:c>
      <x:c r="U119" s="18" t="str">
        <x:v>Complete ICJ General List on official all-cases page</x:v>
      </x:c>
      <x:c r="V119" s="18" t="str"/>
      <x:c r="W119" s="18" t="str"/>
      <x:c r="X119" s="20" t="n">
        <x:v>192</x:v>
      </x:c>
      <x:c r="Y119" s="19" t="str">
        <x:f>IFERROR(TODAY()-DATEVALUE(C119),"")</x:f>
      </x:c>
      <x:c r="Z119" s="21" t="n">
        <x:f>ROUND(COUNTA(A119:K119)/11*100,0)</x:f>
        <x:v>100</x:v>
      </x:c>
      <x:c r="AA119" s="18" t="str">
        <x:v>International Court of Justice</x:v>
      </x:c>
      <x:c r="AB119" s="22" t="str">
        <x:v>https://api.icj-cij.org/case/71</x:v>
      </x:c>
      <x:c r="AC119" s="18" t="str"/>
      <x:c r="AD119" s="18" t="n">
        <x:v>46275.42531791667</x:v>
      </x:c>
      <x:c r="AE119" s="18" t="str">
        <x:v>independent_public</x:v>
      </x:c>
      <x:c r="AF119" s="18" t="str">
        <x:v>PARTIAL_NO_DATE</x:v>
      </x:c>
    </x:row>
    <x:row r="120">
      <x:c r="A120" s="18" t="str">
        <x:v>NYT-45-73c47d4781a82315</x:v>
      </x:c>
      <x:c r="B120" s="18" t="str">
        <x:v>Delimitation of the Maritime Boundary in the Gulf of Maine Area (Canada/United States of America)</x:v>
      </x:c>
      <x:c r="C120" s="18" t="str"/>
      <x:c r="D120" s="18" t="str"/>
      <x:c r="E120" s="18" t="str"/>
      <x:c r="F120" s="18" t="str"/>
      <x:c r="G120" s="18" t="str"/>
      <x:c r="H120" s="18" t="str"/>
      <x:c r="I120" s="18" t="str">
        <x:v>International Court of Justice</x:v>
      </x:c>
      <x:c r="J120" s="20" t="str"/>
      <x:c r="K120" s="18" t="str"/>
      <x:c r="L120" s="18" t="str">
        <x:v>International Court of Justice</x:v>
      </x:c>
      <x:c r="M120" s="18" t="str">
        <x:v>Delimitation of the Maritime Boundary in the Gulf of Maine Area (Canada/United States of America)</x:v>
      </x:c>
      <x:c r="N120" s="18" t="str"/>
      <x:c r="O120" s="18" t="str"/>
      <x:c r="P120" s="18" t="str"/>
      <x:c r="Q120" s="18" t="str">
        <x:v>67</x:v>
      </x:c>
      <x:c r="R120" s="18" t="str"/>
      <x:c r="S120" s="18" t="str"/>
      <x:c r="T120" s="18" t="str">
        <x:v>COMPLETE_FINITE_SNAPSHOT</x:v>
      </x:c>
      <x:c r="U120" s="18" t="str">
        <x:v>Complete ICJ General List on official all-cases page</x:v>
      </x:c>
      <x:c r="V120" s="18" t="str"/>
      <x:c r="W120" s="18" t="str"/>
      <x:c r="X120" s="20" t="n">
        <x:v>192</x:v>
      </x:c>
      <x:c r="Y120" s="19" t="str">
        <x:f>IFERROR(TODAY()-DATEVALUE(C120),"")</x:f>
      </x:c>
      <x:c r="Z120" s="21" t="n">
        <x:f>ROUND(COUNTA(A120:K120)/11*100,0)</x:f>
        <x:v>100</x:v>
      </x:c>
      <x:c r="AA120" s="18" t="str">
        <x:v>International Court of Justice</x:v>
      </x:c>
      <x:c r="AB120" s="22" t="str">
        <x:v>https://api.icj-cij.org/case/67</x:v>
      </x:c>
      <x:c r="AC120" s="18" t="str"/>
      <x:c r="AD120" s="18" t="n">
        <x:v>46275.42531791667</x:v>
      </x:c>
      <x:c r="AE120" s="18" t="str">
        <x:v>independent_public</x:v>
      </x:c>
      <x:c r="AF120" s="18" t="str">
        <x:v>PARTIAL_NO_DATE</x:v>
      </x:c>
    </x:row>
    <x:row r="121">
      <x:c r="A121" s="18" t="str">
        <x:v>NYT-45-6a40f7feb25e139a</x:v>
      </x:c>
      <x:c r="B121" s="18" t="str">
        <x:v>Continental Shelf (Tunisia/Libyan Arab Jamahiriya)</x:v>
      </x:c>
      <x:c r="C121" s="18" t="str"/>
      <x:c r="D121" s="18" t="str"/>
      <x:c r="E121" s="18" t="str"/>
      <x:c r="F121" s="18" t="str"/>
      <x:c r="G121" s="18" t="str"/>
      <x:c r="H121" s="18" t="str"/>
      <x:c r="I121" s="18" t="str">
        <x:v>International Court of Justice</x:v>
      </x:c>
      <x:c r="J121" s="20" t="str"/>
      <x:c r="K121" s="18" t="str"/>
      <x:c r="L121" s="18" t="str">
        <x:v>International Court of Justice</x:v>
      </x:c>
      <x:c r="M121" s="18" t="str">
        <x:v>Continental Shelf (Tunisia/Libyan Arab Jamahiriya)</x:v>
      </x:c>
      <x:c r="N121" s="18" t="str"/>
      <x:c r="O121" s="18" t="str"/>
      <x:c r="P121" s="18" t="str"/>
      <x:c r="Q121" s="18" t="str">
        <x:v>63</x:v>
      </x:c>
      <x:c r="R121" s="18" t="str"/>
      <x:c r="S121" s="18" t="str"/>
      <x:c r="T121" s="18" t="str">
        <x:v>COMPLETE_FINITE_SNAPSHOT</x:v>
      </x:c>
      <x:c r="U121" s="18" t="str">
        <x:v>Complete ICJ General List on official all-cases page</x:v>
      </x:c>
      <x:c r="V121" s="18" t="str"/>
      <x:c r="W121" s="18" t="str"/>
      <x:c r="X121" s="20" t="n">
        <x:v>192</x:v>
      </x:c>
      <x:c r="Y121" s="19" t="str">
        <x:f>IFERROR(TODAY()-DATEVALUE(C121),"")</x:f>
      </x:c>
      <x:c r="Z121" s="21" t="n">
        <x:f>ROUND(COUNTA(A121:K121)/11*100,0)</x:f>
        <x:v>100</x:v>
      </x:c>
      <x:c r="AA121" s="18" t="str">
        <x:v>International Court of Justice</x:v>
      </x:c>
      <x:c r="AB121" s="22" t="str">
        <x:v>https://api.icj-cij.org/case/63</x:v>
      </x:c>
      <x:c r="AC121" s="18" t="str"/>
      <x:c r="AD121" s="18" t="n">
        <x:v>46275.42531791667</x:v>
      </x:c>
      <x:c r="AE121" s="18" t="str">
        <x:v>independent_public</x:v>
      </x:c>
      <x:c r="AF121" s="18" t="str">
        <x:v>PARTIAL_NO_DATE</x:v>
      </x:c>
    </x:row>
    <x:row r="122">
      <x:c r="A122" s="18" t="str">
        <x:v>NYT-45-dd2131fd18978d9f</x:v>
      </x:c>
      <x:c r="B122" s="18" t="str">
        <x:v>Application for Review of Judgment No. 273 of the United Nations Administrative Tribunal</x:v>
      </x:c>
      <x:c r="C122" s="18" t="str"/>
      <x:c r="D122" s="18" t="str"/>
      <x:c r="E122" s="18" t="str"/>
      <x:c r="F122" s="18" t="str"/>
      <x:c r="G122" s="18" t="str"/>
      <x:c r="H122" s="18" t="str"/>
      <x:c r="I122" s="18" t="str">
        <x:v>International Court of Justice</x:v>
      </x:c>
      <x:c r="J122" s="20" t="str"/>
      <x:c r="K122" s="18" t="str"/>
      <x:c r="L122" s="18" t="str">
        <x:v>International Court of Justice</x:v>
      </x:c>
      <x:c r="M122" s="18" t="str">
        <x:v>Application for Review of Judgment No. 273 of the United Nations Administrative Tribunal</x:v>
      </x:c>
      <x:c r="N122" s="18" t="str"/>
      <x:c r="O122" s="18" t="str"/>
      <x:c r="P122" s="18" t="str"/>
      <x:c r="Q122" s="18" t="str">
        <x:v>66</x:v>
      </x:c>
      <x:c r="R122" s="18" t="str"/>
      <x:c r="S122" s="18" t="str"/>
      <x:c r="T122" s="18" t="str">
        <x:v>COMPLETE_FINITE_SNAPSHOT</x:v>
      </x:c>
      <x:c r="U122" s="18" t="str">
        <x:v>Complete ICJ General List on official all-cases page</x:v>
      </x:c>
      <x:c r="V122" s="18" t="str"/>
      <x:c r="W122" s="18" t="str"/>
      <x:c r="X122" s="20" t="n">
        <x:v>192</x:v>
      </x:c>
      <x:c r="Y122" s="19" t="str">
        <x:f>IFERROR(TODAY()-DATEVALUE(C122),"")</x:f>
      </x:c>
      <x:c r="Z122" s="21" t="n">
        <x:f>ROUND(COUNTA(A122:K122)/11*100,0)</x:f>
        <x:v>100</x:v>
      </x:c>
      <x:c r="AA122" s="18" t="str">
        <x:v>International Court of Justice</x:v>
      </x:c>
      <x:c r="AB122" s="22" t="str">
        <x:v>https://api.icj-cij.org/case/66</x:v>
      </x:c>
      <x:c r="AC122" s="18" t="str"/>
      <x:c r="AD122" s="18" t="n">
        <x:v>46275.42531791667</x:v>
      </x:c>
      <x:c r="AE122" s="18" t="str">
        <x:v>independent_public</x:v>
      </x:c>
      <x:c r="AF122" s="18" t="str">
        <x:v>PARTIAL_NO_DATE</x:v>
      </x:c>
    </x:row>
    <x:row r="123">
      <x:c r="A123" s="18" t="str">
        <x:v>NYT-45-cdec382e37389f40</x:v>
      </x:c>
      <x:c r="B123" s="18" t="str">
        <x:v>United States Diplomatic and Consular Staff in Tehran (United States of America v. Iran)</x:v>
      </x:c>
      <x:c r="C123" s="18" t="str"/>
      <x:c r="D123" s="18" t="str"/>
      <x:c r="E123" s="18" t="str"/>
      <x:c r="F123" s="18" t="str"/>
      <x:c r="G123" s="18" t="str"/>
      <x:c r="H123" s="18" t="str"/>
      <x:c r="I123" s="18" t="str">
        <x:v>International Court of Justice</x:v>
      </x:c>
      <x:c r="J123" s="20" t="str"/>
      <x:c r="K123" s="18" t="str"/>
      <x:c r="L123" s="18" t="str">
        <x:v>International Court of Justice</x:v>
      </x:c>
      <x:c r="M123" s="18" t="str">
        <x:v>United States Diplomatic and Consular Staff in Tehran (United States of America v. Iran)</x:v>
      </x:c>
      <x:c r="N123" s="18" t="str"/>
      <x:c r="O123" s="18" t="str"/>
      <x:c r="P123" s="18" t="str"/>
      <x:c r="Q123" s="18" t="str">
        <x:v>64</x:v>
      </x:c>
      <x:c r="R123" s="18" t="str"/>
      <x:c r="S123" s="18" t="str"/>
      <x:c r="T123" s="18" t="str">
        <x:v>COMPLETE_FINITE_SNAPSHOT</x:v>
      </x:c>
      <x:c r="U123" s="18" t="str">
        <x:v>Complete ICJ General List on official all-cases page</x:v>
      </x:c>
      <x:c r="V123" s="18" t="str"/>
      <x:c r="W123" s="18" t="str"/>
      <x:c r="X123" s="20" t="n">
        <x:v>192</x:v>
      </x:c>
      <x:c r="Y123" s="19" t="str">
        <x:f>IFERROR(TODAY()-DATEVALUE(C123),"")</x:f>
      </x:c>
      <x:c r="Z123" s="21" t="n">
        <x:f>ROUND(COUNTA(A123:K123)/11*100,0)</x:f>
        <x:v>100</x:v>
      </x:c>
      <x:c r="AA123" s="18" t="str">
        <x:v>International Court of Justice</x:v>
      </x:c>
      <x:c r="AB123" s="22" t="str">
        <x:v>https://api.icj-cij.org/case/64</x:v>
      </x:c>
      <x:c r="AC123" s="18" t="str"/>
      <x:c r="AD123" s="18" t="n">
        <x:v>46275.42531791667</x:v>
      </x:c>
      <x:c r="AE123" s="18" t="str">
        <x:v>independent_public</x:v>
      </x:c>
      <x:c r="AF123" s="18" t="str">
        <x:v>PARTIAL_NO_DATE</x:v>
      </x:c>
    </x:row>
    <x:row r="124">
      <x:c r="A124" s="18" t="str">
        <x:v>NYT-45-6f6fa6f86f6b338b</x:v>
      </x:c>
      <x:c r="B124" s="18" t="str">
        <x:v>Interpretation of the Agreement of 25 March 1951 between the WHO and Egypt</x:v>
      </x:c>
      <x:c r="C124" s="18" t="str"/>
      <x:c r="D124" s="18" t="str"/>
      <x:c r="E124" s="18" t="str"/>
      <x:c r="F124" s="18" t="str"/>
      <x:c r="G124" s="18" t="str"/>
      <x:c r="H124" s="18" t="str"/>
      <x:c r="I124" s="18" t="str">
        <x:v>International Court of Justice</x:v>
      </x:c>
      <x:c r="J124" s="20" t="str"/>
      <x:c r="K124" s="18" t="str"/>
      <x:c r="L124" s="18" t="str">
        <x:v>International Court of Justice</x:v>
      </x:c>
      <x:c r="M124" s="18" t="str">
        <x:v>Interpretation of the Agreement of 25 March 1951 between the WHO and Egypt</x:v>
      </x:c>
      <x:c r="N124" s="18" t="str"/>
      <x:c r="O124" s="18" t="str"/>
      <x:c r="P124" s="18" t="str"/>
      <x:c r="Q124" s="18" t="str">
        <x:v>65</x:v>
      </x:c>
      <x:c r="R124" s="18" t="str"/>
      <x:c r="S124" s="18" t="str"/>
      <x:c r="T124" s="18" t="str">
        <x:v>COMPLETE_FINITE_SNAPSHOT</x:v>
      </x:c>
      <x:c r="U124" s="18" t="str">
        <x:v>Complete ICJ General List on official all-cases page</x:v>
      </x:c>
      <x:c r="V124" s="18" t="str"/>
      <x:c r="W124" s="18" t="str"/>
      <x:c r="X124" s="20" t="n">
        <x:v>192</x:v>
      </x:c>
      <x:c r="Y124" s="19" t="str">
        <x:f>IFERROR(TODAY()-DATEVALUE(C124),"")</x:f>
      </x:c>
      <x:c r="Z124" s="21" t="n">
        <x:f>ROUND(COUNTA(A124:K124)/11*100,0)</x:f>
        <x:v>100</x:v>
      </x:c>
      <x:c r="AA124" s="18" t="str">
        <x:v>International Court of Justice</x:v>
      </x:c>
      <x:c r="AB124" s="22" t="str">
        <x:v>https://api.icj-cij.org/case/65</x:v>
      </x:c>
      <x:c r="AC124" s="18" t="str"/>
      <x:c r="AD124" s="18" t="n">
        <x:v>46275.42531791667</x:v>
      </x:c>
      <x:c r="AE124" s="18" t="str">
        <x:v>independent_public</x:v>
      </x:c>
      <x:c r="AF124" s="18" t="str">
        <x:v>PARTIAL_NO_DATE</x:v>
      </x:c>
    </x:row>
    <x:row r="125">
      <x:c r="A125" s="18" t="str">
        <x:v>NYT-45-17720af11f9079ba</x:v>
      </x:c>
      <x:c r="B125" s="18" t="str">
        <x:v>Aegean Sea Continental Shelf (Greece v. Turkey)</x:v>
      </x:c>
      <x:c r="C125" s="18" t="str"/>
      <x:c r="D125" s="18" t="str"/>
      <x:c r="E125" s="18" t="str"/>
      <x:c r="F125" s="18" t="str"/>
      <x:c r="G125" s="18" t="str"/>
      <x:c r="H125" s="18" t="str"/>
      <x:c r="I125" s="18" t="str">
        <x:v>International Court of Justice</x:v>
      </x:c>
      <x:c r="J125" s="20" t="str"/>
      <x:c r="K125" s="18" t="str"/>
      <x:c r="L125" s="18" t="str">
        <x:v>International Court of Justice</x:v>
      </x:c>
      <x:c r="M125" s="18" t="str">
        <x:v>Aegean Sea Continental Shelf (Greece v. Turkey)</x:v>
      </x:c>
      <x:c r="N125" s="18" t="str"/>
      <x:c r="O125" s="18" t="str"/>
      <x:c r="P125" s="18" t="str"/>
      <x:c r="Q125" s="18" t="str">
        <x:v>62</x:v>
      </x:c>
      <x:c r="R125" s="18" t="str"/>
      <x:c r="S125" s="18" t="str"/>
      <x:c r="T125" s="18" t="str">
        <x:v>COMPLETE_FINITE_SNAPSHOT</x:v>
      </x:c>
      <x:c r="U125" s="18" t="str">
        <x:v>Complete ICJ General List on official all-cases page</x:v>
      </x:c>
      <x:c r="V125" s="18" t="str"/>
      <x:c r="W125" s="18" t="str"/>
      <x:c r="X125" s="20" t="n">
        <x:v>192</x:v>
      </x:c>
      <x:c r="Y125" s="19" t="str">
        <x:f>IFERROR(TODAY()-DATEVALUE(C125),"")</x:f>
      </x:c>
      <x:c r="Z125" s="21" t="n">
        <x:f>ROUND(COUNTA(A125:K125)/11*100,0)</x:f>
        <x:v>100</x:v>
      </x:c>
      <x:c r="AA125" s="18" t="str">
        <x:v>International Court of Justice</x:v>
      </x:c>
      <x:c r="AB125" s="22" t="str">
        <x:v>https://api.icj-cij.org/case/62</x:v>
      </x:c>
      <x:c r="AC125" s="18" t="str"/>
      <x:c r="AD125" s="18" t="n">
        <x:v>46275.42531791667</x:v>
      </x:c>
      <x:c r="AE125" s="18" t="str">
        <x:v>independent_public</x:v>
      </x:c>
      <x:c r="AF125" s="18" t="str">
        <x:v>PARTIAL_NO_DATE</x:v>
      </x:c>
    </x:row>
    <x:row r="126">
      <x:c r="A126" s="18" t="str">
        <x:v>NYT-45-9d81c28c94b7ff85</x:v>
      </x:c>
      <x:c r="B126" s="18" t="str">
        <x:v>Western Sahara</x:v>
      </x:c>
      <x:c r="C126" s="18" t="str"/>
      <x:c r="D126" s="18" t="str"/>
      <x:c r="E126" s="18" t="str"/>
      <x:c r="F126" s="18" t="str"/>
      <x:c r="G126" s="18" t="str"/>
      <x:c r="H126" s="18" t="str"/>
      <x:c r="I126" s="18" t="str">
        <x:v>International Court of Justice</x:v>
      </x:c>
      <x:c r="J126" s="20" t="str"/>
      <x:c r="K126" s="18" t="str"/>
      <x:c r="L126" s="18" t="str">
        <x:v>International Court of Justice</x:v>
      </x:c>
      <x:c r="M126" s="18" t="str">
        <x:v>Western Sahara</x:v>
      </x:c>
      <x:c r="N126" s="18" t="str"/>
      <x:c r="O126" s="18" t="str"/>
      <x:c r="P126" s="18" t="str"/>
      <x:c r="Q126" s="18" t="str">
        <x:v>61</x:v>
      </x:c>
      <x:c r="R126" s="18" t="str"/>
      <x:c r="S126" s="18" t="str"/>
      <x:c r="T126" s="18" t="str">
        <x:v>COMPLETE_FINITE_SNAPSHOT</x:v>
      </x:c>
      <x:c r="U126" s="18" t="str">
        <x:v>Complete ICJ General List on official all-cases page</x:v>
      </x:c>
      <x:c r="V126" s="18" t="str"/>
      <x:c r="W126" s="18" t="str"/>
      <x:c r="X126" s="20" t="n">
        <x:v>192</x:v>
      </x:c>
      <x:c r="Y126" s="19" t="str">
        <x:f>IFERROR(TODAY()-DATEVALUE(C126),"")</x:f>
      </x:c>
      <x:c r="Z126" s="21" t="n">
        <x:f>ROUND(COUNTA(A126:K126)/11*100,0)</x:f>
        <x:v>100</x:v>
      </x:c>
      <x:c r="AA126" s="18" t="str">
        <x:v>International Court of Justice</x:v>
      </x:c>
      <x:c r="AB126" s="22" t="str">
        <x:v>https://api.icj-cij.org/case/61</x:v>
      </x:c>
      <x:c r="AC126" s="18" t="str"/>
      <x:c r="AD126" s="18" t="n">
        <x:v>46275.42531791667</x:v>
      </x:c>
      <x:c r="AE126" s="18" t="str">
        <x:v>independent_public</x:v>
      </x:c>
      <x:c r="AF126" s="18" t="str">
        <x:v>PARTIAL_NO_DATE</x:v>
      </x:c>
    </x:row>
    <x:row r="127">
      <x:c r="A127" s="18" t="str">
        <x:v>NYT-45-4a64beb93e0627f0</x:v>
      </x:c>
      <x:c r="B127" s="18" t="str">
        <x:v>Nuclear Tests (New Zealand v. France)</x:v>
      </x:c>
      <x:c r="C127" s="18" t="str"/>
      <x:c r="D127" s="18" t="str"/>
      <x:c r="E127" s="18" t="str"/>
      <x:c r="F127" s="18" t="str"/>
      <x:c r="G127" s="18" t="str"/>
      <x:c r="H127" s="18" t="str"/>
      <x:c r="I127" s="18" t="str">
        <x:v>International Court of Justice</x:v>
      </x:c>
      <x:c r="J127" s="20" t="str"/>
      <x:c r="K127" s="18" t="str"/>
      <x:c r="L127" s="18" t="str">
        <x:v>International Court of Justice</x:v>
      </x:c>
      <x:c r="M127" s="18" t="str">
        <x:v>Nuclear Tests (New Zealand v. France)</x:v>
      </x:c>
      <x:c r="N127" s="18" t="str"/>
      <x:c r="O127" s="18" t="str"/>
      <x:c r="P127" s="18" t="str"/>
      <x:c r="Q127" s="18" t="str">
        <x:v>59</x:v>
      </x:c>
      <x:c r="R127" s="18" t="str"/>
      <x:c r="S127" s="18" t="str"/>
      <x:c r="T127" s="18" t="str">
        <x:v>COMPLETE_FINITE_SNAPSHOT</x:v>
      </x:c>
      <x:c r="U127" s="18" t="str">
        <x:v>Complete ICJ General List on official all-cases page</x:v>
      </x:c>
      <x:c r="V127" s="18" t="str"/>
      <x:c r="W127" s="18" t="str"/>
      <x:c r="X127" s="20" t="n">
        <x:v>192</x:v>
      </x:c>
      <x:c r="Y127" s="19" t="str">
        <x:f>IFERROR(TODAY()-DATEVALUE(C127),"")</x:f>
      </x:c>
      <x:c r="Z127" s="21" t="n">
        <x:f>ROUND(COUNTA(A127:K127)/11*100,0)</x:f>
        <x:v>100</x:v>
      </x:c>
      <x:c r="AA127" s="18" t="str">
        <x:v>International Court of Justice</x:v>
      </x:c>
      <x:c r="AB127" s="22" t="str">
        <x:v>https://api.icj-cij.org/case/59</x:v>
      </x:c>
      <x:c r="AC127" s="18" t="str"/>
      <x:c r="AD127" s="18" t="n">
        <x:v>46275.42531791667</x:v>
      </x:c>
      <x:c r="AE127" s="18" t="str">
        <x:v>independent_public</x:v>
      </x:c>
      <x:c r="AF127" s="18" t="str">
        <x:v>PARTIAL_NO_DATE</x:v>
      </x:c>
    </x:row>
    <x:row r="128">
      <x:c r="A128" s="18" t="str">
        <x:v>NYT-45-9000bd89d2b8c08f</x:v>
      </x:c>
      <x:c r="B128" s="18" t="str">
        <x:v>Fisheries Jurisdiction (Federal Republic of Germany v. Iceland)</x:v>
      </x:c>
      <x:c r="C128" s="18" t="str"/>
      <x:c r="D128" s="18" t="str"/>
      <x:c r="E128" s="18" t="str"/>
      <x:c r="F128" s="18" t="str"/>
      <x:c r="G128" s="18" t="str"/>
      <x:c r="H128" s="18" t="str"/>
      <x:c r="I128" s="18" t="str">
        <x:v>International Court of Justice</x:v>
      </x:c>
      <x:c r="J128" s="20" t="str"/>
      <x:c r="K128" s="18" t="str"/>
      <x:c r="L128" s="18" t="str">
        <x:v>International Court of Justice</x:v>
      </x:c>
      <x:c r="M128" s="18" t="str">
        <x:v>Fisheries Jurisdiction (Federal Republic of Germany v. Iceland)</x:v>
      </x:c>
      <x:c r="N128" s="18" t="str"/>
      <x:c r="O128" s="18" t="str"/>
      <x:c r="P128" s="18" t="str"/>
      <x:c r="Q128" s="18" t="str">
        <x:v>56</x:v>
      </x:c>
      <x:c r="R128" s="18" t="str"/>
      <x:c r="S128" s="18" t="str"/>
      <x:c r="T128" s="18" t="str">
        <x:v>COMPLETE_FINITE_SNAPSHOT</x:v>
      </x:c>
      <x:c r="U128" s="18" t="str">
        <x:v>Complete ICJ General List on official all-cases page</x:v>
      </x:c>
      <x:c r="V128" s="18" t="str"/>
      <x:c r="W128" s="18" t="str"/>
      <x:c r="X128" s="20" t="n">
        <x:v>192</x:v>
      </x:c>
      <x:c r="Y128" s="19" t="str">
        <x:f>IFERROR(TODAY()-DATEVALUE(C128),"")</x:f>
      </x:c>
      <x:c r="Z128" s="21" t="n">
        <x:f>ROUND(COUNTA(A128:K128)/11*100,0)</x:f>
        <x:v>100</x:v>
      </x:c>
      <x:c r="AA128" s="18" t="str">
        <x:v>International Court of Justice</x:v>
      </x:c>
      <x:c r="AB128" s="22" t="str">
        <x:v>https://api.icj-cij.org/case/56</x:v>
      </x:c>
      <x:c r="AC128" s="18" t="str"/>
      <x:c r="AD128" s="18" t="n">
        <x:v>46275.42531791667</x:v>
      </x:c>
      <x:c r="AE128" s="18" t="str">
        <x:v>independent_public</x:v>
      </x:c>
      <x:c r="AF128" s="18" t="str">
        <x:v>PARTIAL_NO_DATE</x:v>
      </x:c>
    </x:row>
    <x:row r="129">
      <x:c r="A129" s="18" t="str">
        <x:v>NYT-45-cfbbf0a0efbcf9b6</x:v>
      </x:c>
      <x:c r="B129" s="18" t="str">
        <x:v>Fisheries Jurisdiction (United Kingdom v. Iceland)</x:v>
      </x:c>
      <x:c r="C129" s="18" t="str"/>
      <x:c r="D129" s="18" t="str"/>
      <x:c r="E129" s="18" t="str"/>
      <x:c r="F129" s="18" t="str"/>
      <x:c r="G129" s="18" t="str"/>
      <x:c r="H129" s="18" t="str"/>
      <x:c r="I129" s="18" t="str">
        <x:v>International Court of Justice</x:v>
      </x:c>
      <x:c r="J129" s="20" t="str"/>
      <x:c r="K129" s="18" t="str"/>
      <x:c r="L129" s="18" t="str">
        <x:v>International Court of Justice</x:v>
      </x:c>
      <x:c r="M129" s="18" t="str">
        <x:v>Fisheries Jurisdiction (United Kingdom v. Iceland)</x:v>
      </x:c>
      <x:c r="N129" s="18" t="str"/>
      <x:c r="O129" s="18" t="str"/>
      <x:c r="P129" s="18" t="str"/>
      <x:c r="Q129" s="18" t="str">
        <x:v>55</x:v>
      </x:c>
      <x:c r="R129" s="18" t="str"/>
      <x:c r="S129" s="18" t="str"/>
      <x:c r="T129" s="18" t="str">
        <x:v>COMPLETE_FINITE_SNAPSHOT</x:v>
      </x:c>
      <x:c r="U129" s="18" t="str">
        <x:v>Complete ICJ General List on official all-cases page</x:v>
      </x:c>
      <x:c r="V129" s="18" t="str"/>
      <x:c r="W129" s="18" t="str"/>
      <x:c r="X129" s="20" t="n">
        <x:v>192</x:v>
      </x:c>
      <x:c r="Y129" s="19" t="str">
        <x:f>IFERROR(TODAY()-DATEVALUE(C129),"")</x:f>
      </x:c>
      <x:c r="Z129" s="21" t="n">
        <x:f>ROUND(COUNTA(A129:K129)/11*100,0)</x:f>
        <x:v>100</x:v>
      </x:c>
      <x:c r="AA129" s="18" t="str">
        <x:v>International Court of Justice</x:v>
      </x:c>
      <x:c r="AB129" s="22" t="str">
        <x:v>https://api.icj-cij.org/case/55</x:v>
      </x:c>
      <x:c r="AC129" s="18" t="str"/>
      <x:c r="AD129" s="18" t="n">
        <x:v>46275.42531791667</x:v>
      </x:c>
      <x:c r="AE129" s="18" t="str">
        <x:v>independent_public</x:v>
      </x:c>
      <x:c r="AF129" s="18" t="str">
        <x:v>PARTIAL_NO_DATE</x:v>
      </x:c>
    </x:row>
    <x:row r="130">
      <x:c r="A130" s="18" t="str">
        <x:v>NYT-45-e3eeedcb148c9184</x:v>
      </x:c>
      <x:c r="B130" s="18" t="str">
        <x:v>Nuclear Tests (Australia v. France)</x:v>
      </x:c>
      <x:c r="C130" s="18" t="str"/>
      <x:c r="D130" s="18" t="str"/>
      <x:c r="E130" s="18" t="str"/>
      <x:c r="F130" s="18" t="str"/>
      <x:c r="G130" s="18" t="str"/>
      <x:c r="H130" s="18" t="str"/>
      <x:c r="I130" s="18" t="str">
        <x:v>International Court of Justice</x:v>
      </x:c>
      <x:c r="J130" s="20" t="str"/>
      <x:c r="K130" s="18" t="str"/>
      <x:c r="L130" s="18" t="str">
        <x:v>International Court of Justice</x:v>
      </x:c>
      <x:c r="M130" s="18" t="str">
        <x:v>Nuclear Tests (Australia v. France)</x:v>
      </x:c>
      <x:c r="N130" s="18" t="str"/>
      <x:c r="O130" s="18" t="str"/>
      <x:c r="P130" s="18" t="str"/>
      <x:c r="Q130" s="18" t="str">
        <x:v>58</x:v>
      </x:c>
      <x:c r="R130" s="18" t="str"/>
      <x:c r="S130" s="18" t="str"/>
      <x:c r="T130" s="18" t="str">
        <x:v>COMPLETE_FINITE_SNAPSHOT</x:v>
      </x:c>
      <x:c r="U130" s="18" t="str">
        <x:v>Complete ICJ General List on official all-cases page</x:v>
      </x:c>
      <x:c r="V130" s="18" t="str"/>
      <x:c r="W130" s="18" t="str"/>
      <x:c r="X130" s="20" t="n">
        <x:v>192</x:v>
      </x:c>
      <x:c r="Y130" s="19" t="str">
        <x:f>IFERROR(TODAY()-DATEVALUE(C130),"")</x:f>
      </x:c>
      <x:c r="Z130" s="21" t="n">
        <x:f>ROUND(COUNTA(A130:K130)/11*100,0)</x:f>
        <x:v>100</x:v>
      </x:c>
      <x:c r="AA130" s="18" t="str">
        <x:v>International Court of Justice</x:v>
      </x:c>
      <x:c r="AB130" s="22" t="str">
        <x:v>https://api.icj-cij.org/case/58</x:v>
      </x:c>
      <x:c r="AC130" s="18" t="str"/>
      <x:c r="AD130" s="18" t="n">
        <x:v>46275.42531791667</x:v>
      </x:c>
      <x:c r="AE130" s="18" t="str">
        <x:v>independent_public</x:v>
      </x:c>
      <x:c r="AF130" s="18" t="str">
        <x:v>PARTIAL_NO_DATE</x:v>
      </x:c>
    </x:row>
    <x:row r="131">
      <x:c r="A131" s="18" t="str">
        <x:v>NYT-45-48e71099d336645c</x:v>
      </x:c>
      <x:c r="B131" s="18" t="str">
        <x:v>Trial of Pakistani Prisoners of War (Pakistan v. India)</x:v>
      </x:c>
      <x:c r="C131" s="18" t="str"/>
      <x:c r="D131" s="18" t="str"/>
      <x:c r="E131" s="18" t="str"/>
      <x:c r="F131" s="18" t="str"/>
      <x:c r="G131" s="18" t="str"/>
      <x:c r="H131" s="18" t="str"/>
      <x:c r="I131" s="18" t="str">
        <x:v>International Court of Justice</x:v>
      </x:c>
      <x:c r="J131" s="20" t="str"/>
      <x:c r="K131" s="18" t="str"/>
      <x:c r="L131" s="18" t="str">
        <x:v>International Court of Justice</x:v>
      </x:c>
      <x:c r="M131" s="18" t="str">
        <x:v>Trial of Pakistani Prisoners of War (Pakistan v. India)</x:v>
      </x:c>
      <x:c r="N131" s="18" t="str"/>
      <x:c r="O131" s="18" t="str"/>
      <x:c r="P131" s="18" t="str"/>
      <x:c r="Q131" s="18" t="str">
        <x:v>60</x:v>
      </x:c>
      <x:c r="R131" s="18" t="str"/>
      <x:c r="S131" s="18" t="str"/>
      <x:c r="T131" s="18" t="str">
        <x:v>COMPLETE_FINITE_SNAPSHOT</x:v>
      </x:c>
      <x:c r="U131" s="18" t="str">
        <x:v>Complete ICJ General List on official all-cases page</x:v>
      </x:c>
      <x:c r="V131" s="18" t="str"/>
      <x:c r="W131" s="18" t="str"/>
      <x:c r="X131" s="20" t="n">
        <x:v>192</x:v>
      </x:c>
      <x:c r="Y131" s="19" t="str">
        <x:f>IFERROR(TODAY()-DATEVALUE(C131),"")</x:f>
      </x:c>
      <x:c r="Z131" s="21" t="n">
        <x:f>ROUND(COUNTA(A131:K131)/11*100,0)</x:f>
        <x:v>100</x:v>
      </x:c>
      <x:c r="AA131" s="18" t="str">
        <x:v>International Court of Justice</x:v>
      </x:c>
      <x:c r="AB131" s="22" t="str">
        <x:v>https://api.icj-cij.org/case/60</x:v>
      </x:c>
      <x:c r="AC131" s="18" t="str"/>
      <x:c r="AD131" s="18" t="n">
        <x:v>46275.42531791667</x:v>
      </x:c>
      <x:c r="AE131" s="18" t="str">
        <x:v>independent_public</x:v>
      </x:c>
      <x:c r="AF131" s="18" t="str">
        <x:v>PARTIAL_NO_DATE</x:v>
      </x:c>
    </x:row>
    <x:row r="132">
      <x:c r="A132" s="18" t="str">
        <x:v>NYT-45-535e573225a335f8</x:v>
      </x:c>
      <x:c r="B132" s="18" t="str">
        <x:v>Application for Review of Judgment No. 158 of the United Nations Administrative Tribunal</x:v>
      </x:c>
      <x:c r="C132" s="18" t="str"/>
      <x:c r="D132" s="18" t="str"/>
      <x:c r="E132" s="18" t="str"/>
      <x:c r="F132" s="18" t="str"/>
      <x:c r="G132" s="18" t="str"/>
      <x:c r="H132" s="18" t="str"/>
      <x:c r="I132" s="18" t="str">
        <x:v>International Court of Justice</x:v>
      </x:c>
      <x:c r="J132" s="20" t="str"/>
      <x:c r="K132" s="18" t="str"/>
      <x:c r="L132" s="18" t="str">
        <x:v>International Court of Justice</x:v>
      </x:c>
      <x:c r="M132" s="18" t="str">
        <x:v>Application for Review of Judgment No. 158 of the United Nations Administrative Tribunal</x:v>
      </x:c>
      <x:c r="N132" s="18" t="str"/>
      <x:c r="O132" s="18" t="str"/>
      <x:c r="P132" s="18" t="str"/>
      <x:c r="Q132" s="18" t="str">
        <x:v>57</x:v>
      </x:c>
      <x:c r="R132" s="18" t="str"/>
      <x:c r="S132" s="18" t="str"/>
      <x:c r="T132" s="18" t="str">
        <x:v>COMPLETE_FINITE_SNAPSHOT</x:v>
      </x:c>
      <x:c r="U132" s="18" t="str">
        <x:v>Complete ICJ General List on official all-cases page</x:v>
      </x:c>
      <x:c r="V132" s="18" t="str"/>
      <x:c r="W132" s="18" t="str"/>
      <x:c r="X132" s="20" t="n">
        <x:v>192</x:v>
      </x:c>
      <x:c r="Y132" s="19" t="str">
        <x:f>IFERROR(TODAY()-DATEVALUE(C132),"")</x:f>
      </x:c>
      <x:c r="Z132" s="21" t="n">
        <x:f>ROUND(COUNTA(A132:K132)/11*100,0)</x:f>
        <x:v>100</x:v>
      </x:c>
      <x:c r="AA132" s="18" t="str">
        <x:v>International Court of Justice</x:v>
      </x:c>
      <x:c r="AB132" s="22" t="str">
        <x:v>https://api.icj-cij.org/case/57</x:v>
      </x:c>
      <x:c r="AC132" s="18" t="str"/>
      <x:c r="AD132" s="18" t="n">
        <x:v>46275.42531791667</x:v>
      </x:c>
      <x:c r="AE132" s="18" t="str">
        <x:v>independent_public</x:v>
      </x:c>
      <x:c r="AF132" s="18" t="str">
        <x:v>PARTIAL_NO_DATE</x:v>
      </x:c>
    </x:row>
    <x:row r="133">
      <x:c r="A133" s="18" t="str">
        <x:v>NYT-45-c3161daa5786b0ef</x:v>
      </x:c>
      <x:c r="B133" s="18" t="str">
        <x:v>Appeal Relating to the Jurisdiction of the ICAO Council (India v. Pakistan)</x:v>
      </x:c>
      <x:c r="C133" s="18" t="str"/>
      <x:c r="D133" s="18" t="str"/>
      <x:c r="E133" s="18" t="str"/>
      <x:c r="F133" s="18" t="str"/>
      <x:c r="G133" s="18" t="str"/>
      <x:c r="H133" s="18" t="str"/>
      <x:c r="I133" s="18" t="str">
        <x:v>International Court of Justice</x:v>
      </x:c>
      <x:c r="J133" s="20" t="str"/>
      <x:c r="K133" s="18" t="str"/>
      <x:c r="L133" s="18" t="str">
        <x:v>International Court of Justice</x:v>
      </x:c>
      <x:c r="M133" s="18" t="str">
        <x:v>Appeal Relating to the Jurisdiction of the ICAO Council (India v. Pakistan)</x:v>
      </x:c>
      <x:c r="N133" s="18" t="str"/>
      <x:c r="O133" s="18" t="str"/>
      <x:c r="P133" s="18" t="str"/>
      <x:c r="Q133" s="18" t="str">
        <x:v>54</x:v>
      </x:c>
      <x:c r="R133" s="18" t="str"/>
      <x:c r="S133" s="18" t="str"/>
      <x:c r="T133" s="18" t="str">
        <x:v>COMPLETE_FINITE_SNAPSHOT</x:v>
      </x:c>
      <x:c r="U133" s="18" t="str">
        <x:v>Complete ICJ General List on official all-cases page</x:v>
      </x:c>
      <x:c r="V133" s="18" t="str"/>
      <x:c r="W133" s="18" t="str"/>
      <x:c r="X133" s="20" t="n">
        <x:v>192</x:v>
      </x:c>
      <x:c r="Y133" s="19" t="str">
        <x:f>IFERROR(TODAY()-DATEVALUE(C133),"")</x:f>
      </x:c>
      <x:c r="Z133" s="21" t="n">
        <x:f>ROUND(COUNTA(A133:K133)/11*100,0)</x:f>
        <x:v>100</x:v>
      </x:c>
      <x:c r="AA133" s="18" t="str">
        <x:v>International Court of Justice</x:v>
      </x:c>
      <x:c r="AB133" s="22" t="str">
        <x:v>https://api.icj-cij.org/case/54</x:v>
      </x:c>
      <x:c r="AC133" s="18" t="str"/>
      <x:c r="AD133" s="18" t="n">
        <x:v>46275.42531791667</x:v>
      </x:c>
      <x:c r="AE133" s="18" t="str">
        <x:v>independent_public</x:v>
      </x:c>
      <x:c r="AF133" s="18" t="str">
        <x:v>PARTIAL_NO_DATE</x:v>
      </x:c>
    </x:row>
    <x:row r="134">
      <x:c r="A134" s="18" t="str">
        <x:v>NYT-45-0df99d31919f252b</x:v>
      </x:c>
      <x:c r="B134" s="18" t="str">
        <x:v>Legal Consequences for States of the Continued Presence of South Africa in Namibia (South West Africa) notwithstanding Security Council Resolution 276 (1970)</x:v>
      </x:c>
      <x:c r="C134" s="18" t="str"/>
      <x:c r="D134" s="18" t="str"/>
      <x:c r="E134" s="18" t="str"/>
      <x:c r="F134" s="18" t="str"/>
      <x:c r="G134" s="18" t="str"/>
      <x:c r="H134" s="18" t="str"/>
      <x:c r="I134" s="18" t="str">
        <x:v>International Court of Justice</x:v>
      </x:c>
      <x:c r="J134" s="20" t="str"/>
      <x:c r="K134" s="18" t="str"/>
      <x:c r="L134" s="18" t="str">
        <x:v>International Court of Justice</x:v>
      </x:c>
      <x:c r="M134" s="18" t="str">
        <x:v>Legal Consequences for States of the Continued Presence of South Africa in Namibia (South West Africa) notwithstanding Security Council Resolution 276 (1970)</x:v>
      </x:c>
      <x:c r="N134" s="18" t="str"/>
      <x:c r="O134" s="18" t="str"/>
      <x:c r="P134" s="18" t="str"/>
      <x:c r="Q134" s="18" t="str">
        <x:v>53</x:v>
      </x:c>
      <x:c r="R134" s="18" t="str"/>
      <x:c r="S134" s="18" t="str"/>
      <x:c r="T134" s="18" t="str">
        <x:v>COMPLETE_FINITE_SNAPSHOT</x:v>
      </x:c>
      <x:c r="U134" s="18" t="str">
        <x:v>Complete ICJ General List on official all-cases page</x:v>
      </x:c>
      <x:c r="V134" s="18" t="str"/>
      <x:c r="W134" s="18" t="str"/>
      <x:c r="X134" s="20" t="n">
        <x:v>192</x:v>
      </x:c>
      <x:c r="Y134" s="19" t="str">
        <x:f>IFERROR(TODAY()-DATEVALUE(C134),"")</x:f>
      </x:c>
      <x:c r="Z134" s="21" t="n">
        <x:f>ROUND(COUNTA(A134:K134)/11*100,0)</x:f>
        <x:v>100</x:v>
      </x:c>
      <x:c r="AA134" s="18" t="str">
        <x:v>International Court of Justice</x:v>
      </x:c>
      <x:c r="AB134" s="22" t="str">
        <x:v>https://api.icj-cij.org/case/53</x:v>
      </x:c>
      <x:c r="AC134" s="18" t="str"/>
      <x:c r="AD134" s="18" t="n">
        <x:v>46275.42531791667</x:v>
      </x:c>
      <x:c r="AE134" s="18" t="str">
        <x:v>independent_public</x:v>
      </x:c>
      <x:c r="AF134" s="18" t="str">
        <x:v>PARTIAL_NO_DATE</x:v>
      </x:c>
    </x:row>
    <x:row r="135">
      <x:c r="A135" s="18" t="str">
        <x:v>NYT-45-be3e9f3e7da85760</x:v>
      </x:c>
      <x:c r="B135" s="18" t="str">
        <x:v>Barcelona Traction, Light and Power Company, Limited (Belgium v. Spain) (New Application: 1962)</x:v>
      </x:c>
      <x:c r="C135" s="18" t="str"/>
      <x:c r="D135" s="18" t="str"/>
      <x:c r="E135" s="18" t="str"/>
      <x:c r="F135" s="18" t="str"/>
      <x:c r="G135" s="18" t="str"/>
      <x:c r="H135" s="18" t="str"/>
      <x:c r="I135" s="18" t="str">
        <x:v>International Court of Justice</x:v>
      </x:c>
      <x:c r="J135" s="20" t="str"/>
      <x:c r="K135" s="18" t="str"/>
      <x:c r="L135" s="18" t="str">
        <x:v>International Court of Justice</x:v>
      </x:c>
      <x:c r="M135" s="18" t="str">
        <x:v>Barcelona Traction, Light and Power Company, Limited (Belgium v. Spain) (New Application: 1962)</x:v>
      </x:c>
      <x:c r="N135" s="18" t="str"/>
      <x:c r="O135" s="18" t="str"/>
      <x:c r="P135" s="18" t="str"/>
      <x:c r="Q135" s="18" t="str">
        <x:v>50</x:v>
      </x:c>
      <x:c r="R135" s="18" t="str"/>
      <x:c r="S135" s="18" t="str"/>
      <x:c r="T135" s="18" t="str">
        <x:v>COMPLETE_FINITE_SNAPSHOT</x:v>
      </x:c>
      <x:c r="U135" s="18" t="str">
        <x:v>Complete ICJ General List on official all-cases page</x:v>
      </x:c>
      <x:c r="V135" s="18" t="str"/>
      <x:c r="W135" s="18" t="str"/>
      <x:c r="X135" s="20" t="n">
        <x:v>192</x:v>
      </x:c>
      <x:c r="Y135" s="19" t="str">
        <x:f>IFERROR(TODAY()-DATEVALUE(C135),"")</x:f>
      </x:c>
      <x:c r="Z135" s="21" t="n">
        <x:f>ROUND(COUNTA(A135:K135)/11*100,0)</x:f>
        <x:v>100</x:v>
      </x:c>
      <x:c r="AA135" s="18" t="str">
        <x:v>International Court of Justice</x:v>
      </x:c>
      <x:c r="AB135" s="22" t="str">
        <x:v>https://api.icj-cij.org/case/50</x:v>
      </x:c>
      <x:c r="AC135" s="18" t="str"/>
      <x:c r="AD135" s="18" t="n">
        <x:v>46275.42531791667</x:v>
      </x:c>
      <x:c r="AE135" s="18" t="str">
        <x:v>independent_public</x:v>
      </x:c>
      <x:c r="AF135" s="18" t="str">
        <x:v>PARTIAL_NO_DATE</x:v>
      </x:c>
    </x:row>
    <x:row r="136">
      <x:c r="A136" s="18" t="str">
        <x:v>NYT-45-3c8c1624154713b1</x:v>
      </x:c>
      <x:c r="B136" s="18" t="str">
        <x:v>North Sea Continental Shelf (Federal Republic of Germany/Denmark)</x:v>
      </x:c>
      <x:c r="C136" s="18" t="str"/>
      <x:c r="D136" s="18" t="str"/>
      <x:c r="E136" s="18" t="str"/>
      <x:c r="F136" s="18" t="str"/>
      <x:c r="G136" s="18" t="str"/>
      <x:c r="H136" s="18" t="str"/>
      <x:c r="I136" s="18" t="str">
        <x:v>International Court of Justice</x:v>
      </x:c>
      <x:c r="J136" s="20" t="str"/>
      <x:c r="K136" s="18" t="str"/>
      <x:c r="L136" s="18" t="str">
        <x:v>International Court of Justice</x:v>
      </x:c>
      <x:c r="M136" s="18" t="str">
        <x:v>North Sea Continental Shelf (Federal Republic of Germany/Denmark)</x:v>
      </x:c>
      <x:c r="N136" s="18" t="str"/>
      <x:c r="O136" s="18" t="str"/>
      <x:c r="P136" s="18" t="str"/>
      <x:c r="Q136" s="18" t="str">
        <x:v>51</x:v>
      </x:c>
      <x:c r="R136" s="18" t="str"/>
      <x:c r="S136" s="18" t="str"/>
      <x:c r="T136" s="18" t="str">
        <x:v>COMPLETE_FINITE_SNAPSHOT</x:v>
      </x:c>
      <x:c r="U136" s="18" t="str">
        <x:v>Complete ICJ General List on official all-cases page</x:v>
      </x:c>
      <x:c r="V136" s="18" t="str"/>
      <x:c r="W136" s="18" t="str"/>
      <x:c r="X136" s="20" t="n">
        <x:v>192</x:v>
      </x:c>
      <x:c r="Y136" s="19" t="str">
        <x:f>IFERROR(TODAY()-DATEVALUE(C136),"")</x:f>
      </x:c>
      <x:c r="Z136" s="21" t="n">
        <x:f>ROUND(COUNTA(A136:K136)/11*100,0)</x:f>
        <x:v>100</x:v>
      </x:c>
      <x:c r="AA136" s="18" t="str">
        <x:v>International Court of Justice</x:v>
      </x:c>
      <x:c r="AB136" s="22" t="str">
        <x:v>https://api.icj-cij.org/case/51</x:v>
      </x:c>
      <x:c r="AC136" s="18" t="str"/>
      <x:c r="AD136" s="18" t="n">
        <x:v>46275.42531791667</x:v>
      </x:c>
      <x:c r="AE136" s="18" t="str">
        <x:v>independent_public</x:v>
      </x:c>
      <x:c r="AF136" s="18" t="str">
        <x:v>PARTIAL_NO_DATE</x:v>
      </x:c>
    </x:row>
    <x:row r="137">
      <x:c r="A137" s="18" t="str">
        <x:v>NYT-45-5fe19eb172e04bb0</x:v>
      </x:c>
      <x:c r="B137" s="18" t="str">
        <x:v>North Sea Continental Shelf (Federal Republic of Germany/Netherlands)</x:v>
      </x:c>
      <x:c r="C137" s="18" t="str"/>
      <x:c r="D137" s="18" t="str"/>
      <x:c r="E137" s="18" t="str"/>
      <x:c r="F137" s="18" t="str"/>
      <x:c r="G137" s="18" t="str"/>
      <x:c r="H137" s="18" t="str"/>
      <x:c r="I137" s="18" t="str">
        <x:v>International Court of Justice</x:v>
      </x:c>
      <x:c r="J137" s="20" t="str"/>
      <x:c r="K137" s="18" t="str"/>
      <x:c r="L137" s="18" t="str">
        <x:v>International Court of Justice</x:v>
      </x:c>
      <x:c r="M137" s="18" t="str">
        <x:v>North Sea Continental Shelf (Federal Republic of Germany/Netherlands)</x:v>
      </x:c>
      <x:c r="N137" s="18" t="str"/>
      <x:c r="O137" s="18" t="str"/>
      <x:c r="P137" s="18" t="str"/>
      <x:c r="Q137" s="18" t="str">
        <x:v>52</x:v>
      </x:c>
      <x:c r="R137" s="18" t="str"/>
      <x:c r="S137" s="18" t="str"/>
      <x:c r="T137" s="18" t="str">
        <x:v>COMPLETE_FINITE_SNAPSHOT</x:v>
      </x:c>
      <x:c r="U137" s="18" t="str">
        <x:v>Complete ICJ General List on official all-cases page</x:v>
      </x:c>
      <x:c r="V137" s="18" t="str"/>
      <x:c r="W137" s="18" t="str"/>
      <x:c r="X137" s="20" t="n">
        <x:v>192</x:v>
      </x:c>
      <x:c r="Y137" s="19" t="str">
        <x:f>IFERROR(TODAY()-DATEVALUE(C137),"")</x:f>
      </x:c>
      <x:c r="Z137" s="21" t="n">
        <x:f>ROUND(COUNTA(A137:K137)/11*100,0)</x:f>
        <x:v>100</x:v>
      </x:c>
      <x:c r="AA137" s="18" t="str">
        <x:v>International Court of Justice</x:v>
      </x:c>
      <x:c r="AB137" s="22" t="str">
        <x:v>https://api.icj-cij.org/case/52</x:v>
      </x:c>
      <x:c r="AC137" s="18" t="str"/>
      <x:c r="AD137" s="18" t="n">
        <x:v>46275.42531791667</x:v>
      </x:c>
      <x:c r="AE137" s="18" t="str">
        <x:v>independent_public</x:v>
      </x:c>
      <x:c r="AF137" s="18" t="str">
        <x:v>PARTIAL_NO_DATE</x:v>
      </x:c>
    </x:row>
    <x:row r="138">
      <x:c r="A138" s="18" t="str">
        <x:v>NYT-45-2646f7998c0ebe68</x:v>
      </x:c>
      <x:c r="B138" s="18" t="str">
        <x:v>South West Africa (Ethiopia v. South Africa)</x:v>
      </x:c>
      <x:c r="C138" s="18" t="str"/>
      <x:c r="D138" s="18" t="str"/>
      <x:c r="E138" s="18" t="str"/>
      <x:c r="F138" s="18" t="str"/>
      <x:c r="G138" s="18" t="str"/>
      <x:c r="H138" s="18" t="str"/>
      <x:c r="I138" s="18" t="str">
        <x:v>International Court of Justice</x:v>
      </x:c>
      <x:c r="J138" s="20" t="str"/>
      <x:c r="K138" s="18" t="str"/>
      <x:c r="L138" s="18" t="str">
        <x:v>International Court of Justice</x:v>
      </x:c>
      <x:c r="M138" s="18" t="str">
        <x:v>South West Africa (Ethiopia v. South Africa)</x:v>
      </x:c>
      <x:c r="N138" s="18" t="str"/>
      <x:c r="O138" s="18" t="str"/>
      <x:c r="P138" s="18" t="str"/>
      <x:c r="Q138" s="18" t="str">
        <x:v>46</x:v>
      </x:c>
      <x:c r="R138" s="18" t="str"/>
      <x:c r="S138" s="18" t="str"/>
      <x:c r="T138" s="18" t="str">
        <x:v>COMPLETE_FINITE_SNAPSHOT</x:v>
      </x:c>
      <x:c r="U138" s="18" t="str">
        <x:v>Complete ICJ General List on official all-cases page</x:v>
      </x:c>
      <x:c r="V138" s="18" t="str"/>
      <x:c r="W138" s="18" t="str"/>
      <x:c r="X138" s="20" t="n">
        <x:v>192</x:v>
      </x:c>
      <x:c r="Y138" s="19" t="str">
        <x:f>IFERROR(TODAY()-DATEVALUE(C138),"")</x:f>
      </x:c>
      <x:c r="Z138" s="21" t="n">
        <x:f>ROUND(COUNTA(A138:K138)/11*100,0)</x:f>
        <x:v>100</x:v>
      </x:c>
      <x:c r="AA138" s="18" t="str">
        <x:v>International Court of Justice</x:v>
      </x:c>
      <x:c r="AB138" s="22" t="str">
        <x:v>https://api.icj-cij.org/case/46</x:v>
      </x:c>
      <x:c r="AC138" s="18" t="str"/>
      <x:c r="AD138" s="18" t="n">
        <x:v>46275.42531791667</x:v>
      </x:c>
      <x:c r="AE138" s="18" t="str">
        <x:v>independent_public</x:v>
      </x:c>
      <x:c r="AF138" s="18" t="str">
        <x:v>PARTIAL_NO_DATE</x:v>
      </x:c>
    </x:row>
    <x:row r="139">
      <x:c r="A139" s="18" t="str">
        <x:v>NYT-45-d09cb39c66222de9</x:v>
      </x:c>
      <x:c r="B139" s="18" t="str">
        <x:v>South West Africa (Liberia v. South Africa)</x:v>
      </x:c>
      <x:c r="C139" s="18" t="str"/>
      <x:c r="D139" s="18" t="str"/>
      <x:c r="E139" s="18" t="str"/>
      <x:c r="F139" s="18" t="str"/>
      <x:c r="G139" s="18" t="str"/>
      <x:c r="H139" s="18" t="str"/>
      <x:c r="I139" s="18" t="str">
        <x:v>International Court of Justice</x:v>
      </x:c>
      <x:c r="J139" s="20" t="str"/>
      <x:c r="K139" s="18" t="str"/>
      <x:c r="L139" s="18" t="str">
        <x:v>International Court of Justice</x:v>
      </x:c>
      <x:c r="M139" s="18" t="str">
        <x:v>South West Africa (Liberia v. South Africa)</x:v>
      </x:c>
      <x:c r="N139" s="18" t="str"/>
      <x:c r="O139" s="18" t="str"/>
      <x:c r="P139" s="18" t="str"/>
      <x:c r="Q139" s="18" t="str">
        <x:v>47</x:v>
      </x:c>
      <x:c r="R139" s="18" t="str"/>
      <x:c r="S139" s="18" t="str"/>
      <x:c r="T139" s="18" t="str">
        <x:v>COMPLETE_FINITE_SNAPSHOT</x:v>
      </x:c>
      <x:c r="U139" s="18" t="str">
        <x:v>Complete ICJ General List on official all-cases page</x:v>
      </x:c>
      <x:c r="V139" s="18" t="str"/>
      <x:c r="W139" s="18" t="str"/>
      <x:c r="X139" s="20" t="n">
        <x:v>192</x:v>
      </x:c>
      <x:c r="Y139" s="19" t="str">
        <x:f>IFERROR(TODAY()-DATEVALUE(C139),"")</x:f>
      </x:c>
      <x:c r="Z139" s="21" t="n">
        <x:f>ROUND(COUNTA(A139:K139)/11*100,0)</x:f>
        <x:v>100</x:v>
      </x:c>
      <x:c r="AA139" s="18" t="str">
        <x:v>International Court of Justice</x:v>
      </x:c>
      <x:c r="AB139" s="22" t="str">
        <x:v>https://api.icj-cij.org/case/47</x:v>
      </x:c>
      <x:c r="AC139" s="18" t="str"/>
      <x:c r="AD139" s="18" t="n">
        <x:v>46275.42531791667</x:v>
      </x:c>
      <x:c r="AE139" s="18" t="str">
        <x:v>independent_public</x:v>
      </x:c>
      <x:c r="AF139" s="18" t="str">
        <x:v>PARTIAL_NO_DATE</x:v>
      </x:c>
    </x:row>
    <x:row r="140">
      <x:c r="A140" s="18" t="str">
        <x:v>NYT-45-6c60d2c87a503436</x:v>
      </x:c>
      <x:c r="B140" s="18" t="str">
        <x:v>Northern Cameroons (Cameroon v. United Kingdom)</x:v>
      </x:c>
      <x:c r="C140" s="18" t="str"/>
      <x:c r="D140" s="18" t="str"/>
      <x:c r="E140" s="18" t="str"/>
      <x:c r="F140" s="18" t="str"/>
      <x:c r="G140" s="18" t="str"/>
      <x:c r="H140" s="18" t="str"/>
      <x:c r="I140" s="18" t="str">
        <x:v>International Court of Justice</x:v>
      </x:c>
      <x:c r="J140" s="20" t="str"/>
      <x:c r="K140" s="18" t="str"/>
      <x:c r="L140" s="18" t="str">
        <x:v>International Court of Justice</x:v>
      </x:c>
      <x:c r="M140" s="18" t="str">
        <x:v>Northern Cameroons (Cameroon v. United Kingdom)</x:v>
      </x:c>
      <x:c r="N140" s="18" t="str"/>
      <x:c r="O140" s="18" t="str"/>
      <x:c r="P140" s="18" t="str"/>
      <x:c r="Q140" s="18" t="str">
        <x:v>48</x:v>
      </x:c>
      <x:c r="R140" s="18" t="str"/>
      <x:c r="S140" s="18" t="str"/>
      <x:c r="T140" s="18" t="str">
        <x:v>COMPLETE_FINITE_SNAPSHOT</x:v>
      </x:c>
      <x:c r="U140" s="18" t="str">
        <x:v>Complete ICJ General List on official all-cases page</x:v>
      </x:c>
      <x:c r="V140" s="18" t="str"/>
      <x:c r="W140" s="18" t="str"/>
      <x:c r="X140" s="20" t="n">
        <x:v>192</x:v>
      </x:c>
      <x:c r="Y140" s="19" t="str">
        <x:f>IFERROR(TODAY()-DATEVALUE(C140),"")</x:f>
      </x:c>
      <x:c r="Z140" s="21" t="n">
        <x:f>ROUND(COUNTA(A140:K140)/11*100,0)</x:f>
        <x:v>100</x:v>
      </x:c>
      <x:c r="AA140" s="18" t="str">
        <x:v>International Court of Justice</x:v>
      </x:c>
      <x:c r="AB140" s="22" t="str">
        <x:v>https://api.icj-cij.org/case/48</x:v>
      </x:c>
      <x:c r="AC140" s="18" t="str"/>
      <x:c r="AD140" s="18" t="n">
        <x:v>46275.42531791667</x:v>
      </x:c>
      <x:c r="AE140" s="18" t="str">
        <x:v>independent_public</x:v>
      </x:c>
      <x:c r="AF140" s="18" t="str">
        <x:v>PARTIAL_NO_DATE</x:v>
      </x:c>
    </x:row>
    <x:row r="141">
      <x:c r="A141" s="18" t="str">
        <x:v>NYT-45-c150edbe37faed1b</x:v>
      </x:c>
      <x:c r="B141" s="18" t="str">
        <x:v>Temple of Preah Vihear (Cambodia v. Thailand)</x:v>
      </x:c>
      <x:c r="C141" s="18" t="str"/>
      <x:c r="D141" s="18" t="str"/>
      <x:c r="E141" s="18" t="str"/>
      <x:c r="F141" s="18" t="str"/>
      <x:c r="G141" s="18" t="str"/>
      <x:c r="H141" s="18" t="str"/>
      <x:c r="I141" s="18" t="str">
        <x:v>International Court of Justice</x:v>
      </x:c>
      <x:c r="J141" s="20" t="str"/>
      <x:c r="K141" s="18" t="str"/>
      <x:c r="L141" s="18" t="str">
        <x:v>International Court of Justice</x:v>
      </x:c>
      <x:c r="M141" s="18" t="str">
        <x:v>Temple of Preah Vihear (Cambodia v. Thailand)</x:v>
      </x:c>
      <x:c r="N141" s="18" t="str"/>
      <x:c r="O141" s="18" t="str"/>
      <x:c r="P141" s="18" t="str"/>
      <x:c r="Q141" s="18" t="str">
        <x:v>45</x:v>
      </x:c>
      <x:c r="R141" s="18" t="str"/>
      <x:c r="S141" s="18" t="str"/>
      <x:c r="T141" s="18" t="str">
        <x:v>COMPLETE_FINITE_SNAPSHOT</x:v>
      </x:c>
      <x:c r="U141" s="18" t="str">
        <x:v>Complete ICJ General List on official all-cases page</x:v>
      </x:c>
      <x:c r="V141" s="18" t="str"/>
      <x:c r="W141" s="18" t="str"/>
      <x:c r="X141" s="20" t="n">
        <x:v>192</x:v>
      </x:c>
      <x:c r="Y141" s="19" t="str">
        <x:f>IFERROR(TODAY()-DATEVALUE(C141),"")</x:f>
      </x:c>
      <x:c r="Z141" s="21" t="n">
        <x:f>ROUND(COUNTA(A141:K141)/11*100,0)</x:f>
        <x:v>100</x:v>
      </x:c>
      <x:c r="AA141" s="18" t="str">
        <x:v>International Court of Justice</x:v>
      </x:c>
      <x:c r="AB141" s="22" t="str">
        <x:v>https://api.icj-cij.org/case/45</x:v>
      </x:c>
      <x:c r="AC141" s="18" t="str"/>
      <x:c r="AD141" s="18" t="n">
        <x:v>46275.42531791667</x:v>
      </x:c>
      <x:c r="AE141" s="18" t="str">
        <x:v>independent_public</x:v>
      </x:c>
      <x:c r="AF141" s="18" t="str">
        <x:v>PARTIAL_NO_DATE</x:v>
      </x:c>
    </x:row>
    <x:row r="142">
      <x:c r="A142" s="18" t="str">
        <x:v>NYT-45-7e506a567c24abac</x:v>
      </x:c>
      <x:c r="B142" s="18" t="str">
        <x:v>Certain Expenses of the United Nations (Article 17, paragraph 2, of the Charter)</x:v>
      </x:c>
      <x:c r="C142" s="18" t="str"/>
      <x:c r="D142" s="18" t="str"/>
      <x:c r="E142" s="18" t="str"/>
      <x:c r="F142" s="18" t="str"/>
      <x:c r="G142" s="18" t="str"/>
      <x:c r="H142" s="18" t="str"/>
      <x:c r="I142" s="18" t="str">
        <x:v>International Court of Justice</x:v>
      </x:c>
      <x:c r="J142" s="20" t="str"/>
      <x:c r="K142" s="18" t="str"/>
      <x:c r="L142" s="18" t="str">
        <x:v>International Court of Justice</x:v>
      </x:c>
      <x:c r="M142" s="18" t="str">
        <x:v>Certain Expenses of the United Nations (Article 17, paragraph 2, of the Charter)</x:v>
      </x:c>
      <x:c r="N142" s="18" t="str"/>
      <x:c r="O142" s="18" t="str"/>
      <x:c r="P142" s="18" t="str"/>
      <x:c r="Q142" s="18" t="str">
        <x:v>49</x:v>
      </x:c>
      <x:c r="R142" s="18" t="str"/>
      <x:c r="S142" s="18" t="str"/>
      <x:c r="T142" s="18" t="str">
        <x:v>COMPLETE_FINITE_SNAPSHOT</x:v>
      </x:c>
      <x:c r="U142" s="18" t="str">
        <x:v>Complete ICJ General List on official all-cases page</x:v>
      </x:c>
      <x:c r="V142" s="18" t="str"/>
      <x:c r="W142" s="18" t="str"/>
      <x:c r="X142" s="20" t="n">
        <x:v>192</x:v>
      </x:c>
      <x:c r="Y142" s="19" t="str">
        <x:f>IFERROR(TODAY()-DATEVALUE(C142),"")</x:f>
      </x:c>
      <x:c r="Z142" s="21" t="n">
        <x:f>ROUND(COUNTA(A142:K142)/11*100,0)</x:f>
        <x:v>100</x:v>
      </x:c>
      <x:c r="AA142" s="18" t="str">
        <x:v>International Court of Justice</x:v>
      </x:c>
      <x:c r="AB142" s="22" t="str">
        <x:v>https://api.icj-cij.org/case/49</x:v>
      </x:c>
      <x:c r="AC142" s="18" t="str"/>
      <x:c r="AD142" s="18" t="n">
        <x:v>46275.42531791667</x:v>
      </x:c>
      <x:c r="AE142" s="18" t="str">
        <x:v>independent_public</x:v>
      </x:c>
      <x:c r="AF142" s="18" t="str">
        <x:v>PARTIAL_NO_DATE</x:v>
      </x:c>
    </x:row>
    <x:row r="143">
      <x:c r="A143" s="18" t="str">
        <x:v>NYT-45-1ba8b262b1d1d825</x:v>
      </x:c>
      <x:c r="B143" s="18" t="str">
        <x:v>Barcelona Traction, Light and Power Company, Limited (Belgium v. Spain)</x:v>
      </x:c>
      <x:c r="C143" s="18" t="str"/>
      <x:c r="D143" s="18" t="str"/>
      <x:c r="E143" s="18" t="str"/>
      <x:c r="F143" s="18" t="str"/>
      <x:c r="G143" s="18" t="str"/>
      <x:c r="H143" s="18" t="str"/>
      <x:c r="I143" s="18" t="str">
        <x:v>International Court of Justice</x:v>
      </x:c>
      <x:c r="J143" s="20" t="str"/>
      <x:c r="K143" s="18" t="str"/>
      <x:c r="L143" s="18" t="str">
        <x:v>International Court of Justice</x:v>
      </x:c>
      <x:c r="M143" s="18" t="str">
        <x:v>Barcelona Traction, Light and Power Company, Limited (Belgium v. Spain)</x:v>
      </x:c>
      <x:c r="N143" s="18" t="str"/>
      <x:c r="O143" s="18" t="str"/>
      <x:c r="P143" s="18" t="str"/>
      <x:c r="Q143" s="18" t="str">
        <x:v>41</x:v>
      </x:c>
      <x:c r="R143" s="18" t="str"/>
      <x:c r="S143" s="18" t="str"/>
      <x:c r="T143" s="18" t="str">
        <x:v>COMPLETE_FINITE_SNAPSHOT</x:v>
      </x:c>
      <x:c r="U143" s="18" t="str">
        <x:v>Complete ICJ General List on official all-cases page</x:v>
      </x:c>
      <x:c r="V143" s="18" t="str"/>
      <x:c r="W143" s="18" t="str"/>
      <x:c r="X143" s="20" t="n">
        <x:v>192</x:v>
      </x:c>
      <x:c r="Y143" s="19" t="str">
        <x:f>IFERROR(TODAY()-DATEVALUE(C143),"")</x:f>
      </x:c>
      <x:c r="Z143" s="21" t="n">
        <x:f>ROUND(COUNTA(A143:K143)/11*100,0)</x:f>
        <x:v>100</x:v>
      </x:c>
      <x:c r="AA143" s="18" t="str">
        <x:v>International Court of Justice</x:v>
      </x:c>
      <x:c r="AB143" s="22" t="str">
        <x:v>https://api.icj-cij.org/case/41</x:v>
      </x:c>
      <x:c r="AC143" s="18" t="str"/>
      <x:c r="AD143" s="18" t="n">
        <x:v>46275.42531791667</x:v>
      </x:c>
      <x:c r="AE143" s="18" t="str">
        <x:v>independent_public</x:v>
      </x:c>
      <x:c r="AF143" s="18" t="str">
        <x:v>PARTIAL_NO_DATE</x:v>
      </x:c>
    </x:row>
    <x:row r="144">
      <x:c r="A144" s="18" t="str">
        <x:v>NYT-45-cfe24d38793ac37f</x:v>
      </x:c>
      <x:c r="B144" s="18" t="str">
        <x:v>Aerial Incident of 27 July 1955 (United States of America v. Bulgaria)</x:v>
      </x:c>
      <x:c r="C144" s="18" t="str"/>
      <x:c r="D144" s="18" t="str"/>
      <x:c r="E144" s="18" t="str"/>
      <x:c r="F144" s="18" t="str"/>
      <x:c r="G144" s="18" t="str"/>
      <x:c r="H144" s="18" t="str"/>
      <x:c r="I144" s="18" t="str">
        <x:v>International Court of Justice</x:v>
      </x:c>
      <x:c r="J144" s="20" t="str"/>
      <x:c r="K144" s="18" t="str"/>
      <x:c r="L144" s="18" t="str">
        <x:v>International Court of Justice</x:v>
      </x:c>
      <x:c r="M144" s="18" t="str">
        <x:v>Aerial Incident of 27 July 1955 (United States of America v. Bulgaria)</x:v>
      </x:c>
      <x:c r="N144" s="18" t="str"/>
      <x:c r="O144" s="18" t="str"/>
      <x:c r="P144" s="18" t="str"/>
      <x:c r="Q144" s="18" t="str">
        <x:v>36</x:v>
      </x:c>
      <x:c r="R144" s="18" t="str"/>
      <x:c r="S144" s="18" t="str"/>
      <x:c r="T144" s="18" t="str">
        <x:v>COMPLETE_FINITE_SNAPSHOT</x:v>
      </x:c>
      <x:c r="U144" s="18" t="str">
        <x:v>Complete ICJ General List on official all-cases page</x:v>
      </x:c>
      <x:c r="V144" s="18" t="str"/>
      <x:c r="W144" s="18" t="str"/>
      <x:c r="X144" s="20" t="n">
        <x:v>192</x:v>
      </x:c>
      <x:c r="Y144" s="19" t="str">
        <x:f>IFERROR(TODAY()-DATEVALUE(C144),"")</x:f>
      </x:c>
      <x:c r="Z144" s="21" t="n">
        <x:f>ROUND(COUNTA(A144:K144)/11*100,0)</x:f>
        <x:v>100</x:v>
      </x:c>
      <x:c r="AA144" s="18" t="str">
        <x:v>International Court of Justice</x:v>
      </x:c>
      <x:c r="AB144" s="22" t="str">
        <x:v>https://api.icj-cij.org/case/36</x:v>
      </x:c>
      <x:c r="AC144" s="18" t="str"/>
      <x:c r="AD144" s="18" t="n">
        <x:v>46275.42531791667</x:v>
      </x:c>
      <x:c r="AE144" s="18" t="str">
        <x:v>independent_public</x:v>
      </x:c>
      <x:c r="AF144" s="18" t="str">
        <x:v>PARTIAL_NO_DATE</x:v>
      </x:c>
    </x:row>
    <x:row r="145">
      <x:c r="A145" s="18" t="str">
        <x:v>NYT-45-699cfa85441ab4f0</x:v>
      </x:c>
      <x:c r="B145" s="18" t="str">
        <x:v>Right of Passage over Indian Territory (Portugal v. India)</x:v>
      </x:c>
      <x:c r="C145" s="18" t="str"/>
      <x:c r="D145" s="18" t="str"/>
      <x:c r="E145" s="18" t="str"/>
      <x:c r="F145" s="18" t="str"/>
      <x:c r="G145" s="18" t="str"/>
      <x:c r="H145" s="18" t="str"/>
      <x:c r="I145" s="18" t="str">
        <x:v>International Court of Justice</x:v>
      </x:c>
      <x:c r="J145" s="20" t="str"/>
      <x:c r="K145" s="18" t="str"/>
      <x:c r="L145" s="18" t="str">
        <x:v>International Court of Justice</x:v>
      </x:c>
      <x:c r="M145" s="18" t="str">
        <x:v>Right of Passage over Indian Territory (Portugal v. India)</x:v>
      </x:c>
      <x:c r="N145" s="18" t="str"/>
      <x:c r="O145" s="18" t="str"/>
      <x:c r="P145" s="18" t="str"/>
      <x:c r="Q145" s="18" t="str">
        <x:v>32</x:v>
      </x:c>
      <x:c r="R145" s="18" t="str"/>
      <x:c r="S145" s="18" t="str"/>
      <x:c r="T145" s="18" t="str">
        <x:v>COMPLETE_FINITE_SNAPSHOT</x:v>
      </x:c>
      <x:c r="U145" s="18" t="str">
        <x:v>Complete ICJ General List on official all-cases page</x:v>
      </x:c>
      <x:c r="V145" s="18" t="str"/>
      <x:c r="W145" s="18" t="str"/>
      <x:c r="X145" s="20" t="n">
        <x:v>192</x:v>
      </x:c>
      <x:c r="Y145" s="19" t="str">
        <x:f>IFERROR(TODAY()-DATEVALUE(C145),"")</x:f>
      </x:c>
      <x:c r="Z145" s="21" t="n">
        <x:f>ROUND(COUNTA(A145:K145)/11*100,0)</x:f>
        <x:v>100</x:v>
      </x:c>
      <x:c r="AA145" s="18" t="str">
        <x:v>International Court of Justice</x:v>
      </x:c>
      <x:c r="AB145" s="22" t="str">
        <x:v>https://api.icj-cij.org/case/32</x:v>
      </x:c>
      <x:c r="AC145" s="18" t="str"/>
      <x:c r="AD145" s="18" t="n">
        <x:v>46275.42531791667</x:v>
      </x:c>
      <x:c r="AE145" s="18" t="str">
        <x:v>independent_public</x:v>
      </x:c>
      <x:c r="AF145" s="18" t="str">
        <x:v>PARTIAL_NO_DATE</x:v>
      </x:c>
    </x:row>
    <x:row r="146">
      <x:c r="A146" s="18" t="str">
        <x:v>NYT-45-6478cb458e240871</x:v>
      </x:c>
      <x:c r="B146" s="18" t="str">
        <x:v>Arbitral Award Made by the King of Spain on 23 December 1906 (Honduras v. Nicaragua)</x:v>
      </x:c>
      <x:c r="C146" s="18" t="str"/>
      <x:c r="D146" s="18" t="str"/>
      <x:c r="E146" s="18" t="str"/>
      <x:c r="F146" s="18" t="str"/>
      <x:c r="G146" s="18" t="str"/>
      <x:c r="H146" s="18" t="str"/>
      <x:c r="I146" s="18" t="str">
        <x:v>International Court of Justice</x:v>
      </x:c>
      <x:c r="J146" s="20" t="str"/>
      <x:c r="K146" s="18" t="str"/>
      <x:c r="L146" s="18" t="str">
        <x:v>International Court of Justice</x:v>
      </x:c>
      <x:c r="M146" s="18" t="str">
        <x:v>Arbitral Award Made by the King of Spain on 23 December 1906 (Honduras v. Nicaragua)</x:v>
      </x:c>
      <x:c r="N146" s="18" t="str"/>
      <x:c r="O146" s="18" t="str"/>
      <x:c r="P146" s="18" t="str"/>
      <x:c r="Q146" s="18" t="str">
        <x:v>39</x:v>
      </x:c>
      <x:c r="R146" s="18" t="str"/>
      <x:c r="S146" s="18" t="str"/>
      <x:c r="T146" s="18" t="str">
        <x:v>COMPLETE_FINITE_SNAPSHOT</x:v>
      </x:c>
      <x:c r="U146" s="18" t="str">
        <x:v>Complete ICJ General List on official all-cases page</x:v>
      </x:c>
      <x:c r="V146" s="18" t="str"/>
      <x:c r="W146" s="18" t="str"/>
      <x:c r="X146" s="20" t="n">
        <x:v>192</x:v>
      </x:c>
      <x:c r="Y146" s="19" t="str">
        <x:f>IFERROR(TODAY()-DATEVALUE(C146),"")</x:f>
      </x:c>
      <x:c r="Z146" s="21" t="n">
        <x:f>ROUND(COUNTA(A146:K146)/11*100,0)</x:f>
        <x:v>100</x:v>
      </x:c>
      <x:c r="AA146" s="18" t="str">
        <x:v>International Court of Justice</x:v>
      </x:c>
      <x:c r="AB146" s="22" t="str">
        <x:v>https://api.icj-cij.org/case/39</x:v>
      </x:c>
      <x:c r="AC146" s="18" t="str"/>
      <x:c r="AD146" s="18" t="n">
        <x:v>46275.42531791667</x:v>
      </x:c>
      <x:c r="AE146" s="18" t="str">
        <x:v>independent_public</x:v>
      </x:c>
      <x:c r="AF146" s="18" t="str">
        <x:v>PARTIAL_NO_DATE</x:v>
      </x:c>
    </x:row>
    <x:row r="147">
      <x:c r="A147" s="18" t="str">
        <x:v>NYT-45-768b7f21ad048b4b</x:v>
      </x:c>
      <x:c r="B147" s="18" t="str">
        <x:v>Compagnie du Port, des Quais et des Entrepôts de Beyrouth and Société Radio-Orient (France v. Lebanon)</x:v>
      </x:c>
      <x:c r="C147" s="18" t="str"/>
      <x:c r="D147" s="18" t="str"/>
      <x:c r="E147" s="18" t="str"/>
      <x:c r="F147" s="18" t="str"/>
      <x:c r="G147" s="18" t="str"/>
      <x:c r="H147" s="18" t="str"/>
      <x:c r="I147" s="18" t="str">
        <x:v>International Court of Justice</x:v>
      </x:c>
      <x:c r="J147" s="20" t="str"/>
      <x:c r="K147" s="18" t="str"/>
      <x:c r="L147" s="18" t="str">
        <x:v>International Court of Justice</x:v>
      </x:c>
      <x:c r="M147" s="18" t="str">
        <x:v>Compagnie du Port, des Quais et des Entrepôts de Beyrouth and Société Radio-Orient (France v. Lebanon)</x:v>
      </x:c>
      <x:c r="N147" s="18" t="str"/>
      <x:c r="O147" s="18" t="str"/>
      <x:c r="P147" s="18" t="str"/>
      <x:c r="Q147" s="18" t="str">
        <x:v>42</x:v>
      </x:c>
      <x:c r="R147" s="18" t="str"/>
      <x:c r="S147" s="18" t="str"/>
      <x:c r="T147" s="18" t="str">
        <x:v>COMPLETE_FINITE_SNAPSHOT</x:v>
      </x:c>
      <x:c r="U147" s="18" t="str">
        <x:v>Complete ICJ General List on official all-cases page</x:v>
      </x:c>
      <x:c r="V147" s="18" t="str"/>
      <x:c r="W147" s="18" t="str"/>
      <x:c r="X147" s="20" t="n">
        <x:v>192</x:v>
      </x:c>
      <x:c r="Y147" s="19" t="str">
        <x:f>IFERROR(TODAY()-DATEVALUE(C147),"")</x:f>
      </x:c>
      <x:c r="Z147" s="21" t="n">
        <x:f>ROUND(COUNTA(A147:K147)/11*100,0)</x:f>
        <x:v>100</x:v>
      </x:c>
      <x:c r="AA147" s="18" t="str">
        <x:v>International Court of Justice</x:v>
      </x:c>
      <x:c r="AB147" s="22" t="str">
        <x:v>https://api.icj-cij.org/case/42</x:v>
      </x:c>
      <x:c r="AC147" s="18" t="str"/>
      <x:c r="AD147" s="18" t="n">
        <x:v>46275.42531791667</x:v>
      </x:c>
      <x:c r="AE147" s="18" t="str">
        <x:v>independent_public</x:v>
      </x:c>
      <x:c r="AF147" s="18" t="str">
        <x:v>PARTIAL_NO_DATE</x:v>
      </x:c>
    </x:row>
    <x:row r="148">
      <x:c r="A148" s="18" t="str">
        <x:v>NYT-45-c74639d93b7ac404</x:v>
      </x:c>
      <x:c r="B148" s="18" t="str">
        <x:v>Constitution of the Maritime Safety Committee of the Inter-Governmental Maritime Consultative Organization</x:v>
      </x:c>
      <x:c r="C148" s="18" t="str"/>
      <x:c r="D148" s="18" t="str"/>
      <x:c r="E148" s="18" t="str"/>
      <x:c r="F148" s="18" t="str"/>
      <x:c r="G148" s="18" t="str"/>
      <x:c r="H148" s="18" t="str"/>
      <x:c r="I148" s="18" t="str">
        <x:v>International Court of Justice</x:v>
      </x:c>
      <x:c r="J148" s="20" t="str"/>
      <x:c r="K148" s="18" t="str"/>
      <x:c r="L148" s="18" t="str">
        <x:v>International Court of Justice</x:v>
      </x:c>
      <x:c r="M148" s="18" t="str">
        <x:v>Constitution of the Maritime Safety Committee of the Inter-Governmental Maritime Consultative Organization</x:v>
      </x:c>
      <x:c r="N148" s="18" t="str"/>
      <x:c r="O148" s="18" t="str"/>
      <x:c r="P148" s="18" t="str"/>
      <x:c r="Q148" s="18" t="str">
        <x:v>43</x:v>
      </x:c>
      <x:c r="R148" s="18" t="str"/>
      <x:c r="S148" s="18" t="str"/>
      <x:c r="T148" s="18" t="str">
        <x:v>COMPLETE_FINITE_SNAPSHOT</x:v>
      </x:c>
      <x:c r="U148" s="18" t="str">
        <x:v>Complete ICJ General List on official all-cases page</x:v>
      </x:c>
      <x:c r="V148" s="18" t="str"/>
      <x:c r="W148" s="18" t="str"/>
      <x:c r="X148" s="20" t="n">
        <x:v>192</x:v>
      </x:c>
      <x:c r="Y148" s="19" t="str">
        <x:f>IFERROR(TODAY()-DATEVALUE(C148),"")</x:f>
      </x:c>
      <x:c r="Z148" s="21" t="n">
        <x:f>ROUND(COUNTA(A148:K148)/11*100,0)</x:f>
        <x:v>100</x:v>
      </x:c>
      <x:c r="AA148" s="18" t="str">
        <x:v>International Court of Justice</x:v>
      </x:c>
      <x:c r="AB148" s="22" t="str">
        <x:v>https://api.icj-cij.org/case/43</x:v>
      </x:c>
      <x:c r="AC148" s="18" t="str"/>
      <x:c r="AD148" s="18" t="n">
        <x:v>46275.42531791667</x:v>
      </x:c>
      <x:c r="AE148" s="18" t="str">
        <x:v>independent_public</x:v>
      </x:c>
      <x:c r="AF148" s="18" t="str">
        <x:v>PARTIAL_NO_DATE</x:v>
      </x:c>
    </x:row>
    <x:row r="149">
      <x:c r="A149" s="18" t="str">
        <x:v>NYT-45-dbeba9184a871339</x:v>
      </x:c>
      <x:c r="B149" s="18" t="str">
        <x:v>Sovereignty over Certain Frontier Land (Belgium/Netherlands)</x:v>
      </x:c>
      <x:c r="C149" s="18" t="str"/>
      <x:c r="D149" s="18" t="str"/>
      <x:c r="E149" s="18" t="str"/>
      <x:c r="F149" s="18" t="str"/>
      <x:c r="G149" s="18" t="str"/>
      <x:c r="H149" s="18" t="str"/>
      <x:c r="I149" s="18" t="str">
        <x:v>International Court of Justice</x:v>
      </x:c>
      <x:c r="J149" s="20" t="str"/>
      <x:c r="K149" s="18" t="str"/>
      <x:c r="L149" s="18" t="str">
        <x:v>International Court of Justice</x:v>
      </x:c>
      <x:c r="M149" s="18" t="str">
        <x:v>Sovereignty over Certain Frontier Land (Belgium/Netherlands)</x:v>
      </x:c>
      <x:c r="N149" s="18" t="str"/>
      <x:c r="O149" s="18" t="str"/>
      <x:c r="P149" s="18" t="str"/>
      <x:c r="Q149" s="18" t="str">
        <x:v>38</x:v>
      </x:c>
      <x:c r="R149" s="18" t="str"/>
      <x:c r="S149" s="18" t="str"/>
      <x:c r="T149" s="18" t="str">
        <x:v>COMPLETE_FINITE_SNAPSHOT</x:v>
      </x:c>
      <x:c r="U149" s="18" t="str">
        <x:v>Complete ICJ General List on official all-cases page</x:v>
      </x:c>
      <x:c r="V149" s="18" t="str"/>
      <x:c r="W149" s="18" t="str"/>
      <x:c r="X149" s="20" t="n">
        <x:v>192</x:v>
      </x:c>
      <x:c r="Y149" s="19" t="str">
        <x:f>IFERROR(TODAY()-DATEVALUE(C149),"")</x:f>
      </x:c>
      <x:c r="Z149" s="21" t="n">
        <x:f>ROUND(COUNTA(A149:K149)/11*100,0)</x:f>
        <x:v>100</x:v>
      </x:c>
      <x:c r="AA149" s="18" t="str">
        <x:v>International Court of Justice</x:v>
      </x:c>
      <x:c r="AB149" s="22" t="str">
        <x:v>https://api.icj-cij.org/case/38</x:v>
      </x:c>
      <x:c r="AC149" s="18" t="str"/>
      <x:c r="AD149" s="18" t="n">
        <x:v>46275.42531791667</x:v>
      </x:c>
      <x:c r="AE149" s="18" t="str">
        <x:v>independent_public</x:v>
      </x:c>
      <x:c r="AF149" s="18" t="str">
        <x:v>PARTIAL_NO_DATE</x:v>
      </x:c>
    </x:row>
    <x:row r="150">
      <x:c r="A150" s="18" t="str">
        <x:v>NYT-45-afb734fd41153a76</x:v>
      </x:c>
      <x:c r="B150" s="18" t="str">
        <x:v>Aerial Incident of 27 July 1955 (Israel v. Bulgaria)</x:v>
      </x:c>
      <x:c r="C150" s="18" t="str"/>
      <x:c r="D150" s="18" t="str"/>
      <x:c r="E150" s="18" t="str"/>
      <x:c r="F150" s="18" t="str"/>
      <x:c r="G150" s="18" t="str"/>
      <x:c r="H150" s="18" t="str"/>
      <x:c r="I150" s="18" t="str">
        <x:v>International Court of Justice</x:v>
      </x:c>
      <x:c r="J150" s="20" t="str"/>
      <x:c r="K150" s="18" t="str"/>
      <x:c r="L150" s="18" t="str">
        <x:v>International Court of Justice</x:v>
      </x:c>
      <x:c r="M150" s="18" t="str">
        <x:v>Aerial Incident of 27 July 1955 (Israel v. Bulgaria)</x:v>
      </x:c>
      <x:c r="N150" s="18" t="str"/>
      <x:c r="O150" s="18" t="str"/>
      <x:c r="P150" s="18" t="str"/>
      <x:c r="Q150" s="18" t="str">
        <x:v>35</x:v>
      </x:c>
      <x:c r="R150" s="18" t="str"/>
      <x:c r="S150" s="18" t="str"/>
      <x:c r="T150" s="18" t="str">
        <x:v>COMPLETE_FINITE_SNAPSHOT</x:v>
      </x:c>
      <x:c r="U150" s="18" t="str">
        <x:v>Complete ICJ General List on official all-cases page</x:v>
      </x:c>
      <x:c r="V150" s="18" t="str"/>
      <x:c r="W150" s="18" t="str"/>
      <x:c r="X150" s="20" t="n">
        <x:v>192</x:v>
      </x:c>
      <x:c r="Y150" s="19" t="str">
        <x:f>IFERROR(TODAY()-DATEVALUE(C150),"")</x:f>
      </x:c>
      <x:c r="Z150" s="21" t="n">
        <x:f>ROUND(COUNTA(A150:K150)/11*100,0)</x:f>
        <x:v>100</x:v>
      </x:c>
      <x:c r="AA150" s="18" t="str">
        <x:v>International Court of Justice</x:v>
      </x:c>
      <x:c r="AB150" s="22" t="str">
        <x:v>https://api.icj-cij.org/case/35</x:v>
      </x:c>
      <x:c r="AC150" s="18" t="str"/>
      <x:c r="AD150" s="18" t="n">
        <x:v>46275.42531791667</x:v>
      </x:c>
      <x:c r="AE150" s="18" t="str">
        <x:v>independent_public</x:v>
      </x:c>
      <x:c r="AF150" s="18" t="str">
        <x:v>PARTIAL_NO_DATE</x:v>
      </x:c>
    </x:row>
    <x:row r="151">
      <x:c r="A151" s="18" t="str">
        <x:v>NYT-45-73a61a3ca7d71327</x:v>
      </x:c>
      <x:c r="B151" s="18" t="str">
        <x:v>Aerial Incident of 27 July 1955 (United Kingdom v. Bulgaria)</x:v>
      </x:c>
      <x:c r="C151" s="18" t="str"/>
      <x:c r="D151" s="18" t="str"/>
      <x:c r="E151" s="18" t="str"/>
      <x:c r="F151" s="18" t="str"/>
      <x:c r="G151" s="18" t="str"/>
      <x:c r="H151" s="18" t="str"/>
      <x:c r="I151" s="18" t="str">
        <x:v>International Court of Justice</x:v>
      </x:c>
      <x:c r="J151" s="20" t="str"/>
      <x:c r="K151" s="18" t="str"/>
      <x:c r="L151" s="18" t="str">
        <x:v>International Court of Justice</x:v>
      </x:c>
      <x:c r="M151" s="18" t="str">
        <x:v>Aerial Incident of 27 July 1955 (United Kingdom v. Bulgaria)</x:v>
      </x:c>
      <x:c r="N151" s="18" t="str"/>
      <x:c r="O151" s="18" t="str"/>
      <x:c r="P151" s="18" t="str"/>
      <x:c r="Q151" s="18" t="str">
        <x:v>37</x:v>
      </x:c>
      <x:c r="R151" s="18" t="str"/>
      <x:c r="S151" s="18" t="str"/>
      <x:c r="T151" s="18" t="str">
        <x:v>COMPLETE_FINITE_SNAPSHOT</x:v>
      </x:c>
      <x:c r="U151" s="18" t="str">
        <x:v>Complete ICJ General List on official all-cases page</x:v>
      </x:c>
      <x:c r="V151" s="18" t="str"/>
      <x:c r="W151" s="18" t="str"/>
      <x:c r="X151" s="20" t="n">
        <x:v>192</x:v>
      </x:c>
      <x:c r="Y151" s="19" t="str">
        <x:f>IFERROR(TODAY()-DATEVALUE(C151),"")</x:f>
      </x:c>
      <x:c r="Z151" s="21" t="n">
        <x:f>ROUND(COUNTA(A151:K151)/11*100,0)</x:f>
        <x:v>100</x:v>
      </x:c>
      <x:c r="AA151" s="18" t="str">
        <x:v>International Court of Justice</x:v>
      </x:c>
      <x:c r="AB151" s="22" t="str">
        <x:v>https://api.icj-cij.org/case/37</x:v>
      </x:c>
      <x:c r="AC151" s="18" t="str"/>
      <x:c r="AD151" s="18" t="n">
        <x:v>46275.42531791667</x:v>
      </x:c>
      <x:c r="AE151" s="18" t="str">
        <x:v>independent_public</x:v>
      </x:c>
      <x:c r="AF151" s="18" t="str">
        <x:v>PARTIAL_NO_DATE</x:v>
      </x:c>
    </x:row>
    <x:row r="152">
      <x:c r="A152" s="18" t="str">
        <x:v>NYT-45-bb4695521b9695cb</x:v>
      </x:c>
      <x:c r="B152" s="18" t="str">
        <x:v>Interhandel (Switzerland v. United States of America)</x:v>
      </x:c>
      <x:c r="C152" s="18" t="str"/>
      <x:c r="D152" s="18" t="str"/>
      <x:c r="E152" s="18" t="str"/>
      <x:c r="F152" s="18" t="str"/>
      <x:c r="G152" s="18" t="str"/>
      <x:c r="H152" s="18" t="str"/>
      <x:c r="I152" s="18" t="str">
        <x:v>International Court of Justice</x:v>
      </x:c>
      <x:c r="J152" s="20" t="str"/>
      <x:c r="K152" s="18" t="str"/>
      <x:c r="L152" s="18" t="str">
        <x:v>International Court of Justice</x:v>
      </x:c>
      <x:c r="M152" s="18" t="str">
        <x:v>Interhandel (Switzerland v. United States of America)</x:v>
      </x:c>
      <x:c r="N152" s="18" t="str"/>
      <x:c r="O152" s="18" t="str"/>
      <x:c r="P152" s="18" t="str"/>
      <x:c r="Q152" s="18" t="str">
        <x:v>34</x:v>
      </x:c>
      <x:c r="R152" s="18" t="str"/>
      <x:c r="S152" s="18" t="str"/>
      <x:c r="T152" s="18" t="str">
        <x:v>COMPLETE_FINITE_SNAPSHOT</x:v>
      </x:c>
      <x:c r="U152" s="18" t="str">
        <x:v>Complete ICJ General List on official all-cases page</x:v>
      </x:c>
      <x:c r="V152" s="18" t="str"/>
      <x:c r="W152" s="18" t="str"/>
      <x:c r="X152" s="20" t="n">
        <x:v>192</x:v>
      </x:c>
      <x:c r="Y152" s="19" t="str">
        <x:f>IFERROR(TODAY()-DATEVALUE(C152),"")</x:f>
      </x:c>
      <x:c r="Z152" s="21" t="n">
        <x:f>ROUND(COUNTA(A152:K152)/11*100,0)</x:f>
        <x:v>100</x:v>
      </x:c>
      <x:c r="AA152" s="18" t="str">
        <x:v>International Court of Justice</x:v>
      </x:c>
      <x:c r="AB152" s="22" t="str">
        <x:v>https://api.icj-cij.org/case/34</x:v>
      </x:c>
      <x:c r="AC152" s="18" t="str"/>
      <x:c r="AD152" s="18" t="n">
        <x:v>46275.42531791667</x:v>
      </x:c>
      <x:c r="AE152" s="18" t="str">
        <x:v>independent_public</x:v>
      </x:c>
      <x:c r="AF152" s="18" t="str">
        <x:v>PARTIAL_NO_DATE</x:v>
      </x:c>
    </x:row>
    <x:row r="153">
      <x:c r="A153" s="18" t="str">
        <x:v>NYT-45-d824ee36a28ada4f</x:v>
      </x:c>
      <x:c r="B153" s="18" t="str">
        <x:v>Aerial Incident of 7 November 1954 (United States of America v. Union of Soviet Socialist Republics)</x:v>
      </x:c>
      <x:c r="C153" s="18" t="str"/>
      <x:c r="D153" s="18" t="str"/>
      <x:c r="E153" s="18" t="str"/>
      <x:c r="F153" s="18" t="str"/>
      <x:c r="G153" s="18" t="str"/>
      <x:c r="H153" s="18" t="str"/>
      <x:c r="I153" s="18" t="str">
        <x:v>International Court of Justice</x:v>
      </x:c>
      <x:c r="J153" s="20" t="str"/>
      <x:c r="K153" s="18" t="str"/>
      <x:c r="L153" s="18" t="str">
        <x:v>International Court of Justice</x:v>
      </x:c>
      <x:c r="M153" s="18" t="str">
        <x:v>Aerial Incident of 7 November 1954 (United States of America v. Union of Soviet Socialist Republics)</x:v>
      </x:c>
      <x:c r="N153" s="18" t="str"/>
      <x:c r="O153" s="18" t="str"/>
      <x:c r="P153" s="18" t="str"/>
      <x:c r="Q153" s="18" t="str">
        <x:v>44</x:v>
      </x:c>
      <x:c r="R153" s="18" t="str"/>
      <x:c r="S153" s="18" t="str"/>
      <x:c r="T153" s="18" t="str">
        <x:v>COMPLETE_FINITE_SNAPSHOT</x:v>
      </x:c>
      <x:c r="U153" s="18" t="str">
        <x:v>Complete ICJ General List on official all-cases page</x:v>
      </x:c>
      <x:c r="V153" s="18" t="str"/>
      <x:c r="W153" s="18" t="str"/>
      <x:c r="X153" s="20" t="n">
        <x:v>192</x:v>
      </x:c>
      <x:c r="Y153" s="19" t="str">
        <x:f>IFERROR(TODAY()-DATEVALUE(C153),"")</x:f>
      </x:c>
      <x:c r="Z153" s="21" t="n">
        <x:f>ROUND(COUNTA(A153:K153)/11*100,0)</x:f>
        <x:v>100</x:v>
      </x:c>
      <x:c r="AA153" s="18" t="str">
        <x:v>International Court of Justice</x:v>
      </x:c>
      <x:c r="AB153" s="22" t="str">
        <x:v>https://api.icj-cij.org/case/44</x:v>
      </x:c>
      <x:c r="AC153" s="18" t="str"/>
      <x:c r="AD153" s="18" t="n">
        <x:v>46275.42531791667</x:v>
      </x:c>
      <x:c r="AE153" s="18" t="str">
        <x:v>independent_public</x:v>
      </x:c>
      <x:c r="AF153" s="18" t="str">
        <x:v>PARTIAL_NO_DATE</x:v>
      </x:c>
    </x:row>
    <x:row r="154">
      <x:c r="A154" s="18" t="str">
        <x:v>NYT-45-7535b5e88d20366d</x:v>
      </x:c>
      <x:c r="B154" s="18" t="str">
        <x:v>Aerial Incident of 4 September 1954 (United States of America v. Union of Soviet Socialist Republics)</x:v>
      </x:c>
      <x:c r="C154" s="18" t="str"/>
      <x:c r="D154" s="18" t="str"/>
      <x:c r="E154" s="18" t="str"/>
      <x:c r="F154" s="18" t="str"/>
      <x:c r="G154" s="18" t="str"/>
      <x:c r="H154" s="18" t="str"/>
      <x:c r="I154" s="18" t="str">
        <x:v>International Court of Justice</x:v>
      </x:c>
      <x:c r="J154" s="20" t="str"/>
      <x:c r="K154" s="18" t="str"/>
      <x:c r="L154" s="18" t="str">
        <x:v>International Court of Justice</x:v>
      </x:c>
      <x:c r="M154" s="18" t="str">
        <x:v>Aerial Incident of 4 September 1954 (United States of America v. Union of Soviet Socialist Republics)</x:v>
      </x:c>
      <x:c r="N154" s="18" t="str"/>
      <x:c r="O154" s="18" t="str"/>
      <x:c r="P154" s="18" t="str"/>
      <x:c r="Q154" s="18" t="str">
        <x:v>40</x:v>
      </x:c>
      <x:c r="R154" s="18" t="str"/>
      <x:c r="S154" s="18" t="str"/>
      <x:c r="T154" s="18" t="str">
        <x:v>COMPLETE_FINITE_SNAPSHOT</x:v>
      </x:c>
      <x:c r="U154" s="18" t="str">
        <x:v>Complete ICJ General List on official all-cases page</x:v>
      </x:c>
      <x:c r="V154" s="18" t="str"/>
      <x:c r="W154" s="18" t="str"/>
      <x:c r="X154" s="20" t="n">
        <x:v>192</x:v>
      </x:c>
      <x:c r="Y154" s="19" t="str">
        <x:f>IFERROR(TODAY()-DATEVALUE(C154),"")</x:f>
      </x:c>
      <x:c r="Z154" s="21" t="n">
        <x:f>ROUND(COUNTA(A154:K154)/11*100,0)</x:f>
        <x:v>100</x:v>
      </x:c>
      <x:c r="AA154" s="18" t="str">
        <x:v>International Court of Justice</x:v>
      </x:c>
      <x:c r="AB154" s="22" t="str">
        <x:v>https://api.icj-cij.org/case/40</x:v>
      </x:c>
      <x:c r="AC154" s="18" t="str"/>
      <x:c r="AD154" s="18" t="n">
        <x:v>46275.42531791667</x:v>
      </x:c>
      <x:c r="AE154" s="18" t="str">
        <x:v>independent_public</x:v>
      </x:c>
      <x:c r="AF154" s="18" t="str">
        <x:v>PARTIAL_NO_DATE</x:v>
      </x:c>
    </x:row>
    <x:row r="155">
      <x:c r="A155" s="18" t="str">
        <x:v>NYT-45-f842a4b4091a0d04</x:v>
      </x:c>
      <x:c r="B155" s="18" t="str">
        <x:v>Application of the Convention of 1902 Governing the Guardianship of Infants (Netherlands v. Sweden)</x:v>
      </x:c>
      <x:c r="C155" s="18" t="str"/>
      <x:c r="D155" s="18" t="str"/>
      <x:c r="E155" s="18" t="str"/>
      <x:c r="F155" s="18" t="str"/>
      <x:c r="G155" s="18" t="str"/>
      <x:c r="H155" s="18" t="str"/>
      <x:c r="I155" s="18" t="str">
        <x:v>International Court of Justice</x:v>
      </x:c>
      <x:c r="J155" s="20" t="str"/>
      <x:c r="K155" s="18" t="str"/>
      <x:c r="L155" s="18" t="str">
        <x:v>International Court of Justice</x:v>
      </x:c>
      <x:c r="M155" s="18" t="str">
        <x:v>Application of the Convention of 1902 Governing the Guardianship of Infants (Netherlands v. Sweden)</x:v>
      </x:c>
      <x:c r="N155" s="18" t="str"/>
      <x:c r="O155" s="18" t="str"/>
      <x:c r="P155" s="18" t="str"/>
      <x:c r="Q155" s="18" t="str">
        <x:v>33</x:v>
      </x:c>
      <x:c r="R155" s="18" t="str"/>
      <x:c r="S155" s="18" t="str"/>
      <x:c r="T155" s="18" t="str">
        <x:v>COMPLETE_FINITE_SNAPSHOT</x:v>
      </x:c>
      <x:c r="U155" s="18" t="str">
        <x:v>Complete ICJ General List on official all-cases page</x:v>
      </x:c>
      <x:c r="V155" s="18" t="str"/>
      <x:c r="W155" s="18" t="str"/>
      <x:c r="X155" s="20" t="n">
        <x:v>192</x:v>
      </x:c>
      <x:c r="Y155" s="19" t="str">
        <x:f>IFERROR(TODAY()-DATEVALUE(C155),"")</x:f>
      </x:c>
      <x:c r="Z155" s="21" t="n">
        <x:f>ROUND(COUNTA(A155:K155)/11*100,0)</x:f>
        <x:v>100</x:v>
      </x:c>
      <x:c r="AA155" s="18" t="str">
        <x:v>International Court of Justice</x:v>
      </x:c>
      <x:c r="AB155" s="22" t="str">
        <x:v>https://api.icj-cij.org/case/33</x:v>
      </x:c>
      <x:c r="AC155" s="18" t="str"/>
      <x:c r="AD155" s="18" t="n">
        <x:v>46275.42531791667</x:v>
      </x:c>
      <x:c r="AE155" s="18" t="str">
        <x:v>independent_public</x:v>
      </x:c>
      <x:c r="AF155" s="18" t="str">
        <x:v>PARTIAL_NO_DATE</x:v>
      </x:c>
    </x:row>
    <x:row r="156">
      <x:c r="A156" s="18" t="str">
        <x:v>NYT-45-7ca6ccccba5592fc</x:v>
      </x:c>
      <x:c r="B156" s="18" t="str">
        <x:v>Certain Norwegian Loans (France v. Norway)</x:v>
      </x:c>
      <x:c r="C156" s="18" t="str"/>
      <x:c r="D156" s="18" t="str"/>
      <x:c r="E156" s="18" t="str"/>
      <x:c r="F156" s="18" t="str"/>
      <x:c r="G156" s="18" t="str"/>
      <x:c r="H156" s="18" t="str"/>
      <x:c r="I156" s="18" t="str">
        <x:v>International Court of Justice</x:v>
      </x:c>
      <x:c r="J156" s="20" t="str"/>
      <x:c r="K156" s="18" t="str"/>
      <x:c r="L156" s="18" t="str">
        <x:v>International Court of Justice</x:v>
      </x:c>
      <x:c r="M156" s="18" t="str">
        <x:v>Certain Norwegian Loans (France v. Norway)</x:v>
      </x:c>
      <x:c r="N156" s="18" t="str"/>
      <x:c r="O156" s="18" t="str"/>
      <x:c r="P156" s="18" t="str"/>
      <x:c r="Q156" s="18" t="str">
        <x:v>29</x:v>
      </x:c>
      <x:c r="R156" s="18" t="str"/>
      <x:c r="S156" s="18" t="str"/>
      <x:c r="T156" s="18" t="str">
        <x:v>COMPLETE_FINITE_SNAPSHOT</x:v>
      </x:c>
      <x:c r="U156" s="18" t="str">
        <x:v>Complete ICJ General List on official all-cases page</x:v>
      </x:c>
      <x:c r="V156" s="18" t="str"/>
      <x:c r="W156" s="18" t="str"/>
      <x:c r="X156" s="20" t="n">
        <x:v>192</x:v>
      </x:c>
      <x:c r="Y156" s="19" t="str">
        <x:f>IFERROR(TODAY()-DATEVALUE(C156),"")</x:f>
      </x:c>
      <x:c r="Z156" s="21" t="n">
        <x:f>ROUND(COUNTA(A156:K156)/11*100,0)</x:f>
        <x:v>100</x:v>
      </x:c>
      <x:c r="AA156" s="18" t="str">
        <x:v>International Court of Justice</x:v>
      </x:c>
      <x:c r="AB156" s="22" t="str">
        <x:v>https://api.icj-cij.org/case/29</x:v>
      </x:c>
      <x:c r="AC156" s="18" t="str"/>
      <x:c r="AD156" s="18" t="n">
        <x:v>46275.42531791667</x:v>
      </x:c>
      <x:c r="AE156" s="18" t="str">
        <x:v>independent_public</x:v>
      </x:c>
      <x:c r="AF156" s="18" t="str">
        <x:v>PARTIAL_NO_DATE</x:v>
      </x:c>
    </x:row>
    <x:row r="157">
      <x:c r="A157" s="18" t="str">
        <x:v>NYT-45-0ad6340832c54a5c</x:v>
      </x:c>
      <x:c r="B157" s="18" t="str">
        <x:v>Aerial Incident of 10 March 1953 (United States of America v. Czechoslovakia)</x:v>
      </x:c>
      <x:c r="C157" s="18" t="str"/>
      <x:c r="D157" s="18" t="str"/>
      <x:c r="E157" s="18" t="str"/>
      <x:c r="F157" s="18" t="str"/>
      <x:c r="G157" s="18" t="str"/>
      <x:c r="H157" s="18" t="str"/>
      <x:c r="I157" s="18" t="str">
        <x:v>International Court of Justice</x:v>
      </x:c>
      <x:c r="J157" s="20" t="str"/>
      <x:c r="K157" s="18" t="str"/>
      <x:c r="L157" s="18" t="str">
        <x:v>International Court of Justice</x:v>
      </x:c>
      <x:c r="M157" s="18" t="str">
        <x:v>Aerial Incident of 10 March 1953 (United States of America v. Czechoslovakia)</x:v>
      </x:c>
      <x:c r="N157" s="18" t="str"/>
      <x:c r="O157" s="18" t="str"/>
      <x:c r="P157" s="18" t="str"/>
      <x:c r="Q157" s="18" t="str">
        <x:v>25</x:v>
      </x:c>
      <x:c r="R157" s="18" t="str"/>
      <x:c r="S157" s="18" t="str"/>
      <x:c r="T157" s="18" t="str">
        <x:v>COMPLETE_FINITE_SNAPSHOT</x:v>
      </x:c>
      <x:c r="U157" s="18" t="str">
        <x:v>Complete ICJ General List on official all-cases page</x:v>
      </x:c>
      <x:c r="V157" s="18" t="str"/>
      <x:c r="W157" s="18" t="str"/>
      <x:c r="X157" s="20" t="n">
        <x:v>192</x:v>
      </x:c>
      <x:c r="Y157" s="19" t="str">
        <x:f>IFERROR(TODAY()-DATEVALUE(C157),"")</x:f>
      </x:c>
      <x:c r="Z157" s="21" t="n">
        <x:f>ROUND(COUNTA(A157:K157)/11*100,0)</x:f>
        <x:v>100</x:v>
      </x:c>
      <x:c r="AA157" s="18" t="str">
        <x:v>International Court of Justice</x:v>
      </x:c>
      <x:c r="AB157" s="22" t="str">
        <x:v>https://api.icj-cij.org/case/25</x:v>
      </x:c>
      <x:c r="AC157" s="18" t="str"/>
      <x:c r="AD157" s="18" t="n">
        <x:v>46275.42531791667</x:v>
      </x:c>
      <x:c r="AE157" s="18" t="str">
        <x:v>independent_public</x:v>
      </x:c>
      <x:c r="AF157" s="18" t="str">
        <x:v>PARTIAL_NO_DATE</x:v>
      </x:c>
    </x:row>
    <x:row r="158">
      <x:c r="A158" s="18" t="str">
        <x:v>NYT-45-71082c040e6cb839</x:v>
      </x:c>
      <x:c r="B158" s="18" t="str">
        <x:v>Admissibility of Hearings of Petitioners by the Committee on South West Africa</x:v>
      </x:c>
      <x:c r="C158" s="18" t="str"/>
      <x:c r="D158" s="18" t="str"/>
      <x:c r="E158" s="18" t="str"/>
      <x:c r="F158" s="18" t="str"/>
      <x:c r="G158" s="18" t="str"/>
      <x:c r="H158" s="18" t="str"/>
      <x:c r="I158" s="18" t="str">
        <x:v>International Court of Justice</x:v>
      </x:c>
      <x:c r="J158" s="20" t="str"/>
      <x:c r="K158" s="18" t="str"/>
      <x:c r="L158" s="18" t="str">
        <x:v>International Court of Justice</x:v>
      </x:c>
      <x:c r="M158" s="18" t="str">
        <x:v>Admissibility of Hearings of Petitioners by the Committee on South West Africa</x:v>
      </x:c>
      <x:c r="N158" s="18" t="str"/>
      <x:c r="O158" s="18" t="str"/>
      <x:c r="P158" s="18" t="str"/>
      <x:c r="Q158" s="18" t="str">
        <x:v>31</x:v>
      </x:c>
      <x:c r="R158" s="18" t="str"/>
      <x:c r="S158" s="18" t="str"/>
      <x:c r="T158" s="18" t="str">
        <x:v>COMPLETE_FINITE_SNAPSHOT</x:v>
      </x:c>
      <x:c r="U158" s="18" t="str">
        <x:v>Complete ICJ General List on official all-cases page</x:v>
      </x:c>
      <x:c r="V158" s="18" t="str"/>
      <x:c r="W158" s="18" t="str"/>
      <x:c r="X158" s="20" t="n">
        <x:v>192</x:v>
      </x:c>
      <x:c r="Y158" s="19" t="str">
        <x:f>IFERROR(TODAY()-DATEVALUE(C158),"")</x:f>
      </x:c>
      <x:c r="Z158" s="21" t="n">
        <x:f>ROUND(COUNTA(A158:K158)/11*100,0)</x:f>
        <x:v>100</x:v>
      </x:c>
      <x:c r="AA158" s="18" t="str">
        <x:v>International Court of Justice</x:v>
      </x:c>
      <x:c r="AB158" s="22" t="str">
        <x:v>https://api.icj-cij.org/case/31</x:v>
      </x:c>
      <x:c r="AC158" s="18" t="str"/>
      <x:c r="AD158" s="18" t="n">
        <x:v>46275.42531791667</x:v>
      </x:c>
      <x:c r="AE158" s="18" t="str">
        <x:v>independent_public</x:v>
      </x:c>
      <x:c r="AF158" s="18" t="str">
        <x:v>PARTIAL_NO_DATE</x:v>
      </x:c>
    </x:row>
    <x:row r="159">
      <x:c r="A159" s="18" t="str">
        <x:v>NYT-45-3f803bb7b9c12d5c</x:v>
      </x:c>
      <x:c r="B159" s="18" t="str">
        <x:v>Judgments of the Administrative Tribunal of the ILO upon Complaints Made against UNESCO</x:v>
      </x:c>
      <x:c r="C159" s="18" t="str"/>
      <x:c r="D159" s="18" t="str"/>
      <x:c r="E159" s="18" t="str"/>
      <x:c r="F159" s="18" t="str"/>
      <x:c r="G159" s="18" t="str"/>
      <x:c r="H159" s="18" t="str"/>
      <x:c r="I159" s="18" t="str">
        <x:v>International Court of Justice</x:v>
      </x:c>
      <x:c r="J159" s="20" t="str"/>
      <x:c r="K159" s="18" t="str"/>
      <x:c r="L159" s="18" t="str">
        <x:v>International Court of Justice</x:v>
      </x:c>
      <x:c r="M159" s="18" t="str">
        <x:v>Judgments of the Administrative Tribunal of the ILO upon Complaints Made against UNESCO</x:v>
      </x:c>
      <x:c r="N159" s="18" t="str"/>
      <x:c r="O159" s="18" t="str"/>
      <x:c r="P159" s="18" t="str"/>
      <x:c r="Q159" s="18" t="str">
        <x:v>30</x:v>
      </x:c>
      <x:c r="R159" s="18" t="str"/>
      <x:c r="S159" s="18" t="str"/>
      <x:c r="T159" s="18" t="str">
        <x:v>COMPLETE_FINITE_SNAPSHOT</x:v>
      </x:c>
      <x:c r="U159" s="18" t="str">
        <x:v>Complete ICJ General List on official all-cases page</x:v>
      </x:c>
      <x:c r="V159" s="18" t="str"/>
      <x:c r="W159" s="18" t="str"/>
      <x:c r="X159" s="20" t="n">
        <x:v>192</x:v>
      </x:c>
      <x:c r="Y159" s="19" t="str">
        <x:f>IFERROR(TODAY()-DATEVALUE(C159),"")</x:f>
      </x:c>
      <x:c r="Z159" s="21" t="n">
        <x:f>ROUND(COUNTA(A159:K159)/11*100,0)</x:f>
        <x:v>100</x:v>
      </x:c>
      <x:c r="AA159" s="18" t="str">
        <x:v>International Court of Justice</x:v>
      </x:c>
      <x:c r="AB159" s="22" t="str">
        <x:v>https://api.icj-cij.org/case/30</x:v>
      </x:c>
      <x:c r="AC159" s="18" t="str"/>
      <x:c r="AD159" s="18" t="n">
        <x:v>46275.42531791667</x:v>
      </x:c>
      <x:c r="AE159" s="18" t="str">
        <x:v>independent_public</x:v>
      </x:c>
      <x:c r="AF159" s="18" t="str">
        <x:v>PARTIAL_NO_DATE</x:v>
      </x:c>
    </x:row>
    <x:row r="160">
      <x:c r="A160" s="18" t="str">
        <x:v>NYT-45-9cab9d888e23b246</x:v>
      </x:c>
      <x:c r="B160" s="18" t="str">
        <x:v>Aerial Incident of 7 October 1952 (United States of America v. Union of Soviet Socialist Republics)</x:v>
      </x:c>
      <x:c r="C160" s="18" t="str"/>
      <x:c r="D160" s="18" t="str"/>
      <x:c r="E160" s="18" t="str"/>
      <x:c r="F160" s="18" t="str"/>
      <x:c r="G160" s="18" t="str"/>
      <x:c r="H160" s="18" t="str"/>
      <x:c r="I160" s="18" t="str">
        <x:v>International Court of Justice</x:v>
      </x:c>
      <x:c r="J160" s="20" t="str"/>
      <x:c r="K160" s="18" t="str"/>
      <x:c r="L160" s="18" t="str">
        <x:v>International Court of Justice</x:v>
      </x:c>
      <x:c r="M160" s="18" t="str">
        <x:v>Aerial Incident of 7 October 1952 (United States of America v. Union of Soviet Socialist Republics)</x:v>
      </x:c>
      <x:c r="N160" s="18" t="str"/>
      <x:c r="O160" s="18" t="str"/>
      <x:c r="P160" s="18" t="str"/>
      <x:c r="Q160" s="18" t="str">
        <x:v>28</x:v>
      </x:c>
      <x:c r="R160" s="18" t="str"/>
      <x:c r="S160" s="18" t="str"/>
      <x:c r="T160" s="18" t="str">
        <x:v>COMPLETE_FINITE_SNAPSHOT</x:v>
      </x:c>
      <x:c r="U160" s="18" t="str">
        <x:v>Complete ICJ General List on official all-cases page</x:v>
      </x:c>
      <x:c r="V160" s="18" t="str"/>
      <x:c r="W160" s="18" t="str"/>
      <x:c r="X160" s="20" t="n">
        <x:v>192</x:v>
      </x:c>
      <x:c r="Y160" s="19" t="str">
        <x:f>IFERROR(TODAY()-DATEVALUE(C160),"")</x:f>
      </x:c>
      <x:c r="Z160" s="21" t="n">
        <x:f>ROUND(COUNTA(A160:K160)/11*100,0)</x:f>
        <x:v>100</x:v>
      </x:c>
      <x:c r="AA160" s="18" t="str">
        <x:v>International Court of Justice</x:v>
      </x:c>
      <x:c r="AB160" s="22" t="str">
        <x:v>https://api.icj-cij.org/case/28</x:v>
      </x:c>
      <x:c r="AC160" s="18" t="str"/>
      <x:c r="AD160" s="18" t="n">
        <x:v>46275.42531791667</x:v>
      </x:c>
      <x:c r="AE160" s="18" t="str">
        <x:v>independent_public</x:v>
      </x:c>
      <x:c r="AF160" s="18" t="str">
        <x:v>PARTIAL_NO_DATE</x:v>
      </x:c>
    </x:row>
    <x:row r="161">
      <x:c r="A161" s="18" t="str">
        <x:v>NYT-45-9bdc7249b5a69e5c</x:v>
      </x:c>
      <x:c r="B161" s="18" t="str">
        <x:v>Antarctica (United Kingdom v. Chile)</x:v>
      </x:c>
      <x:c r="C161" s="18" t="str"/>
      <x:c r="D161" s="18" t="str"/>
      <x:c r="E161" s="18" t="str"/>
      <x:c r="F161" s="18" t="str"/>
      <x:c r="G161" s="18" t="str"/>
      <x:c r="H161" s="18" t="str"/>
      <x:c r="I161" s="18" t="str">
        <x:v>International Court of Justice</x:v>
      </x:c>
      <x:c r="J161" s="20" t="str"/>
      <x:c r="K161" s="18" t="str"/>
      <x:c r="L161" s="18" t="str">
        <x:v>International Court of Justice</x:v>
      </x:c>
      <x:c r="M161" s="18" t="str">
        <x:v>Antarctica (United Kingdom v. Chile)</x:v>
      </x:c>
      <x:c r="N161" s="18" t="str"/>
      <x:c r="O161" s="18" t="str"/>
      <x:c r="P161" s="18" t="str"/>
      <x:c r="Q161" s="18" t="str">
        <x:v>27</x:v>
      </x:c>
      <x:c r="R161" s="18" t="str"/>
      <x:c r="S161" s="18" t="str"/>
      <x:c r="T161" s="18" t="str">
        <x:v>COMPLETE_FINITE_SNAPSHOT</x:v>
      </x:c>
      <x:c r="U161" s="18" t="str">
        <x:v>Complete ICJ General List on official all-cases page</x:v>
      </x:c>
      <x:c r="V161" s="18" t="str"/>
      <x:c r="W161" s="18" t="str"/>
      <x:c r="X161" s="20" t="n">
        <x:v>192</x:v>
      </x:c>
      <x:c r="Y161" s="19" t="str">
        <x:f>IFERROR(TODAY()-DATEVALUE(C161),"")</x:f>
      </x:c>
      <x:c r="Z161" s="21" t="n">
        <x:f>ROUND(COUNTA(A161:K161)/11*100,0)</x:f>
        <x:v>100</x:v>
      </x:c>
      <x:c r="AA161" s="18" t="str">
        <x:v>International Court of Justice</x:v>
      </x:c>
      <x:c r="AB161" s="22" t="str">
        <x:v>https://api.icj-cij.org/case/27</x:v>
      </x:c>
      <x:c r="AC161" s="18" t="str"/>
      <x:c r="AD161" s="18" t="n">
        <x:v>46275.42531791667</x:v>
      </x:c>
      <x:c r="AE161" s="18" t="str">
        <x:v>independent_public</x:v>
      </x:c>
      <x:c r="AF161" s="18" t="str">
        <x:v>PARTIAL_NO_DATE</x:v>
      </x:c>
    </x:row>
    <x:row r="162">
      <x:c r="A162" s="18" t="str">
        <x:v>NYT-45-4579d1a2b7e42e82</x:v>
      </x:c>
      <x:c r="B162" s="18" t="str">
        <x:v>Antarctica (United Kingdom v. Argentina)</x:v>
      </x:c>
      <x:c r="C162" s="18" t="str"/>
      <x:c r="D162" s="18" t="str"/>
      <x:c r="E162" s="18" t="str"/>
      <x:c r="F162" s="18" t="str"/>
      <x:c r="G162" s="18" t="str"/>
      <x:c r="H162" s="18" t="str"/>
      <x:c r="I162" s="18" t="str">
        <x:v>International Court of Justice</x:v>
      </x:c>
      <x:c r="J162" s="20" t="str"/>
      <x:c r="K162" s="18" t="str"/>
      <x:c r="L162" s="18" t="str">
        <x:v>International Court of Justice</x:v>
      </x:c>
      <x:c r="M162" s="18" t="str">
        <x:v>Antarctica (United Kingdom v. Argentina)</x:v>
      </x:c>
      <x:c r="N162" s="18" t="str"/>
      <x:c r="O162" s="18" t="str"/>
      <x:c r="P162" s="18" t="str"/>
      <x:c r="Q162" s="18" t="str">
        <x:v>26</x:v>
      </x:c>
      <x:c r="R162" s="18" t="str"/>
      <x:c r="S162" s="18" t="str"/>
      <x:c r="T162" s="18" t="str">
        <x:v>COMPLETE_FINITE_SNAPSHOT</x:v>
      </x:c>
      <x:c r="U162" s="18" t="str">
        <x:v>Complete ICJ General List on official all-cases page</x:v>
      </x:c>
      <x:c r="V162" s="18" t="str"/>
      <x:c r="W162" s="18" t="str"/>
      <x:c r="X162" s="20" t="n">
        <x:v>192</x:v>
      </x:c>
      <x:c r="Y162" s="19" t="str">
        <x:f>IFERROR(TODAY()-DATEVALUE(C162),"")</x:f>
      </x:c>
      <x:c r="Z162" s="21" t="n">
        <x:f>ROUND(COUNTA(A162:K162)/11*100,0)</x:f>
        <x:v>100</x:v>
      </x:c>
      <x:c r="AA162" s="18" t="str">
        <x:v>International Court of Justice</x:v>
      </x:c>
      <x:c r="AB162" s="22" t="str">
        <x:v>https://api.icj-cij.org/case/26</x:v>
      </x:c>
      <x:c r="AC162" s="18" t="str"/>
      <x:c r="AD162" s="18" t="n">
        <x:v>46275.42531791667</x:v>
      </x:c>
      <x:c r="AE162" s="18" t="str">
        <x:v>independent_public</x:v>
      </x:c>
      <x:c r="AF162" s="18" t="str">
        <x:v>PARTIAL_NO_DATE</x:v>
      </x:c>
    </x:row>
    <x:row r="163">
      <x:c r="A163" s="18" t="str">
        <x:v>NYT-45-9988f5a2f6c2f487</x:v>
      </x:c>
      <x:c r="B163" s="18" t="str">
        <x:v>Voting Procedure on Questions relating to Reports and Petitions concerning the Territory of South West Africa</x:v>
      </x:c>
      <x:c r="C163" s="18" t="str"/>
      <x:c r="D163" s="18" t="str"/>
      <x:c r="E163" s="18" t="str"/>
      <x:c r="F163" s="18" t="str"/>
      <x:c r="G163" s="18" t="str"/>
      <x:c r="H163" s="18" t="str"/>
      <x:c r="I163" s="18" t="str">
        <x:v>International Court of Justice</x:v>
      </x:c>
      <x:c r="J163" s="20" t="str"/>
      <x:c r="K163" s="18" t="str"/>
      <x:c r="L163" s="18" t="str">
        <x:v>International Court of Justice</x:v>
      </x:c>
      <x:c r="M163" s="18" t="str">
        <x:v>Voting Procedure on Questions relating to Reports and Petitions concerning the Territory of South West Africa</x:v>
      </x:c>
      <x:c r="N163" s="18" t="str"/>
      <x:c r="O163" s="18" t="str"/>
      <x:c r="P163" s="18" t="str"/>
      <x:c r="Q163" s="18" t="str">
        <x:v>24</x:v>
      </x:c>
      <x:c r="R163" s="18" t="str"/>
      <x:c r="S163" s="18" t="str"/>
      <x:c r="T163" s="18" t="str">
        <x:v>COMPLETE_FINITE_SNAPSHOT</x:v>
      </x:c>
      <x:c r="U163" s="18" t="str">
        <x:v>Complete ICJ General List on official all-cases page</x:v>
      </x:c>
      <x:c r="V163" s="18" t="str"/>
      <x:c r="W163" s="18" t="str"/>
      <x:c r="X163" s="20" t="n">
        <x:v>192</x:v>
      </x:c>
      <x:c r="Y163" s="19" t="str">
        <x:f>IFERROR(TODAY()-DATEVALUE(C163),"")</x:f>
      </x:c>
      <x:c r="Z163" s="21" t="n">
        <x:f>ROUND(COUNTA(A163:K163)/11*100,0)</x:f>
        <x:v>100</x:v>
      </x:c>
      <x:c r="AA163" s="18" t="str">
        <x:v>International Court of Justice</x:v>
      </x:c>
      <x:c r="AB163" s="22" t="str">
        <x:v>https://api.icj-cij.org/case/24</x:v>
      </x:c>
      <x:c r="AC163" s="18" t="str"/>
      <x:c r="AD163" s="18" t="n">
        <x:v>46275.42531791667</x:v>
      </x:c>
      <x:c r="AE163" s="18" t="str">
        <x:v>independent_public</x:v>
      </x:c>
      <x:c r="AF163" s="18" t="str">
        <x:v>PARTIAL_NO_DATE</x:v>
      </x:c>
    </x:row>
    <x:row r="164">
      <x:c r="A164" s="18" t="str">
        <x:v>NYT-45-419d67be9d6f599d</x:v>
      </x:c>
      <x:c r="B164" s="18" t="str">
        <x:v>Nottebohm (Liechtenstein v. Guatemala)</x:v>
      </x:c>
      <x:c r="C164" s="18" t="str"/>
      <x:c r="D164" s="18" t="str"/>
      <x:c r="E164" s="18" t="str"/>
      <x:c r="F164" s="18" t="str"/>
      <x:c r="G164" s="18" t="str"/>
      <x:c r="H164" s="18" t="str"/>
      <x:c r="I164" s="18" t="str">
        <x:v>International Court of Justice</x:v>
      </x:c>
      <x:c r="J164" s="20" t="str"/>
      <x:c r="K164" s="18" t="str"/>
      <x:c r="L164" s="18" t="str">
        <x:v>International Court of Justice</x:v>
      </x:c>
      <x:c r="M164" s="18" t="str">
        <x:v>Nottebohm (Liechtenstein v. Guatemala)</x:v>
      </x:c>
      <x:c r="N164" s="18" t="str"/>
      <x:c r="O164" s="18" t="str"/>
      <x:c r="P164" s="18" t="str"/>
      <x:c r="Q164" s="18" t="str">
        <x:v>18</x:v>
      </x:c>
      <x:c r="R164" s="18" t="str"/>
      <x:c r="S164" s="18" t="str"/>
      <x:c r="T164" s="18" t="str">
        <x:v>COMPLETE_FINITE_SNAPSHOT</x:v>
      </x:c>
      <x:c r="U164" s="18" t="str">
        <x:v>Complete ICJ General List on official all-cases page</x:v>
      </x:c>
      <x:c r="V164" s="18" t="str"/>
      <x:c r="W164" s="18" t="str"/>
      <x:c r="X164" s="20" t="n">
        <x:v>192</x:v>
      </x:c>
      <x:c r="Y164" s="19" t="str">
        <x:f>IFERROR(TODAY()-DATEVALUE(C164),"")</x:f>
      </x:c>
      <x:c r="Z164" s="21" t="n">
        <x:f>ROUND(COUNTA(A164:K164)/11*100,0)</x:f>
        <x:v>100</x:v>
      </x:c>
      <x:c r="AA164" s="18" t="str">
        <x:v>International Court of Justice</x:v>
      </x:c>
      <x:c r="AB164" s="22" t="str">
        <x:v>https://api.icj-cij.org/case/18</x:v>
      </x:c>
      <x:c r="AC164" s="18" t="str"/>
      <x:c r="AD164" s="18" t="n">
        <x:v>46275.42531791667</x:v>
      </x:c>
      <x:c r="AE164" s="18" t="str">
        <x:v>independent_public</x:v>
      </x:c>
      <x:c r="AF164" s="18" t="str">
        <x:v>PARTIAL_NO_DATE</x:v>
      </x:c>
    </x:row>
    <x:row r="165">
      <x:c r="A165" s="18" t="str">
        <x:v>NYT-45-9b509630597f6386</x:v>
      </x:c>
      <x:c r="B165" s="18" t="str">
        <x:v>Effect of Awards of Compensation Made by the United Nations Administrative Tribunal</x:v>
      </x:c>
      <x:c r="C165" s="18" t="str"/>
      <x:c r="D165" s="18" t="str"/>
      <x:c r="E165" s="18" t="str"/>
      <x:c r="F165" s="18" t="str"/>
      <x:c r="G165" s="18" t="str"/>
      <x:c r="H165" s="18" t="str"/>
      <x:c r="I165" s="18" t="str">
        <x:v>International Court of Justice</x:v>
      </x:c>
      <x:c r="J165" s="20" t="str"/>
      <x:c r="K165" s="18" t="str"/>
      <x:c r="L165" s="18" t="str">
        <x:v>International Court of Justice</x:v>
      </x:c>
      <x:c r="M165" s="18" t="str">
        <x:v>Effect of Awards of Compensation Made by the United Nations Administrative Tribunal</x:v>
      </x:c>
      <x:c r="N165" s="18" t="str"/>
      <x:c r="O165" s="18" t="str"/>
      <x:c r="P165" s="18" t="str"/>
      <x:c r="Q165" s="18" t="str">
        <x:v>21</x:v>
      </x:c>
      <x:c r="R165" s="18" t="str"/>
      <x:c r="S165" s="18" t="str"/>
      <x:c r="T165" s="18" t="str">
        <x:v>COMPLETE_FINITE_SNAPSHOT</x:v>
      </x:c>
      <x:c r="U165" s="18" t="str">
        <x:v>Complete ICJ General List on official all-cases page</x:v>
      </x:c>
      <x:c r="V165" s="18" t="str"/>
      <x:c r="W165" s="18" t="str"/>
      <x:c r="X165" s="20" t="n">
        <x:v>192</x:v>
      </x:c>
      <x:c r="Y165" s="19" t="str">
        <x:f>IFERROR(TODAY()-DATEVALUE(C165),"")</x:f>
      </x:c>
      <x:c r="Z165" s="21" t="n">
        <x:f>ROUND(COUNTA(A165:K165)/11*100,0)</x:f>
        <x:v>100</x:v>
      </x:c>
      <x:c r="AA165" s="18" t="str">
        <x:v>International Court of Justice</x:v>
      </x:c>
      <x:c r="AB165" s="22" t="str">
        <x:v>https://api.icj-cij.org/case/21</x:v>
      </x:c>
      <x:c r="AC165" s="18" t="str"/>
      <x:c r="AD165" s="18" t="n">
        <x:v>46275.42531791667</x:v>
      </x:c>
      <x:c r="AE165" s="18" t="str">
        <x:v>independent_public</x:v>
      </x:c>
      <x:c r="AF165" s="18" t="str">
        <x:v>PARTIAL_NO_DATE</x:v>
      </x:c>
    </x:row>
    <x:row r="166">
      <x:c r="A166" s="18" t="str">
        <x:v>NYT-45-b8315ad49ce315f1</x:v>
      </x:c>
      <x:c r="B166" s="18" t="str">
        <x:v>Monetary Gold Removed from Rome in 1943 (Italy v. France, United Kingdom of Great Britain and Northern Ireland and United States of America)</x:v>
      </x:c>
      <x:c r="C166" s="18" t="str"/>
      <x:c r="D166" s="18" t="str"/>
      <x:c r="E166" s="18" t="str"/>
      <x:c r="F166" s="18" t="str"/>
      <x:c r="G166" s="18" t="str"/>
      <x:c r="H166" s="18" t="str"/>
      <x:c r="I166" s="18" t="str">
        <x:v>International Court of Justice</x:v>
      </x:c>
      <x:c r="J166" s="20" t="str"/>
      <x:c r="K166" s="18" t="str"/>
      <x:c r="L166" s="18" t="str">
        <x:v>International Court of Justice</x:v>
      </x:c>
      <x:c r="M166" s="18" t="str">
        <x:v>Monetary Gold Removed from Rome in 1943 (Italy v. France, United Kingdom of Great Britain and Northern Ireland and United States of America)</x:v>
      </x:c>
      <x:c r="N166" s="18" t="str"/>
      <x:c r="O166" s="18" t="str"/>
      <x:c r="P166" s="18" t="str"/>
      <x:c r="Q166" s="18" t="str">
        <x:v>19</x:v>
      </x:c>
      <x:c r="R166" s="18" t="str"/>
      <x:c r="S166" s="18" t="str"/>
      <x:c r="T166" s="18" t="str">
        <x:v>COMPLETE_FINITE_SNAPSHOT</x:v>
      </x:c>
      <x:c r="U166" s="18" t="str">
        <x:v>Complete ICJ General List on official all-cases page</x:v>
      </x:c>
      <x:c r="V166" s="18" t="str"/>
      <x:c r="W166" s="18" t="str"/>
      <x:c r="X166" s="20" t="n">
        <x:v>192</x:v>
      </x:c>
      <x:c r="Y166" s="19" t="str">
        <x:f>IFERROR(TODAY()-DATEVALUE(C166),"")</x:f>
      </x:c>
      <x:c r="Z166" s="21" t="n">
        <x:f>ROUND(COUNTA(A166:K166)/11*100,0)</x:f>
        <x:v>100</x:v>
      </x:c>
      <x:c r="AA166" s="18" t="str">
        <x:v>International Court of Justice</x:v>
      </x:c>
      <x:c r="AB166" s="22" t="str">
        <x:v>https://api.icj-cij.org/case/19</x:v>
      </x:c>
      <x:c r="AC166" s="18" t="str"/>
      <x:c r="AD166" s="18" t="n">
        <x:v>46275.42531791667</x:v>
      </x:c>
      <x:c r="AE166" s="18" t="str">
        <x:v>independent_public</x:v>
      </x:c>
      <x:c r="AF166" s="18" t="str">
        <x:v>PARTIAL_NO_DATE</x:v>
      </x:c>
    </x:row>
    <x:row r="167">
      <x:c r="A167" s="18" t="str">
        <x:v>NYT-45-950cf321b369f3ee</x:v>
      </x:c>
      <x:c r="B167" s="18" t="str">
        <x:v>Electricité de Beyrouth Company (France v. Lebanon)</x:v>
      </x:c>
      <x:c r="C167" s="18" t="str"/>
      <x:c r="D167" s="18" t="str"/>
      <x:c r="E167" s="18" t="str"/>
      <x:c r="F167" s="18" t="str"/>
      <x:c r="G167" s="18" t="str"/>
      <x:c r="H167" s="18" t="str"/>
      <x:c r="I167" s="18" t="str">
        <x:v>International Court of Justice</x:v>
      </x:c>
      <x:c r="J167" s="20" t="str"/>
      <x:c r="K167" s="18" t="str"/>
      <x:c r="L167" s="18" t="str">
        <x:v>International Court of Justice</x:v>
      </x:c>
      <x:c r="M167" s="18" t="str">
        <x:v>Electricité de Beyrouth Company (France v. Lebanon)</x:v>
      </x:c>
      <x:c r="N167" s="18" t="str"/>
      <x:c r="O167" s="18" t="str"/>
      <x:c r="P167" s="18" t="str"/>
      <x:c r="Q167" s="18" t="str">
        <x:v>20</x:v>
      </x:c>
      <x:c r="R167" s="18" t="str"/>
      <x:c r="S167" s="18" t="str"/>
      <x:c r="T167" s="18" t="str">
        <x:v>COMPLETE_FINITE_SNAPSHOT</x:v>
      </x:c>
      <x:c r="U167" s="18" t="str">
        <x:v>Complete ICJ General List on official all-cases page</x:v>
      </x:c>
      <x:c r="V167" s="18" t="str"/>
      <x:c r="W167" s="18" t="str"/>
      <x:c r="X167" s="20" t="n">
        <x:v>192</x:v>
      </x:c>
      <x:c r="Y167" s="19" t="str">
        <x:f>IFERROR(TODAY()-DATEVALUE(C167),"")</x:f>
      </x:c>
      <x:c r="Z167" s="21" t="n">
        <x:f>ROUND(COUNTA(A167:K167)/11*100,0)</x:f>
        <x:v>100</x:v>
      </x:c>
      <x:c r="AA167" s="18" t="str">
        <x:v>International Court of Justice</x:v>
      </x:c>
      <x:c r="AB167" s="22" t="str">
        <x:v>https://api.icj-cij.org/case/20</x:v>
      </x:c>
      <x:c r="AC167" s="18" t="str"/>
      <x:c r="AD167" s="18" t="n">
        <x:v>46275.42531791667</x:v>
      </x:c>
      <x:c r="AE167" s="18" t="str">
        <x:v>independent_public</x:v>
      </x:c>
      <x:c r="AF167" s="18" t="str">
        <x:v>PARTIAL_NO_DATE</x:v>
      </x:c>
    </x:row>
    <x:row r="168">
      <x:c r="A168" s="18" t="str">
        <x:v>NYT-45-51608f18e6cb1588</x:v>
      </x:c>
      <x:c r="B168" s="18" t="str">
        <x:v>Treatment in Hungary of Aircraft and Crew of United States of America (United States of America v. Union of Soviet Socialist Republics)</x:v>
      </x:c>
      <x:c r="C168" s="18" t="str"/>
      <x:c r="D168" s="18" t="str"/>
      <x:c r="E168" s="18" t="str"/>
      <x:c r="F168" s="18" t="str"/>
      <x:c r="G168" s="18" t="str"/>
      <x:c r="H168" s="18" t="str"/>
      <x:c r="I168" s="18" t="str">
        <x:v>International Court of Justice</x:v>
      </x:c>
      <x:c r="J168" s="20" t="str"/>
      <x:c r="K168" s="18" t="str"/>
      <x:c r="L168" s="18" t="str">
        <x:v>International Court of Justice</x:v>
      </x:c>
      <x:c r="M168" s="18" t="str">
        <x:v>Treatment in Hungary of Aircraft and Crew of United States of America (United States of America v. Union of Soviet Socialist Republics)</x:v>
      </x:c>
      <x:c r="N168" s="18" t="str"/>
      <x:c r="O168" s="18" t="str"/>
      <x:c r="P168" s="18" t="str"/>
      <x:c r="Q168" s="18" t="str">
        <x:v>23</x:v>
      </x:c>
      <x:c r="R168" s="18" t="str"/>
      <x:c r="S168" s="18" t="str"/>
      <x:c r="T168" s="18" t="str">
        <x:v>COMPLETE_FINITE_SNAPSHOT</x:v>
      </x:c>
      <x:c r="U168" s="18" t="str">
        <x:v>Complete ICJ General List on official all-cases page</x:v>
      </x:c>
      <x:c r="V168" s="18" t="str"/>
      <x:c r="W168" s="18" t="str"/>
      <x:c r="X168" s="20" t="n">
        <x:v>192</x:v>
      </x:c>
      <x:c r="Y168" s="19" t="str">
        <x:f>IFERROR(TODAY()-DATEVALUE(C168),"")</x:f>
      </x:c>
      <x:c r="Z168" s="21" t="n">
        <x:f>ROUND(COUNTA(A168:K168)/11*100,0)</x:f>
        <x:v>100</x:v>
      </x:c>
      <x:c r="AA168" s="18" t="str">
        <x:v>International Court of Justice</x:v>
      </x:c>
      <x:c r="AB168" s="22" t="str">
        <x:v>https://api.icj-cij.org/case/23</x:v>
      </x:c>
      <x:c r="AC168" s="18" t="str"/>
      <x:c r="AD168" s="18" t="n">
        <x:v>46275.42531791667</x:v>
      </x:c>
      <x:c r="AE168" s="18" t="str">
        <x:v>independent_public</x:v>
      </x:c>
      <x:c r="AF168" s="18" t="str">
        <x:v>PARTIAL_NO_DATE</x:v>
      </x:c>
    </x:row>
    <x:row r="169">
      <x:c r="A169" s="18" t="str">
        <x:v>NYT-45-63c4bc1f0e680ff0</x:v>
      </x:c>
      <x:c r="B169" s="18" t="str">
        <x:v>Treatment in Hungary of Aircraft and Crew of United States of America (United States of America v. Hungarian Peoples Republic)</x:v>
      </x:c>
      <x:c r="C169" s="18" t="str"/>
      <x:c r="D169" s="18" t="str"/>
      <x:c r="E169" s="18" t="str"/>
      <x:c r="F169" s="18" t="str"/>
      <x:c r="G169" s="18" t="str"/>
      <x:c r="H169" s="18" t="str"/>
      <x:c r="I169" s="18" t="str">
        <x:v>International Court of Justice</x:v>
      </x:c>
      <x:c r="J169" s="20" t="str"/>
      <x:c r="K169" s="18" t="str"/>
      <x:c r="L169" s="18" t="str">
        <x:v>International Court of Justice</x:v>
      </x:c>
      <x:c r="M169" s="18" t="str">
        <x:v>Treatment in Hungary of Aircraft and Crew of United States of America (United States of America v. Hungarian Peoples Republic)</x:v>
      </x:c>
      <x:c r="N169" s="18" t="str"/>
      <x:c r="O169" s="18" t="str"/>
      <x:c r="P169" s="18" t="str"/>
      <x:c r="Q169" s="18" t="str">
        <x:v>22</x:v>
      </x:c>
      <x:c r="R169" s="18" t="str"/>
      <x:c r="S169" s="18" t="str"/>
      <x:c r="T169" s="18" t="str">
        <x:v>COMPLETE_FINITE_SNAPSHOT</x:v>
      </x:c>
      <x:c r="U169" s="18" t="str">
        <x:v>Complete ICJ General List on official all-cases page</x:v>
      </x:c>
      <x:c r="V169" s="18" t="str"/>
      <x:c r="W169" s="18" t="str"/>
      <x:c r="X169" s="20" t="n">
        <x:v>192</x:v>
      </x:c>
      <x:c r="Y169" s="19" t="str">
        <x:f>IFERROR(TODAY()-DATEVALUE(C169),"")</x:f>
      </x:c>
      <x:c r="Z169" s="21" t="n">
        <x:f>ROUND(COUNTA(A169:K169)/11*100,0)</x:f>
        <x:v>100</x:v>
      </x:c>
      <x:c r="AA169" s="18" t="str">
        <x:v>International Court of Justice</x:v>
      </x:c>
      <x:c r="AB169" s="22" t="str">
        <x:v>https://api.icj-cij.org/case/22</x:v>
      </x:c>
      <x:c r="AC169" s="18" t="str"/>
      <x:c r="AD169" s="18" t="n">
        <x:v>46275.42531791667</x:v>
      </x:c>
      <x:c r="AE169" s="18" t="str">
        <x:v>independent_public</x:v>
      </x:c>
      <x:c r="AF169" s="18" t="str">
        <x:v>PARTIAL_NO_DATE</x:v>
      </x:c>
    </x:row>
    <x:row r="170">
      <x:c r="A170" s="18" t="str">
        <x:v>NYT-45-45b657adca5fbb98</x:v>
      </x:c>
      <x:c r="B170" s="18" t="str">
        <x:v>Ambatielos (Greece v. United Kingdom)</x:v>
      </x:c>
      <x:c r="C170" s="18" t="str"/>
      <x:c r="D170" s="18" t="str"/>
      <x:c r="E170" s="18" t="str"/>
      <x:c r="F170" s="18" t="str"/>
      <x:c r="G170" s="18" t="str"/>
      <x:c r="H170" s="18" t="str"/>
      <x:c r="I170" s="18" t="str">
        <x:v>International Court of Justice</x:v>
      </x:c>
      <x:c r="J170" s="20" t="str"/>
      <x:c r="K170" s="18" t="str"/>
      <x:c r="L170" s="18" t="str">
        <x:v>International Court of Justice</x:v>
      </x:c>
      <x:c r="M170" s="18" t="str">
        <x:v>Ambatielos (Greece v. United Kingdom)</x:v>
      </x:c>
      <x:c r="N170" s="18" t="str"/>
      <x:c r="O170" s="18" t="str"/>
      <x:c r="P170" s="18" t="str"/>
      <x:c r="Q170" s="18" t="str">
        <x:v>15</x:v>
      </x:c>
      <x:c r="R170" s="18" t="str"/>
      <x:c r="S170" s="18" t="str"/>
      <x:c r="T170" s="18" t="str">
        <x:v>COMPLETE_FINITE_SNAPSHOT</x:v>
      </x:c>
      <x:c r="U170" s="18" t="str">
        <x:v>Complete ICJ General List on official all-cases page</x:v>
      </x:c>
      <x:c r="V170" s="18" t="str"/>
      <x:c r="W170" s="18" t="str"/>
      <x:c r="X170" s="20" t="n">
        <x:v>192</x:v>
      </x:c>
      <x:c r="Y170" s="19" t="str">
        <x:f>IFERROR(TODAY()-DATEVALUE(C170),"")</x:f>
      </x:c>
      <x:c r="Z170" s="21" t="n">
        <x:f>ROUND(COUNTA(A170:K170)/11*100,0)</x:f>
        <x:v>100</x:v>
      </x:c>
      <x:c r="AA170" s="18" t="str">
        <x:v>International Court of Justice</x:v>
      </x:c>
      <x:c r="AB170" s="22" t="str">
        <x:v>https://api.icj-cij.org/case/15</x:v>
      </x:c>
      <x:c r="AC170" s="18" t="str"/>
      <x:c r="AD170" s="18" t="n">
        <x:v>46275.42531791667</x:v>
      </x:c>
      <x:c r="AE170" s="18" t="str">
        <x:v>independent_public</x:v>
      </x:c>
      <x:c r="AF170" s="18" t="str">
        <x:v>PARTIAL_NO_DATE</x:v>
      </x:c>
    </x:row>
    <x:row r="171">
      <x:c r="A171" s="18" t="str">
        <x:v>NYT-45-c829c197c4b55b7a</x:v>
      </x:c>
      <x:c r="B171" s="18" t="str">
        <x:v>Minquiers and Ecrehos (France/United Kingdom)</x:v>
      </x:c>
      <x:c r="C171" s="18" t="str"/>
      <x:c r="D171" s="18" t="str"/>
      <x:c r="E171" s="18" t="str"/>
      <x:c r="F171" s="18" t="str"/>
      <x:c r="G171" s="18" t="str"/>
      <x:c r="H171" s="18" t="str"/>
      <x:c r="I171" s="18" t="str">
        <x:v>International Court of Justice</x:v>
      </x:c>
      <x:c r="J171" s="20" t="str"/>
      <x:c r="K171" s="18" t="str"/>
      <x:c r="L171" s="18" t="str">
        <x:v>International Court of Justice</x:v>
      </x:c>
      <x:c r="M171" s="18" t="str">
        <x:v>Minquiers and Ecrehos (France/United Kingdom)</x:v>
      </x:c>
      <x:c r="N171" s="18" t="str"/>
      <x:c r="O171" s="18" t="str"/>
      <x:c r="P171" s="18" t="str"/>
      <x:c r="Q171" s="18" t="str">
        <x:v>17</x:v>
      </x:c>
      <x:c r="R171" s="18" t="str"/>
      <x:c r="S171" s="18" t="str"/>
      <x:c r="T171" s="18" t="str">
        <x:v>COMPLETE_FINITE_SNAPSHOT</x:v>
      </x:c>
      <x:c r="U171" s="18" t="str">
        <x:v>Complete ICJ General List on official all-cases page</x:v>
      </x:c>
      <x:c r="V171" s="18" t="str"/>
      <x:c r="W171" s="18" t="str"/>
      <x:c r="X171" s="20" t="n">
        <x:v>192</x:v>
      </x:c>
      <x:c r="Y171" s="19" t="str">
        <x:f>IFERROR(TODAY()-DATEVALUE(C171),"")</x:f>
      </x:c>
      <x:c r="Z171" s="21" t="n">
        <x:f>ROUND(COUNTA(A171:K171)/11*100,0)</x:f>
        <x:v>100</x:v>
      </x:c>
      <x:c r="AA171" s="18" t="str">
        <x:v>International Court of Justice</x:v>
      </x:c>
      <x:c r="AB171" s="22" t="str">
        <x:v>https://api.icj-cij.org/case/17</x:v>
      </x:c>
      <x:c r="AC171" s="18" t="str"/>
      <x:c r="AD171" s="18" t="n">
        <x:v>46275.42531791667</x:v>
      </x:c>
      <x:c r="AE171" s="18" t="str">
        <x:v>independent_public</x:v>
      </x:c>
      <x:c r="AF171" s="18" t="str">
        <x:v>PARTIAL_NO_DATE</x:v>
      </x:c>
    </x:row>
    <x:row r="172">
      <x:c r="A172" s="18" t="str">
        <x:v>NYT-45-a671472a7dfe3610</x:v>
      </x:c>
      <x:c r="B172" s="18" t="str">
        <x:v>Rights of Nationals of the United States of America in Morocco (France v. United States of America)</x:v>
      </x:c>
      <x:c r="C172" s="18" t="str"/>
      <x:c r="D172" s="18" t="str"/>
      <x:c r="E172" s="18" t="str"/>
      <x:c r="F172" s="18" t="str"/>
      <x:c r="G172" s="18" t="str"/>
      <x:c r="H172" s="18" t="str"/>
      <x:c r="I172" s="18" t="str">
        <x:v>International Court of Justice</x:v>
      </x:c>
      <x:c r="J172" s="20" t="str"/>
      <x:c r="K172" s="18" t="str"/>
      <x:c r="L172" s="18" t="str">
        <x:v>International Court of Justice</x:v>
      </x:c>
      <x:c r="M172" s="18" t="str">
        <x:v>Rights of Nationals of the United States of America in Morocco (France v. United States of America)</x:v>
      </x:c>
      <x:c r="N172" s="18" t="str"/>
      <x:c r="O172" s="18" t="str"/>
      <x:c r="P172" s="18" t="str"/>
      <x:c r="Q172" s="18" t="str">
        <x:v>11</x:v>
      </x:c>
      <x:c r="R172" s="18" t="str"/>
      <x:c r="S172" s="18" t="str"/>
      <x:c r="T172" s="18" t="str">
        <x:v>COMPLETE_FINITE_SNAPSHOT</x:v>
      </x:c>
      <x:c r="U172" s="18" t="str">
        <x:v>Complete ICJ General List on official all-cases page</x:v>
      </x:c>
      <x:c r="V172" s="18" t="str"/>
      <x:c r="W172" s="18" t="str"/>
      <x:c r="X172" s="20" t="n">
        <x:v>192</x:v>
      </x:c>
      <x:c r="Y172" s="19" t="str">
        <x:f>IFERROR(TODAY()-DATEVALUE(C172),"")</x:f>
      </x:c>
      <x:c r="Z172" s="21" t="n">
        <x:f>ROUND(COUNTA(A172:K172)/11*100,0)</x:f>
        <x:v>100</x:v>
      </x:c>
      <x:c r="AA172" s="18" t="str">
        <x:v>International Court of Justice</x:v>
      </x:c>
      <x:c r="AB172" s="22" t="str">
        <x:v>https://api.icj-cij.org/case/11</x:v>
      </x:c>
      <x:c r="AC172" s="18" t="str"/>
      <x:c r="AD172" s="18" t="n">
        <x:v>46275.42531791667</x:v>
      </x:c>
      <x:c r="AE172" s="18" t="str">
        <x:v>independent_public</x:v>
      </x:c>
      <x:c r="AF172" s="18" t="str">
        <x:v>PARTIAL_NO_DATE</x:v>
      </x:c>
    </x:row>
    <x:row r="173">
      <x:c r="A173" s="18" t="str">
        <x:v>NYT-45-4bfc5cefd70267c0</x:v>
      </x:c>
      <x:c r="B173" s="18" t="str">
        <x:v>Anglo-Iranian Oil Co. (United Kingdom v. Iran)</x:v>
      </x:c>
      <x:c r="C173" s="18" t="str"/>
      <x:c r="D173" s="18" t="str"/>
      <x:c r="E173" s="18" t="str"/>
      <x:c r="F173" s="18" t="str"/>
      <x:c r="G173" s="18" t="str"/>
      <x:c r="H173" s="18" t="str"/>
      <x:c r="I173" s="18" t="str">
        <x:v>International Court of Justice</x:v>
      </x:c>
      <x:c r="J173" s="20" t="str"/>
      <x:c r="K173" s="18" t="str"/>
      <x:c r="L173" s="18" t="str">
        <x:v>International Court of Justice</x:v>
      </x:c>
      <x:c r="M173" s="18" t="str">
        <x:v>Anglo-Iranian Oil Co. (United Kingdom v. Iran)</x:v>
      </x:c>
      <x:c r="N173" s="18" t="str"/>
      <x:c r="O173" s="18" t="str"/>
      <x:c r="P173" s="18" t="str"/>
      <x:c r="Q173" s="18" t="str">
        <x:v>16</x:v>
      </x:c>
      <x:c r="R173" s="18" t="str"/>
      <x:c r="S173" s="18" t="str"/>
      <x:c r="T173" s="18" t="str">
        <x:v>COMPLETE_FINITE_SNAPSHOT</x:v>
      </x:c>
      <x:c r="U173" s="18" t="str">
        <x:v>Complete ICJ General List on official all-cases page</x:v>
      </x:c>
      <x:c r="V173" s="18" t="str"/>
      <x:c r="W173" s="18" t="str"/>
      <x:c r="X173" s="20" t="n">
        <x:v>192</x:v>
      </x:c>
      <x:c r="Y173" s="19" t="str">
        <x:f>IFERROR(TODAY()-DATEVALUE(C173),"")</x:f>
      </x:c>
      <x:c r="Z173" s="21" t="n">
        <x:f>ROUND(COUNTA(A173:K173)/11*100,0)</x:f>
        <x:v>100</x:v>
      </x:c>
      <x:c r="AA173" s="18" t="str">
        <x:v>International Court of Justice</x:v>
      </x:c>
      <x:c r="AB173" s="22" t="str">
        <x:v>https://api.icj-cij.org/case/16</x:v>
      </x:c>
      <x:c r="AC173" s="18" t="str"/>
      <x:c r="AD173" s="18" t="n">
        <x:v>46275.42531791667</x:v>
      </x:c>
      <x:c r="AE173" s="18" t="str">
        <x:v>independent_public</x:v>
      </x:c>
      <x:c r="AF173" s="18" t="str">
        <x:v>PARTIAL_NO_DATE</x:v>
      </x:c>
    </x:row>
    <x:row r="174">
      <x:c r="A174" s="18" t="str">
        <x:v>NYT-45-85667a7c6e512c05</x:v>
      </x:c>
      <x:c r="B174" s="18" t="str">
        <x:v>Haya de la Torre (Colombia v. Peru)</x:v>
      </x:c>
      <x:c r="C174" s="18" t="str"/>
      <x:c r="D174" s="18" t="str"/>
      <x:c r="E174" s="18" t="str"/>
      <x:c r="F174" s="18" t="str"/>
      <x:c r="G174" s="18" t="str"/>
      <x:c r="H174" s="18" t="str"/>
      <x:c r="I174" s="18" t="str">
        <x:v>International Court of Justice</x:v>
      </x:c>
      <x:c r="J174" s="20" t="str"/>
      <x:c r="K174" s="18" t="str"/>
      <x:c r="L174" s="18" t="str">
        <x:v>International Court of Justice</x:v>
      </x:c>
      <x:c r="M174" s="18" t="str">
        <x:v>Haya de la Torre (Colombia v. Peru)</x:v>
      </x:c>
      <x:c r="N174" s="18" t="str"/>
      <x:c r="O174" s="18" t="str"/>
      <x:c r="P174" s="18" t="str"/>
      <x:c r="Q174" s="18" t="str">
        <x:v>14</x:v>
      </x:c>
      <x:c r="R174" s="18" t="str"/>
      <x:c r="S174" s="18" t="str"/>
      <x:c r="T174" s="18" t="str">
        <x:v>COMPLETE_FINITE_SNAPSHOT</x:v>
      </x:c>
      <x:c r="U174" s="18" t="str">
        <x:v>Complete ICJ General List on official all-cases page</x:v>
      </x:c>
      <x:c r="V174" s="18" t="str"/>
      <x:c r="W174" s="18" t="str"/>
      <x:c r="X174" s="20" t="n">
        <x:v>192</x:v>
      </x:c>
      <x:c r="Y174" s="19" t="str">
        <x:f>IFERROR(TODAY()-DATEVALUE(C174),"")</x:f>
      </x:c>
      <x:c r="Z174" s="21" t="n">
        <x:f>ROUND(COUNTA(A174:K174)/11*100,0)</x:f>
        <x:v>100</x:v>
      </x:c>
      <x:c r="AA174" s="18" t="str">
        <x:v>International Court of Justice</x:v>
      </x:c>
      <x:c r="AB174" s="22" t="str">
        <x:v>https://api.icj-cij.org/case/14</x:v>
      </x:c>
      <x:c r="AC174" s="18" t="str"/>
      <x:c r="AD174" s="18" t="n">
        <x:v>46275.42531791667</x:v>
      </x:c>
      <x:c r="AE174" s="18" t="str">
        <x:v>independent_public</x:v>
      </x:c>
      <x:c r="AF174" s="18" t="str">
        <x:v>PARTIAL_NO_DATE</x:v>
      </x:c>
    </x:row>
    <x:row r="175">
      <x:c r="A175" s="18" t="str">
        <x:v>NYT-45-f7c9768e4c3049ab</x:v>
      </x:c>
      <x:c r="B175" s="18" t="str">
        <x:v>Fisheries (United Kingdom v. Norway)</x:v>
      </x:c>
      <x:c r="C175" s="18" t="str"/>
      <x:c r="D175" s="18" t="str"/>
      <x:c r="E175" s="18" t="str"/>
      <x:c r="F175" s="18" t="str"/>
      <x:c r="G175" s="18" t="str"/>
      <x:c r="H175" s="18" t="str"/>
      <x:c r="I175" s="18" t="str">
        <x:v>International Court of Justice</x:v>
      </x:c>
      <x:c r="J175" s="20" t="str"/>
      <x:c r="K175" s="18" t="str"/>
      <x:c r="L175" s="18" t="str">
        <x:v>International Court of Justice</x:v>
      </x:c>
      <x:c r="M175" s="18" t="str">
        <x:v>Fisheries (United Kingdom v. Norway)</x:v>
      </x:c>
      <x:c r="N175" s="18" t="str"/>
      <x:c r="O175" s="18" t="str"/>
      <x:c r="P175" s="18" t="str"/>
      <x:c r="Q175" s="18" t="str">
        <x:v>5</x:v>
      </x:c>
      <x:c r="R175" s="18" t="str"/>
      <x:c r="S175" s="18" t="str"/>
      <x:c r="T175" s="18" t="str">
        <x:v>COMPLETE_FINITE_SNAPSHOT</x:v>
      </x:c>
      <x:c r="U175" s="18" t="str">
        <x:v>Complete ICJ General List on official all-cases page</x:v>
      </x:c>
      <x:c r="V175" s="18" t="str"/>
      <x:c r="W175" s="18" t="str"/>
      <x:c r="X175" s="20" t="n">
        <x:v>192</x:v>
      </x:c>
      <x:c r="Y175" s="19" t="str">
        <x:f>IFERROR(TODAY()-DATEVALUE(C175),"")</x:f>
      </x:c>
      <x:c r="Z175" s="21" t="n">
        <x:f>ROUND(COUNTA(A175:K175)/11*100,0)</x:f>
        <x:v>100</x:v>
      </x:c>
      <x:c r="AA175" s="18" t="str">
        <x:v>International Court of Justice</x:v>
      </x:c>
      <x:c r="AB175" s="22" t="str">
        <x:v>https://api.icj-cij.org/case/5</x:v>
      </x:c>
      <x:c r="AC175" s="18" t="str"/>
      <x:c r="AD175" s="18" t="n">
        <x:v>46275.42531791667</x:v>
      </x:c>
      <x:c r="AE175" s="18" t="str">
        <x:v>independent_public</x:v>
      </x:c>
      <x:c r="AF175" s="18" t="str">
        <x:v>PARTIAL_NO_DATE</x:v>
      </x:c>
    </x:row>
    <x:row r="176">
      <x:c r="A176" s="18" t="str">
        <x:v>NYT-45-bf2400ca9077be1c</x:v>
      </x:c>
      <x:c r="B176" s="18" t="str">
        <x:v>Reservations to the Convention on the Prevention and Punishment of the Crime of Genocide</x:v>
      </x:c>
      <x:c r="C176" s="18" t="str"/>
      <x:c r="D176" s="18" t="str"/>
      <x:c r="E176" s="18" t="str"/>
      <x:c r="F176" s="18" t="str"/>
      <x:c r="G176" s="18" t="str"/>
      <x:c r="H176" s="18" t="str"/>
      <x:c r="I176" s="18" t="str">
        <x:v>International Court of Justice</x:v>
      </x:c>
      <x:c r="J176" s="20" t="str"/>
      <x:c r="K176" s="18" t="str"/>
      <x:c r="L176" s="18" t="str">
        <x:v>International Court of Justice</x:v>
      </x:c>
      <x:c r="M176" s="18" t="str">
        <x:v>Reservations to the Convention on the Prevention and Punishment of the Crime of Genocide</x:v>
      </x:c>
      <x:c r="N176" s="18" t="str"/>
      <x:c r="O176" s="18" t="str"/>
      <x:c r="P176" s="18" t="str"/>
      <x:c r="Q176" s="18" t="str">
        <x:v>12</x:v>
      </x:c>
      <x:c r="R176" s="18" t="str"/>
      <x:c r="S176" s="18" t="str"/>
      <x:c r="T176" s="18" t="str">
        <x:v>COMPLETE_FINITE_SNAPSHOT</x:v>
      </x:c>
      <x:c r="U176" s="18" t="str">
        <x:v>Complete ICJ General List on official all-cases page</x:v>
      </x:c>
      <x:c r="V176" s="18" t="str"/>
      <x:c r="W176" s="18" t="str"/>
      <x:c r="X176" s="20" t="n">
        <x:v>192</x:v>
      </x:c>
      <x:c r="Y176" s="19" t="str">
        <x:f>IFERROR(TODAY()-DATEVALUE(C176),"")</x:f>
      </x:c>
      <x:c r="Z176" s="21" t="n">
        <x:f>ROUND(COUNTA(A176:K176)/11*100,0)</x:f>
        <x:v>100</x:v>
      </x:c>
      <x:c r="AA176" s="18" t="str">
        <x:v>International Court of Justice</x:v>
      </x:c>
      <x:c r="AB176" s="22" t="str">
        <x:v>https://api.icj-cij.org/case/12</x:v>
      </x:c>
      <x:c r="AC176" s="18" t="str"/>
      <x:c r="AD176" s="18" t="n">
        <x:v>46275.42531791667</x:v>
      </x:c>
      <x:c r="AE176" s="18" t="str">
        <x:v>independent_public</x:v>
      </x:c>
      <x:c r="AF176" s="18" t="str">
        <x:v>PARTIAL_NO_DATE</x:v>
      </x:c>
    </x:row>
    <x:row r="177">
      <x:c r="A177" s="18" t="str">
        <x:v>NYT-45-1cda7cad9efce7ec</x:v>
      </x:c>
      <x:c r="B177" s="18" t="str">
        <x:v>Request for Interpretation of the Judgment of 20 November 1950 in the Asylum Case (Colombia v. Peru)</x:v>
      </x:c>
      <x:c r="C177" s="18" t="str"/>
      <x:c r="D177" s="18" t="str"/>
      <x:c r="E177" s="18" t="str"/>
      <x:c r="F177" s="18" t="str"/>
      <x:c r="G177" s="18" t="str"/>
      <x:c r="H177" s="18" t="str"/>
      <x:c r="I177" s="18" t="str">
        <x:v>International Court of Justice</x:v>
      </x:c>
      <x:c r="J177" s="20" t="str"/>
      <x:c r="K177" s="18" t="str"/>
      <x:c r="L177" s="18" t="str">
        <x:v>International Court of Justice</x:v>
      </x:c>
      <x:c r="M177" s="18" t="str">
        <x:v>Request for Interpretation of the Judgment of 20 November 1950 in the Asylum Case (Colombia v. Peru)</x:v>
      </x:c>
      <x:c r="N177" s="18" t="str"/>
      <x:c r="O177" s="18" t="str"/>
      <x:c r="P177" s="18" t="str"/>
      <x:c r="Q177" s="18" t="str">
        <x:v>13</x:v>
      </x:c>
      <x:c r="R177" s="18" t="str"/>
      <x:c r="S177" s="18" t="str"/>
      <x:c r="T177" s="18" t="str">
        <x:v>COMPLETE_FINITE_SNAPSHOT</x:v>
      </x:c>
      <x:c r="U177" s="18" t="str">
        <x:v>Complete ICJ General List on official all-cases page</x:v>
      </x:c>
      <x:c r="V177" s="18" t="str"/>
      <x:c r="W177" s="18" t="str"/>
      <x:c r="X177" s="20" t="n">
        <x:v>192</x:v>
      </x:c>
      <x:c r="Y177" s="19" t="str">
        <x:f>IFERROR(TODAY()-DATEVALUE(C177),"")</x:f>
      </x:c>
      <x:c r="Z177" s="21" t="n">
        <x:f>ROUND(COUNTA(A177:K177)/11*100,0)</x:f>
        <x:v>100</x:v>
      </x:c>
      <x:c r="AA177" s="18" t="str">
        <x:v>International Court of Justice</x:v>
      </x:c>
      <x:c r="AB177" s="22" t="str">
        <x:v>https://api.icj-cij.org/case/13</x:v>
      </x:c>
      <x:c r="AC177" s="18" t="str"/>
      <x:c r="AD177" s="18" t="n">
        <x:v>46275.42531791667</x:v>
      </x:c>
      <x:c r="AE177" s="18" t="str">
        <x:v>independent_public</x:v>
      </x:c>
      <x:c r="AF177" s="18" t="str">
        <x:v>PARTIAL_NO_DATE</x:v>
      </x:c>
    </x:row>
    <x:row r="178">
      <x:c r="A178" s="18" t="str">
        <x:v>NYT-45-20f05515f7e85af1</x:v>
      </x:c>
      <x:c r="B178" s="18" t="str">
        <x:v>Competence of the General Assembly for the Admission of a State to the United Nations</x:v>
      </x:c>
      <x:c r="C178" s="18" t="str"/>
      <x:c r="D178" s="18" t="str"/>
      <x:c r="E178" s="18" t="str"/>
      <x:c r="F178" s="18" t="str"/>
      <x:c r="G178" s="18" t="str"/>
      <x:c r="H178" s="18" t="str"/>
      <x:c r="I178" s="18" t="str">
        <x:v>International Court of Justice</x:v>
      </x:c>
      <x:c r="J178" s="20" t="str"/>
      <x:c r="K178" s="18" t="str"/>
      <x:c r="L178" s="18" t="str">
        <x:v>International Court of Justice</x:v>
      </x:c>
      <x:c r="M178" s="18" t="str">
        <x:v>Competence of the General Assembly for the Admission of a State to the United Nations</x:v>
      </x:c>
      <x:c r="N178" s="18" t="str"/>
      <x:c r="O178" s="18" t="str"/>
      <x:c r="P178" s="18" t="str"/>
      <x:c r="Q178" s="18" t="str">
        <x:v>9</x:v>
      </x:c>
      <x:c r="R178" s="18" t="str"/>
      <x:c r="S178" s="18" t="str"/>
      <x:c r="T178" s="18" t="str">
        <x:v>COMPLETE_FINITE_SNAPSHOT</x:v>
      </x:c>
      <x:c r="U178" s="18" t="str">
        <x:v>Complete ICJ General List on official all-cases page</x:v>
      </x:c>
      <x:c r="V178" s="18" t="str"/>
      <x:c r="W178" s="18" t="str"/>
      <x:c r="X178" s="20" t="n">
        <x:v>192</x:v>
      </x:c>
      <x:c r="Y178" s="19" t="str">
        <x:f>IFERROR(TODAY()-DATEVALUE(C178),"")</x:f>
      </x:c>
      <x:c r="Z178" s="21" t="n">
        <x:f>ROUND(COUNTA(A178:K178)/11*100,0)</x:f>
        <x:v>100</x:v>
      </x:c>
      <x:c r="AA178" s="18" t="str">
        <x:v>International Court of Justice</x:v>
      </x:c>
      <x:c r="AB178" s="22" t="str">
        <x:v>https://api.icj-cij.org/case/9</x:v>
      </x:c>
      <x:c r="AC178" s="18" t="str"/>
      <x:c r="AD178" s="18" t="n">
        <x:v>46275.42531791667</x:v>
      </x:c>
      <x:c r="AE178" s="18" t="str">
        <x:v>independent_public</x:v>
      </x:c>
      <x:c r="AF178" s="18" t="str">
        <x:v>PARTIAL_NO_DATE</x:v>
      </x:c>
    </x:row>
    <x:row r="179">
      <x:c r="A179" s="18" t="str">
        <x:v>NYT-45-b8531fc7413ee6e5</x:v>
      </x:c>
      <x:c r="B179" s="18" t="str">
        <x:v>Asylum (Colombia/Peru)</x:v>
      </x:c>
      <x:c r="C179" s="18" t="str"/>
      <x:c r="D179" s="18" t="str"/>
      <x:c r="E179" s="18" t="str"/>
      <x:c r="F179" s="18" t="str"/>
      <x:c r="G179" s="18" t="str"/>
      <x:c r="H179" s="18" t="str"/>
      <x:c r="I179" s="18" t="str">
        <x:v>International Court of Justice</x:v>
      </x:c>
      <x:c r="J179" s="20" t="str"/>
      <x:c r="K179" s="18" t="str"/>
      <x:c r="L179" s="18" t="str">
        <x:v>International Court of Justice</x:v>
      </x:c>
      <x:c r="M179" s="18" t="str">
        <x:v>Asylum (Colombia/Peru)</x:v>
      </x:c>
      <x:c r="N179" s="18" t="str"/>
      <x:c r="O179" s="18" t="str"/>
      <x:c r="P179" s="18" t="str"/>
      <x:c r="Q179" s="18" t="str">
        <x:v>7</x:v>
      </x:c>
      <x:c r="R179" s="18" t="str"/>
      <x:c r="S179" s="18" t="str"/>
      <x:c r="T179" s="18" t="str">
        <x:v>COMPLETE_FINITE_SNAPSHOT</x:v>
      </x:c>
      <x:c r="U179" s="18" t="str">
        <x:v>Complete ICJ General List on official all-cases page</x:v>
      </x:c>
      <x:c r="V179" s="18" t="str"/>
      <x:c r="W179" s="18" t="str"/>
      <x:c r="X179" s="20" t="n">
        <x:v>192</x:v>
      </x:c>
      <x:c r="Y179" s="19" t="str">
        <x:f>IFERROR(TODAY()-DATEVALUE(C179),"")</x:f>
      </x:c>
      <x:c r="Z179" s="21" t="n">
        <x:f>ROUND(COUNTA(A179:K179)/11*100,0)</x:f>
        <x:v>100</x:v>
      </x:c>
      <x:c r="AA179" s="18" t="str">
        <x:v>International Court of Justice</x:v>
      </x:c>
      <x:c r="AB179" s="22" t="str">
        <x:v>https://api.icj-cij.org/case/7</x:v>
      </x:c>
      <x:c r="AC179" s="18" t="str"/>
      <x:c r="AD179" s="18" t="n">
        <x:v>46275.42531791667</x:v>
      </x:c>
      <x:c r="AE179" s="18" t="str">
        <x:v>independent_public</x:v>
      </x:c>
      <x:c r="AF179" s="18" t="str">
        <x:v>PARTIAL_NO_DATE</x:v>
      </x:c>
    </x:row>
    <x:row r="180">
      <x:c r="A180" s="18" t="str">
        <x:v>NYT-45-802b5041b11c0a35</x:v>
      </x:c>
      <x:c r="B180" s="18" t="str">
        <x:v>International Status of South West Africa</x:v>
      </x:c>
      <x:c r="C180" s="18" t="str"/>
      <x:c r="D180" s="18" t="str"/>
      <x:c r="E180" s="18" t="str"/>
      <x:c r="F180" s="18" t="str"/>
      <x:c r="G180" s="18" t="str"/>
      <x:c r="H180" s="18" t="str"/>
      <x:c r="I180" s="18" t="str">
        <x:v>International Court of Justice</x:v>
      </x:c>
      <x:c r="J180" s="20" t="str"/>
      <x:c r="K180" s="18" t="str"/>
      <x:c r="L180" s="18" t="str">
        <x:v>International Court of Justice</x:v>
      </x:c>
      <x:c r="M180" s="18" t="str">
        <x:v>International Status of South West Africa</x:v>
      </x:c>
      <x:c r="N180" s="18" t="str"/>
      <x:c r="O180" s="18" t="str"/>
      <x:c r="P180" s="18" t="str"/>
      <x:c r="Q180" s="18" t="str">
        <x:v>10</x:v>
      </x:c>
      <x:c r="R180" s="18" t="str"/>
      <x:c r="S180" s="18" t="str"/>
      <x:c r="T180" s="18" t="str">
        <x:v>COMPLETE_FINITE_SNAPSHOT</x:v>
      </x:c>
      <x:c r="U180" s="18" t="str">
        <x:v>Complete ICJ General List on official all-cases page</x:v>
      </x:c>
      <x:c r="V180" s="18" t="str"/>
      <x:c r="W180" s="18" t="str"/>
      <x:c r="X180" s="20" t="n">
        <x:v>192</x:v>
      </x:c>
      <x:c r="Y180" s="19" t="str">
        <x:f>IFERROR(TODAY()-DATEVALUE(C180),"")</x:f>
      </x:c>
      <x:c r="Z180" s="21" t="n">
        <x:f>ROUND(COUNTA(A180:K180)/11*100,0)</x:f>
        <x:v>100</x:v>
      </x:c>
      <x:c r="AA180" s="18" t="str">
        <x:v>International Court of Justice</x:v>
      </x:c>
      <x:c r="AB180" s="22" t="str">
        <x:v>https://api.icj-cij.org/case/10</x:v>
      </x:c>
      <x:c r="AC180" s="18" t="str"/>
      <x:c r="AD180" s="18" t="n">
        <x:v>46275.42531791667</x:v>
      </x:c>
      <x:c r="AE180" s="18" t="str">
        <x:v>independent_public</x:v>
      </x:c>
      <x:c r="AF180" s="18" t="str">
        <x:v>PARTIAL_NO_DATE</x:v>
      </x:c>
    </x:row>
    <x:row r="181">
      <x:c r="A181" s="18" t="str">
        <x:v>NYT-45-06e4f8ba480406af</x:v>
      </x:c>
      <x:c r="B181" s="18" t="str">
        <x:v>Interpretation of Peace Treaties with Bulgaria, Hungary and Romania</x:v>
      </x:c>
      <x:c r="C181" s="18" t="str"/>
      <x:c r="D181" s="18" t="str"/>
      <x:c r="E181" s="18" t="str"/>
      <x:c r="F181" s="18" t="str"/>
      <x:c r="G181" s="18" t="str"/>
      <x:c r="H181" s="18" t="str"/>
      <x:c r="I181" s="18" t="str">
        <x:v>International Court of Justice</x:v>
      </x:c>
      <x:c r="J181" s="20" t="str"/>
      <x:c r="K181" s="18" t="str"/>
      <x:c r="L181" s="18" t="str">
        <x:v>International Court of Justice</x:v>
      </x:c>
      <x:c r="M181" s="18" t="str">
        <x:v>Interpretation of Peace Treaties with Bulgaria, Hungary and Romania</x:v>
      </x:c>
      <x:c r="N181" s="18" t="str"/>
      <x:c r="O181" s="18" t="str"/>
      <x:c r="P181" s="18" t="str"/>
      <x:c r="Q181" s="18" t="str">
        <x:v>8</x:v>
      </x:c>
      <x:c r="R181" s="18" t="str"/>
      <x:c r="S181" s="18" t="str"/>
      <x:c r="T181" s="18" t="str">
        <x:v>COMPLETE_FINITE_SNAPSHOT</x:v>
      </x:c>
      <x:c r="U181" s="18" t="str">
        <x:v>Complete ICJ General List on official all-cases page</x:v>
      </x:c>
      <x:c r="V181" s="18" t="str"/>
      <x:c r="W181" s="18" t="str"/>
      <x:c r="X181" s="20" t="n">
        <x:v>192</x:v>
      </x:c>
      <x:c r="Y181" s="19" t="str">
        <x:f>IFERROR(TODAY()-DATEVALUE(C181),"")</x:f>
      </x:c>
      <x:c r="Z181" s="21" t="n">
        <x:f>ROUND(COUNTA(A181:K181)/11*100,0)</x:f>
        <x:v>100</x:v>
      </x:c>
      <x:c r="AA181" s="18" t="str">
        <x:v>International Court of Justice</x:v>
      </x:c>
      <x:c r="AB181" s="22" t="str">
        <x:v>https://api.icj-cij.org/case/8</x:v>
      </x:c>
      <x:c r="AC181" s="18" t="str"/>
      <x:c r="AD181" s="18" t="n">
        <x:v>46275.42531791667</x:v>
      </x:c>
      <x:c r="AE181" s="18" t="str">
        <x:v>independent_public</x:v>
      </x:c>
      <x:c r="AF181" s="18" t="str">
        <x:v>PARTIAL_NO_DATE</x:v>
      </x:c>
    </x:row>
    <x:row r="182">
      <x:c r="A182" s="18" t="str">
        <x:v>NYT-45-959d2c830fc486fb</x:v>
      </x:c>
      <x:c r="B182" s="18" t="str">
        <x:v>Protection of French Nationals and Protected Persons in Egypt (France v. Egypt)</x:v>
      </x:c>
      <x:c r="C182" s="18" t="str"/>
      <x:c r="D182" s="18" t="str"/>
      <x:c r="E182" s="18" t="str"/>
      <x:c r="F182" s="18" t="str"/>
      <x:c r="G182" s="18" t="str"/>
      <x:c r="H182" s="18" t="str"/>
      <x:c r="I182" s="18" t="str">
        <x:v>International Court of Justice</x:v>
      </x:c>
      <x:c r="J182" s="20" t="str"/>
      <x:c r="K182" s="18" t="str"/>
      <x:c r="L182" s="18" t="str">
        <x:v>International Court of Justice</x:v>
      </x:c>
      <x:c r="M182" s="18" t="str">
        <x:v>Protection of French Nationals and Protected Persons in Egypt (France v. Egypt)</x:v>
      </x:c>
      <x:c r="N182" s="18" t="str"/>
      <x:c r="O182" s="18" t="str"/>
      <x:c r="P182" s="18" t="str"/>
      <x:c r="Q182" s="18" t="str">
        <x:v>6</x:v>
      </x:c>
      <x:c r="R182" s="18" t="str"/>
      <x:c r="S182" s="18" t="str"/>
      <x:c r="T182" s="18" t="str">
        <x:v>COMPLETE_FINITE_SNAPSHOT</x:v>
      </x:c>
      <x:c r="U182" s="18" t="str">
        <x:v>Complete ICJ General List on official all-cases page</x:v>
      </x:c>
      <x:c r="V182" s="18" t="str"/>
      <x:c r="W182" s="18" t="str"/>
      <x:c r="X182" s="20" t="n">
        <x:v>192</x:v>
      </x:c>
      <x:c r="Y182" s="19" t="str">
        <x:f>IFERROR(TODAY()-DATEVALUE(C182),"")</x:f>
      </x:c>
      <x:c r="Z182" s="21" t="n">
        <x:f>ROUND(COUNTA(A182:K182)/11*100,0)</x:f>
        <x:v>100</x:v>
      </x:c>
      <x:c r="AA182" s="18" t="str">
        <x:v>International Court of Justice</x:v>
      </x:c>
      <x:c r="AB182" s="22" t="str">
        <x:v>https://api.icj-cij.org/case/6</x:v>
      </x:c>
      <x:c r="AC182" s="18" t="str"/>
      <x:c r="AD182" s="18" t="n">
        <x:v>46275.42531791667</x:v>
      </x:c>
      <x:c r="AE182" s="18" t="str">
        <x:v>independent_public</x:v>
      </x:c>
      <x:c r="AF182" s="18" t="str">
        <x:v>PARTIAL_NO_DATE</x:v>
      </x:c>
    </x:row>
    <x:row r="183">
      <x:c r="A183" s="18" t="str">
        <x:v>NYT-45-3def493d510fa6d0</x:v>
      </x:c>
      <x:c r="B183" s="18" t="str">
        <x:v>Reparation for Injuries Suffered in the Service of the United Nations</x:v>
      </x:c>
      <x:c r="C183" s="18" t="str"/>
      <x:c r="D183" s="18" t="str"/>
      <x:c r="E183" s="18" t="str"/>
      <x:c r="F183" s="18" t="str"/>
      <x:c r="G183" s="18" t="str"/>
      <x:c r="H183" s="18" t="str"/>
      <x:c r="I183" s="18" t="str">
        <x:v>International Court of Justice</x:v>
      </x:c>
      <x:c r="J183" s="20" t="str"/>
      <x:c r="K183" s="18" t="str"/>
      <x:c r="L183" s="18" t="str">
        <x:v>International Court of Justice</x:v>
      </x:c>
      <x:c r="M183" s="18" t="str">
        <x:v>Reparation for Injuries Suffered in the Service of the United Nations</x:v>
      </x:c>
      <x:c r="N183" s="18" t="str"/>
      <x:c r="O183" s="18" t="str"/>
      <x:c r="P183" s="18" t="str"/>
      <x:c r="Q183" s="18" t="str">
        <x:v>4</x:v>
      </x:c>
      <x:c r="R183" s="18" t="str"/>
      <x:c r="S183" s="18" t="str"/>
      <x:c r="T183" s="18" t="str">
        <x:v>COMPLETE_FINITE_SNAPSHOT</x:v>
      </x:c>
      <x:c r="U183" s="18" t="str">
        <x:v>Complete ICJ General List on official all-cases page</x:v>
      </x:c>
      <x:c r="V183" s="18" t="str"/>
      <x:c r="W183" s="18" t="str"/>
      <x:c r="X183" s="20" t="n">
        <x:v>192</x:v>
      </x:c>
      <x:c r="Y183" s="19" t="str">
        <x:f>IFERROR(TODAY()-DATEVALUE(C183),"")</x:f>
      </x:c>
      <x:c r="Z183" s="21" t="n">
        <x:f>ROUND(COUNTA(A183:K183)/11*100,0)</x:f>
        <x:v>100</x:v>
      </x:c>
      <x:c r="AA183" s="18" t="str">
        <x:v>International Court of Justice</x:v>
      </x:c>
      <x:c r="AB183" s="22" t="str">
        <x:v>https://api.icj-cij.org/case/4</x:v>
      </x:c>
      <x:c r="AC183" s="18" t="str"/>
      <x:c r="AD183" s="18" t="n">
        <x:v>46275.42531791667</x:v>
      </x:c>
      <x:c r="AE183" s="18" t="str">
        <x:v>independent_public</x:v>
      </x:c>
      <x:c r="AF183" s="18" t="str">
        <x:v>PARTIAL_NO_DATE</x:v>
      </x:c>
    </x:row>
    <x:row r="184">
      <x:c r="A184" s="18" t="str">
        <x:v>NYT-45-c7d41cf352d4b222</x:v>
      </x:c>
      <x:c r="B184" s="18" t="str">
        <x:v>Corfu Channel (United Kingdom of Great Britain and Northern Ireland v. Albania)</x:v>
      </x:c>
      <x:c r="C184" s="18" t="str"/>
      <x:c r="D184" s="18" t="str"/>
      <x:c r="E184" s="18" t="str"/>
      <x:c r="F184" s="18" t="str"/>
      <x:c r="G184" s="18" t="str"/>
      <x:c r="H184" s="18" t="str"/>
      <x:c r="I184" s="18" t="str">
        <x:v>International Court of Justice</x:v>
      </x:c>
      <x:c r="J184" s="20" t="str"/>
      <x:c r="K184" s="18" t="str"/>
      <x:c r="L184" s="18" t="str">
        <x:v>International Court of Justice</x:v>
      </x:c>
      <x:c r="M184" s="18" t="str">
        <x:v>Corfu Channel (United Kingdom of Great Britain and Northern Ireland v. Albania)</x:v>
      </x:c>
      <x:c r="N184" s="18" t="str"/>
      <x:c r="O184" s="18" t="str"/>
      <x:c r="P184" s="18" t="str"/>
      <x:c r="Q184" s="18" t="str">
        <x:v>1</x:v>
      </x:c>
      <x:c r="R184" s="18" t="str"/>
      <x:c r="S184" s="18" t="str"/>
      <x:c r="T184" s="18" t="str">
        <x:v>COMPLETE_FINITE_SNAPSHOT</x:v>
      </x:c>
      <x:c r="U184" s="18" t="str">
        <x:v>Complete ICJ General List on official all-cases page</x:v>
      </x:c>
      <x:c r="V184" s="18" t="str"/>
      <x:c r="W184" s="18" t="str"/>
      <x:c r="X184" s="20" t="n">
        <x:v>192</x:v>
      </x:c>
      <x:c r="Y184" s="19" t="str">
        <x:f>IFERROR(TODAY()-DATEVALUE(C184),"")</x:f>
      </x:c>
      <x:c r="Z184" s="21" t="n">
        <x:f>ROUND(COUNTA(A184:K184)/11*100,0)</x:f>
        <x:v>100</x:v>
      </x:c>
      <x:c r="AA184" s="18" t="str">
        <x:v>International Court of Justice</x:v>
      </x:c>
      <x:c r="AB184" s="22" t="str">
        <x:v>https://api.icj-cij.org/case/1</x:v>
      </x:c>
      <x:c r="AC184" s="18" t="str"/>
      <x:c r="AD184" s="18" t="n">
        <x:v>46275.42531791667</x:v>
      </x:c>
      <x:c r="AE184" s="18" t="str">
        <x:v>independent_public</x:v>
      </x:c>
      <x:c r="AF184" s="18" t="str">
        <x:v>PARTIAL_NO_DATE</x:v>
      </x:c>
    </x:row>
    <x:row r="185">
      <x:c r="A185" s="18" t="str">
        <x:v>NYT-45-0bff2b99d17f8836</x:v>
      </x:c>
      <x:c r="B185" s="18" t="str">
        <x:v>Conditions of Admission of a State to Membership in the United Nations (Article 4 of the Charter)</x:v>
      </x:c>
      <x:c r="C185" s="18" t="str"/>
      <x:c r="D185" s="18" t="str"/>
      <x:c r="E185" s="18" t="str"/>
      <x:c r="F185" s="18" t="str"/>
      <x:c r="G185" s="18" t="str"/>
      <x:c r="H185" s="18" t="str"/>
      <x:c r="I185" s="18" t="str">
        <x:v>International Court of Justice</x:v>
      </x:c>
      <x:c r="J185" s="20" t="str"/>
      <x:c r="K185" s="18" t="str"/>
      <x:c r="L185" s="18" t="str">
        <x:v>International Court of Justice</x:v>
      </x:c>
      <x:c r="M185" s="18" t="str">
        <x:v>Conditions of Admission of a State to Membership in the United Nations (Article 4 of the Charter)</x:v>
      </x:c>
      <x:c r="N185" s="18" t="str"/>
      <x:c r="O185" s="18" t="str"/>
      <x:c r="P185" s="18" t="str"/>
      <x:c r="Q185" s="18" t="str">
        <x:v>3</x:v>
      </x:c>
      <x:c r="R185" s="18" t="str"/>
      <x:c r="S185" s="18" t="str"/>
      <x:c r="T185" s="18" t="str">
        <x:v>COMPLETE_FINITE_SNAPSHOT</x:v>
      </x:c>
      <x:c r="U185" s="18" t="str">
        <x:v>Complete ICJ General List on official all-cases page</x:v>
      </x:c>
      <x:c r="V185" s="18" t="str"/>
      <x:c r="W185" s="18" t="str"/>
      <x:c r="X185" s="20" t="n">
        <x:v>192</x:v>
      </x:c>
      <x:c r="Y185" s="19" t="str">
        <x:f>IFERROR(TODAY()-DATEVALUE(C185),"")</x:f>
      </x:c>
      <x:c r="Z185" s="21" t="n">
        <x:f>ROUND(COUNTA(A185:K185)/11*100,0)</x:f>
        <x:v>100</x:v>
      </x:c>
      <x:c r="AA185" s="18" t="str">
        <x:v>International Court of Justice</x:v>
      </x:c>
      <x:c r="AB185" s="22" t="str">
        <x:v>https://api.icj-cij.org/case/3</x:v>
      </x:c>
      <x:c r="AC185" s="18" t="str"/>
      <x:c r="AD185" s="18" t="n">
        <x:v>46275.42531791667</x:v>
      </x:c>
      <x:c r="AE185" s="18" t="str">
        <x:v>independent_public</x:v>
      </x:c>
      <x:c r="AF185" s="18" t="str">
        <x:v>PARTIAL_NO_DATE</x:v>
      </x:c>
    </x:row>
    <x:row r="186">
      <x:c r="A186" s="18" t="str">
        <x:v>NYT-45-b57ba60e8daf9d30</x:v>
      </x:c>
      <x:c r="B186" s="18" t="str">
        <x:v>Germany challenges ICJ jurisdiction in Nicaragua’s case over Berlin's alleged ‘support for Gaza genocide’ - A News</x:v>
      </x:c>
      <x:c r="C186" s="18" t="str">
        <x:v>2026-09-08</x:v>
      </x:c>
      <x:c r="D186" s="18" t="n">
        <x:v>2026</x:v>
      </x:c>
      <x:c r="E186" s="18" t="str">
        <x:v>2026-09</x:v>
      </x:c>
      <x:c r="F186" s="18" t="str"/>
      <x:c r="G186" s="18" t="str">
        <x:v>International Court of Justice proceeding</x:v>
      </x:c>
      <x:c r="H186" s="18" t="str"/>
      <x:c r="I186" s="18" t="str">
        <x:v>A News</x:v>
      </x:c>
      <x:c r="J186" s="20" t="str"/>
      <x:c r="K186" s="18" t="str"/>
      <x:c r="L186" s="18" t="str"/>
      <x:c r="M186" s="18" t="str"/>
      <x:c r="N186" s="18" t="str">
        <x:v>Germany challenges ICJ jurisdiction in Nicaragua’s case over Berlin's alleged ‘support for Gaza genocide’ - A News</x:v>
      </x:c>
      <x:c r="O186" s="18" t="str">
        <x:v>A News</x:v>
      </x:c>
      <x:c r="P186" s="18" t="str">
        <x:v>International Court of Justice proceeding</x:v>
      </x:c>
      <x:c r="Q186" s="18" t="str"/>
      <x:c r="R186" s="18" t="n">
        <x:v>46273.376388888886</x:v>
      </x:c>
      <x:c r="S186" s="18" t="str">
        <x:v>https://www.anews.com.tr</x:v>
      </x:c>
      <x:c r="T186" s="18" t="str">
        <x:v>DEFINED_TERMINAL_OR_FEED_SCOPE</x:v>
      </x:c>
      <x:c r="U186" s="18" t="str">
        <x:v>news_icj_14d.json — published records loaded</x:v>
      </x:c>
      <x:c r="V186" s="18" t="str"/>
      <x:c r="W186" s="18" t="str"/>
      <x:c r="X186" s="20" t="n">
        <x:v>192</x:v>
      </x:c>
      <x:c r="Y186" s="19" t="n">
        <x:f>IFERROR(TODAY()-DATEVALUE(C186),"")</x:f>
        <x:v>2</x:v>
      </x:c>
      <x:c r="Z186" s="21" t="n">
        <x:f>ROUND(COUNTA(A186:K186)/11*100,0)</x:f>
        <x:v>100</x:v>
      </x:c>
      <x:c r="AA186" s="18" t="str">
        <x:v>Google News RSS</x:v>
      </x:c>
      <x:c r="AB186" s="22" t="str">
        <x:v>https://news.google.com/rss/articles/CBMi2wFBVV95cUxON0dlb281Q1ZKYW9Gb3NFRkhkRi1LdDFJak9mRTFMaV9EYmtHRUJ1Wk5RZ2xEN0VGRjJOY3N3NDFKNnhoekl1RmUwYmJITDVDVDBHTkxacTl4cFBjWmZGWFNNcFRpbmlQQnhiN1d0dFdHMzVXM2ZYM2lTVUhUVzdqdGt6S1BFZEVGMUk5WnNPUWxKVDdsaDRQeHZ0M3h2a0pNQWdheDhBLTJEYnZBRzNsMzYyQml3YmtkeEx5ZFo0YmVlVkdIOFhYZnVYaUUxQWJIZ0hWSU44enRzTm_SAeABQVVfeXFMT21sSHl6dU82dFdXTzZYU1JWcFQwcmtKSlJWQzRNNWM3MjZGU3AyMDFGdXRHazFvNE83MUNOX2JLVWlkXzV2NUZnZ0JmSTlHVmVmeGZEWDRPUldkQVBrZGhTSjVfMkw3ZDZfc19JTXdNMENyeGRpMDg3MFdjMF9WZTl4V1FMT0todlZ3TmMzTmNNNGFvZDVYX01mTzdZX0J2TnV1clJOeHlkYlJiQnF0ODFZOHRnb0t3Y3hjYXEzQ3dEWW1qb1ZFeG8yU3Y5eFk4OFFZei1oaENGaTFVRXM5QUc?oc=5</x:v>
      </x:c>
      <x:c r="AC186" s="18" t="n">
        <x:v>46273.376388888886</x:v>
      </x:c>
      <x:c r="AD186" s="18" t="n">
        <x:v>46275.38862103009</x:v>
      </x:c>
      <x:c r="AE186" s="18" t="str">
        <x:v>public_rss</x:v>
      </x:c>
      <x:c r="AF186" s="18" t="str">
        <x:v>READY</x:v>
      </x:c>
    </x:row>
    <x:row r="187">
      <x:c r="A187" s="18" t="str">
        <x:v>NYT-45-e6720383e8e75a2c</x:v>
      </x:c>
      <x:c r="B187" s="18" t="str">
        <x:v>Nicaragua Tells ICJ: Germany Violating International Law by Arming Israel - Deccan Chronicle</x:v>
      </x:c>
      <x:c r="C187" s="18" t="str">
        <x:v>2026-09-09</x:v>
      </x:c>
      <x:c r="D187" s="18" t="n">
        <x:v>2026</x:v>
      </x:c>
      <x:c r="E187" s="18" t="str">
        <x:v>2026-09</x:v>
      </x:c>
      <x:c r="F187" s="18" t="str"/>
      <x:c r="G187" s="18" t="str">
        <x:v>International Court of Justice proceeding</x:v>
      </x:c>
      <x:c r="H187" s="18" t="str"/>
      <x:c r="I187" s="18" t="str">
        <x:v>Deccan Chronicle</x:v>
      </x:c>
      <x:c r="J187" s="20" t="str"/>
      <x:c r="K187" s="18" t="str"/>
      <x:c r="L187" s="18" t="str"/>
      <x:c r="M187" s="18" t="str"/>
      <x:c r="N187" s="18" t="str">
        <x:v>Nicaragua Tells ICJ: Germany Violating International Law by Arming Israel - Deccan Chronicle</x:v>
      </x:c>
      <x:c r="O187" s="18" t="str">
        <x:v>Deccan Chronicle</x:v>
      </x:c>
      <x:c r="P187" s="18" t="str">
        <x:v>International Court of Justice proceeding</x:v>
      </x:c>
      <x:c r="Q187" s="18" t="str"/>
      <x:c r="R187" s="18" t="n">
        <x:v>46274.47875</x:v>
      </x:c>
      <x:c r="S187" s="18" t="str">
        <x:v>https://www.deccanchronicle.com</x:v>
      </x:c>
      <x:c r="T187" s="18" t="str">
        <x:v>DEFINED_TERMINAL_OR_FEED_SCOPE</x:v>
      </x:c>
      <x:c r="U187" s="18" t="str">
        <x:v>news_icj_14d.json — published records loaded</x:v>
      </x:c>
      <x:c r="V187" s="18" t="str"/>
      <x:c r="W187" s="18" t="str"/>
      <x:c r="X187" s="20" t="n">
        <x:v>192</x:v>
      </x:c>
      <x:c r="Y187" s="19" t="n">
        <x:f>IFERROR(TODAY()-DATEVALUE(C187),"")</x:f>
        <x:v>1</x:v>
      </x:c>
      <x:c r="Z187" s="21" t="n">
        <x:f>ROUND(COUNTA(A187:K187)/11*100,0)</x:f>
        <x:v>100</x:v>
      </x:c>
      <x:c r="AA187" s="18" t="str">
        <x:v>Google News RSS</x:v>
      </x:c>
      <x:c r="AB187" s="22" t="str">
        <x:v>https://news.google.com/rss/articles/CBMivwFBVV95cUxONmJKeC1yZ0FSYjNES2UyMnZnLVZZQUY2SllHSlYzWTdtMFhHVzhvTDdZMWIybVJFNk92SlVIbjl4YVRYSkpuaW1pZjhnbFVacGhrT0NxTG9WSExMMHVyNXNKMFdaY3pBelZraGhOLWhBTVhVWklEVU9Yc2ZXX2Z1NkJXMXk2Tkl2Z1ExRVJDVmVqX1FaMlJtaDJjRmx4X0VkTTFNZ1JOSTBzN1NkZzg2NFN0V1RmMThFZnB4LVIya9IBvwFBVV95cUxONmJKeC1yZ0FSYjNES2UyMnZnLVZZQUY2SllHSlYzWTdtMFhHVzhvTDdZMWIybVJFNk92SlVIbjl4YVRYSkpuaW1pZjhnbFVacGhrT0NxTG9WSExMMHVyNXNKMFdaY3pBelZraGhOLWhBTVhVWklEVU9Yc2ZXX2Z1NkJXMXk2Tkl2Z1ExRVJDVmVqX1FaMlJtaDJjRmx4X0VkTTFNZ1JOSTBzN1NkZzg2NFN0V1RmMThFZnB4LVIyaw?oc=5</x:v>
      </x:c>
      <x:c r="AC187" s="18" t="n">
        <x:v>46274.47875</x:v>
      </x:c>
      <x:c r="AD187" s="18" t="n">
        <x:v>46275.38862103009</x:v>
      </x:c>
      <x:c r="AE187" s="18" t="str">
        <x:v>public_rss</x:v>
      </x:c>
      <x:c r="AF187" s="18" t="str">
        <x:v>READY</x:v>
      </x:c>
    </x:row>
    <x:row r="188">
      <x:c r="A188" s="18" t="str">
        <x:v>NYT-45-cb11eae2d2f0fc19</x:v>
      </x:c>
      <x:c r="B188" s="18" t="str">
        <x:v>Vanuatu institutes legal proceedings over Matthew and Hunter Islands - East Asia Forum</x:v>
      </x:c>
      <x:c r="C188" s="18" t="str">
        <x:v>2026-09-05</x:v>
      </x:c>
      <x:c r="D188" s="18" t="n">
        <x:v>2026</x:v>
      </x:c>
      <x:c r="E188" s="18" t="str">
        <x:v>2026-09</x:v>
      </x:c>
      <x:c r="F188" s="18" t="str"/>
      <x:c r="G188" s="18" t="str">
        <x:v>International Court of Justice proceeding</x:v>
      </x:c>
      <x:c r="H188" s="18" t="str"/>
      <x:c r="I188" s="18" t="str">
        <x:v>East Asia Forum</x:v>
      </x:c>
      <x:c r="J188" s="20" t="str"/>
      <x:c r="K188" s="18" t="str"/>
      <x:c r="L188" s="18" t="str"/>
      <x:c r="M188" s="18" t="str"/>
      <x:c r="N188" s="18" t="str">
        <x:v>Vanuatu institutes legal proceedings over Matthew and Hunter Islands - East Asia Forum</x:v>
      </x:c>
      <x:c r="O188" s="18" t="str">
        <x:v>East Asia Forum</x:v>
      </x:c>
      <x:c r="P188" s="18" t="str">
        <x:v>International Court of Justice proceeding</x:v>
      </x:c>
      <x:c r="Q188" s="18" t="str"/>
      <x:c r="R188" s="18" t="n">
        <x:v>46270</x:v>
      </x:c>
      <x:c r="S188" s="18" t="str">
        <x:v>https://eastasiaforum.org</x:v>
      </x:c>
      <x:c r="T188" s="18" t="str">
        <x:v>DEFINED_TERMINAL_OR_FEED_SCOPE</x:v>
      </x:c>
      <x:c r="U188" s="18" t="str">
        <x:v>news_icj_14d.json — published records loaded</x:v>
      </x:c>
      <x:c r="V188" s="18" t="str"/>
      <x:c r="W188" s="18" t="str"/>
      <x:c r="X188" s="20" t="n">
        <x:v>192</x:v>
      </x:c>
      <x:c r="Y188" s="19" t="n">
        <x:f>IFERROR(TODAY()-DATEVALUE(C188),"")</x:f>
        <x:v>5</x:v>
      </x:c>
      <x:c r="Z188" s="21" t="n">
        <x:f>ROUND(COUNTA(A188:K188)/11*100,0)</x:f>
        <x:v>100</x:v>
      </x:c>
      <x:c r="AA188" s="18" t="str">
        <x:v>Google News RSS</x:v>
      </x:c>
      <x:c r="AB188" s="22" t="str">
        <x:v>https://news.google.com/rss/articles/CBMiqgFBVV95cUxNaEVZSWJnUHhPYkthZ0Y4LXMxVFFiWXc2Qm1XSWtoVHZkZlZqTjBsLXUyZWNuYXFmRUhBRkVqR0h4X0RiSVpXMXJ5U2pJaDFXMEtQWnp5RnRPOUg3dnBocGVtU3hqc1FiOUxhVnpYMl9IbUs1S1lVRFhVM0E0R09Sa09uQlI5cktILUlRSUxlb0NOa2w3aVpyMFh6S1hRVVFfUGlpdjk4RU9FQQ?oc=5</x:v>
      </x:c>
      <x:c r="AC188" s="18" t="n">
        <x:v>46270</x:v>
      </x:c>
      <x:c r="AD188" s="18" t="n">
        <x:v>46275.38862103009</x:v>
      </x:c>
      <x:c r="AE188" s="18" t="str">
        <x:v>public_rss</x:v>
      </x:c>
      <x:c r="AF188" s="18" t="str">
        <x:v>READY</x:v>
      </x:c>
    </x:row>
    <x:row r="189">
      <x:c r="A189" s="18" t="str">
        <x:v>NYT-45-00bcc647b1787595</x:v>
      </x:c>
      <x:c r="B189" s="18" t="str">
        <x:v>Germany urges International Court of Justice to throw out Nicaragua genocide case - Canadian Lawyer</x:v>
      </x:c>
      <x:c r="C189" s="18" t="str">
        <x:v>2026-09-10</x:v>
      </x:c>
      <x:c r="D189" s="18" t="n">
        <x:v>2026</x:v>
      </x:c>
      <x:c r="E189" s="18" t="str">
        <x:v>2026-09</x:v>
      </x:c>
      <x:c r="F189" s="18" t="str"/>
      <x:c r="G189" s="18" t="str">
        <x:v>International Court of Justice proceeding</x:v>
      </x:c>
      <x:c r="H189" s="18" t="str"/>
      <x:c r="I189" s="18" t="str">
        <x:v>Canadian Lawyer</x:v>
      </x:c>
      <x:c r="J189" s="20" t="str"/>
      <x:c r="K189" s="18" t="str"/>
      <x:c r="L189" s="18" t="str"/>
      <x:c r="M189" s="18" t="str"/>
      <x:c r="N189" s="18" t="str">
        <x:v>Germany urges International Court of Justice to throw out Nicaragua genocide case - Canadian Lawyer</x:v>
      </x:c>
      <x:c r="O189" s="18" t="str">
        <x:v>Canadian Lawyer</x:v>
      </x:c>
      <x:c r="P189" s="18" t="str">
        <x:v>International Court of Justice proceeding</x:v>
      </x:c>
      <x:c r="Q189" s="18" t="str"/>
      <x:c r="R189" s="18" t="n">
        <x:v>46275.23685185185</x:v>
      </x:c>
      <x:c r="S189" s="18" t="str">
        <x:v>https://www.canadianlawyermag.com</x:v>
      </x:c>
      <x:c r="T189" s="18" t="str">
        <x:v>DEFINED_TERMINAL_OR_FEED_SCOPE</x:v>
      </x:c>
      <x:c r="U189" s="18" t="str">
        <x:v>news_icj_14d.json — published records loaded</x:v>
      </x:c>
      <x:c r="V189" s="18" t="str"/>
      <x:c r="W189" s="18" t="str"/>
      <x:c r="X189" s="20" t="n">
        <x:v>192</x:v>
      </x:c>
      <x:c r="Y189" s="19" t="n">
        <x:f>IFERROR(TODAY()-DATEVALUE(C189),"")</x:f>
        <x:v>0</x:v>
      </x:c>
      <x:c r="Z189" s="21" t="n">
        <x:f>ROUND(COUNTA(A189:K189)/11*100,0)</x:f>
        <x:v>100</x:v>
      </x:c>
      <x:c r="AA189" s="18" t="str">
        <x:v>Google News RSS</x:v>
      </x:c>
      <x:c r="AB189" s="22" t="str">
        <x:v>https://news.google.com/rss/articles/CBMi2AFBVV95cUxQLThiV05WbGRRN0hxSE1rbmU1SmE1bGdLMDJoWm8zV1FrWDhxNlRtd0pmSHFVcmdfa2tkU3NSdkNuV2c4SWFRQm16NmtIUy01UmpkNE53cnFvRm9yZlBZVHpXMFpIeGVzcXlNY3NMcXZBTVpacm81OFcyUGFzRWRFd0lzQUlwb05FY0JkNTZ3UFNFdGFkNU8yRGlScmtPeTBMNXZ1dWRtWkgtbWJnYU4xWFVZemZ0WTkyMnVGcC1BV2R6YUU0V21sZUJwYWhWNmx1UkRadWE4VEk?oc=5</x:v>
      </x:c>
      <x:c r="AC189" s="18" t="n">
        <x:v>46275.23685185185</x:v>
      </x:c>
      <x:c r="AD189" s="18" t="n">
        <x:v>46275.38862103009</x:v>
      </x:c>
      <x:c r="AE189" s="18" t="str">
        <x:v>public_rss</x:v>
      </x:c>
      <x:c r="AF189" s="18" t="str">
        <x:v>READY</x:v>
      </x:c>
    </x:row>
    <x:row r="190">
      <x:c r="A190" s="18" t="str">
        <x:v>NYT-45-04734d696aeb4475</x:v>
      </x:c>
      <x:c r="B190" s="18" t="str">
        <x:v>Vanuatu moves against France at ICJ over 2 Pacific islands - Anadolu Ajansı</x:v>
      </x:c>
      <x:c r="C190" s="18" t="str">
        <x:v>2026-09-03</x:v>
      </x:c>
      <x:c r="D190" s="18" t="n">
        <x:v>2026</x:v>
      </x:c>
      <x:c r="E190" s="18" t="str">
        <x:v>2026-09</x:v>
      </x:c>
      <x:c r="F190" s="18" t="str"/>
      <x:c r="G190" s="18" t="str">
        <x:v>International Court of Justice proceeding</x:v>
      </x:c>
      <x:c r="H190" s="18" t="str"/>
      <x:c r="I190" s="18" t="str">
        <x:v>Anadolu Ajansı</x:v>
      </x:c>
      <x:c r="J190" s="20" t="str"/>
      <x:c r="K190" s="18" t="str"/>
      <x:c r="L190" s="18" t="str"/>
      <x:c r="M190" s="18" t="str"/>
      <x:c r="N190" s="18" t="str">
        <x:v>Vanuatu moves against France at ICJ over 2 Pacific islands - Anadolu Ajansı</x:v>
      </x:c>
      <x:c r="O190" s="18" t="str">
        <x:v>Anadolu Ajansı</x:v>
      </x:c>
      <x:c r="P190" s="18" t="str">
        <x:v>International Court of Justice proceeding</x:v>
      </x:c>
      <x:c r="Q190" s="18" t="str"/>
      <x:c r="R190" s="18" t="n">
        <x:v>46268.46679398148</x:v>
      </x:c>
      <x:c r="S190" s="18" t="str">
        <x:v>https://www.aa.com.tr</x:v>
      </x:c>
      <x:c r="T190" s="18" t="str">
        <x:v>DEFINED_TERMINAL_OR_FEED_SCOPE</x:v>
      </x:c>
      <x:c r="U190" s="18" t="str">
        <x:v>news_icj_14d.json — published records loaded</x:v>
      </x:c>
      <x:c r="V190" s="18" t="str"/>
      <x:c r="W190" s="18" t="str"/>
      <x:c r="X190" s="20" t="n">
        <x:v>192</x:v>
      </x:c>
      <x:c r="Y190" s="19" t="n">
        <x:f>IFERROR(TODAY()-DATEVALUE(C190),"")</x:f>
        <x:v>7</x:v>
      </x:c>
      <x:c r="Z190" s="21" t="n">
        <x:f>ROUND(COUNTA(A190:K190)/11*100,0)</x:f>
        <x:v>100</x:v>
      </x:c>
      <x:c r="AA190" s="18" t="str">
        <x:v>Google News RSS</x:v>
      </x:c>
      <x:c r="AB190" s="22" t="str">
        <x:v>https://news.google.com/rss/articles/CBMipwFBVV95cUxNUkloQXNVQkJmVTYwdTBuczkzc3VNQ2FqN3ZBdWJoQ1dGZk5zS3JpYVU5U2R5NjZ4UmZmeHhhME5wb1ZZd2dXbmVRS1NtNXVCMEtiQ3B1MklLWkdyMzZmU3hLN3hoRWxCS0ZsUTZMWGxJZlBubUJLUnhwOGp5d0tKSDF1QUVGX01YcW10S3NwTWE0b21kS3VPajdRdVFkWEQzZmRKTlhFQQ?oc=5</x:v>
      </x:c>
      <x:c r="AC190" s="18" t="n">
        <x:v>46268.46679398148</x:v>
      </x:c>
      <x:c r="AD190" s="18" t="n">
        <x:v>46275.38862103009</x:v>
      </x:c>
      <x:c r="AE190" s="18" t="str">
        <x:v>public_rss</x:v>
      </x:c>
      <x:c r="AF190" s="18" t="str">
        <x:v>READY</x:v>
      </x:c>
    </x:row>
    <x:row r="191">
      <x:c r="A191" s="18" t="str">
        <x:v>NYT-45-b7288b5851f01785</x:v>
      </x:c>
      <x:c r="B191" s="18" t="str">
        <x:v>Germany Requests UN Court To Dismiss Nicaragua’s Case Linked to Israel - The CSR Journal</x:v>
      </x:c>
      <x:c r="C191" s="18" t="str">
        <x:v>2026-09-07</x:v>
      </x:c>
      <x:c r="D191" s="18" t="n">
        <x:v>2026</x:v>
      </x:c>
      <x:c r="E191" s="18" t="str">
        <x:v>2026-09</x:v>
      </x:c>
      <x:c r="F191" s="18" t="str"/>
      <x:c r="G191" s="18" t="str">
        <x:v>International Court of Justice proceeding</x:v>
      </x:c>
      <x:c r="H191" s="18" t="str"/>
      <x:c r="I191" s="18" t="str">
        <x:v>The CSR Journal</x:v>
      </x:c>
      <x:c r="J191" s="20" t="str"/>
      <x:c r="K191" s="18" t="str"/>
      <x:c r="L191" s="18" t="str"/>
      <x:c r="M191" s="18" t="str"/>
      <x:c r="N191" s="18" t="str">
        <x:v>Germany Requests UN Court To Dismiss Nicaragua’s Case Linked to Israel - The CSR Journal</x:v>
      </x:c>
      <x:c r="O191" s="18" t="str">
        <x:v>The CSR Journal</x:v>
      </x:c>
      <x:c r="P191" s="18" t="str">
        <x:v>International Court of Justice proceeding</x:v>
      </x:c>
      <x:c r="Q191" s="18" t="str"/>
      <x:c r="R191" s="18" t="n">
        <x:v>46272.58724537037</x:v>
      </x:c>
      <x:c r="S191" s="18" t="str">
        <x:v>https://thecsrjournal.in</x:v>
      </x:c>
      <x:c r="T191" s="18" t="str">
        <x:v>DEFINED_TERMINAL_OR_FEED_SCOPE</x:v>
      </x:c>
      <x:c r="U191" s="18" t="str">
        <x:v>news_icj_14d.json — published records loaded</x:v>
      </x:c>
      <x:c r="V191" s="18" t="str"/>
      <x:c r="W191" s="18" t="str"/>
      <x:c r="X191" s="20" t="n">
        <x:v>192</x:v>
      </x:c>
      <x:c r="Y191" s="19" t="n">
        <x:f>IFERROR(TODAY()-DATEVALUE(C191),"")</x:f>
        <x:v>3</x:v>
      </x:c>
      <x:c r="Z191" s="21" t="n">
        <x:f>ROUND(COUNTA(A191:K191)/11*100,0)</x:f>
        <x:v>100</x:v>
      </x:c>
      <x:c r="AA191" s="18" t="str">
        <x:v>Google News RSS</x:v>
      </x:c>
      <x:c r="AB191" s="22" t="str">
        <x:v>https://news.google.com/rss/articles/CBMimgFBVV95cUxQX0hwaGxsdGdSc1VNbnM1RkNERjlpN0lsc1Q0Tm1zOFZfaTNLTXVUbnhMWjR6eTB5YS1RVDlYTENYN0lxZGhyQ2psTGxqNnBON2lHS3N5ZlM1S0FFb1pnaWVuc0xaVVdFRkI4X19XWmZ6ZXNERjFxN1JqbkZnSl9hdmdnQzZrc05uV2VyQmNYNDlPekFZeFJFUEN3?oc=5</x:v>
      </x:c>
      <x:c r="AC191" s="18" t="n">
        <x:v>46272.58724537037</x:v>
      </x:c>
      <x:c r="AD191" s="18" t="n">
        <x:v>46275.38862103009</x:v>
      </x:c>
      <x:c r="AE191" s="18" t="str">
        <x:v>public_rss</x:v>
      </x:c>
      <x:c r="AF191" s="18" t="str">
        <x:v>READY</x:v>
      </x:c>
    </x:row>
    <x:row r="192">
      <x:c r="A192" s="18" t="str">
        <x:v>NYT-45-6f1c525eae089200</x:v>
      </x:c>
      <x:c r="B192" s="18" t="str">
        <x:v>Germany fights Gaza genocide claims at the top UN court - WSLS</x:v>
      </x:c>
      <x:c r="C192" s="18" t="str">
        <x:v>2026-09-07</x:v>
      </x:c>
      <x:c r="D192" s="18" t="n">
        <x:v>2026</x:v>
      </x:c>
      <x:c r="E192" s="18" t="str">
        <x:v>2026-09</x:v>
      </x:c>
      <x:c r="F192" s="18" t="str"/>
      <x:c r="G192" s="18" t="str">
        <x:v>International Court of Justice proceeding</x:v>
      </x:c>
      <x:c r="H192" s="18" t="str"/>
      <x:c r="I192" s="18" t="str">
        <x:v>WSLS</x:v>
      </x:c>
      <x:c r="J192" s="20" t="str"/>
      <x:c r="K192" s="18" t="str"/>
      <x:c r="L192" s="18" t="str"/>
      <x:c r="M192" s="18" t="str"/>
      <x:c r="N192" s="18" t="str">
        <x:v>Germany fights Gaza genocide claims at the top UN court - WSLS</x:v>
      </x:c>
      <x:c r="O192" s="18" t="str">
        <x:v>WSLS</x:v>
      </x:c>
      <x:c r="P192" s="18" t="str">
        <x:v>International Court of Justice proceeding</x:v>
      </x:c>
      <x:c r="Q192" s="18" t="str"/>
      <x:c r="R192" s="18" t="n">
        <x:v>46272.212847222225</x:v>
      </x:c>
      <x:c r="S192" s="18" t="str">
        <x:v>https://www.wsls.com</x:v>
      </x:c>
      <x:c r="T192" s="18" t="str">
        <x:v>DEFINED_TERMINAL_OR_FEED_SCOPE</x:v>
      </x:c>
      <x:c r="U192" s="18" t="str">
        <x:v>news_icj_14d.json — published records loaded</x:v>
      </x:c>
      <x:c r="V192" s="18" t="str"/>
      <x:c r="W192" s="18" t="str"/>
      <x:c r="X192" s="20" t="n">
        <x:v>192</x:v>
      </x:c>
      <x:c r="Y192" s="19" t="n">
        <x:f>IFERROR(TODAY()-DATEVALUE(C192),"")</x:f>
        <x:v>3</x:v>
      </x:c>
      <x:c r="Z192" s="21" t="n">
        <x:f>ROUND(COUNTA(A192:K192)/11*100,0)</x:f>
        <x:v>100</x:v>
      </x:c>
      <x:c r="AA192" s="18" t="str">
        <x:v>Google News RSS</x:v>
      </x:c>
      <x:c r="AB192" s="22" t="str">
        <x:v>https://news.google.com/rss/articles/CBMiogFBVV95cUxQMm94cFRELUhvc19FWWF3SUhmZFItSzVwMTBkTlBzTEhLOHJ4clBCV1VqZmVqeWNUd29RTjhCMldjNUlMSEVuNFBjZWZhUmlpWDl4RmYtblJJSDd5SHpRWHJ5cFk3X2J6eE9sNktVLVZXUFZOUENpdFp2U2pIU3I5T0JKSHBCN1gzQjAtSnBLb2x5c0E2eUxRbVVHWU1Da2l2dnc?oc=5</x:v>
      </x:c>
      <x:c r="AC192" s="18" t="n">
        <x:v>46272.212847222225</x:v>
      </x:c>
      <x:c r="AD192" s="18" t="n">
        <x:v>46275.38862103009</x:v>
      </x:c>
      <x:c r="AE192" s="18" t="str">
        <x:v>public_rss</x:v>
      </x:c>
      <x:c r="AF192" s="18" t="str">
        <x:v>READY</x:v>
      </x:c>
    </x:row>
    <x:row r="193">
      <x:c r="A193" s="18" t="str">
        <x:v>NYT-45-7e510b635635e095</x:v>
      </x:c>
      <x:c r="B193" s="18" t="str">
        <x:v>Ratko Mladić and the Srebrenica Genocide: What International Law Established - Diplomacy and Law</x:v>
      </x:c>
      <x:c r="C193" s="18" t="str">
        <x:v>2026-08-28</x:v>
      </x:c>
      <x:c r="D193" s="18" t="n">
        <x:v>2026</x:v>
      </x:c>
      <x:c r="E193" s="18" t="str">
        <x:v>2026-08</x:v>
      </x:c>
      <x:c r="F193" s="18" t="str"/>
      <x:c r="G193" s="18" t="str">
        <x:v>International Court of Justice proceeding</x:v>
      </x:c>
      <x:c r="H193" s="18" t="str"/>
      <x:c r="I193" s="18" t="str">
        <x:v>Diplomacy and Law</x:v>
      </x:c>
      <x:c r="J193" s="20" t="str"/>
      <x:c r="K193" s="18" t="str"/>
      <x:c r="L193" s="18" t="str"/>
      <x:c r="M193" s="18" t="str"/>
      <x:c r="N193" s="18" t="str">
        <x:v>Ratko Mladić and the Srebrenica Genocide: What International Law Established - Diplomacy and Law</x:v>
      </x:c>
      <x:c r="O193" s="18" t="str">
        <x:v>Diplomacy and Law</x:v>
      </x:c>
      <x:c r="P193" s="18" t="str">
        <x:v>International Court of Justice proceeding</x:v>
      </x:c>
      <x:c r="Q193" s="18" t="str"/>
      <x:c r="R193" s="18" t="n">
        <x:v>46262.338541666664</x:v>
      </x:c>
      <x:c r="S193" s="18" t="str">
        <x:v>https://www.diplomacyandlaw.com</x:v>
      </x:c>
      <x:c r="T193" s="18" t="str">
        <x:v>DEFINED_TERMINAL_OR_FEED_SCOPE</x:v>
      </x:c>
      <x:c r="U193" s="18" t="str">
        <x:v>news_icj_14d.json — published records loaded</x:v>
      </x:c>
      <x:c r="V193" s="18" t="str"/>
      <x:c r="W193" s="18" t="str"/>
      <x:c r="X193" s="20" t="n">
        <x:v>192</x:v>
      </x:c>
      <x:c r="Y193" s="19" t="n">
        <x:f>IFERROR(TODAY()-DATEVALUE(C193),"")</x:f>
        <x:v>13</x:v>
      </x:c>
      <x:c r="Z193" s="21" t="n">
        <x:f>ROUND(COUNTA(A193:K193)/11*100,0)</x:f>
        <x:v>100</x:v>
      </x:c>
      <x:c r="AA193" s="18" t="str">
        <x:v>Google News RSS</x:v>
      </x:c>
      <x:c r="AB193" s="22" t="str">
        <x:v>https://news.google.com/rss/articles/CBMigwFBVV95cUxObjJ3UGo0bTV5REVfQnhlM0RWbF9xcnY2NGR6Tll5eTRWeU1zM2I2d1RrdnNJVURJQWlud3lkdGxlclZ1WFpLMjVNMy10Z1d6VS1FZ0VONGhPTWEyam1CRER1c1Q1MXBOb1lCOWplVnY3STdKV1VMTUI2dEdqZi04bUU1RQ?oc=5</x:v>
      </x:c>
      <x:c r="AC193" s="18" t="n">
        <x:v>46262.338541666664</x:v>
      </x:c>
      <x:c r="AD193" s="18" t="n">
        <x:v>46275.38862103009</x:v>
      </x:c>
      <x:c r="AE193" s="18" t="str">
        <x:v>public_rss</x:v>
      </x:c>
      <x:c r="AF193" s="18" t="str">
        <x:v>READY</x:v>
      </x:c>
    </x:row>
    <x:row r="194">
      <x:c r="A194" s="18" t="str">
        <x:v>NYT-45-7d26d13686d19079</x:v>
      </x:c>
      <x:c r="B194" s="18" t="str">
        <x:v>France digs in on Pacific islands claim as Vanuatu turns to World Court - South China Morning Post</x:v>
      </x:c>
      <x:c r="C194" s="18" t="str">
        <x:v>2026-09-04</x:v>
      </x:c>
      <x:c r="D194" s="18" t="n">
        <x:v>2026</x:v>
      </x:c>
      <x:c r="E194" s="18" t="str">
        <x:v>2026-09</x:v>
      </x:c>
      <x:c r="F194" s="18" t="str"/>
      <x:c r="G194" s="18" t="str">
        <x:v>International Court of Justice proceeding</x:v>
      </x:c>
      <x:c r="H194" s="18" t="str"/>
      <x:c r="I194" s="18" t="str">
        <x:v>South China Morning Post</x:v>
      </x:c>
      <x:c r="J194" s="20" t="str"/>
      <x:c r="K194" s="18" t="str"/>
      <x:c r="L194" s="18" t="str"/>
      <x:c r="M194" s="18" t="str"/>
      <x:c r="N194" s="18" t="str">
        <x:v>France digs in on Pacific islands claim as Vanuatu turns to World Court - South China Morning Post</x:v>
      </x:c>
      <x:c r="O194" s="18" t="str">
        <x:v>South China Morning Post</x:v>
      </x:c>
      <x:c r="P194" s="18" t="str">
        <x:v>International Court of Justice proceeding</x:v>
      </x:c>
      <x:c r="Q194" s="18" t="str"/>
      <x:c r="R194" s="18" t="n">
        <x:v>46269.10927083333</x:v>
      </x:c>
      <x:c r="S194" s="18" t="str">
        <x:v>https://www.scmp.com</x:v>
      </x:c>
      <x:c r="T194" s="18" t="str">
        <x:v>DEFINED_TERMINAL_OR_FEED_SCOPE</x:v>
      </x:c>
      <x:c r="U194" s="18" t="str">
        <x:v>news_icj_14d.json — published records loaded</x:v>
      </x:c>
      <x:c r="V194" s="18" t="str"/>
      <x:c r="W194" s="18" t="str"/>
      <x:c r="X194" s="20" t="n">
        <x:v>192</x:v>
      </x:c>
      <x:c r="Y194" s="19" t="n">
        <x:f>IFERROR(TODAY()-DATEVALUE(C194),"")</x:f>
        <x:v>6</x:v>
      </x:c>
      <x:c r="Z194" s="21" t="n">
        <x:f>ROUND(COUNTA(A194:K194)/11*100,0)</x:f>
        <x:v>100</x:v>
      </x:c>
      <x:c r="AA194" s="18" t="str">
        <x:v>Google News RSS</x:v>
      </x:c>
      <x:c r="AB194" s="22" t="str">
        <x:v>https://news.google.com/rss/articles/CBMiqwFBVV95cUxNUFhHVVAwaGNpOTNHMmdJcXRWNVgzbWl2QkdETThQY3U2ajZJZWlPc2s1Q2FnSkd4Ml9YREtqYXFqUTNtYjBFSDRXLThYSVlfX0hrUENha0MwVzlyTVY4V3R1RzF3Qk5IY2l5bmtNRWtqVHRrLTh5cXVobjZnM08yNDJVX1lnQmFRNHNyUkk3N1hCRFpHNUxlQnljOHdHUDJ6d3Bkb0JKdFpZbjDSAasBQVVfeXFMTXRqOTRJQ3JRdDdRUXhBWkUxNWpBcVM2SmVmVkk3Y0pjTE53OW1Zczk2cThONnozTlZacGl4UVZOcEJodkRLdEFyamxqdHQtWWRjZlBHdF9nU1NPdnBta2l3NUZZb3c4V0tUUFBTYllpcEoyODFiUFBFMGdydm5XLXpXcXRBV2lYOVlZWDdyd3U5c0h0QmhBblRQSXFtQWNhTXJvbWVzT3ZYUEI0?oc=5</x:v>
      </x:c>
      <x:c r="AC194" s="18" t="n">
        <x:v>46269.10927083333</x:v>
      </x:c>
      <x:c r="AD194" s="18" t="n">
        <x:v>46275.38862103009</x:v>
      </x:c>
      <x:c r="AE194" s="18" t="str">
        <x:v>public_rss</x:v>
      </x:c>
      <x:c r="AF194" s="18" t="str">
        <x:v>READY</x:v>
      </x:c>
    </x:row>
    <x:row r="195">
      <x:c r="A195" s="18" t="str">
        <x:v>NYT-45-4006479bd5da3699</x:v>
      </x:c>
      <x:c r="B195" s="18" t="str">
        <x:v>Germany asks world court to dismiss Nicaragua’s Gaza arms case - EU Today</x:v>
      </x:c>
      <x:c r="C195" s="18" t="str">
        <x:v>2026-09-07</x:v>
      </x:c>
      <x:c r="D195" s="18" t="n">
        <x:v>2026</x:v>
      </x:c>
      <x:c r="E195" s="18" t="str">
        <x:v>2026-09</x:v>
      </x:c>
      <x:c r="F195" s="18" t="str"/>
      <x:c r="G195" s="18" t="str">
        <x:v>International Court of Justice proceeding</x:v>
      </x:c>
      <x:c r="H195" s="18" t="str"/>
      <x:c r="I195" s="18" t="str">
        <x:v>EU Today</x:v>
      </x:c>
      <x:c r="J195" s="20" t="str"/>
      <x:c r="K195" s="18" t="str"/>
      <x:c r="L195" s="18" t="str"/>
      <x:c r="M195" s="18" t="str"/>
      <x:c r="N195" s="18" t="str">
        <x:v>Germany asks world court to dismiss Nicaragua’s Gaza arms case - EU Today</x:v>
      </x:c>
      <x:c r="O195" s="18" t="str">
        <x:v>EU Today</x:v>
      </x:c>
      <x:c r="P195" s="18" t="str">
        <x:v>International Court of Justice proceeding</x:v>
      </x:c>
      <x:c r="Q195" s="18" t="str"/>
      <x:c r="R195" s="18" t="n">
        <x:v>46272.73238425926</x:v>
      </x:c>
      <x:c r="S195" s="18" t="str">
        <x:v>https://eutoday.net</x:v>
      </x:c>
      <x:c r="T195" s="18" t="str">
        <x:v>DEFINED_TERMINAL_OR_FEED_SCOPE</x:v>
      </x:c>
      <x:c r="U195" s="18" t="str">
        <x:v>news_icj_14d.json — published records loaded</x:v>
      </x:c>
      <x:c r="V195" s="18" t="str"/>
      <x:c r="W195" s="18" t="str"/>
      <x:c r="X195" s="20" t="n">
        <x:v>192</x:v>
      </x:c>
      <x:c r="Y195" s="19" t="n">
        <x:f>IFERROR(TODAY()-DATEVALUE(C195),"")</x:f>
        <x:v>3</x:v>
      </x:c>
      <x:c r="Z195" s="21" t="n">
        <x:f>ROUND(COUNTA(A195:K195)/11*100,0)</x:f>
        <x:v>100</x:v>
      </x:c>
      <x:c r="AA195" s="18" t="str">
        <x:v>Google News RSS</x:v>
      </x:c>
      <x:c r="AB195" s="22" t="str">
        <x:v>https://news.google.com/rss/articles/CBMidEFVX3lxTFBaSlpmeUVBRU41ZDkzck15QU0yOG9OdjBNRUhjV1pLaUlEUG5pUU9tWmFPQlBzcVUwcXVYZHZ0RGZMcG9yUnczQ0J3cUdQSFMwa0duRkFDMlVTa3BxUkJKOUt3aEpQajhXWG00TnVpczUtWWtI?oc=5</x:v>
      </x:c>
      <x:c r="AC195" s="18" t="n">
        <x:v>46272.73238425926</x:v>
      </x:c>
      <x:c r="AD195" s="18" t="n">
        <x:v>46275.38862103009</x:v>
      </x:c>
      <x:c r="AE195" s="18" t="str">
        <x:v>public_rss</x:v>
      </x:c>
      <x:c r="AF195" s="18" t="str">
        <x:v>READY</x:v>
      </x:c>
    </x:row>
    <x:row r="196">
      <x:c r="A196" s="18" t="str">
        <x:v>NYT-45-b8d8a658222a4729</x:v>
      </x:c>
      <x:c r="B196" s="18" t="str">
        <x:v>Israel uses Greece deal to 'export instability' into NATO - Yeni Safak English</x:v>
      </x:c>
      <x:c r="C196" s="18" t="str">
        <x:v>2026-09-04</x:v>
      </x:c>
      <x:c r="D196" s="18" t="n">
        <x:v>2026</x:v>
      </x:c>
      <x:c r="E196" s="18" t="str">
        <x:v>2026-09</x:v>
      </x:c>
      <x:c r="F196" s="18" t="str"/>
      <x:c r="G196" s="18" t="str">
        <x:v>International Court of Justice proceeding</x:v>
      </x:c>
      <x:c r="H196" s="18" t="str"/>
      <x:c r="I196" s="18" t="str">
        <x:v>Yeni Safak English</x:v>
      </x:c>
      <x:c r="J196" s="20" t="str"/>
      <x:c r="K196" s="18" t="str"/>
      <x:c r="L196" s="18" t="str"/>
      <x:c r="M196" s="18" t="str"/>
      <x:c r="N196" s="18" t="str">
        <x:v>Israel uses Greece deal to 'export instability' into NATO - Yeni Safak English</x:v>
      </x:c>
      <x:c r="O196" s="18" t="str">
        <x:v>Yeni Safak English</x:v>
      </x:c>
      <x:c r="P196" s="18" t="str">
        <x:v>International Court of Justice proceeding</x:v>
      </x:c>
      <x:c r="Q196" s="18" t="str"/>
      <x:c r="R196" s="18" t="n">
        <x:v>46269.30532407408</x:v>
      </x:c>
      <x:c r="S196" s="18" t="str">
        <x:v>https://en.yenisafak.com</x:v>
      </x:c>
      <x:c r="T196" s="18" t="str">
        <x:v>DEFINED_TERMINAL_OR_FEED_SCOPE</x:v>
      </x:c>
      <x:c r="U196" s="18" t="str">
        <x:v>news_icj_14d.json — published records loaded</x:v>
      </x:c>
      <x:c r="V196" s="18" t="str"/>
      <x:c r="W196" s="18" t="str"/>
      <x:c r="X196" s="20" t="n">
        <x:v>192</x:v>
      </x:c>
      <x:c r="Y196" s="19" t="n">
        <x:f>IFERROR(TODAY()-DATEVALUE(C196),"")</x:f>
        <x:v>6</x:v>
      </x:c>
      <x:c r="Z196" s="21" t="n">
        <x:f>ROUND(COUNTA(A196:K196)/11*100,0)</x:f>
        <x:v>100</x:v>
      </x:c>
      <x:c r="AA196" s="18" t="str">
        <x:v>Google News RSS</x:v>
      </x:c>
      <x:c r="AB196" s="22" t="str">
        <x:v>https://news.google.com/rss/articles/CBMimgFBVV95cUxQOVBlRGhVbW0zODFJZ0JCNTZBNmxwa3prZDBpZ29CUE10ZE9JVkx2VldydmxSMTJlRE1faU0tYjdka3FTMmROUUZpakdGUGpxdWlBcDdic1ZLMmQwZ3FRNENqUVlrWU41YkRBRWo3MlcyenB2RnJicEVFYmJFdW5YTEhtaHRpbE1nU2RoQ0JIM1VHNXVlNS11YTJR?oc=5</x:v>
      </x:c>
      <x:c r="AC196" s="18" t="n">
        <x:v>46269.30532407408</x:v>
      </x:c>
      <x:c r="AD196" s="18" t="n">
        <x:v>46275.38862103009</x:v>
      </x:c>
      <x:c r="AE196" s="18" t="str">
        <x:v>public_rss</x:v>
      </x:c>
      <x:c r="AF196" s="18" t="str">
        <x:v>READY</x:v>
      </x:c>
    </x:row>
    <x:row r="197">
      <x:c r="A197" s="18" t="str">
        <x:v>NYT-45-363a487d3c5a416f</x:v>
      </x:c>
      <x:c r="B197" s="18" t="str">
        <x:v>Germany fights Gaza genocide claims at the UN’s top court - bozemandailychronicle.com</x:v>
      </x:c>
      <x:c r="C197" s="18" t="str">
        <x:v>2026-09-07</x:v>
      </x:c>
      <x:c r="D197" s="18" t="n">
        <x:v>2026</x:v>
      </x:c>
      <x:c r="E197" s="18" t="str">
        <x:v>2026-09</x:v>
      </x:c>
      <x:c r="F197" s="18" t="str"/>
      <x:c r="G197" s="18" t="str">
        <x:v>International Court of Justice proceeding</x:v>
      </x:c>
      <x:c r="H197" s="18" t="str"/>
      <x:c r="I197" s="18" t="str">
        <x:v>bozemandailychronicle.com</x:v>
      </x:c>
      <x:c r="J197" s="20" t="str"/>
      <x:c r="K197" s="18" t="str"/>
      <x:c r="L197" s="18" t="str"/>
      <x:c r="M197" s="18" t="str"/>
      <x:c r="N197" s="18" t="str">
        <x:v>Germany fights Gaza genocide claims at the UN’s top court - bozemandailychronicle.com</x:v>
      </x:c>
      <x:c r="O197" s="18" t="str">
        <x:v>bozemandailychronicle.com</x:v>
      </x:c>
      <x:c r="P197" s="18" t="str">
        <x:v>International Court of Justice proceeding</x:v>
      </x:c>
      <x:c r="Q197" s="18" t="str"/>
      <x:c r="R197" s="18" t="n">
        <x:v>46272.212858796294</x:v>
      </x:c>
      <x:c r="S197" s="18" t="str">
        <x:v>https://www.bozemandailychronicle.com</x:v>
      </x:c>
      <x:c r="T197" s="18" t="str">
        <x:v>DEFINED_TERMINAL_OR_FEED_SCOPE</x:v>
      </x:c>
      <x:c r="U197" s="18" t="str">
        <x:v>news_icj_14d.json — published records loaded</x:v>
      </x:c>
      <x:c r="V197" s="18" t="str"/>
      <x:c r="W197" s="18" t="str"/>
      <x:c r="X197" s="20" t="n">
        <x:v>192</x:v>
      </x:c>
      <x:c r="Y197" s="19" t="n">
        <x:f>IFERROR(TODAY()-DATEVALUE(C197),"")</x:f>
        <x:v>3</x:v>
      </x:c>
      <x:c r="Z197" s="21" t="n">
        <x:f>ROUND(COUNTA(A197:K197)/11*100,0)</x:f>
        <x:v>100</x:v>
      </x:c>
      <x:c r="AA197" s="18" t="str">
        <x:v>Google News RSS</x:v>
      </x:c>
      <x:c r="AB197" s="22" t="str">
        <x:v>https://news.google.com/rss/articles/CBMi9wFBVV95cUxPdVoyM0Z2MVB2RmdWOUQ3VUo5N0U3T1VmZFN6aU00MWNvNmFjUS1BaVVmN3pONm0wNWx4UDN4UHRTS0QwUzMtYTFic3c5XzVBLVRZM296WW10WHNrNmVKbnpReE8wX0psYVFldjlJQVFaTXV0bGVaOHB2b1hTS3pqRHMzejNpdzl6UnRja3ZKUXpHYUpVX0djdV8wVjJiTXJibkdEYkxITVRsdC1SYXpGUGZod1Y4ai1YM0x3NEpZQVNRc3I5TUtSV2UxOTVhSHJwR0I1UHVONlBwdHI3WnFYMDNvT3NuZnNHQ1hTbk5VU3ZYeldBWHVN?oc=5</x:v>
      </x:c>
      <x:c r="AC197" s="18" t="n">
        <x:v>46272.212858796294</x:v>
      </x:c>
      <x:c r="AD197" s="18" t="n">
        <x:v>46275.38862103009</x:v>
      </x:c>
      <x:c r="AE197" s="18" t="str">
        <x:v>public_rss</x:v>
      </x:c>
      <x:c r="AF197" s="18" t="str">
        <x:v>READY</x:v>
      </x:c>
    </x:row>
    <x:row r="198">
      <x:c r="A198" s="18" t="str">
        <x:v>NYT-45-bfd2eb358a183dc8</x:v>
      </x:c>
      <x:c r="B198" s="18" t="str">
        <x:v>LIVE: ICJ Holds Public Hearings In Guyana V Venezuela Border Dispute At The Hague Antarctic Sea Ice (wihE6qXCpF) - Mshale</x:v>
      </x:c>
      <x:c r="C198" s="18" t="str">
        <x:v>2026-09-07</x:v>
      </x:c>
      <x:c r="D198" s="18" t="n">
        <x:v>2026</x:v>
      </x:c>
      <x:c r="E198" s="18" t="str">
        <x:v>2026-09</x:v>
      </x:c>
      <x:c r="F198" s="18" t="str"/>
      <x:c r="G198" s="18" t="str">
        <x:v>International Court of Justice proceeding</x:v>
      </x:c>
      <x:c r="H198" s="18" t="str"/>
      <x:c r="I198" s="18" t="str">
        <x:v>Mshale</x:v>
      </x:c>
      <x:c r="J198" s="20" t="str"/>
      <x:c r="K198" s="18" t="str"/>
      <x:c r="L198" s="18" t="str"/>
      <x:c r="M198" s="18" t="str"/>
      <x:c r="N198" s="18" t="str">
        <x:v>LIVE: ICJ Holds Public Hearings In Guyana V Venezuela Border Dispute At The Hague Antarctic Sea Ice (wihE6qXCpF) - Mshale</x:v>
      </x:c>
      <x:c r="O198" s="18" t="str">
        <x:v>Mshale</x:v>
      </x:c>
      <x:c r="P198" s="18" t="str">
        <x:v>International Court of Justice proceeding</x:v>
      </x:c>
      <x:c r="Q198" s="18" t="str"/>
      <x:c r="R198" s="18" t="n">
        <x:v>46272.00003472222</x:v>
      </x:c>
      <x:c r="S198" s="18" t="str">
        <x:v>https://mshale.com</x:v>
      </x:c>
      <x:c r="T198" s="18" t="str">
        <x:v>DEFINED_TERMINAL_OR_FEED_SCOPE</x:v>
      </x:c>
      <x:c r="U198" s="18" t="str">
        <x:v>news_icj_14d.json — published records loaded</x:v>
      </x:c>
      <x:c r="V198" s="18" t="str"/>
      <x:c r="W198" s="18" t="str"/>
      <x:c r="X198" s="20" t="n">
        <x:v>192</x:v>
      </x:c>
      <x:c r="Y198" s="19" t="n">
        <x:f>IFERROR(TODAY()-DATEVALUE(C198),"")</x:f>
        <x:v>3</x:v>
      </x:c>
      <x:c r="Z198" s="21" t="n">
        <x:f>ROUND(COUNTA(A198:K198)/11*100,0)</x:f>
        <x:v>100</x:v>
      </x:c>
      <x:c r="AA198" s="18" t="str">
        <x:v>Google News RSS</x:v>
      </x:c>
      <x:c r="AB198" s="22" t="str">
        <x:v>https://news.google.com/rss/articles/CBMiW0FVX3lxTE9CeG1nVzNqT0pJMTkwTGRmUVRxdHprTFRBRGc4WFhLNjhjOFctcVh0bWtrRmlEd0Zkclc2OEtlZklSVW1CeEpkNS13bUJ4U05sdlg0empmYmc0Xzg?oc=5</x:v>
      </x:c>
      <x:c r="AC198" s="18" t="n">
        <x:v>46272.00003472222</x:v>
      </x:c>
      <x:c r="AD198" s="18" t="n">
        <x:v>46275.38862103009</x:v>
      </x:c>
      <x:c r="AE198" s="18" t="str">
        <x:v>public_rss</x:v>
      </x:c>
      <x:c r="AF198" s="18" t="str">
        <x:v>READY</x:v>
      </x:c>
    </x:row>
    <x:row r="199">
      <x:c r="A199" s="18" t="str">
        <x:v>NYT-45-3630a918072c577d</x:v>
      </x:c>
      <x:c r="B199" s="18" t="str">
        <x:v>Germany challenges ICJ claims it’s aiding Gaza genocide by arming ‘Israel’ - Roya News</x:v>
      </x:c>
      <x:c r="C199" s="18" t="str">
        <x:v>2026-09-07</x:v>
      </x:c>
      <x:c r="D199" s="18" t="n">
        <x:v>2026</x:v>
      </x:c>
      <x:c r="E199" s="18" t="str">
        <x:v>2026-09</x:v>
      </x:c>
      <x:c r="F199" s="18" t="str"/>
      <x:c r="G199" s="18" t="str">
        <x:v>International Court of Justice proceeding</x:v>
      </x:c>
      <x:c r="H199" s="18" t="str"/>
      <x:c r="I199" s="18" t="str">
        <x:v>Roya News</x:v>
      </x:c>
      <x:c r="J199" s="20" t="str"/>
      <x:c r="K199" s="18" t="str"/>
      <x:c r="L199" s="18" t="str"/>
      <x:c r="M199" s="18" t="str"/>
      <x:c r="N199" s="18" t="str">
        <x:v>Germany challenges ICJ claims it’s aiding Gaza genocide by arming ‘Israel’ - Roya News</x:v>
      </x:c>
      <x:c r="O199" s="18" t="str">
        <x:v>Roya News</x:v>
      </x:c>
      <x:c r="P199" s="18" t="str">
        <x:v>International Court of Justice proceeding</x:v>
      </x:c>
      <x:c r="Q199" s="18" t="str"/>
      <x:c r="R199" s="18" t="n">
        <x:v>46272.375231481485</x:v>
      </x:c>
      <x:c r="S199" s="18" t="str">
        <x:v>https://en.royanews.tv</x:v>
      </x:c>
      <x:c r="T199" s="18" t="str">
        <x:v>DEFINED_TERMINAL_OR_FEED_SCOPE</x:v>
      </x:c>
      <x:c r="U199" s="18" t="str">
        <x:v>news_icj_14d.json — published records loaded</x:v>
      </x:c>
      <x:c r="V199" s="18" t="str"/>
      <x:c r="W199" s="18" t="str"/>
      <x:c r="X199" s="20" t="n">
        <x:v>192</x:v>
      </x:c>
      <x:c r="Y199" s="19" t="n">
        <x:f>IFERROR(TODAY()-DATEVALUE(C199),"")</x:f>
        <x:v>3</x:v>
      </x:c>
      <x:c r="Z199" s="21" t="n">
        <x:f>ROUND(COUNTA(A199:K199)/11*100,0)</x:f>
        <x:v>100</x:v>
      </x:c>
      <x:c r="AA199" s="18" t="str">
        <x:v>Google News RSS</x:v>
      </x:c>
      <x:c r="AB199" s="22" t="str">
        <x:v>https://news.google.com/rss/articles/CBMizAFBVV95cUxQblpsSnVNellJUm5GZ0NlQU9DM1ZBT09ud2Raamo5TzExWlJ5UDJGYkhOR1RfYXZ2SkNWMWE5dVo4Q1hvT1h1SjNiaXJja2dxSzNZT1pCWDl6X2hfaFRodExIbV9zUTdPVmVlcVpRY0FJeWZabEF6WTZ6TVluT1VRSGZaLV84VDMyMVM3ZDdON1dVazFmbnk0bkJTLUZXYmItSmRTNUszOEVKSHkteUNqTHhfbURMVi1OU1NyNGhyVExkZFJRQV9KZWV2Wkg?oc=5</x:v>
      </x:c>
      <x:c r="AC199" s="18" t="n">
        <x:v>46272.375231481485</x:v>
      </x:c>
      <x:c r="AD199" s="18" t="n">
        <x:v>46275.38862103009</x:v>
      </x:c>
      <x:c r="AE199" s="18" t="str">
        <x:v>public_rss</x:v>
      </x:c>
      <x:c r="AF199" s="18" t="str">
        <x:v>READY</x:v>
      </x:c>
    </x:row>
    <x:row r="200">
      <x:c r="A200" s="18" t="str">
        <x:v>NYT-45-a41880617c5eca88</x:v>
      </x:c>
      <x:c r="B200" s="18" t="str">
        <x:v>Germany in the dock? Berlin asks UN court to kill Nicaragua’s Israel arms case - Mathrubhumi English</x:v>
      </x:c>
      <x:c r="C200" s="18" t="str">
        <x:v>2026-09-07</x:v>
      </x:c>
      <x:c r="D200" s="18" t="n">
        <x:v>2026</x:v>
      </x:c>
      <x:c r="E200" s="18" t="str">
        <x:v>2026-09</x:v>
      </x:c>
      <x:c r="F200" s="18" t="str"/>
      <x:c r="G200" s="18" t="str">
        <x:v>International Court of Justice proceeding</x:v>
      </x:c>
      <x:c r="H200" s="18" t="str"/>
      <x:c r="I200" s="18" t="str">
        <x:v>Mathrubhumi English</x:v>
      </x:c>
      <x:c r="J200" s="20" t="str"/>
      <x:c r="K200" s="18" t="str"/>
      <x:c r="L200" s="18" t="str"/>
      <x:c r="M200" s="18" t="str"/>
      <x:c r="N200" s="18" t="str">
        <x:v>Germany in the dock? Berlin asks UN court to kill Nicaragua’s Israel arms case - Mathrubhumi English</x:v>
      </x:c>
      <x:c r="O200" s="18" t="str">
        <x:v>Mathrubhumi English</x:v>
      </x:c>
      <x:c r="P200" s="18" t="str">
        <x:v>International Court of Justice proceeding</x:v>
      </x:c>
      <x:c r="Q200" s="18" t="str"/>
      <x:c r="R200" s="18" t="n">
        <x:v>46272.51576388889</x:v>
      </x:c>
      <x:c r="S200" s="18" t="str">
        <x:v>https://english.mathrubhumi.com</x:v>
      </x:c>
      <x:c r="T200" s="18" t="str">
        <x:v>DEFINED_TERMINAL_OR_FEED_SCOPE</x:v>
      </x:c>
      <x:c r="U200" s="18" t="str">
        <x:v>news_icj_14d.json — published records loaded</x:v>
      </x:c>
      <x:c r="V200" s="18" t="str"/>
      <x:c r="W200" s="18" t="str"/>
      <x:c r="X200" s="20" t="n">
        <x:v>192</x:v>
      </x:c>
      <x:c r="Y200" s="19" t="n">
        <x:f>IFERROR(TODAY()-DATEVALUE(C200),"")</x:f>
        <x:v>3</x:v>
      </x:c>
      <x:c r="Z200" s="21" t="n">
        <x:f>ROUND(COUNTA(A200:K200)/11*100,0)</x:f>
        <x:v>100</x:v>
      </x:c>
      <x:c r="AA200" s="18" t="str">
        <x:v>Google News RSS</x:v>
      </x:c>
      <x:c r="AB200" s="22" t="str">
        <x:v>https://news.google.com/rss/articles/CBMipgFBVV95cUxPZVFSR0ZMalRYSGJiV1BtcmN5VktEOFhTZjBFN2daTnBpbXZNdnlpMW96SHN1UTNWTnl6bWs5enJ2by10MWZ3V3pmU0VYWjNmNV9tWnJNbGM1enRWem5jMUNwMUx4M3V4c0dCTjBLVWVBZnVmQTc0WkstN2VpRmFnVXFTV1NySE50VGJqMHJ2RGJBMEx6aTRSLWc2MFVuYUZRZ1UweTh30gGrAUFVX3lxTE9FbWlSQnMyUlo5WE1aMGJpbGZrSHZqeUlsNUcxU3hUd2J3cE5YZzVxdm9XVjhTaUxlRG4wVUdBUnhyT1FUSUlQV1dUSkhrVmJ0ZnJTZVFYazZTeE5oQlN0RDJVRGEwMmxZaEJLVXppMU9uUDdfZ3M3OElmTUZTMElmZWpoRGRuWnFLMnZqZTZnTWR4emFTTUdEN1NoWV9YQjZWODBBRjBsRDRXMA?oc=5</x:v>
      </x:c>
      <x:c r="AC200" s="18" t="n">
        <x:v>46272.51576388889</x:v>
      </x:c>
      <x:c r="AD200" s="18" t="n">
        <x:v>46275.38862103009</x:v>
      </x:c>
      <x:c r="AE200" s="18" t="str">
        <x:v>public_rss</x:v>
      </x:c>
      <x:c r="AF200" s="18" t="str">
        <x:v>READY</x:v>
      </x:c>
    </x:row>
  </x:sheetData>
  <x:mergeCells>
    <x:mergeCell ref="A1:H1"/>
    <x:mergeCell ref="A2:H2"/>
  </x:mergeCells>
  <x:pageMargins left="0.7" right="0.7" top="0.75" bottom="0.75" header="0.3" footer="0.3"/>
  <x:drawing xmlns:r="http://schemas.openxmlformats.org/officeDocument/2006/relationships" r:id="Rab0683168d0d45d3"/>
  <x:tableParts count="1">
    <x:tablePart xmlns:r="http://schemas.openxmlformats.org/officeDocument/2006/relationships" r:id="Ra4749795ce844c23"/>
  </x:tableParts>
</x:worksheet>
</file>