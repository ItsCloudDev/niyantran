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drawings/charts/chart2.xml" ContentType="application/vnd.openxmlformats-officedocument.drawingml.chart+xml"/>
  <Override PartName="/xl/drawings/charts/chart3.xml" ContentType="application/vnd.openxmlformats-officedocument.drawingml.char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5bc89b23e4fc4309" /></Relationships>
</file>

<file path=xl/workbook.xml><?xml version="1.0" encoding="utf-8"?>
<x:workbook xmlns:x="http://schemas.openxmlformats.org/spreadsheetml/2006/main">
  <x:sheets>
    <x:sheet xmlns:r="http://schemas.openxmlformats.org/officeDocument/2006/relationships" name="F41 NGT Environmental Litigatio" sheetId="1" r:id="Rbe9a619d665e439e"/>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0"/>
    <x:numFmt numFmtId="201" formatCode="#,##0.00"/>
    <x:numFmt numFmtId="202" formatCode="0.00"/>
  </x:numFmts>
  <x:fonts count="7">
    <x:font>
      <x:sz val="11"/>
      <x:name val="Carlito"/>
    </x:font>
    <x:font>
      <x:sz val="9"/>
      <x:color rgb="FF1F2937"/>
      <x:name val="Arial"/>
    </x:font>
    <x:font>
      <x:b/>
      <x:sz val="15"/>
      <x:color rgb="FF7030A0"/>
      <x:name val="Arial"/>
    </x:font>
    <x:font>
      <x:i/>
      <x:sz val="9"/>
      <x:color rgb="FF666666"/>
      <x:name val="Arial"/>
    </x:font>
    <x:font>
      <x:b/>
      <x:sz val="9"/>
      <x:color rgb="FF1F2937"/>
      <x:name val="Arial"/>
    </x:font>
    <x:font>
      <x:b/>
      <x:sz val="9"/>
      <x:color rgb="FFFFFFFF"/>
      <x:name val="Arial"/>
    </x:font>
    <x:font>
      <x:sz val="9"/>
      <x:color rgb="FF0563C1"/>
      <x:name val="Arial"/>
    </x:font>
  </x:fonts>
  <x:fills count="4">
    <x:fill>
      <x:patternFill patternType="none"/>
    </x:fill>
    <x:fill>
      <x:patternFill patternType="gray125"/>
    </x:fill>
    <x:fill>
      <x:patternFill patternType="solid">
        <x:fgColor rgb="FFF8F5EE"/>
      </x:patternFill>
    </x:fill>
    <x:fill>
      <x:patternFill patternType="solid">
        <x:fgColor rgb="FF7030A0"/>
      </x:patternFill>
    </x:fill>
  </x:fills>
  <x:borders count="3">
    <x:border/>
    <x:border>
      <x:bottom style="medium">
        <x:color rgb="FF7030A0"/>
      </x:bottom>
    </x:border>
    <x:border>
      <x:left style="thin">
        <x:color rgb="FFD9E2F3"/>
      </x:left>
      <x:right style="thin">
        <x:color rgb="FFD9E2F3"/>
      </x:right>
      <x:top style="thin">
        <x:color rgb="FFD9E2F3"/>
      </x:top>
      <x:bottom style="thin">
        <x:color rgb="FFD9E2F3"/>
      </x:bottom>
    </x:border>
  </x:borders>
  <x:cellStyleXfs count="1">
    <x:xf numFmtId="0" fontId="0" fillId="0" borderId="0"/>
  </x:cellStyleXfs>
  <x:cellXfs count="23">
    <x:xf numFmtId="0" fontId="0" fillId="0" borderId="0" xfId="0"/>
    <x:xf numFmtId="0" fontId="1" fillId="0" borderId="0" xfId="0" applyNumberFormat="1" applyFont="1" applyFill="1" applyBorder="1"/>
    <x:xf numFmtId="0" fontId="2" fillId="0" borderId="0" xfId="0" applyNumberFormat="1" applyFont="1" applyFill="1" applyBorder="1"/>
    <x:xf numFmtId="0" fontId="2" fillId="0" borderId="1" xfId="0" applyNumberFormat="1" applyFont="1" applyFill="1" applyBorder="1"/>
    <x:xf numFmtId="0" fontId="2" fillId="0" borderId="1" xfId="0" applyNumberFormat="1" applyFont="1" applyFill="1" applyBorder="1" applyAlignment="1">
      <x:alignment vertical="center"/>
    </x:xf>
    <x:xf numFmtId="0" fontId="3" fillId="0" borderId="0" xfId="0" applyNumberFormat="1" applyFont="1" applyFill="1" applyBorder="1"/>
    <x:xf numFmtId="0" fontId="3" fillId="0" borderId="0" xfId="0" applyNumberFormat="1" applyFont="1" applyFill="1" applyBorder="1" applyAlignment="1">
      <x:alignment wrapText="1"/>
    </x:xf>
    <x:xf numFmtId="0" fontId="0" fillId="2" borderId="0" xfId="0" applyNumberFormat="1" applyFont="1" applyFill="1" applyBorder="1"/>
    <x:xf numFmtId="0" fontId="4" fillId="2" borderId="0" xfId="0" applyNumberFormat="1" applyFont="1" applyFill="1" applyBorder="1"/>
    <x:xf numFmtId="0" fontId="4" fillId="2" borderId="2" xfId="0" applyNumberFormat="1" applyFont="1" applyFill="1" applyBorder="1"/>
    <x:xf numFmtId="200" fontId="4" fillId="2" borderId="2" xfId="0" applyNumberFormat="1" applyFont="1" applyFill="1" applyBorder="1"/>
    <x:xf numFmtId="0" fontId="0" fillId="3" borderId="0" xfId="0" applyNumberFormat="1" applyFont="1" applyFill="1" applyBorder="1"/>
    <x:xf numFmtId="0" fontId="5" fillId="3" borderId="0" xfId="0" applyNumberFormat="1" applyFont="1" applyFill="1" applyBorder="1"/>
    <x:xf numFmtId="0" fontId="5" fillId="3" borderId="2" xfId="0" applyNumberFormat="1" applyFont="1" applyFill="1" applyBorder="1"/>
    <x:xf numFmtId="0" fontId="5" fillId="3" borderId="2" xfId="0" applyNumberFormat="1" applyFont="1" applyFill="1" applyBorder="1" applyAlignment="1">
      <x:alignment wrapText="1"/>
    </x:xf>
    <x:xf numFmtId="0" fontId="5" fillId="3" borderId="2" xfId="0" applyNumberFormat="1" applyFont="1" applyFill="1" applyBorder="1" applyAlignment="1">
      <x:alignment vertical="center" wrapText="1"/>
    </x:xf>
    <x:xf numFmtId="0" fontId="1" fillId="0" borderId="2" xfId="0" applyNumberFormat="1" applyFont="1" applyFill="1" applyBorder="1"/>
    <x:xf numFmtId="0" fontId="1" fillId="0" borderId="2" xfId="0" applyNumberFormat="1" applyFont="1" applyFill="1" applyBorder="1" applyAlignment="1">
      <x:alignment wrapText="1"/>
    </x:xf>
    <x:xf numFmtId="0" fontId="1" fillId="0" borderId="2" xfId="0" applyNumberFormat="1" applyFont="1" applyFill="1" applyBorder="1" applyAlignment="1">
      <x:alignment vertical="top" wrapText="1"/>
    </x:xf>
    <x:xf numFmtId="200" fontId="1" fillId="0" borderId="2" xfId="0" applyNumberFormat="1" applyFont="1" applyFill="1" applyBorder="1" applyAlignment="1">
      <x:alignment vertical="top" wrapText="1"/>
    </x:xf>
    <x:xf numFmtId="201" fontId="1" fillId="0" borderId="2" xfId="0" applyNumberFormat="1" applyFont="1" applyFill="1" applyBorder="1" applyAlignment="1">
      <x:alignment vertical="top" wrapText="1"/>
    </x:xf>
    <x:xf numFmtId="202" fontId="1" fillId="0" borderId="2" xfId="0" applyNumberFormat="1" applyFont="1" applyFill="1" applyBorder="1" applyAlignment="1">
      <x:alignment vertical="top" wrapText="1"/>
    </x:xf>
    <x:xf numFmtId="0" fontId="6" fillId="0" borderId="2"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bc2edddb1d384517" /><Relationship Type="http://schemas.openxmlformats.org/officeDocument/2006/relationships/theme" Target="/xl/theme/theme1.xml" Id="Rbcbdd5be74684b2c" /><Relationship Type="http://schemas.openxmlformats.org/officeDocument/2006/relationships/sharedStrings" Target="/xl/sharedStrings.xml" Id="R1b8875ccfe1a40f6" /><Relationship Type="http://schemas.openxmlformats.org/officeDocument/2006/relationships/worksheet" Target="/xl/worksheets/sheet1.xml" Id="Rbe9a619d665e439e" /></Relationships>
</file>

<file path=xl/drawings/_rels/drawing1.xml.rels>&#65279;<?xml version="1.0" encoding="utf-8"?><Relationships xmlns="http://schemas.openxmlformats.org/package/2006/relationships"><Relationship Type="http://schemas.openxmlformats.org/officeDocument/2006/relationships/chart" Target="/xl/drawings/charts/chart1.xml" Id="R7697477d8a8f4130" /><Relationship Type="http://schemas.openxmlformats.org/officeDocument/2006/relationships/chart" Target="/xl/drawings/charts/chart2.xml" Id="Rc34e1cbc0e264279" /><Relationship Type="http://schemas.openxmlformats.org/officeDocument/2006/relationships/chart" Target="/xl/drawings/charts/chart3.xml" Id="Rdcb71d07a44e4471"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latin typeface="Arial"/>
                <a:ea typeface="Arial"/>
                <a:cs typeface="Arial"/>
              </a:rPr>
              <a:t>Cases by bench and environmental theme — records</a:t>
            </a:r>
          </a:p>
        </c:rich>
      </c:tx>
      <c:overlay val="0"/>
      <c:txPr>
        <a:bodyPr xmlns:a="http://schemas.openxmlformats.org/drawingml/2006/main" anchorCtr="1"/>
        <a:lstStyle xmlns:a="http://schemas.openxmlformats.org/drawingml/2006/main"/>
        <a:p xmlns:a="http://schemas.openxmlformats.org/drawingml/2006/main">
          <a:pPr>
            <a:defRPr>
              <a:latin typeface="Arial"/>
              <a:ea typeface="Arial"/>
              <a:cs typeface="Arial"/>
            </a:defRPr>
          </a:pPr>
        </a:p>
      </c:txPr>
    </c:title>
    <c:plotArea>
      <c:lineChart>
        <c:grouping val="standard"/>
        <c:varyColors val="0"/>
        <c:ser>
          <c:idx val="0"/>
          <c:order val="0"/>
          <c:tx>
            <c:v>Records</c:v>
          </c:tx>
          <c:marker>
            <c:symbol val="none"/>
          </c:marker>
          <c:cat>
            <c:strRef>
              <c:f>'F41 NGT Environmental Litigatio'!$AZ$3:$AZ$16</c:f>
              <c:strCache>
                <c:ptCount val="0"/>
              </c:strCache>
            </c:strRef>
          </c:cat>
          <c:val>
            <c:numRef>
              <c:f>'F41 NGT Environmental Litigatio'!$BA$3:$BA$16</c:f>
              <c:numCache>
                <c:formatCode>General</c:formatCode>
                <c:ptCount val="0"/>
              </c:numCache>
            </c:numRef>
          </c:val>
          <c:smooth val="0"/>
        </c:ser>
        <c:smooth val="0"/>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latin typeface="Arial"/>
                <a:ea typeface="Arial"/>
                <a:cs typeface="Arial"/>
              </a:rPr>
              <a:t>Orders over time — records</a:t>
            </a:r>
          </a:p>
        </c:rich>
      </c:tx>
      <c:overlay val="0"/>
      <c:txPr>
        <a:bodyPr xmlns:a="http://schemas.openxmlformats.org/drawingml/2006/main" anchorCtr="1"/>
        <a:lstStyle xmlns:a="http://schemas.openxmlformats.org/drawingml/2006/main"/>
        <a:p xmlns:a="http://schemas.openxmlformats.org/drawingml/2006/main">
          <a:pPr>
            <a:defRPr>
              <a:latin typeface="Arial"/>
              <a:ea typeface="Arial"/>
              <a:cs typeface="Arial"/>
            </a:defRPr>
          </a:pPr>
        </a:p>
      </c:txPr>
    </c:title>
    <c:plotArea>
      <c:barChart>
        <c:barDir val="col"/>
        <c:varyColors val="0"/>
        <c:ser>
          <c:idx val="0"/>
          <c:order val="0"/>
          <c:tx>
            <c:v>Records</c:v>
          </c:tx>
          <c:cat>
            <c:strRef>
              <c:f>'F41 NGT Environmental Litigatio'!$BC$3</c:f>
              <c:strCache>
                <c:ptCount val="0"/>
              </c:strCache>
            </c:strRef>
          </c:cat>
          <c:val>
            <c:numRef>
              <c:f>'F41 NGT Environmental Litigatio'!$BD$3</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charts/chart3.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latin typeface="Arial"/>
                <a:ea typeface="Arial"/>
                <a:cs typeface="Arial"/>
              </a:rPr>
              <a:t>Project and geography exposure — record count</a:t>
            </a:r>
          </a:p>
        </c:rich>
      </c:tx>
      <c:overlay val="0"/>
      <c:txPr>
        <a:bodyPr xmlns:a="http://schemas.openxmlformats.org/drawingml/2006/main" anchorCtr="1"/>
        <a:lstStyle xmlns:a="http://schemas.openxmlformats.org/drawingml/2006/main"/>
        <a:p xmlns:a="http://schemas.openxmlformats.org/drawingml/2006/main">
          <a:pPr>
            <a:defRPr>
              <a:latin typeface="Arial"/>
              <a:ea typeface="Arial"/>
              <a:cs typeface="Arial"/>
            </a:defRPr>
          </a:pPr>
        </a:p>
      </c:txPr>
    </c:title>
    <c:plotArea>
      <c:barChart>
        <c:barDir val="col"/>
        <c:grouping val="clustered"/>
        <c:varyColors val="0"/>
        <c:ser>
          <c:idx val="0"/>
          <c:order val="0"/>
          <c:tx>
            <c:v>record count</c:v>
          </c:tx>
          <c:cat>
            <c:strRef>
              <c:f>'F41 NGT Environmental Litigatio'!$BF$3:$BF$14</c:f>
              <c:strCache>
                <c:ptCount val="0"/>
              </c:strCache>
            </c:strRef>
          </c:cat>
          <c:val>
            <c:numRef>
              <c:f>'F41 NGT Environmental Litigatio'!$BG$3:$BG$14</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9</xdr:col>
      <xdr:colOff>0</xdr:colOff>
      <xdr:row>1</xdr:row>
      <xdr:rowOff>0</xdr:rowOff>
    </xdr:from>
    <xdr:to>
      <xdr:col>16</xdr:col>
      <xdr:colOff>0</xdr:colOff>
      <xdr:row>12</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7697477d8a8f4130"/>
        </a:graphicData>
      </a:graphic>
    </xdr:graphicFrame>
    <xdr:clientData/>
  </xdr:twoCellAnchor>
  <xdr:twoCellAnchor>
    <xdr:from>
      <xdr:col>16</xdr:col>
      <xdr:colOff>0</xdr:colOff>
      <xdr:row>1</xdr:row>
      <xdr:rowOff>0</xdr:rowOff>
    </xdr:from>
    <xdr:to>
      <xdr:col>23</xdr:col>
      <xdr:colOff>0</xdr:colOff>
      <xdr:row>12</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c34e1cbc0e264279"/>
        </a:graphicData>
      </a:graphic>
    </xdr:graphicFrame>
    <xdr:clientData/>
  </xdr:twoCellAnchor>
  <xdr:twoCellAnchor>
    <xdr:from>
      <xdr:col>23</xdr:col>
      <xdr:colOff>0</xdr:colOff>
      <xdr:row>1</xdr:row>
      <xdr:rowOff>0</xdr:rowOff>
    </xdr:from>
    <xdr:to>
      <xdr:col>31</xdr:col>
      <xdr:colOff>0</xdr:colOff>
      <xdr:row>12</xdr:row>
      <xdr:rowOff>0</xdr:rowOff>
    </xdr:to>
    <xdr:graphicFrame macro="">
      <xdr:nvGraphicFramePr>
        <xdr:cNvPr id="3"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dcb71d07a44e4471"/>
        </a:graphicData>
      </a:graphic>
    </xdr:graphicFrame>
    <xdr:clientData/>
  </xdr:twoCellAnchor>
</xdr:wsDr>
</file>

<file path=xl/tables/table1.xml><?xml version="1.0" encoding="utf-8"?>
<x:table xmlns:x="http://schemas.openxmlformats.org/spreadsheetml/2006/main" id="1" name="T_law_41_clean_678c69" displayName="T_law_41_clean_678c69" ref="A8:AC60" headerRowCount="1" totalsRowCount="0" totalsRowShown="0">
  <x:tableColumns count="29">
    <x:tableColumn id="1" name="record_id"/>
    <x:tableColumn id="2" name="record_title"/>
    <x:tableColumn id="3" name="record_date"/>
    <x:tableColumn id="4" name="year"/>
    <x:tableColumn id="5" name="month"/>
    <x:tableColumn id="6" name="status"/>
    <x:tableColumn id="7" name="category"/>
    <x:tableColumn id="8" name="geography"/>
    <x:tableColumn id="9" name="primary_entity"/>
    <x:tableColumn id="10" name="metric_value"/>
    <x:tableColumn id="11" name="metric_unit"/>
    <x:tableColumn id="12" name="title"/>
    <x:tableColumn id="13" name="publisher"/>
    <x:tableColumn id="14" name="query"/>
    <x:tableColumn id="15" name="published_at"/>
    <x:tableColumn id="16" name="publisher_url"/>
    <x:tableColumn id="17" name="coverage_status"/>
    <x:tableColumn id="18" name="coverage_scope"/>
    <x:tableColumn id="19" name="coverage_start"/>
    <x:tableColumn id="20" name="coverage_end"/>
    <x:tableColumn id="21" name="universe_count"/>
    <x:tableColumn id="22" name="record_age_days"/>
    <x:tableColumn id="23" name="record_completeness_pct"/>
    <x:tableColumn id="24" name="source_provider"/>
    <x:tableColumn id="25" name="source_url"/>
    <x:tableColumn id="26" name="source_published_at"/>
    <x:tableColumn id="27" name="source_retrieved_at"/>
    <x:tableColumn id="28" name="provenance"/>
    <x:tableColumn id="29" name="quality_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608325a2a8cc4e78" /><Relationship Type="http://schemas.openxmlformats.org/officeDocument/2006/relationships/table" Target="/xl/tables/table1.xml" Id="R5c0fc5becf23421f" /></Relationships>
</file>

<file path=xl/worksheets/sheet1.xml><?xml version="1.0" encoding="utf-8"?>
<x:worksheet xmlns:x="http://schemas.openxmlformats.org/spreadsheetml/2006/main">
  <x:sheetPr>
    <x:tabColor rgb="FF7030A0"/>
  </x:sheetPr>
  <x:sheetViews>
    <x:sheetView showGridLines="0" workbookViewId="0">
      <x:pane xSplit="3" ySplit="8" topLeftCell="D9" activePane="bottomRight" state="frozen"/>
    </x:sheetView>
  </x:sheetViews>
  <x:sheetFormatPr defaultRowHeight="15"/>
  <x:cols>
    <x:col min="1" max="1" width="18" hidden="0" customWidth="1"/>
    <x:col min="2" max="2" width="32" hidden="0" customWidth="1"/>
    <x:col min="3" max="3" width="16" hidden="0" customWidth="1"/>
    <x:col min="4" max="4" width="15" hidden="0" customWidth="1"/>
    <x:col min="5" max="5" width="15" hidden="0" customWidth="1"/>
    <x:col min="6" max="6" width="15" hidden="0" customWidth="1"/>
    <x:col min="7" max="7" width="15" hidden="0" customWidth="1"/>
    <x:col min="8" max="8" width="24" hidden="0" customWidth="1"/>
    <x:col min="9" max="9" width="24" hidden="0" customWidth="1"/>
    <x:col min="10" max="10" width="15" hidden="0" customWidth="1"/>
    <x:col min="11" max="11" width="15" hidden="0" customWidth="1"/>
    <x:col min="12" max="12" width="32" hidden="0" customWidth="1"/>
    <x:col min="13" max="13" width="15" hidden="0" customWidth="1"/>
    <x:col min="14" max="14" width="15" hidden="0" customWidth="1"/>
    <x:col min="15" max="15" width="15" hidden="0" customWidth="1"/>
    <x:col min="16" max="16" width="42" hidden="0" customWidth="1"/>
    <x:col min="17" max="17" width="15" hidden="0" customWidth="1"/>
    <x:col min="18" max="18" width="15" hidden="0" customWidth="1"/>
    <x:col min="19" max="19" width="15" hidden="0" customWidth="1"/>
    <x:col min="20" max="20" width="15" hidden="0" customWidth="1"/>
    <x:col min="21" max="21" width="15" hidden="0" customWidth="1"/>
    <x:col min="22" max="22" width="15" hidden="0" customWidth="1"/>
    <x:col min="23" max="23" width="15" hidden="0" customWidth="1"/>
    <x:col min="24" max="24" width="18" hidden="0" customWidth="1"/>
    <x:col min="25" max="25" width="42" hidden="0" customWidth="1"/>
    <x:col min="26" max="26" width="15" hidden="0" customWidth="1"/>
    <x:col min="27" max="27" width="15" hidden="0" customWidth="1"/>
    <x:col min="28" max="28" width="15" hidden="0" customWidth="1"/>
    <x:col min="29" max="29" width="15" hidden="0" customWidth="1"/>
  </x:cols>
  <x:sheetData>
    <x:row r="1" ht="25" customHeight="1">
      <x:c r="A1" s="4" t="str">
        <x:v>NGT Environmental Litigation Tracker</x:v>
      </x:c>
      <x:c r="B1" s="4"/>
      <x:c r="C1" s="4"/>
      <x:c r="D1" s="4"/>
      <x:c r="E1" s="4"/>
      <x:c r="F1" s="4"/>
      <x:c r="G1" s="4"/>
      <x:c r="H1" s="4"/>
      <x:c r="I1" s="1"/>
      <x:c r="J1" s="1"/>
      <x:c r="K1" s="1"/>
      <x:c r="L1" s="1"/>
      <x:c r="M1" s="1"/>
      <x:c r="N1" s="1"/>
      <x:c r="O1" s="1"/>
      <x:c r="P1" s="1"/>
      <x:c r="Q1" s="1"/>
      <x:c r="R1" s="1"/>
      <x:c r="S1" s="1"/>
      <x:c r="T1" s="1"/>
      <x:c r="U1" s="1"/>
      <x:c r="V1" s="1"/>
      <x:c r="W1" s="1"/>
      <x:c r="X1" s="1"/>
      <x:c r="Y1" s="1"/>
      <x:c r="Z1" s="1"/>
      <x:c r="AA1" s="1"/>
      <x:c r="AB1" s="1"/>
      <x:c r="AC1" s="1"/>
      <x:c r="AD1" s="1"/>
      <x:c r="AE1" s="1"/>
      <x:c r="AF1" s="1"/>
      <x:c r="AG1" s="1"/>
      <x:c r="AH1" s="1"/>
      <x:c r="AI1" s="1"/>
      <x:c r="AJ1" s="1"/>
      <x:c r="AK1" s="1"/>
      <x:c r="AL1" s="1"/>
      <x:c r="AM1" s="1"/>
      <x:c r="AN1" s="1"/>
      <x:c r="AO1" s="1"/>
      <x:c r="AP1" s="1"/>
      <x:c r="AQ1" s="1"/>
      <x:c r="AR1" s="1"/>
      <x:c r="AS1" s="1"/>
      <x:c r="AT1" s="1"/>
      <x:c r="AU1" s="1"/>
      <x:c r="AV1" s="1"/>
      <x:c r="AW1" s="1"/>
      <x:c r="AX1" s="1"/>
      <x:c r="AY1" s="1"/>
      <x:c r="AZ1" s="1"/>
    </x:row>
    <x:row r="2" ht="30" customHeight="1">
      <x:c r="A2" s="6" t="str">
        <x:v>52 enrichment records • DEFINED_TERMINAL_OR_FEED_SCOPE • refreshed 2026-09-10</x:v>
      </x:c>
      <x:c r="B2" s="6"/>
      <x:c r="C2" s="6"/>
      <x:c r="D2" s="6"/>
      <x:c r="E2" s="6"/>
      <x:c r="F2" s="6"/>
      <x:c r="G2" s="6"/>
      <x:c r="H2" s="6"/>
      <x:c r="AZ2" s="15" t="str">
        <x:v>Date</x:v>
      </x:c>
      <x:c r="BA2" s="15" t="str">
        <x:v>Records</x:v>
      </x:c>
      <x:c r="BC2" s="15" t="str">
        <x:v>Category / status</x:v>
      </x:c>
      <x:c r="BD2" s="15" t="str">
        <x:v>Records</x:v>
      </x:c>
      <x:c r="BF2" s="15" t="str">
        <x:v>Entity</x:v>
      </x:c>
      <x:c r="BG2" s="15" t="str">
        <x:v>record count</x:v>
      </x:c>
    </x:row>
    <x:row r="3">
      <x:c r="AZ3" s="18" t="str">
        <x:v>2026-08-27</x:v>
      </x:c>
      <x:c r="BA3" s="18" t="n">
        <x:v>1</x:v>
      </x:c>
      <x:c r="BC3" s="18" t="str">
        <x:v>National Green Tribunal NGT order</x:v>
      </x:c>
      <x:c r="BD3" s="18" t="n">
        <x:v>52</x:v>
      </x:c>
      <x:c r="BF3" s="18" t="str">
        <x:v>The Times of India</x:v>
      </x:c>
      <x:c r="BG3" s="18" t="n">
        <x:v>9</x:v>
      </x:c>
    </x:row>
    <x:row r="4">
      <x:c r="A4" s="9" t="str">
        <x:v>Records</x:v>
      </x:c>
      <x:c r="B4" s="10" t="n">
        <x:v>52</x:v>
      </x:c>
      <x:c r="C4" s="9" t="str">
        <x:v>Dated records</x:v>
      </x:c>
      <x:c r="D4" s="10" t="n">
        <x:v>52</x:v>
      </x:c>
      <x:c r="E4" s="9" t="str">
        <x:v>Sources</x:v>
      </x:c>
      <x:c r="F4" s="10" t="n">
        <x:v>1</x:v>
      </x:c>
      <x:c r="G4" s="9" t="str">
        <x:v>Freshest record</x:v>
      </x:c>
      <x:c r="H4" s="9" t="str">
        <x:v>2026-09-10</x:v>
      </x:c>
      <x:c r="AZ4" s="18" t="str">
        <x:v>2026-08-28</x:v>
      </x:c>
      <x:c r="BA4" s="18" t="n">
        <x:v>5</x:v>
      </x:c>
      <x:c r="BF4" s="18" t="str">
        <x:v>Down To Earth</x:v>
      </x:c>
      <x:c r="BG4" s="18" t="n">
        <x:v>6</x:v>
      </x:c>
    </x:row>
    <x:row r="5">
      <x:c r="AZ5" s="18" t="str">
        <x:v>2026-08-29</x:v>
      </x:c>
      <x:c r="BA5" s="18" t="n">
        <x:v>3</x:v>
      </x:c>
      <x:c r="BF5" s="18" t="str">
        <x:v>Free Press Journal</x:v>
      </x:c>
      <x:c r="BG5" s="18" t="n">
        <x:v>5</x:v>
      </x:c>
    </x:row>
    <x:row r="6">
      <x:c r="AZ6" s="18" t="str">
        <x:v>2026-08-31</x:v>
      </x:c>
      <x:c r="BA6" s="18" t="n">
        <x:v>8</x:v>
      </x:c>
      <x:c r="BF6" s="18" t="str">
        <x:v>Lawtext</x:v>
      </x:c>
      <x:c r="BG6" s="18" t="n">
        <x:v>4</x:v>
      </x:c>
    </x:row>
    <x:row r="7">
      <x:c r="AZ7" s="18" t="str">
        <x:v>2026-09-01</x:v>
      </x:c>
      <x:c r="BA7" s="18" t="n">
        <x:v>3</x:v>
      </x:c>
      <x:c r="BF7" s="18" t="str">
        <x:v>ANI News</x:v>
      </x:c>
      <x:c r="BG7" s="18" t="n">
        <x:v>3</x:v>
      </x:c>
    </x:row>
    <x:row r="8" ht="30" customHeight="1">
      <x:c r="A8" s="15" t="str">
        <x:v>record_id</x:v>
      </x:c>
      <x:c r="B8" s="15" t="str">
        <x:v>record_title</x:v>
      </x:c>
      <x:c r="C8" s="15" t="str">
        <x:v>record_date</x:v>
      </x:c>
      <x:c r="D8" s="15" t="str">
        <x:v>year</x:v>
      </x:c>
      <x:c r="E8" s="15" t="str">
        <x:v>month</x:v>
      </x:c>
      <x:c r="F8" s="15" t="str">
        <x:v>status</x:v>
      </x:c>
      <x:c r="G8" s="15" t="str">
        <x:v>category</x:v>
      </x:c>
      <x:c r="H8" s="15" t="str">
        <x:v>geography</x:v>
      </x:c>
      <x:c r="I8" s="15" t="str">
        <x:v>primary_entity</x:v>
      </x:c>
      <x:c r="J8" s="15" t="str">
        <x:v>metric_value</x:v>
      </x:c>
      <x:c r="K8" s="15" t="str">
        <x:v>metric_unit</x:v>
      </x:c>
      <x:c r="L8" s="15" t="str">
        <x:v>title</x:v>
      </x:c>
      <x:c r="M8" s="15" t="str">
        <x:v>publisher</x:v>
      </x:c>
      <x:c r="N8" s="15" t="str">
        <x:v>query</x:v>
      </x:c>
      <x:c r="O8" s="15" t="str">
        <x:v>published_at</x:v>
      </x:c>
      <x:c r="P8" s="15" t="str">
        <x:v>publisher_url</x:v>
      </x:c>
      <x:c r="Q8" s="15" t="str">
        <x:v>coverage_status</x:v>
      </x:c>
      <x:c r="R8" s="15" t="str">
        <x:v>coverage_scope</x:v>
      </x:c>
      <x:c r="S8" s="15" t="str">
        <x:v>coverage_start</x:v>
      </x:c>
      <x:c r="T8" s="15" t="str">
        <x:v>coverage_end</x:v>
      </x:c>
      <x:c r="U8" s="15" t="str">
        <x:v>universe_count</x:v>
      </x:c>
      <x:c r="V8" s="15" t="str">
        <x:v>record_age_days</x:v>
      </x:c>
      <x:c r="W8" s="15" t="str">
        <x:v>record_completeness_pct</x:v>
      </x:c>
      <x:c r="X8" s="15" t="str">
        <x:v>source_provider</x:v>
      </x:c>
      <x:c r="Y8" s="15" t="str">
        <x:v>source_url</x:v>
      </x:c>
      <x:c r="Z8" s="15" t="str">
        <x:v>source_published_at</x:v>
      </x:c>
      <x:c r="AA8" s="15" t="str">
        <x:v>source_retrieved_at</x:v>
      </x:c>
      <x:c r="AB8" s="15" t="str">
        <x:v>provenance</x:v>
      </x:c>
      <x:c r="AC8" s="15" t="str">
        <x:v>quality_status</x:v>
      </x:c>
      <x:c r="AZ8" s="18" t="str">
        <x:v>2026-09-02</x:v>
      </x:c>
      <x:c r="BA8" s="18" t="n">
        <x:v>4</x:v>
      </x:c>
      <x:c r="BF8" s="18" t="str">
        <x:v>ETV Bharat</x:v>
      </x:c>
      <x:c r="BG8" s="18" t="n">
        <x:v>3</x:v>
      </x:c>
    </x:row>
    <x:row r="9">
      <x:c r="A9" s="18" t="str">
        <x:v>NYT-41-ea38b916ea096dd6</x:v>
      </x:c>
      <x:c r="B9" s="18" t="str">
        <x:v>Daily Court Digest: Major environment orders (August 26, 2026) - Down To Earth</x:v>
      </x:c>
      <x:c r="C9" s="18" t="str">
        <x:v>2026-08-28</x:v>
      </x:c>
      <x:c r="D9" s="18" t="n">
        <x:v>2026</x:v>
      </x:c>
      <x:c r="E9" s="18" t="str">
        <x:v>2026-08</x:v>
      </x:c>
      <x:c r="F9" s="18" t="str"/>
      <x:c r="G9" s="18" t="str">
        <x:v>National Green Tribunal NGT order</x:v>
      </x:c>
      <x:c r="H9" s="18" t="str"/>
      <x:c r="I9" s="18" t="str">
        <x:v>Down To Earth</x:v>
      </x:c>
      <x:c r="J9" s="20" t="str"/>
      <x:c r="K9" s="18" t="str"/>
      <x:c r="L9" s="18" t="str">
        <x:v>Daily Court Digest: Major environment orders (August 26, 2026) - Down To Earth</x:v>
      </x:c>
      <x:c r="M9" s="18" t="str">
        <x:v>Down To Earth</x:v>
      </x:c>
      <x:c r="N9" s="18" t="str">
        <x:v>National Green Tribunal NGT order</x:v>
      </x:c>
      <x:c r="O9" s="18" t="n">
        <x:v>46262.237546296295</x:v>
      </x:c>
      <x:c r="P9" s="18" t="str">
        <x:v>https://www.downtoearth.org.in</x:v>
      </x:c>
      <x:c r="Q9" s="18" t="str">
        <x:v>DEFINED_TERMINAL_OR_FEED_SCOPE</x:v>
      </x:c>
      <x:c r="R9" s="18" t="str">
        <x:v>news_ngt_14d.json — published records loaded</x:v>
      </x:c>
      <x:c r="S9" s="18" t="str"/>
      <x:c r="T9" s="18" t="str"/>
      <x:c r="U9" s="20" t="n">
        <x:v>52</x:v>
      </x:c>
      <x:c r="V9" s="19" t="n">
        <x:f>IFERROR(TODAY()-DATEVALUE(C9),"")</x:f>
        <x:v>13</x:v>
      </x:c>
      <x:c r="W9" s="21" t="n">
        <x:f>ROUND(COUNTA(A9:K9)/11*100,0)</x:f>
        <x:v>100</x:v>
      </x:c>
      <x:c r="X9" s="18" t="str">
        <x:v>Google News RSS</x:v>
      </x:c>
      <x:c r="Y9" s="22" t="str">
        <x:v>https://news.google.com/rss/articles/CBMiowFBVV95cUxOUks2T2o5TExiZVRnU1JPdE9NcEFrdnU2Nk05Z2U3SVhyRUZJc3hKY0FHbnpXejVnb0c1QnZhRFNzbVVFSHJJQzh2UGw2dlB4MTlqOEs3MVFkY0tjbko2NGJMS2htUzlEbmxuU0lEY0ZYQTBNOXdXUjk4WEtGXzhmMkdVN0pFamlGWjlXbms4NEhmMFpzUGRwU0k5ekROb25rT0Jj0gGwAUFVX3lxTFBQOE8zWUVsblI1TzlFcTlpMGx2ZUZqd3BvWVZtbV90U2xUZjFqd3RSSG9maTdPdi1VWmVSUDlYUFNYMG1YdzhrMkVnSUZ0OUZiS1RxUWVXaHB4azQ3UnJFLUJqQjQ1Z0xVaFlxNnBHT3VXZGNMeUZlMUZLcW13dXFoajZNa0tuQ3A0eS1aNEhvbnZ4dG5uc0hvT1ItM3FBVlRwSHlqVVRzMHV4WHFQbDdY?oc=5</x:v>
      </x:c>
      <x:c r="Z9" s="18" t="n">
        <x:v>46262.237546296295</x:v>
      </x:c>
      <x:c r="AA9" s="18" t="n">
        <x:v>46275.38862103009</x:v>
      </x:c>
      <x:c r="AB9" s="18" t="str">
        <x:v>public_rss</x:v>
      </x:c>
      <x:c r="AC9" s="18" t="str">
        <x:v>READY</x:v>
      </x:c>
      <x:c r="AZ9" s="18" t="str">
        <x:v>2026-09-03</x:v>
      </x:c>
      <x:c r="BA9" s="18" t="n">
        <x:v>2</x:v>
      </x:c>
      <x:c r="BF9" s="18" t="str">
        <x:v>Live Law</x:v>
      </x:c>
      <x:c r="BG9" s="18" t="n">
        <x:v>2</x:v>
      </x:c>
    </x:row>
    <x:row r="10">
      <x:c r="A10" s="18" t="str">
        <x:v>NYT-41-bde10946c3b502e6</x:v>
      </x:c>
      <x:c r="B10" s="18" t="str">
        <x:v>Supreme Court extends tenure of 3 NGT members; AG says 229 tribunal members' tenure extended - Bar and Bench</x:v>
      </x:c>
      <x:c r="C10" s="18" t="str">
        <x:v>2026-09-08</x:v>
      </x:c>
      <x:c r="D10" s="18" t="n">
        <x:v>2026</x:v>
      </x:c>
      <x:c r="E10" s="18" t="str">
        <x:v>2026-09</x:v>
      </x:c>
      <x:c r="F10" s="18" t="str"/>
      <x:c r="G10" s="18" t="str">
        <x:v>National Green Tribunal NGT order</x:v>
      </x:c>
      <x:c r="H10" s="18" t="str"/>
      <x:c r="I10" s="18" t="str">
        <x:v>Bar and Bench</x:v>
      </x:c>
      <x:c r="J10" s="20" t="str"/>
      <x:c r="K10" s="18" t="str"/>
      <x:c r="L10" s="18" t="str">
        <x:v>Supreme Court extends tenure of 3 NGT members; AG says 229 tribunal members' tenure extended - Bar and Bench</x:v>
      </x:c>
      <x:c r="M10" s="18" t="str">
        <x:v>Bar and Bench</x:v>
      </x:c>
      <x:c r="N10" s="18" t="str">
        <x:v>National Green Tribunal NGT order</x:v>
      </x:c>
      <x:c r="O10" s="18" t="n">
        <x:v>46273.48159722222</x:v>
      </x:c>
      <x:c r="P10" s="18" t="str">
        <x:v>https://www.barandbench.com</x:v>
      </x:c>
      <x:c r="Q10" s="18" t="str">
        <x:v>DEFINED_TERMINAL_OR_FEED_SCOPE</x:v>
      </x:c>
      <x:c r="R10" s="18" t="str">
        <x:v>news_ngt_14d.json — published records loaded</x:v>
      </x:c>
      <x:c r="S10" s="18" t="str"/>
      <x:c r="T10" s="18" t="str"/>
      <x:c r="U10" s="20" t="n">
        <x:v>52</x:v>
      </x:c>
      <x:c r="V10" s="19" t="n">
        <x:f>IFERROR(TODAY()-DATEVALUE(C10),"")</x:f>
        <x:v>2</x:v>
      </x:c>
      <x:c r="W10" s="21" t="n">
        <x:f>ROUND(COUNTA(A10:K10)/11*100,0)</x:f>
        <x:v>100</x:v>
      </x:c>
      <x:c r="X10" s="18" t="str">
        <x:v>Google News RSS</x:v>
      </x:c>
      <x:c r="Y10" s="22" t="str">
        <x:v>https://news.google.com/rss/articles/CBMi3AFBVV95cUxQbDNwd3g2aEdOWUg3czV1NkZGZkItOF9SX3NoVFRpUy1NeW82b1FwcW9xZGtTTFZLX3R4b1owSjJkTHkzYUVZZHAtanVPektjWUdVdTlWVkRXVWZsY1ZOTWk0XzFfcDdUdmw2dFhQdW5tQklPSm1JZG9NLUI0N3lXeWNVNzZfdF9XWXRLZUliRkhtUEI5dWVGZjJubGFyalRWY3lkNVEwcmQyeS14a1c1RnQyLURVWFZQTG1qaWZVU2VkaXlDMFpvMlctbzRsMXVpbU80NW9fcEIxOEU40gHcAUFVX3lxTFBsM3B3eDZoR05ZSDdzNXU2RkZmQi04X1Jfc2hUVGlTLU15bzZvUXBxb3Fka1NMVktfdHhvWjBKMmRMeTNhRVlkcC1qdU96S2NZR1V1OVZWRFdVZmxjVk5NaTRfMV9wN1R2bDZ0WFB1bm1CSU9KbUlkb00tQjQ3eVd5Y1U3Nl90X1dZdEtlSWJGSG1QQjl1ZUZmMm5sYXJqVFZjeWQ1UTByZDJ5LXhrVzVGdDItRFVYVlBMbWppZlVTZWRpeUMwWm8yVy1vNGwxdWltTzQ1b19wQjE4RTg?oc=5</x:v>
      </x:c>
      <x:c r="Z10" s="18" t="n">
        <x:v>46273.48159722222</x:v>
      </x:c>
      <x:c r="AA10" s="18" t="n">
        <x:v>46275.38862103009</x:v>
      </x:c>
      <x:c r="AB10" s="18" t="str">
        <x:v>public_rss</x:v>
      </x:c>
      <x:c r="AC10" s="18" t="str">
        <x:v>READY</x:v>
      </x:c>
      <x:c r="AZ10" s="18" t="str">
        <x:v>2026-09-04</x:v>
      </x:c>
      <x:c r="BA10" s="18" t="n">
        <x:v>3</x:v>
      </x:c>
      <x:c r="BF10" s="18" t="str">
        <x:v>ThePrint</x:v>
      </x:c>
      <x:c r="BG10" s="18" t="n">
        <x:v>2</x:v>
      </x:c>
    </x:row>
    <x:row r="11">
      <x:c r="A11" s="18" t="str">
        <x:v>NYT-41-c90769486cdb8c1a</x:v>
      </x:c>
      <x:c r="B11" s="18" t="str">
        <x:v>NGT To Host International Conference On 'The Future Of Environemnt &amp; Climate Dynamics 2026' - Live Law</x:v>
      </x:c>
      <x:c r="C11" s="18" t="str">
        <x:v>2026-09-01</x:v>
      </x:c>
      <x:c r="D11" s="18" t="n">
        <x:v>2026</x:v>
      </x:c>
      <x:c r="E11" s="18" t="str">
        <x:v>2026-09</x:v>
      </x:c>
      <x:c r="F11" s="18" t="str"/>
      <x:c r="G11" s="18" t="str">
        <x:v>National Green Tribunal NGT order</x:v>
      </x:c>
      <x:c r="H11" s="18" t="str"/>
      <x:c r="I11" s="18" t="str">
        <x:v>Live Law</x:v>
      </x:c>
      <x:c r="J11" s="20" t="str"/>
      <x:c r="K11" s="18" t="str"/>
      <x:c r="L11" s="18" t="str">
        <x:v>NGT To Host International Conference On 'The Future Of Environemnt &amp; Climate Dynamics 2026' - Live Law</x:v>
      </x:c>
      <x:c r="M11" s="18" t="str">
        <x:v>Live Law</x:v>
      </x:c>
      <x:c r="N11" s="18" t="str">
        <x:v>National Green Tribunal NGT order</x:v>
      </x:c>
      <x:c r="O11" s="18" t="n">
        <x:v>46266.21238425926</x:v>
      </x:c>
      <x:c r="P11" s="18" t="str">
        <x:v>https://www.livelaw.in</x:v>
      </x:c>
      <x:c r="Q11" s="18" t="str">
        <x:v>DEFINED_TERMINAL_OR_FEED_SCOPE</x:v>
      </x:c>
      <x:c r="R11" s="18" t="str">
        <x:v>news_ngt_14d.json — published records loaded</x:v>
      </x:c>
      <x:c r="S11" s="18" t="str"/>
      <x:c r="T11" s="18" t="str"/>
      <x:c r="U11" s="20" t="n">
        <x:v>52</x:v>
      </x:c>
      <x:c r="V11" s="19" t="n">
        <x:f>IFERROR(TODAY()-DATEVALUE(C11),"")</x:f>
        <x:v>9</x:v>
      </x:c>
      <x:c r="W11" s="21" t="n">
        <x:f>ROUND(COUNTA(A11:K11)/11*100,0)</x:f>
        <x:v>100</x:v>
      </x:c>
      <x:c r="X11" s="18" t="str">
        <x:v>Google News RSS</x:v>
      </x:c>
      <x:c r="Y11" s="22" t="str">
        <x:v>https://news.google.com/rss/articles/CBMiygFBVV95cUxQdzU2NGh3bWc3M3dZalAzNURER2RDZVBhSGlVTHlqaTN1c0N1Mk9XV3RGQlhtdzRhc0hnTDhGMDFHS2YzRHN0cjNBUklrM0dGRzlNS0w3SWQwTGllRHluTmFvN2pYZnl0RVlfLU9LWnJsMmlGcUYyWlU4Ujh5dUJTYmhXTHV3NlZXMmI5aExOZERsdGo5S01rMDUyY2hsNVVFMU5hVTJUelZHY2lONDNBUUNzOGVqTU5RLUpzVDdpQTFMTVZKcUlMNHJ30gHPAUFVX3lxTE53d0hEdXNkUVdEYVhKSkRJMzdhcC01UVd1Njlwd1Z0bC1fYnY1MTZSVjRDZ3dKd3ZkcGpvb3Jfdk5WRklLS19GMElTT0E4MHRjam92b3BjaWtJLThVZWx2cW03OFZPdS1lTUFWVld1OG1uOEk4dG5GTnVaQzc5M25GY0ppeXFrZW51b3NoTlFYbDk1NGZlZ1h5VHRobi13WmdSWE91WFBfN0puUHBMZ2hBNWd2OWFINnhIcTc2Ri14Ni1IZ2dWUDhPUkZ0SFI3cw?oc=5</x:v>
      </x:c>
      <x:c r="Z11" s="18" t="n">
        <x:v>46266.21238425926</x:v>
      </x:c>
      <x:c r="AA11" s="18" t="n">
        <x:v>46275.38862103009</x:v>
      </x:c>
      <x:c r="AB11" s="18" t="str">
        <x:v>public_rss</x:v>
      </x:c>
      <x:c r="AC11" s="18" t="str">
        <x:v>READY</x:v>
      </x:c>
      <x:c r="AZ11" s="18" t="str">
        <x:v>2026-09-05</x:v>
      </x:c>
      <x:c r="BA11" s="18" t="n">
        <x:v>1</x:v>
      </x:c>
      <x:c r="BF11" s="18" t="str">
        <x:v>The New Indian Express</x:v>
      </x:c>
      <x:c r="BG11" s="18" t="n">
        <x:v>2</x:v>
      </x:c>
    </x:row>
    <x:row r="12">
      <x:c r="A12" s="18" t="str">
        <x:v>NYT-41-e9a387c3fade1239</x:v>
      </x:c>
      <x:c r="B12" s="18" t="str">
        <x:v>NGT may soon see more empty benches as 2 conflicting SC orders put short-staffed green court in a fix - ThePrint</x:v>
      </x:c>
      <x:c r="C12" s="18" t="str">
        <x:v>2026-08-31</x:v>
      </x:c>
      <x:c r="D12" s="18" t="n">
        <x:v>2026</x:v>
      </x:c>
      <x:c r="E12" s="18" t="str">
        <x:v>2026-08</x:v>
      </x:c>
      <x:c r="F12" s="18" t="str"/>
      <x:c r="G12" s="18" t="str">
        <x:v>National Green Tribunal NGT order</x:v>
      </x:c>
      <x:c r="H12" s="18" t="str"/>
      <x:c r="I12" s="18" t="str">
        <x:v>ThePrint</x:v>
      </x:c>
      <x:c r="J12" s="20" t="str"/>
      <x:c r="K12" s="18" t="str"/>
      <x:c r="L12" s="18" t="str">
        <x:v>NGT may soon see more empty benches as 2 conflicting SC orders put short-staffed green court in a fix - ThePrint</x:v>
      </x:c>
      <x:c r="M12" s="18" t="str">
        <x:v>ThePrint</x:v>
      </x:c>
      <x:c r="N12" s="18" t="str">
        <x:v>National Green Tribunal NGT order</x:v>
      </x:c>
      <x:c r="O12" s="18" t="n">
        <x:v>46265.291666666664</x:v>
      </x:c>
      <x:c r="P12" s="18" t="str">
        <x:v>https://theprint.in</x:v>
      </x:c>
      <x:c r="Q12" s="18" t="str">
        <x:v>DEFINED_TERMINAL_OR_FEED_SCOPE</x:v>
      </x:c>
      <x:c r="R12" s="18" t="str">
        <x:v>news_ngt_14d.json — published records loaded</x:v>
      </x:c>
      <x:c r="S12" s="18" t="str"/>
      <x:c r="T12" s="18" t="str"/>
      <x:c r="U12" s="20" t="n">
        <x:v>52</x:v>
      </x:c>
      <x:c r="V12" s="19" t="n">
        <x:f>IFERROR(TODAY()-DATEVALUE(C12),"")</x:f>
        <x:v>10</x:v>
      </x:c>
      <x:c r="W12" s="21" t="n">
        <x:f>ROUND(COUNTA(A12:K12)/11*100,0)</x:f>
        <x:v>100</x:v>
      </x:c>
      <x:c r="X12" s="18" t="str">
        <x:v>Google News RSS</x:v>
      </x:c>
      <x:c r="Y12" s="22" t="str">
        <x:v>https://news.google.com/rss/articles/CBMi1wFBVV95cUxNTDZzWDhOMkZIUGpnWlk0M1BYQ1JnMmxBdHJuOWI3NXdBVE9pZDd5c1JCVGtDdjBNRVpEZlJTNDk1YTM4MTB4SmZQMTIwZ3JOUDNSVVoxd3ZQUFBtSlJiNThFYmJHM0pCQUxrbU9sd05uN1U1Tk9qZG1SSGk5R3ZvUm1LcU1SMjZ1bmR3a21ocnVURzlZbDh5NUlXUGJrR002SU9hYkx1VHRlLURObURJeUJveVpYY3NvUEMzVGFXUWNIai05MHk0ZUxIT1dES3NkbDJGODFsRdIB3AFBVV95cUxNZkk5a3RibWNmeFpHbDZZVEJtSk9wMzhPRkFtMXVVakVVME1VZE1kVEJjdUJ4UmtpRWY2M3duc0ZHd2JKdlJ4MXVpYmVyaW9xVGlPazdtVkdETC01RzF1MTd3eHBvSGRQaVVINHd5N0JjWFJkNjEybFpJcUtYSFBhVUduOXBGV1lNZTJYRmNOLVdrZXd3ODN5NVNMckRodmNYM1lveFc4blpBSGxZNk8yaHBSbHZkcE1fb1hCV19lbmpEZ1NrN3hkWUl4cWFKd2lFZzF6NFJSdGw0cW4y?oc=5</x:v>
      </x:c>
      <x:c r="Z12" s="18" t="n">
        <x:v>46265.291666666664</x:v>
      </x:c>
      <x:c r="AA12" s="18" t="n">
        <x:v>46275.38862103009</x:v>
      </x:c>
      <x:c r="AB12" s="18" t="str">
        <x:v>public_rss</x:v>
      </x:c>
      <x:c r="AC12" s="18" t="str">
        <x:v>READY</x:v>
      </x:c>
      <x:c r="AZ12" s="18" t="str">
        <x:v>2026-09-06</x:v>
      </x:c>
      <x:c r="BA12" s="18" t="n">
        <x:v>1</x:v>
      </x:c>
      <x:c r="BF12" s="18" t="str">
        <x:v>Wansom AI</x:v>
      </x:c>
      <x:c r="BG12" s="18" t="n">
        <x:v>2</x:v>
      </x:c>
    </x:row>
    <x:row r="13">
      <x:c r="A13" s="18" t="str">
        <x:v>NYT-41-00b064cfceb43af3</x:v>
      </x:c>
      <x:c r="B13" s="18" t="str">
        <x:v>National Green Tribunal forms panel to probe illegal mining in Khurda - The New Indian Express</x:v>
      </x:c>
      <x:c r="C13" s="18" t="str">
        <x:v>2026-08-31</x:v>
      </x:c>
      <x:c r="D13" s="18" t="n">
        <x:v>2026</x:v>
      </x:c>
      <x:c r="E13" s="18" t="str">
        <x:v>2026-08</x:v>
      </x:c>
      <x:c r="F13" s="18" t="str"/>
      <x:c r="G13" s="18" t="str">
        <x:v>National Green Tribunal NGT order</x:v>
      </x:c>
      <x:c r="H13" s="18" t="str"/>
      <x:c r="I13" s="18" t="str">
        <x:v>The New Indian Express</x:v>
      </x:c>
      <x:c r="J13" s="20" t="str"/>
      <x:c r="K13" s="18" t="str"/>
      <x:c r="L13" s="18" t="str">
        <x:v>National Green Tribunal forms panel to probe illegal mining in Khurda - The New Indian Express</x:v>
      </x:c>
      <x:c r="M13" s="18" t="str">
        <x:v>The New Indian Express</x:v>
      </x:c>
      <x:c r="N13" s="18" t="str">
        <x:v>National Green Tribunal NGT order</x:v>
      </x:c>
      <x:c r="O13" s="18" t="n">
        <x:v>46265.291666666664</x:v>
      </x:c>
      <x:c r="P13" s="18" t="str">
        <x:v>https://www.newindianexpress.com</x:v>
      </x:c>
      <x:c r="Q13" s="18" t="str">
        <x:v>DEFINED_TERMINAL_OR_FEED_SCOPE</x:v>
      </x:c>
      <x:c r="R13" s="18" t="str">
        <x:v>news_ngt_14d.json — published records loaded</x:v>
      </x:c>
      <x:c r="S13" s="18" t="str"/>
      <x:c r="T13" s="18" t="str"/>
      <x:c r="U13" s="20" t="n">
        <x:v>52</x:v>
      </x:c>
      <x:c r="V13" s="19" t="n">
        <x:f>IFERROR(TODAY()-DATEVALUE(C13),"")</x:f>
        <x:v>10</x:v>
      </x:c>
      <x:c r="W13" s="21" t="n">
        <x:f>ROUND(COUNTA(A13:K13)/11*100,0)</x:f>
        <x:v>100</x:v>
      </x:c>
      <x:c r="X13" s="18" t="str">
        <x:v>Google News RSS</x:v>
      </x:c>
      <x:c r="Y13" s="22" t="str">
        <x:v>https://news.google.com/rss/articles/CBMixwFBVV95cUxOMFZiT2tpeTB2MXRpNHFad2prRm94SXJjTmMxemNSMFFBRjhDdnJVSnZZN0JmSmtKVlR0ZXg3QVZJVGZQU0QwaVdiekR6NEExQnVpWnpyMGhZOHlidEdXSm45NDFqQUR0VVY4SXdJUTdTR2ZKVXFiYUdpUFNtU20yS1R2aDhlZnVhMVpPRGZqTDFfVURISTVNdEhXc1E4bVJ5cl90cXBWYW9IeHloY29iaWFNYllPeU5TWmxhQy1lVEFCZDJkQUE40gHUAUFVX3lxTE1vdjRSRE4zcGFUWlY3TTIxSlByZUVlb0VhbUo1SHB2NTdEeHB2WG5OSjllUjZTUnRobmh4alJEcExlVTh3SmJJOUJNTUpMT3R5UDNqOTNiUm1ZeHc2WVB4MVNfOTMyTXVxa1hJdzRwaHBZNWhuZlhUeUdrOV9ZM1dpTDQ3by1TSUNjWXNpckVFZXVqeFVCd1dFZmVOaW4tSGdsM1o3OE5JTkdjUW1UVEZHX0xWQTJ5cmgzeU02dnhGTEpZSWdTZFNNME5oMnowLUhxQjNB?oc=5</x:v>
      </x:c>
      <x:c r="Z13" s="18" t="n">
        <x:v>46265.291666666664</x:v>
      </x:c>
      <x:c r="AA13" s="18" t="n">
        <x:v>46275.38862103009</x:v>
      </x:c>
      <x:c r="AB13" s="18" t="str">
        <x:v>public_rss</x:v>
      </x:c>
      <x:c r="AC13" s="18" t="str">
        <x:v>READY</x:v>
      </x:c>
      <x:c r="AZ13" s="18" t="str">
        <x:v>2026-09-07</x:v>
      </x:c>
      <x:c r="BA13" s="18" t="n">
        <x:v>5</x:v>
      </x:c>
      <x:c r="BF13" s="18" t="str">
        <x:v>Bar and Bench</x:v>
      </x:c>
      <x:c r="BG13" s="18" t="n">
        <x:v>1</x:v>
      </x:c>
    </x:row>
    <x:row r="14">
      <x:c r="A14" s="18" t="str">
        <x:v>NYT-41-ce327e6c928fdf63</x:v>
      </x:c>
      <x:c r="B14" s="18" t="str">
        <x:v>NGT restructures air pollution cases, separates Delhi-NCR matters - ANI News</x:v>
      </x:c>
      <x:c r="C14" s="18" t="str">
        <x:v>2026-08-29</x:v>
      </x:c>
      <x:c r="D14" s="18" t="n">
        <x:v>2026</x:v>
      </x:c>
      <x:c r="E14" s="18" t="str">
        <x:v>2026-08</x:v>
      </x:c>
      <x:c r="F14" s="18" t="str"/>
      <x:c r="G14" s="18" t="str">
        <x:v>National Green Tribunal NGT order</x:v>
      </x:c>
      <x:c r="H14" s="18" t="str"/>
      <x:c r="I14" s="18" t="str">
        <x:v>ANI News</x:v>
      </x:c>
      <x:c r="J14" s="20" t="str"/>
      <x:c r="K14" s="18" t="str"/>
      <x:c r="L14" s="18" t="str">
        <x:v>NGT restructures air pollution cases, separates Delhi-NCR matters - ANI News</x:v>
      </x:c>
      <x:c r="M14" s="18" t="str">
        <x:v>ANI News</x:v>
      </x:c>
      <x:c r="N14" s="18" t="str">
        <x:v>National Green Tribunal NGT order</x:v>
      </x:c>
      <x:c r="O14" s="18" t="n">
        <x:v>46263.291666666664</x:v>
      </x:c>
      <x:c r="P14" s="18" t="str">
        <x:v>https://www.aninews.in</x:v>
      </x:c>
      <x:c r="Q14" s="18" t="str">
        <x:v>DEFINED_TERMINAL_OR_FEED_SCOPE</x:v>
      </x:c>
      <x:c r="R14" s="18" t="str">
        <x:v>news_ngt_14d.json — published records loaded</x:v>
      </x:c>
      <x:c r="S14" s="18" t="str"/>
      <x:c r="T14" s="18" t="str"/>
      <x:c r="U14" s="20" t="n">
        <x:v>52</x:v>
      </x:c>
      <x:c r="V14" s="19" t="n">
        <x:f>IFERROR(TODAY()-DATEVALUE(C14),"")</x:f>
        <x:v>12</x:v>
      </x:c>
      <x:c r="W14" s="21" t="n">
        <x:f>ROUND(COUNTA(A14:K14)/11*100,0)</x:f>
        <x:v>100</x:v>
      </x:c>
      <x:c r="X14" s="18" t="str">
        <x:v>Google News RSS</x:v>
      </x:c>
      <x:c r="Y14" s="22" t="str">
        <x:v>https://news.google.com/rss/articles/CBMixwFBVV95cUxQUTdhNmt6VW1rNFR2LURyeEliNmY5cjNzN0o5ZER0NE1qb0R0Q0dUb3RNUi1MNXJGWElZalJZOVJQTzRHN3RNVDJBNjNmbkgtOUFTV2RDelMwZlZLbllHSXh1TzJza1NMZ1lHd0Z4Mi1iVE9Xc0Q3NFJWNkZ1d1I1Yi0zUkljODY4TW5YdGZDZEdVVHVDZFlVMHVPRG8wSDNDTDBma1pEZ0hFWC01SUNYWXFiWDA0TDlEdnB0MlM0bEV6WnhGaGhz?oc=5</x:v>
      </x:c>
      <x:c r="Z14" s="18" t="n">
        <x:v>46263.291666666664</x:v>
      </x:c>
      <x:c r="AA14" s="18" t="n">
        <x:v>46275.38862103009</x:v>
      </x:c>
      <x:c r="AB14" s="18" t="str">
        <x:v>public_rss</x:v>
      </x:c>
      <x:c r="AC14" s="18" t="str">
        <x:v>READY</x:v>
      </x:c>
      <x:c r="AZ14" s="18" t="str">
        <x:v>2026-09-08</x:v>
      </x:c>
      <x:c r="BA14" s="18" t="n">
        <x:v>8</x:v>
      </x:c>
      <x:c r="BF14" s="18" t="str">
        <x:v>Kashmir Life</x:v>
      </x:c>
      <x:c r="BG14" s="18" t="n">
        <x:v>1</x:v>
      </x:c>
    </x:row>
    <x:row r="15">
      <x:c r="A15" s="18" t="str">
        <x:v>NYT-41-f119db24d5f11c06</x:v>
      </x:c>
      <x:c r="B15" s="18" t="str">
        <x:v>Bombay High Court Upholds Maintainability of Writ Petition Under Article 226 Against NGT Orders, Rejects Absolute Bar Under Section 18 of NGT Act. The court held that the National Green Tribunal is a tribunal, not a court, and its orders are amenable to writ j - Lawtext</x:v>
      </x:c>
      <x:c r="C15" s="18" t="str">
        <x:v>2026-09-03</x:v>
      </x:c>
      <x:c r="D15" s="18" t="n">
        <x:v>2026</x:v>
      </x:c>
      <x:c r="E15" s="18" t="str">
        <x:v>2026-09</x:v>
      </x:c>
      <x:c r="F15" s="18" t="str"/>
      <x:c r="G15" s="18" t="str">
        <x:v>National Green Tribunal NGT order</x:v>
      </x:c>
      <x:c r="H15" s="18" t="str"/>
      <x:c r="I15" s="18" t="str">
        <x:v>Lawtext</x:v>
      </x:c>
      <x:c r="J15" s="20" t="str"/>
      <x:c r="K15" s="18" t="str"/>
      <x:c r="L15" s="18" t="str">
        <x:v>Bombay High Court Upholds Maintainability of Writ Petition Under Article 226 Against NGT Orders, Rejects Absolute Bar Under Section 18 of NGT Act. The court held that the National Green Tribunal is a tribunal, not a court, and its orders are amenable to writ j - Lawtext</x:v>
      </x:c>
      <x:c r="M15" s="18" t="str">
        <x:v>Lawtext</x:v>
      </x:c>
      <x:c r="N15" s="18" t="str">
        <x:v>National Green Tribunal NGT order</x:v>
      </x:c>
      <x:c r="O15" s="18" t="n">
        <x:v>46268.090474537035</x:v>
      </x:c>
      <x:c r="P15" s="18" t="str">
        <x:v>https://lawtext.in</x:v>
      </x:c>
      <x:c r="Q15" s="18" t="str">
        <x:v>DEFINED_TERMINAL_OR_FEED_SCOPE</x:v>
      </x:c>
      <x:c r="R15" s="18" t="str">
        <x:v>news_ngt_14d.json — published records loaded</x:v>
      </x:c>
      <x:c r="S15" s="18" t="str"/>
      <x:c r="T15" s="18" t="str"/>
      <x:c r="U15" s="20" t="n">
        <x:v>52</x:v>
      </x:c>
      <x:c r="V15" s="19" t="n">
        <x:f>IFERROR(TODAY()-DATEVALUE(C15),"")</x:f>
        <x:v>7</x:v>
      </x:c>
      <x:c r="W15" s="21" t="n">
        <x:f>ROUND(COUNTA(A15:K15)/11*100,0)</x:f>
        <x:v>100</x:v>
      </x:c>
      <x:c r="X15" s="18" t="str">
        <x:v>Google News RSS</x:v>
      </x:c>
      <x:c r="Y15" s="22" t="str">
        <x:v>https://news.google.com/rss/articles/CBMiZkFVX3lxTE12TFp1di1LWV9UVjdNckZDTzBySmVrZ3AyaUdLMkdNaGlEUGZBT25XY21wMTBLdDZMR3JjM29rTE5yVDVzRmh1VEV1VkxsUGwycXhkRldoTEF6WEwxY2tfOXpkTzByZw?oc=5</x:v>
      </x:c>
      <x:c r="Z15" s="18" t="n">
        <x:v>46268.090474537035</x:v>
      </x:c>
      <x:c r="AA15" s="18" t="n">
        <x:v>46275.38862103009</x:v>
      </x:c>
      <x:c r="AB15" s="18" t="str">
        <x:v>public_rss</x:v>
      </x:c>
      <x:c r="AC15" s="18" t="str">
        <x:v>READY</x:v>
      </x:c>
      <x:c r="AZ15" s="18" t="str">
        <x:v>2026-09-09</x:v>
      </x:c>
      <x:c r="BA15" s="18" t="n">
        <x:v>6</x:v>
      </x:c>
    </x:row>
    <x:row r="16">
      <x:c r="A16" s="18" t="str">
        <x:v>NYT-41-91bd98e1afabf79b</x:v>
      </x:c>
      <x:c r="B16" s="18" t="str">
        <x:v>PM Modi To Inaugurate 2-Day International NGT Conference On September 19 - ETV Bharat</x:v>
      </x:c>
      <x:c r="C16" s="18" t="str">
        <x:v>2026-09-02</x:v>
      </x:c>
      <x:c r="D16" s="18" t="n">
        <x:v>2026</x:v>
      </x:c>
      <x:c r="E16" s="18" t="str">
        <x:v>2026-09</x:v>
      </x:c>
      <x:c r="F16" s="18" t="str"/>
      <x:c r="G16" s="18" t="str">
        <x:v>National Green Tribunal NGT order</x:v>
      </x:c>
      <x:c r="H16" s="18" t="str"/>
      <x:c r="I16" s="18" t="str">
        <x:v>ETV Bharat</x:v>
      </x:c>
      <x:c r="J16" s="20" t="str"/>
      <x:c r="K16" s="18" t="str"/>
      <x:c r="L16" s="18" t="str">
        <x:v>PM Modi To Inaugurate 2-Day International NGT Conference On September 19 - ETV Bharat</x:v>
      </x:c>
      <x:c r="M16" s="18" t="str">
        <x:v>ETV Bharat</x:v>
      </x:c>
      <x:c r="N16" s="18" t="str">
        <x:v>National Green Tribunal NGT order</x:v>
      </x:c>
      <x:c r="O16" s="18" t="n">
        <x:v>46267.32344907407</x:v>
      </x:c>
      <x:c r="P16" s="18" t="str">
        <x:v>https://www.etvbharat.com</x:v>
      </x:c>
      <x:c r="Q16" s="18" t="str">
        <x:v>DEFINED_TERMINAL_OR_FEED_SCOPE</x:v>
      </x:c>
      <x:c r="R16" s="18" t="str">
        <x:v>news_ngt_14d.json — published records loaded</x:v>
      </x:c>
      <x:c r="S16" s="18" t="str"/>
      <x:c r="T16" s="18" t="str"/>
      <x:c r="U16" s="20" t="n">
        <x:v>52</x:v>
      </x:c>
      <x:c r="V16" s="19" t="n">
        <x:f>IFERROR(TODAY()-DATEVALUE(C16),"")</x:f>
        <x:v>8</x:v>
      </x:c>
      <x:c r="W16" s="21" t="n">
        <x:f>ROUND(COUNTA(A16:K16)/11*100,0)</x:f>
        <x:v>100</x:v>
      </x:c>
      <x:c r="X16" s="18" t="str">
        <x:v>Google News RSS</x:v>
      </x:c>
      <x:c r="Y16" s="22" t="str">
        <x:v>https://news.google.com/rss/articles/CBMixwFBVV95cUxOUkxCWFA4bktIUkVYS2FSb1psVGJtVGVleEFlUHlzWl9wT0h3MWNBcUlOTkcwWWdaS1dvNnlXdTRpNFk1SjhiVHF2RWhzQ1JnY0VMU3Z0bzU1WExCMGZJRnNFY2dHNFJpOWJDUXdtX19Bekd5cDB6SzlKbFZBanlPNl9kaC0zYWxMaG5qeDNuazZYMExSbTJrNUxBZXJudHlFLTZ5ZFJQY0FaYzJzQmFaZmpfdUVzQVBrcUFYREVvR0NiMDJhdmM00gHMAUFVX3lxTFBpa1dYa01xOWtpSVVOYXZSRkhobGF4WFpTeEY1N0Z3by1zN0h2a3BkbXF5bDYzVDBXRE1CS3hYSkVDS1UzLUJMcnU2dEhNcVVfdzRNcEVsWGRrVnNIZkhxTU9XX1NlZDQ0b2xFaDM5cXhYV1ZOQ3ZNYTVEM1F5MTBGTXhMNGpRa25xTTh4REJlQWVUNU1tMWl6SzNqNG5sUGhORzc5X1V5YzVLMV9oOFN1TFU2bVNDZXNNMDJ5TkJUSFExRmpoOTdjODZlaA?oc=5</x:v>
      </x:c>
      <x:c r="Z16" s="18" t="n">
        <x:v>46267.32344907407</x:v>
      </x:c>
      <x:c r="AA16" s="18" t="n">
        <x:v>46275.38862103009</x:v>
      </x:c>
      <x:c r="AB16" s="18" t="str">
        <x:v>public_rss</x:v>
      </x:c>
      <x:c r="AC16" s="18" t="str">
        <x:v>READY</x:v>
      </x:c>
      <x:c r="AZ16" s="18" t="str">
        <x:v>2026-09-10</x:v>
      </x:c>
      <x:c r="BA16" s="18" t="n">
        <x:v>2</x:v>
      </x:c>
    </x:row>
    <x:row r="17">
      <x:c r="A17" s="18" t="str">
        <x:v>NYT-41-b2f66a42072f2a75</x:v>
      </x:c>
      <x:c r="B17" s="18" t="str">
        <x:v>Daily Court Digest: Major environment orders (September 2, 2026) - Down To Earth</x:v>
      </x:c>
      <x:c r="C17" s="18" t="str">
        <x:v>2026-09-03</x:v>
      </x:c>
      <x:c r="D17" s="18" t="n">
        <x:v>2026</x:v>
      </x:c>
      <x:c r="E17" s="18" t="str">
        <x:v>2026-09</x:v>
      </x:c>
      <x:c r="F17" s="18" t="str"/>
      <x:c r="G17" s="18" t="str">
        <x:v>National Green Tribunal NGT order</x:v>
      </x:c>
      <x:c r="H17" s="18" t="str"/>
      <x:c r="I17" s="18" t="str">
        <x:v>Down To Earth</x:v>
      </x:c>
      <x:c r="J17" s="20" t="str"/>
      <x:c r="K17" s="18" t="str"/>
      <x:c r="L17" s="18" t="str">
        <x:v>Daily Court Digest: Major environment orders (September 2, 2026) - Down To Earth</x:v>
      </x:c>
      <x:c r="M17" s="18" t="str">
        <x:v>Down To Earth</x:v>
      </x:c>
      <x:c r="N17" s="18" t="str">
        <x:v>National Green Tribunal NGT order</x:v>
      </x:c>
      <x:c r="O17" s="18" t="n">
        <x:v>46268.47802083333</x:v>
      </x:c>
      <x:c r="P17" s="18" t="str">
        <x:v>https://www.downtoearth.org.in</x:v>
      </x:c>
      <x:c r="Q17" s="18" t="str">
        <x:v>DEFINED_TERMINAL_OR_FEED_SCOPE</x:v>
      </x:c>
      <x:c r="R17" s="18" t="str">
        <x:v>news_ngt_14d.json — published records loaded</x:v>
      </x:c>
      <x:c r="S17" s="18" t="str"/>
      <x:c r="T17" s="18" t="str"/>
      <x:c r="U17" s="20" t="n">
        <x:v>52</x:v>
      </x:c>
      <x:c r="V17" s="19" t="n">
        <x:f>IFERROR(TODAY()-DATEVALUE(C17),"")</x:f>
        <x:v>7</x:v>
      </x:c>
      <x:c r="W17" s="21" t="n">
        <x:f>ROUND(COUNTA(A17:K17)/11*100,0)</x:f>
        <x:v>100</x:v>
      </x:c>
      <x:c r="X17" s="18" t="str">
        <x:v>Google News RSS</x:v>
      </x:c>
      <x:c r="Y17" s="22" t="str">
        <x:v>https://news.google.com/rss/articles/CBMipgFBVV95cUxQOEFuckQyR2dVNU1UcmE4WlVQa3BEX3F5S0hUQkhPUlVEWm9OLTFpNGV4NmhUckRpYUZWSnAzbFZudmNJc0xqc3AtZWJXQTZHamhiWlZjd2p5RkZkQXJBMzQ4TXAwM1BDRW1hQXFWaXRCOFhtcUQ4aFFnS2lkQzZhV0hmcWNfOFFsMUFudDRfQmFpLVRhdDhTRzNFWmhHU2hvYUNXUkp30gGzAUFVX3lxTE1EdC1zaXQ2ME9aY2FwOXY2VUowR3Z2VUUxM0NOdGszMkU0NWh4ZzYzWnp4dmZaZy1nQVNjRUtlc1plSDQ4MlVCUTJPa3R6MEVwQnB5N0c0T3ZUQjhGZUY1RS14TDVoVTVyd3dNWFIweEdGOVA2MzBaYnZxUEhDd3pndjZyRC1TcXJIbVZKcFcxSmVHQVNZWlk4TERuUUU0TlhUdXNrZGhQZGV3VUVGUTFLYlZR?oc=5</x:v>
      </x:c>
      <x:c r="Z17" s="18" t="n">
        <x:v>46268.47802083333</x:v>
      </x:c>
      <x:c r="AA17" s="18" t="n">
        <x:v>46275.38862103009</x:v>
      </x:c>
      <x:c r="AB17" s="18" t="str">
        <x:v>public_rss</x:v>
      </x:c>
      <x:c r="AC17" s="18" t="str">
        <x:v>READY</x:v>
      </x:c>
    </x:row>
    <x:row r="18">
      <x:c r="A18" s="18" t="str">
        <x:v>NYT-41-1dc3d35489f08f7b</x:v>
      </x:c>
      <x:c r="B18" s="18" t="str">
        <x:v>NGT directs Karnataka Pollution Board to monitor fish processing unit, orders strict waste management - ANI News</x:v>
      </x:c>
      <x:c r="C18" s="18" t="str">
        <x:v>2026-08-31</x:v>
      </x:c>
      <x:c r="D18" s="18" t="n">
        <x:v>2026</x:v>
      </x:c>
      <x:c r="E18" s="18" t="str">
        <x:v>2026-08</x:v>
      </x:c>
      <x:c r="F18" s="18" t="str"/>
      <x:c r="G18" s="18" t="str">
        <x:v>National Green Tribunal NGT order</x:v>
      </x:c>
      <x:c r="H18" s="18" t="str"/>
      <x:c r="I18" s="18" t="str">
        <x:v>ANI News</x:v>
      </x:c>
      <x:c r="J18" s="20" t="str"/>
      <x:c r="K18" s="18" t="str"/>
      <x:c r="L18" s="18" t="str">
        <x:v>NGT directs Karnataka Pollution Board to monitor fish processing unit, orders strict waste management - ANI News</x:v>
      </x:c>
      <x:c r="M18" s="18" t="str">
        <x:v>ANI News</x:v>
      </x:c>
      <x:c r="N18" s="18" t="str">
        <x:v>National Green Tribunal NGT order</x:v>
      </x:c>
      <x:c r="O18" s="18" t="n">
        <x:v>46265.291666666664</x:v>
      </x:c>
      <x:c r="P18" s="18" t="str">
        <x:v>https://www.aninews.in</x:v>
      </x:c>
      <x:c r="Q18" s="18" t="str">
        <x:v>DEFINED_TERMINAL_OR_FEED_SCOPE</x:v>
      </x:c>
      <x:c r="R18" s="18" t="str">
        <x:v>news_ngt_14d.json — published records loaded</x:v>
      </x:c>
      <x:c r="S18" s="18" t="str"/>
      <x:c r="T18" s="18" t="str"/>
      <x:c r="U18" s="20" t="n">
        <x:v>52</x:v>
      </x:c>
      <x:c r="V18" s="19" t="n">
        <x:f>IFERROR(TODAY()-DATEVALUE(C18),"")</x:f>
        <x:v>10</x:v>
      </x:c>
      <x:c r="W18" s="21" t="n">
        <x:f>ROUND(COUNTA(A18:K18)/11*100,0)</x:f>
        <x:v>100</x:v>
      </x:c>
      <x:c r="X18" s="18" t="str">
        <x:v>Google News RSS</x:v>
      </x:c>
      <x:c r="Y18" s="22" t="str">
        <x:v>https://news.google.com/rss/articles/CBMi9wFBVV95cUxPeW9Xc2JQbDQzWVhrVUR3LUxTdzhqdEpUamZEcHFPOGNMQzFZc2c3TmJBN3NWdFRpUlJZbFFtZHNpaXhGNzM5cXBYZEpiZ0o4NHNwV05GYWtkTlFPM0tOVHNXWEpWbmRINzc1X3lGcXJxOHhsU09PQ19BQlFBSlV2YW12VXpleHNvekt5QS1mSm9CQl9PZWp0X0lqUVVNSFBSREpubmx2RVlPNnBaeTF0VmZwcTFjSGk5S0RBazNuVUY1S29zZ2lQUnE1ZjBrV0JmMm1UTnl1dHFIZjRIVi13d25JZWZJV0YtQmx4Y0hHenhURVVUbmZv?oc=5</x:v>
      </x:c>
      <x:c r="Z18" s="18" t="n">
        <x:v>46265.291666666664</x:v>
      </x:c>
      <x:c r="AA18" s="18" t="n">
        <x:v>46275.38862103009</x:v>
      </x:c>
      <x:c r="AB18" s="18" t="str">
        <x:v>public_rss</x:v>
      </x:c>
      <x:c r="AC18" s="18" t="str">
        <x:v>READY</x:v>
      </x:c>
    </x:row>
    <x:row r="19">
      <x:c r="A19" s="18" t="str">
        <x:v>NYT-41-68d7ecfaa74d6e67</x:v>
      </x:c>
      <x:c r="B19" s="18" t="str">
        <x:v>Supreme Court Extends Tenure of Three NGT Members Till Fresh Appointments, Centre Asked To Expedite... - Live Law</x:v>
      </x:c>
      <x:c r="C19" s="18" t="str">
        <x:v>2026-09-08</x:v>
      </x:c>
      <x:c r="D19" s="18" t="n">
        <x:v>2026</x:v>
      </x:c>
      <x:c r="E19" s="18" t="str">
        <x:v>2026-09</x:v>
      </x:c>
      <x:c r="F19" s="18" t="str"/>
      <x:c r="G19" s="18" t="str">
        <x:v>National Green Tribunal NGT order</x:v>
      </x:c>
      <x:c r="H19" s="18" t="str"/>
      <x:c r="I19" s="18" t="str">
        <x:v>Live Law</x:v>
      </x:c>
      <x:c r="J19" s="20" t="str"/>
      <x:c r="K19" s="18" t="str"/>
      <x:c r="L19" s="18" t="str">
        <x:v>Supreme Court Extends Tenure of Three NGT Members Till Fresh Appointments, Centre Asked To Expedite... - Live Law</x:v>
      </x:c>
      <x:c r="M19" s="18" t="str">
        <x:v>Live Law</x:v>
      </x:c>
      <x:c r="N19" s="18" t="str">
        <x:v>National Green Tribunal NGT order</x:v>
      </x:c>
      <x:c r="O19" s="18" t="n">
        <x:v>46273.49317129629</x:v>
      </x:c>
      <x:c r="P19" s="18" t="str">
        <x:v>https://www.livelaw.in</x:v>
      </x:c>
      <x:c r="Q19" s="18" t="str">
        <x:v>DEFINED_TERMINAL_OR_FEED_SCOPE</x:v>
      </x:c>
      <x:c r="R19" s="18" t="str">
        <x:v>news_ngt_14d.json — published records loaded</x:v>
      </x:c>
      <x:c r="S19" s="18" t="str"/>
      <x:c r="T19" s="18" t="str"/>
      <x:c r="U19" s="20" t="n">
        <x:v>52</x:v>
      </x:c>
      <x:c r="V19" s="19" t="n">
        <x:f>IFERROR(TODAY()-DATEVALUE(C19),"")</x:f>
        <x:v>2</x:v>
      </x:c>
      <x:c r="W19" s="21" t="n">
        <x:f>ROUND(COUNTA(A19:K19)/11*100,0)</x:f>
        <x:v>100</x:v>
      </x:c>
      <x:c r="X19" s="18" t="str">
        <x:v>Google News RSS</x:v>
      </x:c>
      <x:c r="Y19" s="22" t="str">
        <x:v>https://news.google.com/rss/articles/CBMi5wFBVV95cUxOaEtyWXZXQS0xdF9UbVVFcUh4VlFSS2F0VGN4bGQzdW1ibDNPODYtc2RNS0pJVzNRc1paYUNKTjRpWWhGUmpqbU5sdG1iMXhkWDQ3anBNbmlTQUxVQW9PelR5a1NDbmloOGhCN0hwS2Q4X2FhVmNqMkZQVmhlNmRMdkJPbGkwRW5jMXF4NWZMdE1JeU4xTjlGN18wUHAtOGRuS2k2c3BodmxmSkE0dWNEME1EMF9iUWtKUU8zaHVsUWZWNFN2UTdySmFmZzVZRmpqRFl5d0ltcXZTdVp0dHZ3alB4b2hzLXfSAecBQVVfeXFMTmhLcll2V0EtMXRfVG1VRXFIeFZRUkthdFRjeGxkM3VtYmwzTzg2LXNkTUtKSVczUXNaWmFDSk40aVloRlJqam1ObHRtYjF4ZFg0N2pwTW5pU0FMVUFvT3pUeWtTQ25paDhoQjdIcEtkOF9hYVZjajJGUFZoZTZkTHZCT2xpMEVuYzFxeDVmTHRNSXlOMU45RjdfMFBwLThkbktpNnNwaHZsZkpBNHVjRDBNRDBfYlFrSlFPM2h1bFFmVjRTdlE3ckphZmc1WUZqakRZeXdJbXF2U3VadHR2d2pQeG9ocy13?oc=5</x:v>
      </x:c>
      <x:c r="Z19" s="18" t="n">
        <x:v>46273.49317129629</x:v>
      </x:c>
      <x:c r="AA19" s="18" t="n">
        <x:v>46275.38862103009</x:v>
      </x:c>
      <x:c r="AB19" s="18" t="str">
        <x:v>public_rss</x:v>
      </x:c>
      <x:c r="AC19" s="18" t="str">
        <x:v>READY</x:v>
      </x:c>
    </x:row>
    <x:row r="20">
      <x:c r="A20" s="18" t="str">
        <x:v>NYT-41-80c8390d767f47c3</x:v>
      </x:c>
      <x:c r="B20" s="18" t="str">
        <x:v>NGT orders committee to examine ‘unscientific’ e-waste disposal in Bhopal - ThePrint</x:v>
      </x:c>
      <x:c r="C20" s="18" t="str">
        <x:v>2026-08-31</x:v>
      </x:c>
      <x:c r="D20" s="18" t="n">
        <x:v>2026</x:v>
      </x:c>
      <x:c r="E20" s="18" t="str">
        <x:v>2026-08</x:v>
      </x:c>
      <x:c r="F20" s="18" t="str"/>
      <x:c r="G20" s="18" t="str">
        <x:v>National Green Tribunal NGT order</x:v>
      </x:c>
      <x:c r="H20" s="18" t="str"/>
      <x:c r="I20" s="18" t="str">
        <x:v>ThePrint</x:v>
      </x:c>
      <x:c r="J20" s="20" t="str"/>
      <x:c r="K20" s="18" t="str"/>
      <x:c r="L20" s="18" t="str">
        <x:v>NGT orders committee to examine ‘unscientific’ e-waste disposal in Bhopal - ThePrint</x:v>
      </x:c>
      <x:c r="M20" s="18" t="str">
        <x:v>ThePrint</x:v>
      </x:c>
      <x:c r="N20" s="18" t="str">
        <x:v>National Green Tribunal NGT order</x:v>
      </x:c>
      <x:c r="O20" s="18" t="n">
        <x:v>46265.291666666664</x:v>
      </x:c>
      <x:c r="P20" s="18" t="str">
        <x:v>https://theprint.in</x:v>
      </x:c>
      <x:c r="Q20" s="18" t="str">
        <x:v>DEFINED_TERMINAL_OR_FEED_SCOPE</x:v>
      </x:c>
      <x:c r="R20" s="18" t="str">
        <x:v>news_ngt_14d.json — published records loaded</x:v>
      </x:c>
      <x:c r="S20" s="18" t="str"/>
      <x:c r="T20" s="18" t="str"/>
      <x:c r="U20" s="20" t="n">
        <x:v>52</x:v>
      </x:c>
      <x:c r="V20" s="19" t="n">
        <x:f>IFERROR(TODAY()-DATEVALUE(C20),"")</x:f>
        <x:v>10</x:v>
      </x:c>
      <x:c r="W20" s="21" t="n">
        <x:f>ROUND(COUNTA(A20:K20)/11*100,0)</x:f>
        <x:v>100</x:v>
      </x:c>
      <x:c r="X20" s="18" t="str">
        <x:v>Google News RSS</x:v>
      </x:c>
      <x:c r="Y20" s="22" t="str">
        <x:v>https://news.google.com/rss/articles/CBMiqgFBVV95cUxQZndGUjhGa1NVMGplaU9jTnd0Z3dPd3djU3VDUTFIV1pVOFFfdWFrYnFpQmh0bmNWOGFMcVhvMTcyemwxTHZVOTdpX2loSjJCNWJfM3RVdW52VTJsZzZCeDhfU3Q0VmxvMkwtalR4WmpPNy1BaUdhZVdNbDdSZThBZW9HTTJMLUtZMjZTY3hkSXkwTTZfR1FxN3ZUVzB2TndlZXdtdkwyeldpZ9IBrwFBVV95cUxOYkZra2I1dzVxVmpDWkNTUktNZGtlV04yYTJEMW5acXUzb1MwaUo1SEN0ZzliRnBLMzVDN0c3dXQyX1ZvdHpkQXlud0xTREFxTDlCQmducHFPdzNJZnlPVXk2eDZFaXB6dUwzN2FvN2hNQVdac0s4WGVId1VNb0RDU3I3cWYxSURXdEpiTzVtZllfemppRjFMUXpWTzE3NTM5d0o3c2wyM080ZldyZmNn?oc=5</x:v>
      </x:c>
      <x:c r="Z20" s="18" t="n">
        <x:v>46265.291666666664</x:v>
      </x:c>
      <x:c r="AA20" s="18" t="n">
        <x:v>46275.38862103009</x:v>
      </x:c>
      <x:c r="AB20" s="18" t="str">
        <x:v>public_rss</x:v>
      </x:c>
      <x:c r="AC20" s="18" t="str">
        <x:v>READY</x:v>
      </x:c>
    </x:row>
    <x:row r="21">
      <x:c r="A21" s="18" t="str">
        <x:v>NYT-41-d07e079d59c7f19e</x:v>
      </x:c>
      <x:c r="B21" s="18" t="str">
        <x:v>NGT pulls up CCMC over waste management lapses at Vellalore dumpyard - The New Indian Express</x:v>
      </x:c>
      <x:c r="C21" s="18" t="str">
        <x:v>2026-09-10</x:v>
      </x:c>
      <x:c r="D21" s="18" t="n">
        <x:v>2026</x:v>
      </x:c>
      <x:c r="E21" s="18" t="str">
        <x:v>2026-09</x:v>
      </x:c>
      <x:c r="F21" s="18" t="str"/>
      <x:c r="G21" s="18" t="str">
        <x:v>National Green Tribunal NGT order</x:v>
      </x:c>
      <x:c r="H21" s="18" t="str"/>
      <x:c r="I21" s="18" t="str">
        <x:v>The New Indian Express</x:v>
      </x:c>
      <x:c r="J21" s="20" t="str"/>
      <x:c r="K21" s="18" t="str"/>
      <x:c r="L21" s="18" t="str">
        <x:v>NGT pulls up CCMC over waste management lapses at Vellalore dumpyard - The New Indian Express</x:v>
      </x:c>
      <x:c r="M21" s="18" t="str">
        <x:v>The New Indian Express</x:v>
      </x:c>
      <x:c r="N21" s="18" t="str">
        <x:v>National Green Tribunal NGT order</x:v>
      </x:c>
      <x:c r="O21" s="18" t="n">
        <x:v>46275.14381944444</x:v>
      </x:c>
      <x:c r="P21" s="18" t="str">
        <x:v>https://www.newindianexpress.com</x:v>
      </x:c>
      <x:c r="Q21" s="18" t="str">
        <x:v>DEFINED_TERMINAL_OR_FEED_SCOPE</x:v>
      </x:c>
      <x:c r="R21" s="18" t="str">
        <x:v>news_ngt_14d.json — published records loaded</x:v>
      </x:c>
      <x:c r="S21" s="18" t="str"/>
      <x:c r="T21" s="18" t="str"/>
      <x:c r="U21" s="20" t="n">
        <x:v>52</x:v>
      </x:c>
      <x:c r="V21" s="19" t="n">
        <x:f>IFERROR(TODAY()-DATEVALUE(C21),"")</x:f>
        <x:v>0</x:v>
      </x:c>
      <x:c r="W21" s="21" t="n">
        <x:f>ROUND(COUNTA(A21:K21)/11*100,0)</x:f>
        <x:v>100</x:v>
      </x:c>
      <x:c r="X21" s="18" t="str">
        <x:v>Google News RSS</x:v>
      </x:c>
      <x:c r="Y21" s="22" t="str">
        <x:v>https://news.google.com/rss/articles/CBMiywFBVV95cUxONHVFTTdmT1IyMlJreTNGV3k4dGVBTkk2Umt5NzJTcHhYY3pSVHBRejQtYWVUdVNnZE9fSHdMWmtWdXB3eXBMTzdZeVZzT0w0NnFQOGhtZ21fa1lMTlhXUlI2VUhlQlJmcjdrYjAwR2plVGdMNEdHNlFTcjJxVnBTeVFmd3dwS3VRenV2MS1PZEJjVHpNTzFfUGpsSm1xeTVnMlJPTVBwOHdWek9KNEFYb1B2Q04xaENYaU1RMVBBX1ZLSmVYVWFEcjNwSdIB2AFBVV95cUxON1N2dV8zeVNPcTZJQkVKOVI4bXNVNnF6ekstakEyRS0ydFZ1ZUtLTnk2OGZCcWNBd0wwOE1RSGM1N09mYUlUQkN6Yk9aWFpXekxGWU9pM01WWjVoNDRlY3lOeWZPc3RJZVJ4US1GX3hIRE9DT3lqRS1ZZTI5RTJWR2k5dEFsQmtDWUw5SVZ6c2JkM3J0MXFyV25iNlJMTVZIaTUxd1ZuNlp5VXlHaTBLajl0eGJJZ3kxLTNTUll3MHRLV1pVSjIxR2pBMzIwT2ZBYTlWdDVaVlA?oc=5</x:v>
      </x:c>
      <x:c r="Z21" s="18" t="n">
        <x:v>46275.14381944444</x:v>
      </x:c>
      <x:c r="AA21" s="18" t="n">
        <x:v>46275.38862103009</x:v>
      </x:c>
      <x:c r="AB21" s="18" t="str">
        <x:v>public_rss</x:v>
      </x:c>
      <x:c r="AC21" s="18" t="str">
        <x:v>READY</x:v>
      </x:c>
    </x:row>
    <x:row r="22">
      <x:c r="A22" s="18" t="str">
        <x:v>NYT-41-10c94bd686d223c6</x:v>
      </x:c>
      <x:c r="B22" s="18" t="str">
        <x:v>Daily Court Digest: Major environment orders (August 24, 2026) - Down To Earth</x:v>
      </x:c>
      <x:c r="C22" s="18" t="str">
        <x:v>2026-08-27</x:v>
      </x:c>
      <x:c r="D22" s="18" t="n">
        <x:v>2026</x:v>
      </x:c>
      <x:c r="E22" s="18" t="str">
        <x:v>2026-08</x:v>
      </x:c>
      <x:c r="F22" s="18" t="str"/>
      <x:c r="G22" s="18" t="str">
        <x:v>National Green Tribunal NGT order</x:v>
      </x:c>
      <x:c r="H22" s="18" t="str"/>
      <x:c r="I22" s="18" t="str">
        <x:v>Down To Earth</x:v>
      </x:c>
      <x:c r="J22" s="20" t="str"/>
      <x:c r="K22" s="18" t="str"/>
      <x:c r="L22" s="18" t="str">
        <x:v>Daily Court Digest: Major environment orders (August 24, 2026) - Down To Earth</x:v>
      </x:c>
      <x:c r="M22" s="18" t="str">
        <x:v>Down To Earth</x:v>
      </x:c>
      <x:c r="N22" s="18" t="str">
        <x:v>National Green Tribunal NGT order</x:v>
      </x:c>
      <x:c r="O22" s="18" t="n">
        <x:v>46261.48091435185</x:v>
      </x:c>
      <x:c r="P22" s="18" t="str">
        <x:v>https://www.downtoearth.org.in</x:v>
      </x:c>
      <x:c r="Q22" s="18" t="str">
        <x:v>DEFINED_TERMINAL_OR_FEED_SCOPE</x:v>
      </x:c>
      <x:c r="R22" s="18" t="str">
        <x:v>news_ngt_14d.json — published records loaded</x:v>
      </x:c>
      <x:c r="S22" s="18" t="str"/>
      <x:c r="T22" s="18" t="str"/>
      <x:c r="U22" s="20" t="n">
        <x:v>52</x:v>
      </x:c>
      <x:c r="V22" s="19" t="n">
        <x:f>IFERROR(TODAY()-DATEVALUE(C22),"")</x:f>
        <x:v>14</x:v>
      </x:c>
      <x:c r="W22" s="21" t="n">
        <x:f>ROUND(COUNTA(A22:K22)/11*100,0)</x:f>
        <x:v>100</x:v>
      </x:c>
      <x:c r="X22" s="18" t="str">
        <x:v>Google News RSS</x:v>
      </x:c>
      <x:c r="Y22" s="22" t="str">
        <x:v>https://news.google.com/rss/articles/CBMiowFBVV95cUxNV2k5R2xWdVk4NXZBQVVCNGY3SHNUV0hDREhfcXl0YjNScVl3dkV4UGhENnVKQ2l0ekdUWFp3bkdRY0QteWJ1aWp0dVhrb0t0OE9sdTU1UVRCV25CTlNJM2R3a2cycnNKT2dnZjkwM1ZMdkpNY2E0VFlQclVqVjBSZkFMYnFNd2FNRGM3aFBHVHFnd2xONmlQNUhPTVZvUmRIckVn0gGwAUFVX3lxTE05SkV6YmY0NHNGRWhEaWZBeV83R0M5OWZVMjhEY202Z3c5TjAtX0g4RHFHemtOaW1keVNkYzhCUXNncUsxWFJaWkJ5cnVyWUUwNzAzUVNKZHhEVk9BamxGZ0MwUTBUeG1SaDk2SU94b3B6cWxhRXg3NkFJcVVjdnN1QVVOT3QtMi1aLTNnMHZDNTFoVWFJQzdSSEtKZk9CeDhGUWxIMlpzLURLU21Zclp3?oc=5</x:v>
      </x:c>
      <x:c r="Z22" s="18" t="n">
        <x:v>46261.48091435185</x:v>
      </x:c>
      <x:c r="AA22" s="18" t="n">
        <x:v>46275.38862103009</x:v>
      </x:c>
      <x:c r="AB22" s="18" t="str">
        <x:v>public_rss</x:v>
      </x:c>
      <x:c r="AC22" s="18" t="str">
        <x:v>READY</x:v>
      </x:c>
    </x:row>
    <x:row r="23">
      <x:c r="A23" s="18" t="str">
        <x:v>NYT-41-7fcd95e66623df8b</x:v>
      </x:c>
      <x:c r="B23" s="18" t="str">
        <x:v>NGT seeks updated report on recovery of Rs 5.39 Cr environmental compensation from Haryana stone crushers - ANI News</x:v>
      </x:c>
      <x:c r="C23" s="18" t="str">
        <x:v>2026-08-28</x:v>
      </x:c>
      <x:c r="D23" s="18" t="n">
        <x:v>2026</x:v>
      </x:c>
      <x:c r="E23" s="18" t="str">
        <x:v>2026-08</x:v>
      </x:c>
      <x:c r="F23" s="18" t="str"/>
      <x:c r="G23" s="18" t="str">
        <x:v>National Green Tribunal NGT order</x:v>
      </x:c>
      <x:c r="H23" s="18" t="str"/>
      <x:c r="I23" s="18" t="str">
        <x:v>ANI News</x:v>
      </x:c>
      <x:c r="J23" s="20" t="str"/>
      <x:c r="K23" s="18" t="str"/>
      <x:c r="L23" s="18" t="str">
        <x:v>NGT seeks updated report on recovery of Rs 5.39 Cr environmental compensation from Haryana stone crushers - ANI News</x:v>
      </x:c>
      <x:c r="M23" s="18" t="str">
        <x:v>ANI News</x:v>
      </x:c>
      <x:c r="N23" s="18" t="str">
        <x:v>National Green Tribunal NGT order</x:v>
      </x:c>
      <x:c r="O23" s="18" t="n">
        <x:v>46262.291666666664</x:v>
      </x:c>
      <x:c r="P23" s="18" t="str">
        <x:v>https://www.aninews.in</x:v>
      </x:c>
      <x:c r="Q23" s="18" t="str">
        <x:v>DEFINED_TERMINAL_OR_FEED_SCOPE</x:v>
      </x:c>
      <x:c r="R23" s="18" t="str">
        <x:v>news_ngt_14d.json — published records loaded</x:v>
      </x:c>
      <x:c r="S23" s="18" t="str"/>
      <x:c r="T23" s="18" t="str"/>
      <x:c r="U23" s="20" t="n">
        <x:v>52</x:v>
      </x:c>
      <x:c r="V23" s="19" t="n">
        <x:f>IFERROR(TODAY()-DATEVALUE(C23),"")</x:f>
        <x:v>13</x:v>
      </x:c>
      <x:c r="W23" s="21" t="n">
        <x:f>ROUND(COUNTA(A23:K23)/11*100,0)</x:f>
        <x:v>100</x:v>
      </x:c>
      <x:c r="X23" s="18" t="str">
        <x:v>Google News RSS</x:v>
      </x:c>
      <x:c r="Y23" s="22" t="str">
        <x:v>https://news.google.com/rss/articles/CBMi_AFBVV95cUxNNjl3WnJ5UHZDUmhmdk5RQThvTFZLTHk0bXZiN1J1UW5EdE9DX2w0N0pxWmI5eE0yOHpreGhkOUtJU0lhWjAtVklxNmhaaFp2cWotWE9Sem5nQlE3Z3A5cldnTFBpT1NaV3ZvbjkyVkxVbDJjRnliMzc2d25JWXRTaHd2T3NxdmI1RW1uVVZsNXRZaWdlZXc3SnUwMkN5S1dvMmRvNlBaYkxpWDM3azA4aVJrUUhrUEVoaEFIT2IzSHpjZTVrOVIteU1ES2JrZE5xWnpMaVBVc1Y5cng0NGlNaXYzaVFjeDk5ZnFENmZGck0zS1dNU0l5b0hSS3o?oc=5</x:v>
      </x:c>
      <x:c r="Z23" s="18" t="n">
        <x:v>46262.291666666664</x:v>
      </x:c>
      <x:c r="AA23" s="18" t="n">
        <x:v>46275.38862103009</x:v>
      </x:c>
      <x:c r="AB23" s="18" t="str">
        <x:v>public_rss</x:v>
      </x:c>
      <x:c r="AC23" s="18" t="str">
        <x:v>READY</x:v>
      </x:c>
    </x:row>
    <x:row r="24">
      <x:c r="A24" s="18" t="str">
        <x:v>NYT-41-db3e34ac10e0c58e</x:v>
      </x:c>
      <x:c r="B24" s="18" t="str">
        <x:v>Daily Court Digest: Major environment orders (September 3, 2026) - Down To Earth</x:v>
      </x:c>
      <x:c r="C24" s="18" t="str">
        <x:v>2026-09-07</x:v>
      </x:c>
      <x:c r="D24" s="18" t="n">
        <x:v>2026</x:v>
      </x:c>
      <x:c r="E24" s="18" t="str">
        <x:v>2026-09</x:v>
      </x:c>
      <x:c r="F24" s="18" t="str"/>
      <x:c r="G24" s="18" t="str">
        <x:v>National Green Tribunal NGT order</x:v>
      </x:c>
      <x:c r="H24" s="18" t="str"/>
      <x:c r="I24" s="18" t="str">
        <x:v>Down To Earth</x:v>
      </x:c>
      <x:c r="J24" s="20" t="str"/>
      <x:c r="K24" s="18" t="str"/>
      <x:c r="L24" s="18" t="str">
        <x:v>Daily Court Digest: Major environment orders (September 3, 2026) - Down To Earth</x:v>
      </x:c>
      <x:c r="M24" s="18" t="str">
        <x:v>Down To Earth</x:v>
      </x:c>
      <x:c r="N24" s="18" t="str">
        <x:v>National Green Tribunal NGT order</x:v>
      </x:c>
      <x:c r="O24" s="18" t="n">
        <x:v>46272.353472222225</x:v>
      </x:c>
      <x:c r="P24" s="18" t="str">
        <x:v>https://www.downtoearth.org.in</x:v>
      </x:c>
      <x:c r="Q24" s="18" t="str">
        <x:v>DEFINED_TERMINAL_OR_FEED_SCOPE</x:v>
      </x:c>
      <x:c r="R24" s="18" t="str">
        <x:v>news_ngt_14d.json — published records loaded</x:v>
      </x:c>
      <x:c r="S24" s="18" t="str"/>
      <x:c r="T24" s="18" t="str"/>
      <x:c r="U24" s="20" t="n">
        <x:v>52</x:v>
      </x:c>
      <x:c r="V24" s="19" t="n">
        <x:f>IFERROR(TODAY()-DATEVALUE(C24),"")</x:f>
        <x:v>3</x:v>
      </x:c>
      <x:c r="W24" s="21" t="n">
        <x:f>ROUND(COUNTA(A24:K24)/11*100,0)</x:f>
        <x:v>100</x:v>
      </x:c>
      <x:c r="X24" s="18" t="str">
        <x:v>Google News RSS</x:v>
      </x:c>
      <x:c r="Y24" s="22" t="str">
        <x:v>https://news.google.com/rss/articles/CBMiswFBVV95cUxOdXV6eXQ1aVNuYlhlendLYUtPYWJRWC1hcFhZWjM0REFJT2Qtc0VOTlRmczZwZ0JjS1AyZ3JlT1RsemlOWGFPcXpJQU9SZkxXeFpwd2FZUWNmU0ZIaWVTZGUyUUo2ZVc1UmZsT2VUZFJnRnVDSnRTN2xkeU5mQnlCZ0RsTVp6SFp2dW1rdVZSTjIxYjJhQjZXRkxrX0E0TkxqSXVuU2dfRWNoV25vMU1XZmItNNIBswFBVV95cUxOdXV6eXQ1aVNuYlhlendLYUtPYWJRWC1hcFhZWjM0REFJT2Qtc0VOTlRmczZwZ0JjS1AyZ3JlT1RsemlOWGFPcXpJQU9SZkxXeFpwd2FZUWNmU0ZIaWVTZGUyUUo2ZVc1UmZsT2VUZFJnRnVDSnRTN2xkeU5mQnlCZ0RsTVp6SFp2dW1rdVZSTjIxYjJhQjZXRkxrX0E0TkxqSXVuU2dfRWNoV25vMU1XZmItNA?oc=5</x:v>
      </x:c>
      <x:c r="Z24" s="18" t="n">
        <x:v>46272.353472222225</x:v>
      </x:c>
      <x:c r="AA24" s="18" t="n">
        <x:v>46275.38862103009</x:v>
      </x:c>
      <x:c r="AB24" s="18" t="str">
        <x:v>public_rss</x:v>
      </x:c>
      <x:c r="AC24" s="18" t="str">
        <x:v>READY</x:v>
      </x:c>
    </x:row>
    <x:row r="25">
      <x:c r="A25" s="18" t="str">
        <x:v>NYT-41-d4b8e91d6266a0d0</x:v>
      </x:c>
      <x:c r="B25" s="18" t="str">
        <x:v>Daily Court Digest: Major environment orders (September 1, 2026) - Down To Earth</x:v>
      </x:c>
      <x:c r="C25" s="18" t="str">
        <x:v>2026-09-02</x:v>
      </x:c>
      <x:c r="D25" s="18" t="n">
        <x:v>2026</x:v>
      </x:c>
      <x:c r="E25" s="18" t="str">
        <x:v>2026-09</x:v>
      </x:c>
      <x:c r="F25" s="18" t="str"/>
      <x:c r="G25" s="18" t="str">
        <x:v>National Green Tribunal NGT order</x:v>
      </x:c>
      <x:c r="H25" s="18" t="str"/>
      <x:c r="I25" s="18" t="str">
        <x:v>Down To Earth</x:v>
      </x:c>
      <x:c r="J25" s="20" t="str"/>
      <x:c r="K25" s="18" t="str"/>
      <x:c r="L25" s="18" t="str">
        <x:v>Daily Court Digest: Major environment orders (September 1, 2026) - Down To Earth</x:v>
      </x:c>
      <x:c r="M25" s="18" t="str">
        <x:v>Down To Earth</x:v>
      </x:c>
      <x:c r="N25" s="18" t="str">
        <x:v>National Green Tribunal NGT order</x:v>
      </x:c>
      <x:c r="O25" s="18" t="n">
        <x:v>46267.291666666664</x:v>
      </x:c>
      <x:c r="P25" s="18" t="str">
        <x:v>https://www.downtoearth.org.in</x:v>
      </x:c>
      <x:c r="Q25" s="18" t="str">
        <x:v>DEFINED_TERMINAL_OR_FEED_SCOPE</x:v>
      </x:c>
      <x:c r="R25" s="18" t="str">
        <x:v>news_ngt_14d.json — published records loaded</x:v>
      </x:c>
      <x:c r="S25" s="18" t="str"/>
      <x:c r="T25" s="18" t="str"/>
      <x:c r="U25" s="20" t="n">
        <x:v>52</x:v>
      </x:c>
      <x:c r="V25" s="19" t="n">
        <x:f>IFERROR(TODAY()-DATEVALUE(C25),"")</x:f>
        <x:v>8</x:v>
      </x:c>
      <x:c r="W25" s="21" t="n">
        <x:f>ROUND(COUNTA(A25:K25)/11*100,0)</x:f>
        <x:v>100</x:v>
      </x:c>
      <x:c r="X25" s="18" t="str">
        <x:v>Google News RSS</x:v>
      </x:c>
      <x:c r="Y25" s="22" t="str">
        <x:v>https://news.google.com/rss/articles/CBMipgFBVV95cUxOMUJTWi1GMWpNUk11STJ4UWl0RTM4YVZnYjdFQk5maDlpT1d5YkVtZzc0eDZlMkJxNzdMbDNJZlFzN1VkNHU5MlZ4OGlFZXZPdEpjYS1takFTcWZOeEhhMWNNVm84bXlwYTNRVEJVM0x1dUtNSjlqVFE2aFZOTGI0eDRqenUxUkJaM2gwQVR6NUotQ0UzVE5qS3hnb0lLQ09BSmRvNFVn0gGzAUFVX3lxTE5aZGpuTUFCRk9vQTdoQW10UGlkeVktV1d1dEhsVkhETjJKRUZrcU9zRURaczVRM01pcVNUWGVWa0tZTmhIbWRsUEJsOGFBcmVyT1pTZWVZUGhUM28wMTVTQ2JjUzZ6TUFxdUZNdlVMOWZHS1lKOC15OFlyVFVVbnFMdTBjUWduakZLZVh1VmNFbTVyVTQ5U1lyajFHNjVJZzZEVVJqNkR0TC1RcmpqYWdHX0pn?oc=5</x:v>
      </x:c>
      <x:c r="Z25" s="18" t="n">
        <x:v>46267.291666666664</x:v>
      </x:c>
      <x:c r="AA25" s="18" t="n">
        <x:v>46275.38862103009</x:v>
      </x:c>
      <x:c r="AB25" s="18" t="str">
        <x:v>public_rss</x:v>
      </x:c>
      <x:c r="AC25" s="18" t="str">
        <x:v>READY</x:v>
      </x:c>
    </x:row>
    <x:row r="26">
      <x:c r="A26" s="18" t="str">
        <x:v>NYT-41-d8a926ad651945ea</x:v>
      </x:c>
      <x:c r="B26" s="18" t="str">
        <x:v>Daily Court Digest: Major environment orders (September 7, 2026) - Down To Earth</x:v>
      </x:c>
      <x:c r="C26" s="18" t="str">
        <x:v>2026-09-08</x:v>
      </x:c>
      <x:c r="D26" s="18" t="n">
        <x:v>2026</x:v>
      </x:c>
      <x:c r="E26" s="18" t="str">
        <x:v>2026-09</x:v>
      </x:c>
      <x:c r="F26" s="18" t="str"/>
      <x:c r="G26" s="18" t="str">
        <x:v>National Green Tribunal NGT order</x:v>
      </x:c>
      <x:c r="H26" s="18" t="str"/>
      <x:c r="I26" s="18" t="str">
        <x:v>Down To Earth</x:v>
      </x:c>
      <x:c r="J26" s="20" t="str"/>
      <x:c r="K26" s="18" t="str"/>
      <x:c r="L26" s="18" t="str">
        <x:v>Daily Court Digest: Major environment orders (September 7, 2026) - Down To Earth</x:v>
      </x:c>
      <x:c r="M26" s="18" t="str">
        <x:v>Down To Earth</x:v>
      </x:c>
      <x:c r="N26" s="18" t="str">
        <x:v>National Green Tribunal NGT order</x:v>
      </x:c>
      <x:c r="O26" s="18" t="n">
        <x:v>46273.32083333333</x:v>
      </x:c>
      <x:c r="P26" s="18" t="str">
        <x:v>https://www.downtoearth.org.in</x:v>
      </x:c>
      <x:c r="Q26" s="18" t="str">
        <x:v>DEFINED_TERMINAL_OR_FEED_SCOPE</x:v>
      </x:c>
      <x:c r="R26" s="18" t="str">
        <x:v>news_ngt_14d.json — published records loaded</x:v>
      </x:c>
      <x:c r="S26" s="18" t="str"/>
      <x:c r="T26" s="18" t="str"/>
      <x:c r="U26" s="20" t="n">
        <x:v>52</x:v>
      </x:c>
      <x:c r="V26" s="19" t="n">
        <x:f>IFERROR(TODAY()-DATEVALUE(C26),"")</x:f>
        <x:v>2</x:v>
      </x:c>
      <x:c r="W26" s="21" t="n">
        <x:f>ROUND(COUNTA(A26:K26)/11*100,0)</x:f>
        <x:v>100</x:v>
      </x:c>
      <x:c r="X26" s="18" t="str">
        <x:v>Google News RSS</x:v>
      </x:c>
      <x:c r="Y26" s="22" t="str">
        <x:v>https://news.google.com/rss/articles/CBMiswFBVV95cUxNSVFzMzNTWHdlemUtT2RRNUJweXQzTEVrblFER2I0azRFVW9FVjBPZkkxOUoxdDBGdXJUeFN1SnVmTW9VLUROSXFzU2FVbWtrS200T2RTRFpWTTFUT2gyLVlzUno2b2RSc1pqTHZPOWhDd0tCWjZaSGdIRjdzcTAxMTA4TS1MekpGdG5YOU5NdGJteGVaVnpTb1BsUzQ5RXk5T0tkRENadXNMYkpEUWUzZEY2SdIBswFBVV95cUxNSVFzMzNTWHdlemUtT2RRNUJweXQzTEVrblFER2I0azRFVW9FVjBPZkkxOUoxdDBGdXJUeFN1SnVmTW9VLUROSXFzU2FVbWtrS200T2RTRFpWTTFUT2gyLVlzUno2b2RSc1pqTHZPOWhDd0tCWjZaSGdIRjdzcTAxMTA4TS1MekpGdG5YOU5NdGJteGVaVnpTb1BsUzQ5RXk5T0tkRENadXNMYkpEUWUzZEY2SQ?oc=5</x:v>
      </x:c>
      <x:c r="Z26" s="18" t="n">
        <x:v>46273.32083333333</x:v>
      </x:c>
      <x:c r="AA26" s="18" t="n">
        <x:v>46275.38862103009</x:v>
      </x:c>
      <x:c r="AB26" s="18" t="str">
        <x:v>public_rss</x:v>
      </x:c>
      <x:c r="AC26" s="18" t="str">
        <x:v>READY</x:v>
      </x:c>
    </x:row>
    <x:row r="27">
      <x:c r="A27" s="18" t="str">
        <x:v>NYT-41-1ee3002f2a26a31c</x:v>
      </x:c>
      <x:c r="B27" s="18" t="str">
        <x:v>NGT Notice to Jammu and Kashmir Government Over Alouchibagh STP, Locals Cite Flood Risk and Siting Violations - Kashmir Life</x:v>
      </x:c>
      <x:c r="C27" s="18" t="str">
        <x:v>2026-09-09</x:v>
      </x:c>
      <x:c r="D27" s="18" t="n">
        <x:v>2026</x:v>
      </x:c>
      <x:c r="E27" s="18" t="str">
        <x:v>2026-09</x:v>
      </x:c>
      <x:c r="F27" s="18" t="str"/>
      <x:c r="G27" s="18" t="str">
        <x:v>National Green Tribunal NGT order</x:v>
      </x:c>
      <x:c r="H27" s="18" t="str"/>
      <x:c r="I27" s="18" t="str">
        <x:v>Kashmir Life</x:v>
      </x:c>
      <x:c r="J27" s="20" t="str"/>
      <x:c r="K27" s="18" t="str"/>
      <x:c r="L27" s="18" t="str">
        <x:v>NGT Notice to Jammu and Kashmir Government Over Alouchibagh STP, Locals Cite Flood Risk and Siting Violations - Kashmir Life</x:v>
      </x:c>
      <x:c r="M27" s="18" t="str">
        <x:v>Kashmir Life</x:v>
      </x:c>
      <x:c r="N27" s="18" t="str">
        <x:v>National Green Tribunal NGT order</x:v>
      </x:c>
      <x:c r="O27" s="18" t="n">
        <x:v>46274.58096064815</x:v>
      </x:c>
      <x:c r="P27" s="18" t="str">
        <x:v>https://kashmirlife.net</x:v>
      </x:c>
      <x:c r="Q27" s="18" t="str">
        <x:v>DEFINED_TERMINAL_OR_FEED_SCOPE</x:v>
      </x:c>
      <x:c r="R27" s="18" t="str">
        <x:v>news_ngt_14d.json — published records loaded</x:v>
      </x:c>
      <x:c r="S27" s="18" t="str"/>
      <x:c r="T27" s="18" t="str"/>
      <x:c r="U27" s="20" t="n">
        <x:v>52</x:v>
      </x:c>
      <x:c r="V27" s="19" t="n">
        <x:f>IFERROR(TODAY()-DATEVALUE(C27),"")</x:f>
        <x:v>1</x:v>
      </x:c>
      <x:c r="W27" s="21" t="n">
        <x:f>ROUND(COUNTA(A27:K27)/11*100,0)</x:f>
        <x:v>100</x:v>
      </x:c>
      <x:c r="X27" s="18" t="str">
        <x:v>Google News RSS</x:v>
      </x:c>
      <x:c r="Y27" s="22" t="str">
        <x:v>https://news.google.com/rss/articles/CBMi1wFBVV95cUxPVkREUEdQQ2RzeXI0WkJlTURaRDJZbmhfdm5FUzZQQWlUNUlIeHREUTZLc1B2cDBEVWJZLWIwTEFfLUgtTk96eEp0SWttWjFNMEc2WWtXVC05WHRoRnhQeEhFZmZoMjlZTHZCTkcwUWhrdHhrZ1h1ZFNGWmpibFlnUjBaSVluYnpVUmk5OWRNSFczR3RIdDhuS2RwT1ZfY0hGeWJUMUVTOThDcnlybzhMckFTV0s0RGtiMnFjXzdrYlVKbnh0Q3o4aFNuYy01NGpQeVZRLXJFQQ?oc=5</x:v>
      </x:c>
      <x:c r="Z27" s="18" t="n">
        <x:v>46274.58096064815</x:v>
      </x:c>
      <x:c r="AA27" s="18" t="n">
        <x:v>46275.38862103009</x:v>
      </x:c>
      <x:c r="AB27" s="18" t="str">
        <x:v>public_rss</x:v>
      </x:c>
      <x:c r="AC27" s="18" t="str">
        <x:v>READY</x:v>
      </x:c>
    </x:row>
    <x:row r="28">
      <x:c r="A28" s="18" t="str">
        <x:v>NYT-41-7260bf3ca8e1ce94</x:v>
      </x:c>
      <x:c r="B28" s="18" t="str">
        <x:v>Supreme Court Allows Appeal in National Green Tribunal Jurisdiction Dispute Over Forest Clearances. The Court held that the National Green Tribunal must entertain an original application under Section 14(1) of the National Green Tribunal Act, 2010 when n - Lawtext</x:v>
      </x:c>
      <x:c r="C28" s="18" t="str">
        <x:v>2026-08-29</x:v>
      </x:c>
      <x:c r="D28" s="18" t="n">
        <x:v>2026</x:v>
      </x:c>
      <x:c r="E28" s="18" t="str">
        <x:v>2026-08</x:v>
      </x:c>
      <x:c r="F28" s="18" t="str"/>
      <x:c r="G28" s="18" t="str">
        <x:v>National Green Tribunal NGT order</x:v>
      </x:c>
      <x:c r="H28" s="18" t="str"/>
      <x:c r="I28" s="18" t="str">
        <x:v>Lawtext</x:v>
      </x:c>
      <x:c r="J28" s="20" t="str"/>
      <x:c r="K28" s="18" t="str"/>
      <x:c r="L28" s="18" t="str">
        <x:v>Supreme Court Allows Appeal in National Green Tribunal Jurisdiction Dispute Over Forest Clearances. The Court held that the National Green Tribunal must entertain an original application under Section 14(1) of the National Green Tribunal Act, 2010 when n - Lawtext</x:v>
      </x:c>
      <x:c r="M28" s="18" t="str">
        <x:v>Lawtext</x:v>
      </x:c>
      <x:c r="N28" s="18" t="str">
        <x:v>National Green Tribunal NGT order</x:v>
      </x:c>
      <x:c r="O28" s="18" t="n">
        <x:v>46263.321180555555</x:v>
      </x:c>
      <x:c r="P28" s="18" t="str">
        <x:v>https://lawtext.in</x:v>
      </x:c>
      <x:c r="Q28" s="18" t="str">
        <x:v>DEFINED_TERMINAL_OR_FEED_SCOPE</x:v>
      </x:c>
      <x:c r="R28" s="18" t="str">
        <x:v>news_ngt_14d.json — published records loaded</x:v>
      </x:c>
      <x:c r="S28" s="18" t="str"/>
      <x:c r="T28" s="18" t="str"/>
      <x:c r="U28" s="20" t="n">
        <x:v>52</x:v>
      </x:c>
      <x:c r="V28" s="19" t="n">
        <x:f>IFERROR(TODAY()-DATEVALUE(C28),"")</x:f>
        <x:v>12</x:v>
      </x:c>
      <x:c r="W28" s="21" t="n">
        <x:f>ROUND(COUNTA(A28:K28)/11*100,0)</x:f>
        <x:v>100</x:v>
      </x:c>
      <x:c r="X28" s="18" t="str">
        <x:v>Google News RSS</x:v>
      </x:c>
      <x:c r="Y28" s="22" t="str">
        <x:v>https://news.google.com/rss/articles/CBMiZEFVX3lxTFAwSXFvUWFFcXprX19WOHBmTk85d0N1RzQ4R2t5Mll6SlJYMlFzYmpsWkQzMzdrLUVhN2tsLXo3MVN5VWNqSWZxcnMwbV9oWE9fdUdvOVlfNVFFSzJEaGNkYWFjZEQ?oc=5</x:v>
      </x:c>
      <x:c r="Z28" s="18" t="n">
        <x:v>46263.321180555555</x:v>
      </x:c>
      <x:c r="AA28" s="18" t="n">
        <x:v>46275.38862103009</x:v>
      </x:c>
      <x:c r="AB28" s="18" t="str">
        <x:v>public_rss</x:v>
      </x:c>
      <x:c r="AC28" s="18" t="str">
        <x:v>READY</x:v>
      </x:c>
    </x:row>
    <x:row r="29">
      <x:c r="A29" s="18" t="str">
        <x:v>NYT-41-7f7b498a3e001881</x:v>
      </x:c>
      <x:c r="B29" s="18" t="str">
        <x:v>Gurgaon man fought to save dying pond for 3 years, NGT steps in - The Indian Express</x:v>
      </x:c>
      <x:c r="C29" s="18" t="str">
        <x:v>2026-08-31</x:v>
      </x:c>
      <x:c r="D29" s="18" t="n">
        <x:v>2026</x:v>
      </x:c>
      <x:c r="E29" s="18" t="str">
        <x:v>2026-08</x:v>
      </x:c>
      <x:c r="F29" s="18" t="str"/>
      <x:c r="G29" s="18" t="str">
        <x:v>National Green Tribunal NGT order</x:v>
      </x:c>
      <x:c r="H29" s="18" t="str"/>
      <x:c r="I29" s="18" t="str">
        <x:v>The Indian Express</x:v>
      </x:c>
      <x:c r="J29" s="20" t="str"/>
      <x:c r="K29" s="18" t="str"/>
      <x:c r="L29" s="18" t="str">
        <x:v>Gurgaon man fought to save dying pond for 3 years, NGT steps in - The Indian Express</x:v>
      </x:c>
      <x:c r="M29" s="18" t="str">
        <x:v>The Indian Express</x:v>
      </x:c>
      <x:c r="N29" s="18" t="str">
        <x:v>National Green Tribunal NGT order</x:v>
      </x:c>
      <x:c r="O29" s="18" t="n">
        <x:v>46265.291666666664</x:v>
      </x:c>
      <x:c r="P29" s="18" t="str">
        <x:v>https://indianexpress.com</x:v>
      </x:c>
      <x:c r="Q29" s="18" t="str">
        <x:v>DEFINED_TERMINAL_OR_FEED_SCOPE</x:v>
      </x:c>
      <x:c r="R29" s="18" t="str">
        <x:v>news_ngt_14d.json — published records loaded</x:v>
      </x:c>
      <x:c r="S29" s="18" t="str"/>
      <x:c r="T29" s="18" t="str"/>
      <x:c r="U29" s="20" t="n">
        <x:v>52</x:v>
      </x:c>
      <x:c r="V29" s="19" t="n">
        <x:f>IFERROR(TODAY()-DATEVALUE(C29),"")</x:f>
        <x:v>10</x:v>
      </x:c>
      <x:c r="W29" s="21" t="n">
        <x:f>ROUND(COUNTA(A29:K29)/11*100,0)</x:f>
        <x:v>100</x:v>
      </x:c>
      <x:c r="X29" s="18" t="str">
        <x:v>Google News RSS</x:v>
      </x:c>
      <x:c r="Y29" s="22" t="str">
        <x:v>https://news.google.com/rss/articles/CBMiuAFBVV95cUxQY2xrLVhuMGl1VU1YRDZIZmZpQk55WEpQVng5ZjZVWnhhRDdVS19jNFY1T0FMQnhYZ0NTX1VpZmt6NkFNVmZubk9tUEMzX1RIU1d4dDFSdVZOX0hDa25Fb0R0bkV3WGtId05JbnpuMmpfallUQzJBTENjbEVRNXdSeDdRTXppZVV4MDlfWDh3QXlyTEltUnU3QVBoOUVKR2ZyaDJndktKOGdDVVdGQVZOLXRtaDIyX19I0gG_AUFVX3lxTE5BQ0ZPekJQLS1LRnRYS0JTeFFZeUpOSUxwZGNhWm5KODhnOGJEVVI5RjB1MXVwSUxhTnRVQjhRZ1htS09ObUw5dWpURWVETWtEQlJYWEpONTBwZEEwUnBuUS1lYTllSEhwYmlmWktsbkhvcE9GNGU2Q3BUQXlTMEVIV2ZaVjhCUzR5djdKbTd6SEtQV2ZwTU9vNG9YekkwU1U4cW50RVAzNV9yMEEtOS1TTVUzM1Vrc2tkQk9zNTVN?oc=5</x:v>
      </x:c>
      <x:c r="Z29" s="18" t="n">
        <x:v>46265.291666666664</x:v>
      </x:c>
      <x:c r="AA29" s="18" t="n">
        <x:v>46275.38862103009</x:v>
      </x:c>
      <x:c r="AB29" s="18" t="str">
        <x:v>public_rss</x:v>
      </x:c>
      <x:c r="AC29" s="18" t="str">
        <x:v>READY</x:v>
      </x:c>
    </x:row>
    <x:row r="30">
      <x:c r="A30" s="18" t="str">
        <x:v>NYT-41-14866e18b99ef611</x:v>
      </x:c>
      <x:c r="B30" s="18" t="str">
        <x:v>NGT Upholds Rs 10 Lakh Fine On Illegal Denim Dyeing Unit In Delhi - ETV Bharat</x:v>
      </x:c>
      <x:c r="C30" s="18" t="str">
        <x:v>2026-08-31</x:v>
      </x:c>
      <x:c r="D30" s="18" t="n">
        <x:v>2026</x:v>
      </x:c>
      <x:c r="E30" s="18" t="str">
        <x:v>2026-08</x:v>
      </x:c>
      <x:c r="F30" s="18" t="str"/>
      <x:c r="G30" s="18" t="str">
        <x:v>National Green Tribunal NGT order</x:v>
      </x:c>
      <x:c r="H30" s="18" t="str"/>
      <x:c r="I30" s="18" t="str">
        <x:v>ETV Bharat</x:v>
      </x:c>
      <x:c r="J30" s="20" t="str"/>
      <x:c r="K30" s="18" t="str"/>
      <x:c r="L30" s="18" t="str">
        <x:v>NGT Upholds Rs 10 Lakh Fine On Illegal Denim Dyeing Unit In Delhi - ETV Bharat</x:v>
      </x:c>
      <x:c r="M30" s="18" t="str">
        <x:v>ETV Bharat</x:v>
      </x:c>
      <x:c r="N30" s="18" t="str">
        <x:v>National Green Tribunal NGT order</x:v>
      </x:c>
      <x:c r="O30" s="18" t="n">
        <x:v>46265.291666666664</x:v>
      </x:c>
      <x:c r="P30" s="18" t="str">
        <x:v>https://www.etvbharat.com</x:v>
      </x:c>
      <x:c r="Q30" s="18" t="str">
        <x:v>DEFINED_TERMINAL_OR_FEED_SCOPE</x:v>
      </x:c>
      <x:c r="R30" s="18" t="str">
        <x:v>news_ngt_14d.json — published records loaded</x:v>
      </x:c>
      <x:c r="S30" s="18" t="str"/>
      <x:c r="T30" s="18" t="str"/>
      <x:c r="U30" s="20" t="n">
        <x:v>52</x:v>
      </x:c>
      <x:c r="V30" s="19" t="n">
        <x:f>IFERROR(TODAY()-DATEVALUE(C30),"")</x:f>
        <x:v>10</x:v>
      </x:c>
      <x:c r="W30" s="21" t="n">
        <x:f>ROUND(COUNTA(A30:K30)/11*100,0)</x:f>
        <x:v>100</x:v>
      </x:c>
      <x:c r="X30" s="18" t="str">
        <x:v>Google News RSS</x:v>
      </x:c>
      <x:c r="Y30" s="22" t="str">
        <x:v>https://news.google.com/rss/articles/CBMitwFBVV95cUxON2wwNTVvVjdxT1ZtZFpKb2VULWJTTExhRUUwUDBXR2c3Z1NCQ2lkQnhLa3V1VmdZVlRKWFJsV3pORWRLSXZ3RFRUcEh0U056Qk44MnYxenFXOW5FTTJJb09kQXBkQjNla09YQ0Z1ZWZZcUdvejNDamxtZ1F0R0pqVnIxV0t4emJEb1B0UHVveVpZWFlMeEJmWEVNenJhS1ZkVUdSOTNOci1ETXVhLXRYMVhsWFpmeVHSAbwBQVVfeXFMT3JXUXl1UlVQSll3emg2RkVIZGFkR05sY3VsRFVvYWZ1TTNlS0p2alp0eTN1S05DQVdKNmpOQ2R1N01JS1oxUWFtemtqR1hkUHpfLWJyU2pfYjhuTEZ4eWJlXzJ6bXN5X2lEVFBKRnhsVHJQQ0c2X0pOXzQyQWsyMWhsQnBWMEZvU194cGx6dWF0S2lfam5TZGd5c2VseFc4VXpLLXVqd1FZUk5oV0xuaWhxdW15dWJ3QXRHWFM?oc=5</x:v>
      </x:c>
      <x:c r="Z30" s="18" t="n">
        <x:v>46265.291666666664</x:v>
      </x:c>
      <x:c r="AA30" s="18" t="n">
        <x:v>46275.38862103009</x:v>
      </x:c>
      <x:c r="AB30" s="18" t="str">
        <x:v>public_rss</x:v>
      </x:c>
      <x:c r="AC30" s="18" t="str">
        <x:v>READY</x:v>
      </x:c>
    </x:row>
    <x:row r="31">
      <x:c r="A31" s="18" t="str">
        <x:v>NYT-41-a24632f7298fd407</x:v>
      </x:c>
      <x:c r="B31" s="18" t="str">
        <x:v>Madhya Pradesh Submits Heat Wave Measures Before National Green Tribunal - ETV Bharat</x:v>
      </x:c>
      <x:c r="C31" s="18" t="str">
        <x:v>2026-08-28</x:v>
      </x:c>
      <x:c r="D31" s="18" t="n">
        <x:v>2026</x:v>
      </x:c>
      <x:c r="E31" s="18" t="str">
        <x:v>2026-08</x:v>
      </x:c>
      <x:c r="F31" s="18" t="str"/>
      <x:c r="G31" s="18" t="str">
        <x:v>National Green Tribunal NGT order</x:v>
      </x:c>
      <x:c r="H31" s="18" t="str"/>
      <x:c r="I31" s="18" t="str">
        <x:v>ETV Bharat</x:v>
      </x:c>
      <x:c r="J31" s="20" t="str"/>
      <x:c r="K31" s="18" t="str"/>
      <x:c r="L31" s="18" t="str">
        <x:v>Madhya Pradesh Submits Heat Wave Measures Before National Green Tribunal - ETV Bharat</x:v>
      </x:c>
      <x:c r="M31" s="18" t="str">
        <x:v>ETV Bharat</x:v>
      </x:c>
      <x:c r="N31" s="18" t="str">
        <x:v>National Green Tribunal NGT order</x:v>
      </x:c>
      <x:c r="O31" s="18" t="n">
        <x:v>46262.291666666664</x:v>
      </x:c>
      <x:c r="P31" s="18" t="str">
        <x:v>https://www.etvbharat.com</x:v>
      </x:c>
      <x:c r="Q31" s="18" t="str">
        <x:v>DEFINED_TERMINAL_OR_FEED_SCOPE</x:v>
      </x:c>
      <x:c r="R31" s="18" t="str">
        <x:v>news_ngt_14d.json — published records loaded</x:v>
      </x:c>
      <x:c r="S31" s="18" t="str"/>
      <x:c r="T31" s="18" t="str"/>
      <x:c r="U31" s="20" t="n">
        <x:v>52</x:v>
      </x:c>
      <x:c r="V31" s="19" t="n">
        <x:f>IFERROR(TODAY()-DATEVALUE(C31),"")</x:f>
        <x:v>13</x:v>
      </x:c>
      <x:c r="W31" s="21" t="n">
        <x:f>ROUND(COUNTA(A31:K31)/11*100,0)</x:f>
        <x:v>100</x:v>
      </x:c>
      <x:c r="X31" s="18" t="str">
        <x:v>Google News RSS</x:v>
      </x:c>
      <x:c r="Y31" s="22" t="str">
        <x:v>https://news.google.com/rss/articles/CBMivgFBVV95cUxNZS1tUnZhMm9tV0xCalV4emdkWGZzQ0tySW5qUlhoOFVLMDJDVF9NUXFkUUtadm9WNFIxTzduc3F5RDhHZXQ5RU9WR2ZMQ0Jzd1NfWFV6dXRXY2piX2U3cjZLaEwxNVFhUFRxV0xWV2puVFVyajI4WndzYU9aR3dSNEJSYVlJNklOZEpFbjc3UXlwSk9NR0YyY1dLUnlmWEwxZndtcTVaSDNwWjBXQmFNWWVaN2lMUE1iSkJ6d0N30gHDAUFVX3lxTE5aQjl4Sy1FanR2ZE55Ym1zYVc5bXNxdXFhdGlDenhuQ1RLd0RNb2dTLTlZOHFCSEQ2TVRjMjlMSHFsbzY1bWZUbWpEbll1bG84QzA4MnM4LW1rX0hRWGpyd3lCRUpEVjJxcWFqODBLZTZJUHF6NnRVMmwxQy13anhOWXEzY09lRVBybERXNjRPdUFTUXFJSUgtbERLYWVZTW1SX2FLUWdLRHkyMnJGdURFYnphM2dfZmhZel9kZVJlZ1U2bw?oc=5</x:v>
      </x:c>
      <x:c r="Z31" s="18" t="n">
        <x:v>46262.291666666664</x:v>
      </x:c>
      <x:c r="AA31" s="18" t="n">
        <x:v>46275.38862103009</x:v>
      </x:c>
      <x:c r="AB31" s="18" t="str">
        <x:v>public_rss</x:v>
      </x:c>
      <x:c r="AC31" s="18" t="str">
        <x:v>READY</x:v>
      </x:c>
    </x:row>
    <x:row r="32">
      <x:c r="A32" s="18" t="str">
        <x:v>NYT-41-be5b394b5e3af128</x:v>
      </x:c>
      <x:c r="B32" s="18" t="str">
        <x:v>Bombay High Court Quashes NGT Directions Against Hikal Ltd. in Gas Leak Case — Tribunal Exceeded Jurisdiction by Issuing Directions Without Proper Notice and Hearing. The Court held that the NGT's suo motu proceedings and subsequent orders directin - Lawtext</x:v>
      </x:c>
      <x:c r="C32" s="18" t="str">
        <x:v>2026-09-04</x:v>
      </x:c>
      <x:c r="D32" s="18" t="n">
        <x:v>2026</x:v>
      </x:c>
      <x:c r="E32" s="18" t="str">
        <x:v>2026-09</x:v>
      </x:c>
      <x:c r="F32" s="18" t="str"/>
      <x:c r="G32" s="18" t="str">
        <x:v>National Green Tribunal NGT order</x:v>
      </x:c>
      <x:c r="H32" s="18" t="str"/>
      <x:c r="I32" s="18" t="str">
        <x:v>Lawtext</x:v>
      </x:c>
      <x:c r="J32" s="20" t="str"/>
      <x:c r="K32" s="18" t="str"/>
      <x:c r="L32" s="18" t="str">
        <x:v>Bombay High Court Quashes NGT Directions Against Hikal Ltd. in Gas Leak Case — Tribunal Exceeded Jurisdiction by Issuing Directions Without Proper Notice and Hearing. The Court held that the NGT's suo motu proceedings and subsequent orders directin - Lawtext</x:v>
      </x:c>
      <x:c r="M32" s="18" t="str">
        <x:v>Lawtext</x:v>
      </x:c>
      <x:c r="N32" s="18" t="str">
        <x:v>National Green Tribunal NGT order</x:v>
      </x:c>
      <x:c r="O32" s="18" t="n">
        <x:v>46269.270520833335</x:v>
      </x:c>
      <x:c r="P32" s="18" t="str">
        <x:v>https://lawtext.in</x:v>
      </x:c>
      <x:c r="Q32" s="18" t="str">
        <x:v>DEFINED_TERMINAL_OR_FEED_SCOPE</x:v>
      </x:c>
      <x:c r="R32" s="18" t="str">
        <x:v>news_ngt_14d.json — published records loaded</x:v>
      </x:c>
      <x:c r="S32" s="18" t="str"/>
      <x:c r="T32" s="18" t="str"/>
      <x:c r="U32" s="20" t="n">
        <x:v>52</x:v>
      </x:c>
      <x:c r="V32" s="19" t="n">
        <x:f>IFERROR(TODAY()-DATEVALUE(C32),"")</x:f>
        <x:v>6</x:v>
      </x:c>
      <x:c r="W32" s="21" t="n">
        <x:f>ROUND(COUNTA(A32:K32)/11*100,0)</x:f>
        <x:v>100</x:v>
      </x:c>
      <x:c r="X32" s="18" t="str">
        <x:v>Google News RSS</x:v>
      </x:c>
      <x:c r="Y32" s="22" t="str">
        <x:v>https://news.google.com/rss/articles/CBMiZkFVX3lxTE5OVkhCLXUtTHVsU2xDMk4ydFV6d1NteTQyOVA5Vk9YS2tzU3BQRjFVXzRHSVk3UFRBWC1BMFNfakJzWEM3OGFtUEk1TnlXdkdVUUJRZnpOTl9QcFp2eHMwQVN6OExCZw?oc=5</x:v>
      </x:c>
      <x:c r="Z32" s="18" t="n">
        <x:v>46269.270520833335</x:v>
      </x:c>
      <x:c r="AA32" s="18" t="n">
        <x:v>46275.38862103009</x:v>
      </x:c>
      <x:c r="AB32" s="18" t="str">
        <x:v>public_rss</x:v>
      </x:c>
      <x:c r="AC32" s="18" t="str">
        <x:v>READY</x:v>
      </x:c>
    </x:row>
    <x:row r="33">
      <x:c r="A33" s="18" t="str">
        <x:v>NYT-41-75291076e83be287</x:v>
      </x:c>
      <x:c r="B33" s="18" t="str">
        <x:v>Supreme Court Allows Appeal Against NGT Order Dismissing Suo Moto Application on Environmental Violations by Stone Crushers. The Court held that the NGT erred in dismissing the application without adjudication on merits, as environmental laws apply to - Lawtext</x:v>
      </x:c>
      <x:c r="C33" s="18" t="str">
        <x:v>2026-09-04</x:v>
      </x:c>
      <x:c r="D33" s="18" t="n">
        <x:v>2026</x:v>
      </x:c>
      <x:c r="E33" s="18" t="str">
        <x:v>2026-09</x:v>
      </x:c>
      <x:c r="F33" s="18" t="str"/>
      <x:c r="G33" s="18" t="str">
        <x:v>National Green Tribunal NGT order</x:v>
      </x:c>
      <x:c r="H33" s="18" t="str"/>
      <x:c r="I33" s="18" t="str">
        <x:v>Lawtext</x:v>
      </x:c>
      <x:c r="J33" s="20" t="str"/>
      <x:c r="K33" s="18" t="str"/>
      <x:c r="L33" s="18" t="str">
        <x:v>Supreme Court Allows Appeal Against NGT Order Dismissing Suo Moto Application on Environmental Violations by Stone Crushers. The Court held that the NGT erred in dismissing the application without adjudication on merits, as environmental laws apply to - Lawtext</x:v>
      </x:c>
      <x:c r="M33" s="18" t="str">
        <x:v>Lawtext</x:v>
      </x:c>
      <x:c r="N33" s="18" t="str">
        <x:v>National Green Tribunal NGT order</x:v>
      </x:c>
      <x:c r="O33" s="18" t="n">
        <x:v>46269.55417824074</x:v>
      </x:c>
      <x:c r="P33" s="18" t="str">
        <x:v>https://lawtext.in</x:v>
      </x:c>
      <x:c r="Q33" s="18" t="str">
        <x:v>DEFINED_TERMINAL_OR_FEED_SCOPE</x:v>
      </x:c>
      <x:c r="R33" s="18" t="str">
        <x:v>news_ngt_14d.json — published records loaded</x:v>
      </x:c>
      <x:c r="S33" s="18" t="str"/>
      <x:c r="T33" s="18" t="str"/>
      <x:c r="U33" s="20" t="n">
        <x:v>52</x:v>
      </x:c>
      <x:c r="V33" s="19" t="n">
        <x:f>IFERROR(TODAY()-DATEVALUE(C33),"")</x:f>
        <x:v>6</x:v>
      </x:c>
      <x:c r="W33" s="21" t="n">
        <x:f>ROUND(COUNTA(A33:K33)/11*100,0)</x:f>
        <x:v>100</x:v>
      </x:c>
      <x:c r="X33" s="18" t="str">
        <x:v>Google News RSS</x:v>
      </x:c>
      <x:c r="Y33" s="22" t="str">
        <x:v>https://news.google.com/rss/articles/CBMiZEFVX3lxTE9oSzBfcXBlOUpoRXZFY09na2pKbWh2RDg0c3VZalp4dmwwRnMxNUVKbjk3Z1M5b0lCb3BfU1ZZTHpNQnVmcjF1WjU3ekUxMk5HcmNnNWRVVlM0akVQRXdpMzhZVTU?oc=5</x:v>
      </x:c>
      <x:c r="Z33" s="18" t="n">
        <x:v>46269.55417824074</x:v>
      </x:c>
      <x:c r="AA33" s="18" t="n">
        <x:v>46275.38862103009</x:v>
      </x:c>
      <x:c r="AB33" s="18" t="str">
        <x:v>public_rss</x:v>
      </x:c>
      <x:c r="AC33" s="18" t="str">
        <x:v>READY</x:v>
      </x:c>
    </x:row>
    <x:row r="34">
      <x:c r="A34" s="18" t="str">
        <x:v>NYT-41-14474e83b720d905</x:v>
      </x:c>
      <x:c r="B34" s="18" t="str">
        <x:v>When the NGT has to tackle its own premises falling victim to neglect | Hindustan Times - Hindustan Times</x:v>
      </x:c>
      <x:c r="C34" s="18" t="str">
        <x:v>2026-09-10</x:v>
      </x:c>
      <x:c r="D34" s="18" t="n">
        <x:v>2026</x:v>
      </x:c>
      <x:c r="E34" s="18" t="str">
        <x:v>2026-09</x:v>
      </x:c>
      <x:c r="F34" s="18" t="str"/>
      <x:c r="G34" s="18" t="str">
        <x:v>National Green Tribunal NGT order</x:v>
      </x:c>
      <x:c r="H34" s="18" t="str"/>
      <x:c r="I34" s="18" t="str">
        <x:v>Hindustan Times</x:v>
      </x:c>
      <x:c r="J34" s="20" t="str"/>
      <x:c r="K34" s="18" t="str"/>
      <x:c r="L34" s="18" t="str">
        <x:v>When the NGT has to tackle its own premises falling victim to neglect | Hindustan Times - Hindustan Times</x:v>
      </x:c>
      <x:c r="M34" s="18" t="str">
        <x:v>Hindustan Times</x:v>
      </x:c>
      <x:c r="N34" s="18" t="str">
        <x:v>National Green Tribunal NGT order</x:v>
      </x:c>
      <x:c r="O34" s="18" t="n">
        <x:v>46275.093981481485</x:v>
      </x:c>
      <x:c r="P34" s="18" t="str">
        <x:v>https://www.hindustantimes.com</x:v>
      </x:c>
      <x:c r="Q34" s="18" t="str">
        <x:v>DEFINED_TERMINAL_OR_FEED_SCOPE</x:v>
      </x:c>
      <x:c r="R34" s="18" t="str">
        <x:v>news_ngt_14d.json — published records loaded</x:v>
      </x:c>
      <x:c r="S34" s="18" t="str"/>
      <x:c r="T34" s="18" t="str"/>
      <x:c r="U34" s="20" t="n">
        <x:v>52</x:v>
      </x:c>
      <x:c r="V34" s="19" t="n">
        <x:f>IFERROR(TODAY()-DATEVALUE(C34),"")</x:f>
        <x:v>0</x:v>
      </x:c>
      <x:c r="W34" s="21" t="n">
        <x:f>ROUND(COUNTA(A34:K34)/11*100,0)</x:f>
        <x:v>100</x:v>
      </x:c>
      <x:c r="X34" s="18" t="str">
        <x:v>Google News RSS</x:v>
      </x:c>
      <x:c r="Y34" s="22" t="str">
        <x:v>https://news.google.com/rss/articles/CBMi2gFBVV95cUxPRjhTYTdyLUw3RkczeXlqaXItYWhpdUR6QzhmNlJtNUdRVWtFX3ZXV0pyS185Q0czSEFHeDFiRkpaMUtPOC1pQ1BRQzNQMmpoU001ZlNwU2N5RWhlNDlyQ3VkUXloQW5kR0pwREo1SWJsd1lTakF3eHZxMzVfQ281TzZ1V2tPU2F1aWJ1MlJDMWlUbzdoVnYyMm9lc19yU2E1TTJ2WWFDR2dTN2dyVEpGLTVVX0RwWWxucjNRbzlUNnFwd2tmX0tjRHJhM2thN21SZ1YxdFFVNzBJd9IB2gFBVV95cUxPRjhTYTdyLUw3RkczeXlqaXItYWhpdUR6QzhmNlJtNUdRVWtFX3ZXV0pyS185Q0czSEFHeDFiRkpaMUtPOC1pQ1BRQzNQMmpoU001ZlNwU2N5RWhlNDlyQ3VkUXloQW5kR0pwREo1SWJsd1lTakF3eHZxMzVfQ281TzZ1V2tPU2F1aWJ1MlJDMWlUbzdoVnYyMm9lc19yU2E1TTJ2WWFDR2dTN2dyVEpGLTVVX0RwWWxucjNRbzlUNnFwd2tmX0tjRHJhM2thN21SZ1YxdFFVNzBJdw?oc=5</x:v>
      </x:c>
      <x:c r="Z34" s="18" t="n">
        <x:v>46275.093981481485</x:v>
      </x:c>
      <x:c r="AA34" s="18" t="n">
        <x:v>46275.38862103009</x:v>
      </x:c>
      <x:c r="AB34" s="18" t="str">
        <x:v>public_rss</x:v>
      </x:c>
      <x:c r="AC34" s="18" t="str">
        <x:v>READY</x:v>
      </x:c>
    </x:row>
    <x:row r="35">
      <x:c r="A35" s="18" t="str">
        <x:v>NYT-41-a014f4703dd0cf8c</x:v>
      </x:c>
      <x:c r="B35" s="18" t="str">
        <x:v>Congress urges National Green Tribunal to make public report on ‘ecologically disastrous’ Great Nicobar Project - Telegraph India</x:v>
      </x:c>
      <x:c r="C35" s="18" t="str">
        <x:v>2026-09-08</x:v>
      </x:c>
      <x:c r="D35" s="18" t="n">
        <x:v>2026</x:v>
      </x:c>
      <x:c r="E35" s="18" t="str">
        <x:v>2026-09</x:v>
      </x:c>
      <x:c r="F35" s="18" t="str"/>
      <x:c r="G35" s="18" t="str">
        <x:v>National Green Tribunal NGT order</x:v>
      </x:c>
      <x:c r="H35" s="18" t="str"/>
      <x:c r="I35" s="18" t="str">
        <x:v>Telegraph India</x:v>
      </x:c>
      <x:c r="J35" s="20" t="str"/>
      <x:c r="K35" s="18" t="str"/>
      <x:c r="L35" s="18" t="str">
        <x:v>Congress urges National Green Tribunal to make public report on ‘ecologically disastrous’ Great Nicobar Project - Telegraph India</x:v>
      </x:c>
      <x:c r="M35" s="18" t="str">
        <x:v>Telegraph India</x:v>
      </x:c>
      <x:c r="N35" s="18" t="str">
        <x:v>National Green Tribunal NGT order</x:v>
      </x:c>
      <x:c r="O35" s="18" t="n">
        <x:v>46273.21666666667</x:v>
      </x:c>
      <x:c r="P35" s="18" t="str">
        <x:v>https://www.telegraphindia.com</x:v>
      </x:c>
      <x:c r="Q35" s="18" t="str">
        <x:v>DEFINED_TERMINAL_OR_FEED_SCOPE</x:v>
      </x:c>
      <x:c r="R35" s="18" t="str">
        <x:v>news_ngt_14d.json — published records loaded</x:v>
      </x:c>
      <x:c r="S35" s="18" t="str"/>
      <x:c r="T35" s="18" t="str"/>
      <x:c r="U35" s="20" t="n">
        <x:v>52</x:v>
      </x:c>
      <x:c r="V35" s="19" t="n">
        <x:f>IFERROR(TODAY()-DATEVALUE(C35),"")</x:f>
        <x:v>2</x:v>
      </x:c>
      <x:c r="W35" s="21" t="n">
        <x:f>ROUND(COUNTA(A35:K35)/11*100,0)</x:f>
        <x:v>100</x:v>
      </x:c>
      <x:c r="X35" s="18" t="str">
        <x:v>Google News RSS</x:v>
      </x:c>
      <x:c r="Y35" s="22" t="str">
        <x:v>https://news.google.com/rss/articles/CBMi7wFBVV95cUxOUFZxa0JPc29OT0xNclkxdnNoa1lrNy05VUJKME1tSmx4TWNVZVFyNnZpem5VTk5ObHkzX2NhRFFlLU9NT3ZIMHhFdGhUUmUtNC1aZmFjMzRidDEweGNtc29VVzZyTUdmUHlhZ01LUUpsSnkyOWNmemdORkZjcFFielZKZ3c4Y2c4Wk90Yk0yVnpUdEEtZ2xSNUpJXzdGSHEzb0xrV0F3TWZ0ajZCdGVZQmQ1Y3A5SGg2NERUd3ZKSmFpeU9iVkItUHpNdGVTNk5uSXJnOW8wWEIyR3FWMUJocFRNbFhGYkZPYTMtcHFtZ9IB9AFBVV95cUxOTkhBVllGdlVNbGt2MzlPX01XbWFBNUtOd1FHZHRhMkVTVGk3bXUxSldGcHl0RWk5a1lINVNKQVY1blBpNHZjV2Z3V0lsWEw5TThRTTQzM0xLNjlWSEFSSWFFQWVILVhVWElnaEN4bWNMTm8tanFKMFNRcTQ3MENhUG9FaWJ6SHJHYUZIRnhzMlJtZE9jOXA3d2pqbW9tTF9memQyc0k1dllwelktTG10TGZnOTRFaDduZzFSU294MFdjbGJPZ1ZqMmdYamFaN2RrSFRHWWtlR2xSMW1FMW9VZlBZOE5FMXVOT3BTMWxlakQ1cGlL?oc=5</x:v>
      </x:c>
      <x:c r="Z35" s="18" t="n">
        <x:v>46273.21666666667</x:v>
      </x:c>
      <x:c r="AA35" s="18" t="n">
        <x:v>46275.38862103009</x:v>
      </x:c>
      <x:c r="AB35" s="18" t="str">
        <x:v>public_rss</x:v>
      </x:c>
      <x:c r="AC35" s="18" t="str">
        <x:v>READY</x:v>
      </x:c>
    </x:row>
    <x:row r="36">
      <x:c r="A36" s="18" t="str">
        <x:v>NYT-41-36cf936f3af0130a</x:v>
      </x:c>
      <x:c r="B36" s="18" t="str">
        <x:v>NGT issues notice to Govt over STP construction at Alouchibagh - KNS Kashmir</x:v>
      </x:c>
      <x:c r="C36" s="18" t="str">
        <x:v>2026-09-09</x:v>
      </x:c>
      <x:c r="D36" s="18" t="n">
        <x:v>2026</x:v>
      </x:c>
      <x:c r="E36" s="18" t="str">
        <x:v>2026-09</x:v>
      </x:c>
      <x:c r="F36" s="18" t="str"/>
      <x:c r="G36" s="18" t="str">
        <x:v>National Green Tribunal NGT order</x:v>
      </x:c>
      <x:c r="H36" s="18" t="str"/>
      <x:c r="I36" s="18" t="str">
        <x:v>KNS Kashmir</x:v>
      </x:c>
      <x:c r="J36" s="20" t="str"/>
      <x:c r="K36" s="18" t="str"/>
      <x:c r="L36" s="18" t="str">
        <x:v>NGT issues notice to Govt over STP construction at Alouchibagh - KNS Kashmir</x:v>
      </x:c>
      <x:c r="M36" s="18" t="str">
        <x:v>KNS Kashmir</x:v>
      </x:c>
      <x:c r="N36" s="18" t="str">
        <x:v>National Green Tribunal NGT order</x:v>
      </x:c>
      <x:c r="O36" s="18" t="n">
        <x:v>46274.578125</x:v>
      </x:c>
      <x:c r="P36" s="18" t="str">
        <x:v>https://www.knskashmir.com</x:v>
      </x:c>
      <x:c r="Q36" s="18" t="str">
        <x:v>DEFINED_TERMINAL_OR_FEED_SCOPE</x:v>
      </x:c>
      <x:c r="R36" s="18" t="str">
        <x:v>news_ngt_14d.json — published records loaded</x:v>
      </x:c>
      <x:c r="S36" s="18" t="str"/>
      <x:c r="T36" s="18" t="str"/>
      <x:c r="U36" s="20" t="n">
        <x:v>52</x:v>
      </x:c>
      <x:c r="V36" s="19" t="n">
        <x:f>IFERROR(TODAY()-DATEVALUE(C36),"")</x:f>
        <x:v>1</x:v>
      </x:c>
      <x:c r="W36" s="21" t="n">
        <x:f>ROUND(COUNTA(A36:K36)/11*100,0)</x:f>
        <x:v>100</x:v>
      </x:c>
      <x:c r="X36" s="18" t="str">
        <x:v>Google News RSS</x:v>
      </x:c>
      <x:c r="Y36" s="22" t="str">
        <x:v>https://news.google.com/rss/articles/CBMingFBVV95cUxQNlNMbEtUbzRkbW5YYnJxOVNfeW9obVpDbWJCTVR4REkwbm45S25fLXJNTmR4ZzRhcWFPR2UtZ2tTQlJhX3A2cnAwQVEyMnBpMUdoTTR0UXRrcldDaGlDTDhGbmVTTWtiX0UwWlBOWXQ3MEJfcGlIMzhqbktaQkw2Smh2SEZ1djlmb092aFFGeTNoOFkyS2V2MENCUTlaQQ?oc=5</x:v>
      </x:c>
      <x:c r="Z36" s="18" t="n">
        <x:v>46274.578125</x:v>
      </x:c>
      <x:c r="AA36" s="18" t="n">
        <x:v>46275.38862103009</x:v>
      </x:c>
      <x:c r="AB36" s="18" t="str">
        <x:v>public_rss</x:v>
      </x:c>
      <x:c r="AC36" s="18" t="str">
        <x:v>READY</x:v>
      </x:c>
    </x:row>
    <x:row r="37">
      <x:c r="A37" s="18" t="str">
        <x:v>NYT-41-1d1fd47eedd38316</x:v>
      </x:c>
      <x:c r="B37" s="18" t="str">
        <x:v>NGT separates Delhi-NCR air pollution cases from other regions - thenewsmill.com</x:v>
      </x:c>
      <x:c r="C37" s="18" t="str">
        <x:v>2026-08-29</x:v>
      </x:c>
      <x:c r="D37" s="18" t="n">
        <x:v>2026</x:v>
      </x:c>
      <x:c r="E37" s="18" t="str">
        <x:v>2026-08</x:v>
      </x:c>
      <x:c r="F37" s="18" t="str"/>
      <x:c r="G37" s="18" t="str">
        <x:v>National Green Tribunal NGT order</x:v>
      </x:c>
      <x:c r="H37" s="18" t="str"/>
      <x:c r="I37" s="18" t="str">
        <x:v>thenewsmill.com</x:v>
      </x:c>
      <x:c r="J37" s="20" t="str"/>
      <x:c r="K37" s="18" t="str"/>
      <x:c r="L37" s="18" t="str">
        <x:v>NGT separates Delhi-NCR air pollution cases from other regions - thenewsmill.com</x:v>
      </x:c>
      <x:c r="M37" s="18" t="str">
        <x:v>thenewsmill.com</x:v>
      </x:c>
      <x:c r="N37" s="18" t="str">
        <x:v>National Green Tribunal NGT order</x:v>
      </x:c>
      <x:c r="O37" s="18" t="n">
        <x:v>46263.291666666664</x:v>
      </x:c>
      <x:c r="P37" s="18" t="str">
        <x:v>https://thenewsmill.com</x:v>
      </x:c>
      <x:c r="Q37" s="18" t="str">
        <x:v>DEFINED_TERMINAL_OR_FEED_SCOPE</x:v>
      </x:c>
      <x:c r="R37" s="18" t="str">
        <x:v>news_ngt_14d.json — published records loaded</x:v>
      </x:c>
      <x:c r="S37" s="18" t="str"/>
      <x:c r="T37" s="18" t="str"/>
      <x:c r="U37" s="20" t="n">
        <x:v>52</x:v>
      </x:c>
      <x:c r="V37" s="19" t="n">
        <x:f>IFERROR(TODAY()-DATEVALUE(C37),"")</x:f>
        <x:v>12</x:v>
      </x:c>
      <x:c r="W37" s="21" t="n">
        <x:f>ROUND(COUNTA(A37:K37)/11*100,0)</x:f>
        <x:v>100</x:v>
      </x:c>
      <x:c r="X37" s="18" t="str">
        <x:v>Google News RSS</x:v>
      </x:c>
      <x:c r="Y37" s="22" t="str">
        <x:v>https://news.google.com/rss/articles/CBMimwFBVV95cUxOVUhfT2dnWmdEZU5menloZVduSTJ0ZjBNNXp6VVZYZW9IYi1IZ1NXUTFDSnJHUld4alh0VWpVSnZrZlYxN0k1REh1VUMyQTJjZWZ6NUgtODlnYVpPQ29fZnZPb1IzTkdLZ2xrT1I4MkU5c0ZDWGU0Ym9NYmd4UWQ4Wk1IVEJUMFk5YU9UOTF6Y0UzbWlNMGVSN19TQQ?oc=5</x:v>
      </x:c>
      <x:c r="Z37" s="18" t="n">
        <x:v>46263.291666666664</x:v>
      </x:c>
      <x:c r="AA37" s="18" t="n">
        <x:v>46275.38862103009</x:v>
      </x:c>
      <x:c r="AB37" s="18" t="str">
        <x:v>public_rss</x:v>
      </x:c>
      <x:c r="AC37" s="18" t="str">
        <x:v>READY</x:v>
      </x:c>
    </x:row>
    <x:row r="38">
      <x:c r="A38" s="18" t="str">
        <x:v>NYT-41-ce434c2deec98b08</x:v>
      </x:c>
      <x:c r="B38" s="18" t="str">
        <x:v>NGT Orders Replacement of Dead Saplings, 100% Survival in Bhopal - Daily Pioneer</x:v>
      </x:c>
      <x:c r="C38" s="18" t="str">
        <x:v>2026-09-09</x:v>
      </x:c>
      <x:c r="D38" s="18" t="n">
        <x:v>2026</x:v>
      </x:c>
      <x:c r="E38" s="18" t="str">
        <x:v>2026-09</x:v>
      </x:c>
      <x:c r="F38" s="18" t="str"/>
      <x:c r="G38" s="18" t="str">
        <x:v>National Green Tribunal NGT order</x:v>
      </x:c>
      <x:c r="H38" s="18" t="str"/>
      <x:c r="I38" s="18" t="str">
        <x:v>Daily Pioneer</x:v>
      </x:c>
      <x:c r="J38" s="20" t="str"/>
      <x:c r="K38" s="18" t="str"/>
      <x:c r="L38" s="18" t="str">
        <x:v>NGT Orders Replacement of Dead Saplings, 100% Survival in Bhopal - Daily Pioneer</x:v>
      </x:c>
      <x:c r="M38" s="18" t="str">
        <x:v>Daily Pioneer</x:v>
      </x:c>
      <x:c r="N38" s="18" t="str">
        <x:v>National Green Tribunal NGT order</x:v>
      </x:c>
      <x:c r="O38" s="18" t="n">
        <x:v>46274.26017361111</x:v>
      </x:c>
      <x:c r="P38" s="18" t="str">
        <x:v>https://dailypioneer.com</x:v>
      </x:c>
      <x:c r="Q38" s="18" t="str">
        <x:v>DEFINED_TERMINAL_OR_FEED_SCOPE</x:v>
      </x:c>
      <x:c r="R38" s="18" t="str">
        <x:v>news_ngt_14d.json — published records loaded</x:v>
      </x:c>
      <x:c r="S38" s="18" t="str"/>
      <x:c r="T38" s="18" t="str"/>
      <x:c r="U38" s="20" t="n">
        <x:v>52</x:v>
      </x:c>
      <x:c r="V38" s="19" t="n">
        <x:f>IFERROR(TODAY()-DATEVALUE(C38),"")</x:f>
        <x:v>1</x:v>
      </x:c>
      <x:c r="W38" s="21" t="n">
        <x:f>ROUND(COUNTA(A38:K38)/11*100,0)</x:f>
        <x:v>100</x:v>
      </x:c>
      <x:c r="X38" s="18" t="str">
        <x:v>Google News RSS</x:v>
      </x:c>
      <x:c r="Y38" s="22" t="str">
        <x:v>https://news.google.com/rss/articles/CBMiqAFBVV95cUxQX0s2eHZFcjFPSE1lSXNJTEJ6anY3QnVKenEyTHBiYmtRVjZMa3l4dDlVdmJEbzRYbFMzZDNKa1N4NlJSLU9MWmNadzczaVAzQVp1YVpYU3NuaURKWWNpdVFtanZaaDNXLWZRQ2pYeU9YZDU0eG9jWEMzWGFFRTBiSGRubENuY0ZTV3UxeGpZX3hMUG1MZlNqTzlzR0xoQzg4SlNDc0thTmM?oc=5</x:v>
      </x:c>
      <x:c r="Z38" s="18" t="n">
        <x:v>46274.26017361111</x:v>
      </x:c>
      <x:c r="AA38" s="18" t="n">
        <x:v>46275.38862103009</x:v>
      </x:c>
      <x:c r="AB38" s="18" t="str">
        <x:v>public_rss</x:v>
      </x:c>
      <x:c r="AC38" s="18" t="str">
        <x:v>READY</x:v>
      </x:c>
    </x:row>
    <x:row r="39">
      <x:c r="A39" s="18" t="str">
        <x:v>NYT-41-d220be6bd73de5f3</x:v>
      </x:c>
      <x:c r="B39" s="18" t="str">
        <x:v>What action taken? NGT seeks report on UP factory it ordered shut 9 months ago - The Times of India</x:v>
      </x:c>
      <x:c r="C39" s="18" t="str">
        <x:v>2026-09-06</x:v>
      </x:c>
      <x:c r="D39" s="18" t="n">
        <x:v>2026</x:v>
      </x:c>
      <x:c r="E39" s="18" t="str">
        <x:v>2026-09</x:v>
      </x:c>
      <x:c r="F39" s="18" t="str"/>
      <x:c r="G39" s="18" t="str">
        <x:v>National Green Tribunal NGT order</x:v>
      </x:c>
      <x:c r="H39" s="18" t="str"/>
      <x:c r="I39" s="18" t="str">
        <x:v>The Times of India</x:v>
      </x:c>
      <x:c r="J39" s="20" t="str"/>
      <x:c r="K39" s="18" t="str"/>
      <x:c r="L39" s="18" t="str">
        <x:v>What action taken? NGT seeks report on UP factory it ordered shut 9 months ago - The Times of India</x:v>
      </x:c>
      <x:c r="M39" s="18" t="str">
        <x:v>The Times of India</x:v>
      </x:c>
      <x:c r="N39" s="18" t="str">
        <x:v>National Green Tribunal NGT order</x:v>
      </x:c>
      <x:c r="O39" s="18" t="n">
        <x:v>46271.802777777775</x:v>
      </x:c>
      <x:c r="P39" s="18" t="str">
        <x:v>https://timesofindia.indiatimes.com</x:v>
      </x:c>
      <x:c r="Q39" s="18" t="str">
        <x:v>DEFINED_TERMINAL_OR_FEED_SCOPE</x:v>
      </x:c>
      <x:c r="R39" s="18" t="str">
        <x:v>news_ngt_14d.json — published records loaded</x:v>
      </x:c>
      <x:c r="S39" s="18" t="str"/>
      <x:c r="T39" s="18" t="str"/>
      <x:c r="U39" s="20" t="n">
        <x:v>52</x:v>
      </x:c>
      <x:c r="V39" s="19" t="n">
        <x:f>IFERROR(TODAY()-DATEVALUE(C39),"")</x:f>
        <x:v>4</x:v>
      </x:c>
      <x:c r="W39" s="21" t="n">
        <x:f>ROUND(COUNTA(A39:K39)/11*100,0)</x:f>
        <x:v>100</x:v>
      </x:c>
      <x:c r="X39" s="18" t="str">
        <x:v>Google News RSS</x:v>
      </x:c>
      <x:c r="Y39" s="22" t="str">
        <x:v>https://news.google.com/rss/articles/CBMi5AFBVV95cUxQQTVQelB3V1FmS3JPN1dSaWhJVnA3cWU3X1VBdXBLZk16Qk9sc3ZDNVdvSGNCNXp1RHFUR3M2TEFwc0xVTklwMkl5eDB5cE1mN1pBMFZ6YXIyUEphSTd5ME5jZHFXYlMtLWNWTUIzTGdMcmlVc015NUdjSEt0bGJ1THZBXzA0T3NLQjZ5ZFpnQWlndExGbFdOYURNcVZCYUd3UTZvWU5McnptRzYwNnpVa1BXTTdGdHFIMWVkWk5fNmd2ZExUamVpT3l6aG4tcUZvejNPT2FoTEM5RHFSQzZkSHo4WmfSAeoBQVVfeXFMTU9vSmJVbEdvM1Vhc2FaWEJuNWU1cEFSLTM5Q185VnE4QjFHblE5dU1EX2V0S2Vfa2ptUV92bjRrNVZxQV81WXVCWUFqckVBQ1BEbkdtLUZKOGMtczk1SUc5bGR2eFpqRUd2ZC1RMk5Oa1pjQW8ycXNqS3RrTUJFSmdzN2t2TXRyMEFvQ3J6QUF2eW5Kc0l5RnU5UVNKZEV0N1RLeFVHcU1OU0ZyVFZFXzZyVTgtQ1RYTFVhdjhsNVZ5a2dnM05NM1dfVDlSNFpnY1BKSzA3OWpiWkZWZzdxcUVEb2d4RDZ5enpR?oc=5</x:v>
      </x:c>
      <x:c r="Z39" s="18" t="n">
        <x:v>46271.802777777775</x:v>
      </x:c>
      <x:c r="AA39" s="18" t="n">
        <x:v>46275.38862103009</x:v>
      </x:c>
      <x:c r="AB39" s="18" t="str">
        <x:v>public_rss</x:v>
      </x:c>
      <x:c r="AC39" s="18" t="str">
        <x:v>READY</x:v>
      </x:c>
    </x:row>
    <x:row r="40">
      <x:c r="A40" s="18" t="str">
        <x:v>NYT-41-a089a01185e19023</x:v>
      </x:c>
      <x:c r="B40" s="18" t="str">
        <x:v>NGT takes strict view of e-waste disposal in Bhopal: Orders probe into serious environmental and public hea... - Bhaskar English</x:v>
      </x:c>
      <x:c r="C40" s="18" t="str">
        <x:v>2026-08-31</x:v>
      </x:c>
      <x:c r="D40" s="18" t="n">
        <x:v>2026</x:v>
      </x:c>
      <x:c r="E40" s="18" t="str">
        <x:v>2026-08</x:v>
      </x:c>
      <x:c r="F40" s="18" t="str"/>
      <x:c r="G40" s="18" t="str">
        <x:v>National Green Tribunal NGT order</x:v>
      </x:c>
      <x:c r="H40" s="18" t="str"/>
      <x:c r="I40" s="18" t="str">
        <x:v>Bhaskar English</x:v>
      </x:c>
      <x:c r="J40" s="20" t="str"/>
      <x:c r="K40" s="18" t="str"/>
      <x:c r="L40" s="18" t="str">
        <x:v>NGT takes strict view of e-waste disposal in Bhopal: Orders probe into serious environmental and public hea... - Bhaskar English</x:v>
      </x:c>
      <x:c r="M40" s="18" t="str">
        <x:v>Bhaskar English</x:v>
      </x:c>
      <x:c r="N40" s="18" t="str">
        <x:v>National Green Tribunal NGT order</x:v>
      </x:c>
      <x:c r="O40" s="18" t="n">
        <x:v>46265.50304398148</x:v>
      </x:c>
      <x:c r="P40" s="18" t="str">
        <x:v>https://www.bhaskarenglish.in</x:v>
      </x:c>
      <x:c r="Q40" s="18" t="str">
        <x:v>DEFINED_TERMINAL_OR_FEED_SCOPE</x:v>
      </x:c>
      <x:c r="R40" s="18" t="str">
        <x:v>news_ngt_14d.json — published records loaded</x:v>
      </x:c>
      <x:c r="S40" s="18" t="str"/>
      <x:c r="T40" s="18" t="str"/>
      <x:c r="U40" s="20" t="n">
        <x:v>52</x:v>
      </x:c>
      <x:c r="V40" s="19" t="n">
        <x:f>IFERROR(TODAY()-DATEVALUE(C40),"")</x:f>
        <x:v>10</x:v>
      </x:c>
      <x:c r="W40" s="21" t="n">
        <x:f>ROUND(COUNTA(A40:K40)/11*100,0)</x:f>
        <x:v>100</x:v>
      </x:c>
      <x:c r="X40" s="18" t="str">
        <x:v>Google News RSS</x:v>
      </x:c>
      <x:c r="Y40" s="22" t="str">
        <x:v>https://news.google.com/rss/articles/CBMivwFBVV95cUxPZzZaMHp4eXkyaW81SGNFT0xHdUhSY3RmMTM1a3AzMTN4WVhfYWRlVHBNa3BlTmZxalJ3N2d6elFrTldrNDlDblVwdE5fenpBbjJKelhoaDNCNWdnd1ZQT1dCUk9MTDMxMTZZeUFfX0lFMzQ2RU1MazgzOEw3MW1UcFdZUkRGWnktTEpoR29SS3NoUjB0emNZUWVRMFE5SFZwVjBUeGZzcnd5cVlWOWRRUzIzdC1sUmJpZFByYjRqTdIBxAFBVV95cUxQemY1Q1FTMVBEVlNvZkxFelBWd0JTXzg5aXpVSWpEYlVYZndLT3ZldW1qRnBULUR5T1dFMlRfLVNYUnhGOGtqV29KSjMwOHpJQmd4M09sb05URnZRbzAxR2pVU0NqRjJqRmtQMzgtX3FLd0JjSm10VXV4WlQzdXhrQVZjYkIyMk9NY0lUejJlYkM2Z2ViOEI2TUpULW5tc1NKTm40OHp5dmkzbXUxbFNjS2tMRi1pOEtuVTV4UkUzcXFCV21q?oc=5</x:v>
      </x:c>
      <x:c r="Z40" s="18" t="n">
        <x:v>46265.50304398148</x:v>
      </x:c>
      <x:c r="AA40" s="18" t="n">
        <x:v>46275.38862103009</x:v>
      </x:c>
      <x:c r="AB40" s="18" t="str">
        <x:v>public_rss</x:v>
      </x:c>
      <x:c r="AC40" s="18" t="str">
        <x:v>READY</x:v>
      </x:c>
    </x:row>
    <x:row r="41">
      <x:c r="A41" s="18" t="str">
        <x:v>NYT-41-3d2c0c696bb3e913</x:v>
      </x:c>
      <x:c r="B41" s="18" t="str">
        <x:v>As Upper Lake nears full level, NGT orders fresh demarcation - The Times of India</x:v>
      </x:c>
      <x:c r="C41" s="18" t="str">
        <x:v>2026-09-01</x:v>
      </x:c>
      <x:c r="D41" s="18" t="n">
        <x:v>2026</x:v>
      </x:c>
      <x:c r="E41" s="18" t="str">
        <x:v>2026-09</x:v>
      </x:c>
      <x:c r="F41" s="18" t="str"/>
      <x:c r="G41" s="18" t="str">
        <x:v>National Green Tribunal NGT order</x:v>
      </x:c>
      <x:c r="H41" s="18" t="str"/>
      <x:c r="I41" s="18" t="str">
        <x:v>The Times of India</x:v>
      </x:c>
      <x:c r="J41" s="20" t="str"/>
      <x:c r="K41" s="18" t="str"/>
      <x:c r="L41" s="18" t="str">
        <x:v>As Upper Lake nears full level, NGT orders fresh demarcation - The Times of India</x:v>
      </x:c>
      <x:c r="M41" s="18" t="str">
        <x:v>The Times of India</x:v>
      </x:c>
      <x:c r="N41" s="18" t="str">
        <x:v>National Green Tribunal NGT order</x:v>
      </x:c>
      <x:c r="O41" s="18" t="n">
        <x:v>46266.8</x:v>
      </x:c>
      <x:c r="P41" s="18" t="str">
        <x:v>https://timesofindia.indiatimes.com</x:v>
      </x:c>
      <x:c r="Q41" s="18" t="str">
        <x:v>DEFINED_TERMINAL_OR_FEED_SCOPE</x:v>
      </x:c>
      <x:c r="R41" s="18" t="str">
        <x:v>news_ngt_14d.json — published records loaded</x:v>
      </x:c>
      <x:c r="S41" s="18" t="str"/>
      <x:c r="T41" s="18" t="str"/>
      <x:c r="U41" s="20" t="n">
        <x:v>52</x:v>
      </x:c>
      <x:c r="V41" s="19" t="n">
        <x:f>IFERROR(TODAY()-DATEVALUE(C41),"")</x:f>
        <x:v>9</x:v>
      </x:c>
      <x:c r="W41" s="21" t="n">
        <x:f>ROUND(COUNTA(A41:K41)/11*100,0)</x:f>
        <x:v>100</x:v>
      </x:c>
      <x:c r="X41" s="18" t="str">
        <x:v>Google News RSS</x:v>
      </x:c>
      <x:c r="Y41" s="22" t="str">
        <x:v>https://news.google.com/rss/articles/CBMizgFBVV95cUxQbnduZlQ4U0hKVlRFOUdTN0ZSUUdOaFlxVXVRc1JBOU42cUNFWkdEWHA2WkRpbWI1Q245MlEwdTI4MEpzaEdRazFEOGlzVkF2Y18wN21aQVdGV2RlREFMNFZORkUyVkN1emM3Nm1iZ3d1ZTdFSFE4QTdWX2hTelo5MlpaUWhFZkFfNFA4MzZGc09heUkxRXlKUXNnNnlFSWM3MGM5YUdyZzdQbTNtU3ZPWUdFXzU4bkpWblFZNFNOMkt4YVV6V1dsZGV3VW5tUdIB0wFBVV95cUxNREctekFOaC0tSnN5dWxDYnNYRzM0cTVpZzFwbVNXYXRBckMwdXZJTEJiMDZ6dmtlYXEydmFVc0Z3V19Ybm9CcHc1RGNaOFFwdU94NTFSV0o5bG9Xd0JjTjJvTVZ4MnFsb1p1S1NCNXJTaGJNRVdLbW9BWEd4MkFJdFV5WDB5Y0ZhVkJ2RnFLMWxjVmx3S1pEd2l3ZENMLThhMGJBUzZpeGtucE5fLUJILXBPWUdyb0RaekFDZndyYW9zR1pTNFBaRDdWTDZfODFpS084?oc=5</x:v>
      </x:c>
      <x:c r="Z41" s="18" t="n">
        <x:v>46266.8</x:v>
      </x:c>
      <x:c r="AA41" s="18" t="n">
        <x:v>46275.38862103009</x:v>
      </x:c>
      <x:c r="AB41" s="18" t="str">
        <x:v>public_rss</x:v>
      </x:c>
      <x:c r="AC41" s="18" t="str">
        <x:v>READY</x:v>
      </x:c>
    </x:row>
    <x:row r="42">
      <x:c r="A42" s="18" t="str">
        <x:v>NYT-41-0abc72c8d4542287</x:v>
      </x:c>
      <x:c r="B42" s="18" t="str">
        <x:v>NGT directs Rajasthan to impose fines on illegal scrap furnaces - The Times of India</x:v>
      </x:c>
      <x:c r="C42" s="18" t="str">
        <x:v>2026-09-09</x:v>
      </x:c>
      <x:c r="D42" s="18" t="n">
        <x:v>2026</x:v>
      </x:c>
      <x:c r="E42" s="18" t="str">
        <x:v>2026-09</x:v>
      </x:c>
      <x:c r="F42" s="18" t="str"/>
      <x:c r="G42" s="18" t="str">
        <x:v>National Green Tribunal NGT order</x:v>
      </x:c>
      <x:c r="H42" s="18" t="str"/>
      <x:c r="I42" s="18" t="str">
        <x:v>The Times of India</x:v>
      </x:c>
      <x:c r="J42" s="20" t="str"/>
      <x:c r="K42" s="18" t="str"/>
      <x:c r="L42" s="18" t="str">
        <x:v>NGT directs Rajasthan to impose fines on illegal scrap furnaces - The Times of India</x:v>
      </x:c>
      <x:c r="M42" s="18" t="str">
        <x:v>The Times of India</x:v>
      </x:c>
      <x:c r="N42" s="18" t="str">
        <x:v>National Green Tribunal NGT order</x:v>
      </x:c>
      <x:c r="O42" s="18" t="n">
        <x:v>46274.8125</x:v>
      </x:c>
      <x:c r="P42" s="18" t="str">
        <x:v>https://timesofindia.indiatimes.com</x:v>
      </x:c>
      <x:c r="Q42" s="18" t="str">
        <x:v>DEFINED_TERMINAL_OR_FEED_SCOPE</x:v>
      </x:c>
      <x:c r="R42" s="18" t="str">
        <x:v>news_ngt_14d.json — published records loaded</x:v>
      </x:c>
      <x:c r="S42" s="18" t="str"/>
      <x:c r="T42" s="18" t="str"/>
      <x:c r="U42" s="20" t="n">
        <x:v>52</x:v>
      </x:c>
      <x:c r="V42" s="19" t="n">
        <x:f>IFERROR(TODAY()-DATEVALUE(C42),"")</x:f>
        <x:v>1</x:v>
      </x:c>
      <x:c r="W42" s="21" t="n">
        <x:f>ROUND(COUNTA(A42:K42)/11*100,0)</x:f>
        <x:v>100</x:v>
      </x:c>
      <x:c r="X42" s="18" t="str">
        <x:v>Google News RSS</x:v>
      </x:c>
      <x:c r="Y42" s="22" t="str">
        <x:v>https://news.google.com/rss/articles/CBMi0wFBVV95cUxPQjlIdmF4WDNOandETVhLRElCMGYzWW5sSVR3T1FwZWhqNlVWQTlodXFCTDU3OWpMTTR4MjVVVWhKRTE5OW5TTUFVYjFJYUZ5ci1kZXUwTkJuSFA0MnFSb1RwWjhwU0N0cE14VkU5eUhuOXB4NnlhM096b0ZsR1FrUlZnS0tCeEFMSjNPbkx5eHZtaGdBTlNCNGFOU0ZHMUV4WkFNMVQ1MXlxX2NfUkFKUU1MZDdGdUt1SUVjSzRVbFlyUkZGeHlNaGJtSXgxNEQwRzJR0gHYAUFVX3lxTE9KYzFOdmhMWUd3WGgyTE81cWlCWjlTM0RJdE5SeFBIejRXNTVWdUFhTWRvTlY4ckZLZngtTU5fckRxOGR5M3ktc3ZzMWJQVlpXSWpRLTJxQUhiSVpjc05WVFFjbEdHZVl0aFBhU185U1FFSWN5U1ZDRkZkY0xKY1VGYXlISWIyUzlSY2Vwb2twRGQyYUhGYkY1OGs1Wi1zbEtRUUhOY3NCNlpnZEh5VGNhSGZRQ1p5V0ZPVzFGVjlhT3dPT2FIZndYQkVfalhLWjc1WFdNT2hHUQ?oc=5</x:v>
      </x:c>
      <x:c r="Z42" s="18" t="n">
        <x:v>46274.8125</x:v>
      </x:c>
      <x:c r="AA42" s="18" t="n">
        <x:v>46275.38862103009</x:v>
      </x:c>
      <x:c r="AB42" s="18" t="str">
        <x:v>public_rss</x:v>
      </x:c>
      <x:c r="AC42" s="18" t="str">
        <x:v>READY</x:v>
      </x:c>
    </x:row>
    <x:row r="43">
      <x:c r="A43" s="18" t="str">
        <x:v>NYT-41-8235391a30f9eaec</x:v>
      </x:c>
      <x:c r="B43" s="18" t="str">
        <x:v>Nagaland processes just 25% of daily solid waste — Government report - Eastern Mirror</x:v>
      </x:c>
      <x:c r="C43" s="18" t="str">
        <x:v>2026-08-31</x:v>
      </x:c>
      <x:c r="D43" s="18" t="n">
        <x:v>2026</x:v>
      </x:c>
      <x:c r="E43" s="18" t="str">
        <x:v>2026-08</x:v>
      </x:c>
      <x:c r="F43" s="18" t="str"/>
      <x:c r="G43" s="18" t="str">
        <x:v>National Green Tribunal NGT order</x:v>
      </x:c>
      <x:c r="H43" s="18" t="str"/>
      <x:c r="I43" s="18" t="str">
        <x:v>Eastern Mirror</x:v>
      </x:c>
      <x:c r="J43" s="20" t="str"/>
      <x:c r="K43" s="18" t="str"/>
      <x:c r="L43" s="18" t="str">
        <x:v>Nagaland processes just 25% of daily solid waste — Government report - Eastern Mirror</x:v>
      </x:c>
      <x:c r="M43" s="18" t="str">
        <x:v>Eastern Mirror</x:v>
      </x:c>
      <x:c r="N43" s="18" t="str">
        <x:v>National Green Tribunal NGT order</x:v>
      </x:c>
      <x:c r="O43" s="18" t="n">
        <x:v>46265.291666666664</x:v>
      </x:c>
      <x:c r="P43" s="18" t="str">
        <x:v>https://www.easternmirrornagaland.com</x:v>
      </x:c>
      <x:c r="Q43" s="18" t="str">
        <x:v>DEFINED_TERMINAL_OR_FEED_SCOPE</x:v>
      </x:c>
      <x:c r="R43" s="18" t="str">
        <x:v>news_ngt_14d.json — published records loaded</x:v>
      </x:c>
      <x:c r="S43" s="18" t="str"/>
      <x:c r="T43" s="18" t="str"/>
      <x:c r="U43" s="20" t="n">
        <x:v>52</x:v>
      </x:c>
      <x:c r="V43" s="19" t="n">
        <x:f>IFERROR(TODAY()-DATEVALUE(C43),"")</x:f>
        <x:v>10</x:v>
      </x:c>
      <x:c r="W43" s="21" t="n">
        <x:f>ROUND(COUNTA(A43:K43)/11*100,0)</x:f>
        <x:v>100</x:v>
      </x:c>
      <x:c r="X43" s="18" t="str">
        <x:v>Google News RSS</x:v>
      </x:c>
      <x:c r="Y43" s="22" t="str">
        <x:v>https://news.google.com/rss/articles/CBMipgFBVV95cUxOcU1JVENWN0luZ3lLdU9JZEdTMlI1UVgzUk5WUkNxT3lRall0QVdRdkdqOVBFWUlWSm1fZ2VhT1Z3OEd5X3ZNQ0NyeV8zZVBEQTNLNkZBNFYybWlIeTZobW1oU1IydWphYzN1VWlMSGlYaGlzdTZMaXJtNEpHakdiTS11cDR3NGw1WjNCSzhpLXFRMWdzUWJzcTJYZFRrNEc1ODhoSERR?oc=5</x:v>
      </x:c>
      <x:c r="Z43" s="18" t="n">
        <x:v>46265.291666666664</x:v>
      </x:c>
      <x:c r="AA43" s="18" t="n">
        <x:v>46275.38862103009</x:v>
      </x:c>
      <x:c r="AB43" s="18" t="str">
        <x:v>public_rss</x:v>
      </x:c>
      <x:c r="AC43" s="18" t="str">
        <x:v>READY</x:v>
      </x:c>
    </x:row>
    <x:row r="44">
      <x:c r="A44" s="18" t="str">
        <x:v>NYT-41-c0a0a7e8efd2d29f</x:v>
      </x:c>
      <x:c r="B44" s="18" t="str">
        <x:v>No dirty water: NGT orders zero sewage discharge into lakes - The Times of India</x:v>
      </x:c>
      <x:c r="C44" s="18" t="str">
        <x:v>2026-09-02</x:v>
      </x:c>
      <x:c r="D44" s="18" t="n">
        <x:v>2026</x:v>
      </x:c>
      <x:c r="E44" s="18" t="str">
        <x:v>2026-09</x:v>
      </x:c>
      <x:c r="F44" s="18" t="str"/>
      <x:c r="G44" s="18" t="str">
        <x:v>National Green Tribunal NGT order</x:v>
      </x:c>
      <x:c r="H44" s="18" t="str"/>
      <x:c r="I44" s="18" t="str">
        <x:v>The Times of India</x:v>
      </x:c>
      <x:c r="J44" s="20" t="str"/>
      <x:c r="K44" s="18" t="str"/>
      <x:c r="L44" s="18" t="str">
        <x:v>No dirty water: NGT orders zero sewage discharge into lakes - The Times of India</x:v>
      </x:c>
      <x:c r="M44" s="18" t="str">
        <x:v>The Times of India</x:v>
      </x:c>
      <x:c r="N44" s="18" t="str">
        <x:v>National Green Tribunal NGT order</x:v>
      </x:c>
      <x:c r="O44" s="18" t="n">
        <x:v>46267.77916666667</x:v>
      </x:c>
      <x:c r="P44" s="18" t="str">
        <x:v>https://timesofindia.indiatimes.com</x:v>
      </x:c>
      <x:c r="Q44" s="18" t="str">
        <x:v>DEFINED_TERMINAL_OR_FEED_SCOPE</x:v>
      </x:c>
      <x:c r="R44" s="18" t="str">
        <x:v>news_ngt_14d.json — published records loaded</x:v>
      </x:c>
      <x:c r="S44" s="18" t="str"/>
      <x:c r="T44" s="18" t="str"/>
      <x:c r="U44" s="20" t="n">
        <x:v>52</x:v>
      </x:c>
      <x:c r="V44" s="19" t="n">
        <x:f>IFERROR(TODAY()-DATEVALUE(C44),"")</x:f>
        <x:v>8</x:v>
      </x:c>
      <x:c r="W44" s="21" t="n">
        <x:f>ROUND(COUNTA(A44:K44)/11*100,0)</x:f>
        <x:v>100</x:v>
      </x:c>
      <x:c r="X44" s="18" t="str">
        <x:v>Google News RSS</x:v>
      </x:c>
      <x:c r="Y44" s="22" t="str">
        <x:v>https://news.google.com/rss/articles/CBMizAFBVV95cUxNSWdmSEU2ZDhaN1NTUDJpbFY0M2FMNFBENGVfeU9SdnRKd1hqT2N1WGFDT2lrRWpMb3I2SVFRTk1fa1dOazdqaUNPbFR3T2tpLVM1Tms4ZUR4NUY2OFdXZmZuekZrQWlXZlZDTnhTcW9GTUV4NXcxWDIzeWtHMWRnWENDelRTN1pqcFhaTjhiMTZoVmdONm50V0FVZVJkVDNHSlpIeldQTmx6cm8tT0piR2xnbE92WE5QNGRBdS1TejlrTnlDRmcxSUtneGzSAdIBQVVfeXFMUHUtV3U4QmhDaUZfczhhV3FPZ24zZzctTXV2bUpRSk96dExVVTRXSkNBdldpM1RfZWRXamZmNldTMlB1cjVLYnlNQzljT1lWUTVMcldrSDZ5OUNyUUF0VGdYU1BZLXhxOG1udHltQ2ZrWkd1OFhHV3REcHNObUU3VHhhTnBISzNKaTdWQkhWRTNZZHdjOC15YlNJc3JpNUtQZVA3UmJ2dDJEcG5PUGJrTUktVXByTGtQMXZXbGFFODBsa3IwU2xyTVdFZHB3OXR5a3FR?oc=5</x:v>
      </x:c>
      <x:c r="Z44" s="18" t="n">
        <x:v>46267.77916666667</x:v>
      </x:c>
      <x:c r="AA44" s="18" t="n">
        <x:v>46275.38862103009</x:v>
      </x:c>
      <x:c r="AB44" s="18" t="str">
        <x:v>public_rss</x:v>
      </x:c>
      <x:c r="AC44" s="18" t="str">
        <x:v>READY</x:v>
      </x:c>
    </x:row>
    <x:row r="45">
      <x:c r="A45" s="18" t="str">
        <x:v>NYT-41-3d7f87372e7846f9</x:v>
      </x:c>
      <x:c r="B45" s="18" t="str">
        <x:v>NGT panel finds NVN Construction encroaching on Edulakunta - The Siasat Daily</x:v>
      </x:c>
      <x:c r="C45" s="18" t="str">
        <x:v>2026-08-28</x:v>
      </x:c>
      <x:c r="D45" s="18" t="n">
        <x:v>2026</x:v>
      </x:c>
      <x:c r="E45" s="18" t="str">
        <x:v>2026-08</x:v>
      </x:c>
      <x:c r="F45" s="18" t="str"/>
      <x:c r="G45" s="18" t="str">
        <x:v>National Green Tribunal NGT order</x:v>
      </x:c>
      <x:c r="H45" s="18" t="str"/>
      <x:c r="I45" s="18" t="str">
        <x:v>The Siasat Daily</x:v>
      </x:c>
      <x:c r="J45" s="20" t="str"/>
      <x:c r="K45" s="18" t="str"/>
      <x:c r="L45" s="18" t="str">
        <x:v>NGT panel finds NVN Construction encroaching on Edulakunta - The Siasat Daily</x:v>
      </x:c>
      <x:c r="M45" s="18" t="str">
        <x:v>The Siasat Daily</x:v>
      </x:c>
      <x:c r="N45" s="18" t="str">
        <x:v>National Green Tribunal NGT order</x:v>
      </x:c>
      <x:c r="O45" s="18" t="n">
        <x:v>46262.291666666664</x:v>
      </x:c>
      <x:c r="P45" s="18" t="str">
        <x:v>https://www.siasat.com</x:v>
      </x:c>
      <x:c r="Q45" s="18" t="str">
        <x:v>DEFINED_TERMINAL_OR_FEED_SCOPE</x:v>
      </x:c>
      <x:c r="R45" s="18" t="str">
        <x:v>news_ngt_14d.json — published records loaded</x:v>
      </x:c>
      <x:c r="S45" s="18" t="str"/>
      <x:c r="T45" s="18" t="str"/>
      <x:c r="U45" s="20" t="n">
        <x:v>52</x:v>
      </x:c>
      <x:c r="V45" s="19" t="n">
        <x:f>IFERROR(TODAY()-DATEVALUE(C45),"")</x:f>
        <x:v>13</x:v>
      </x:c>
      <x:c r="W45" s="21" t="n">
        <x:f>ROUND(COUNTA(A45:K45)/11*100,0)</x:f>
        <x:v>100</x:v>
      </x:c>
      <x:c r="X45" s="18" t="str">
        <x:v>Google News RSS</x:v>
      </x:c>
      <x:c r="Y45" s="22" t="str">
        <x:v>https://news.google.com/rss/articles/CBMilAFBVV95cUxNdGNFcGNKSlZsUThDYllONy1vTlNwYXdRdFJnV0M1TC1EWnBBM2JuVmQxX1Nnb3ItODZqNTJsakluY3pGNHNXenEyX3dhcDlvTWR1LVdRbVRMM0k3aVcwZDdfN0I3RUN4ajRhejBFWDB3R2RmWXU1eUlfWUptSF95QjctdGhlX19DWWdBUExQbU5nM0d60gGaAUFVX3lxTE5GNG9JRG9BZEg1cUlNNl9HWXJ5UURZbzdFXzRpUUctUlVqRnhmY1JGVmNQWjhWTFpkLUFvTmJUYXJCc3hwTHBlLVdvZWdMZkd2Q3A0cndsUWVmUWRhZGtyMjFsMTFLZ3BCd1hsY2R6dC1UakxfMDBkaTM3bkt3SXpvRlVTd0FmS2tnM3J5VW13SHlsVkJoYzI0VHc?oc=5</x:v>
      </x:c>
      <x:c r="Z45" s="18" t="n">
        <x:v>46262.291666666664</x:v>
      </x:c>
      <x:c r="AA45" s="18" t="n">
        <x:v>46275.38862103009</x:v>
      </x:c>
      <x:c r="AB45" s="18" t="str">
        <x:v>public_rss</x:v>
      </x:c>
      <x:c r="AC45" s="18" t="str">
        <x:v>READY</x:v>
      </x:c>
    </x:row>
    <x:row r="46">
      <x:c r="A46" s="18" t="str">
        <x:v>NYT-41-ef68c1dc0b60a440</x:v>
      </x:c>
      <x:c r="B46" s="18" t="str">
        <x:v>Jhuggis, temple on waterbody, NGT orders removal, restoration - The Times of India</x:v>
      </x:c>
      <x:c r="C46" s="18" t="str">
        <x:v>2026-09-07</x:v>
      </x:c>
      <x:c r="D46" s="18" t="n">
        <x:v>2026</x:v>
      </x:c>
      <x:c r="E46" s="18" t="str">
        <x:v>2026-09</x:v>
      </x:c>
      <x:c r="F46" s="18" t="str"/>
      <x:c r="G46" s="18" t="str">
        <x:v>National Green Tribunal NGT order</x:v>
      </x:c>
      <x:c r="H46" s="18" t="str"/>
      <x:c r="I46" s="18" t="str">
        <x:v>The Times of India</x:v>
      </x:c>
      <x:c r="J46" s="20" t="str"/>
      <x:c r="K46" s="18" t="str"/>
      <x:c r="L46" s="18" t="str">
        <x:v>Jhuggis, temple on waterbody, NGT orders removal, restoration - The Times of India</x:v>
      </x:c>
      <x:c r="M46" s="18" t="str">
        <x:v>The Times of India</x:v>
      </x:c>
      <x:c r="N46" s="18" t="str">
        <x:v>National Green Tribunal NGT order</x:v>
      </x:c>
      <x:c r="O46" s="18" t="n">
        <x:v>46272.80347222222</x:v>
      </x:c>
      <x:c r="P46" s="18" t="str">
        <x:v>https://timesofindia.indiatimes.com</x:v>
      </x:c>
      <x:c r="Q46" s="18" t="str">
        <x:v>DEFINED_TERMINAL_OR_FEED_SCOPE</x:v>
      </x:c>
      <x:c r="R46" s="18" t="str">
        <x:v>news_ngt_14d.json — published records loaded</x:v>
      </x:c>
      <x:c r="S46" s="18" t="str"/>
      <x:c r="T46" s="18" t="str"/>
      <x:c r="U46" s="20" t="n">
        <x:v>52</x:v>
      </x:c>
      <x:c r="V46" s="19" t="n">
        <x:f>IFERROR(TODAY()-DATEVALUE(C46),"")</x:f>
        <x:v>3</x:v>
      </x:c>
      <x:c r="W46" s="21" t="n">
        <x:f>ROUND(COUNTA(A46:K46)/11*100,0)</x:f>
        <x:v>100</x:v>
      </x:c>
      <x:c r="X46" s="18" t="str">
        <x:v>Google News RSS</x:v>
      </x:c>
      <x:c r="Y46" s="22" t="str">
        <x:v>https://news.google.com/rss/articles/CBMizgFBVV95cUxPcThXMExPY3BBZzNFRmt4dnNBbmg3OWtuUk0tejNnZ3Z2c0QtZlJVY01uZ3dnQjNFMFUxRUtHMDEzbjhSVjdFT0R4RXlKNkxObHlwbGpIVzVkd2o3VHVIZkx1ZncxaGVVeW9TWXY5N3YyeGo4YTNWRDZZM0h6WG5QTjY1ZGJwMmlJN0VsTmhTRzd0eF9yeURTN21FWUE0Z2NEczRaMWVSbGdkdXFFa0pnRHkxT09QSV81QzVpS190LVpYdzVta1haNFNIYkVRQdIB0wFBVV95cUxNbHJlTjl6OHZVZTBUVU5kZDhUeTVrOHJfa0F2T2F3cVdyX3huSm5NemcwNGZBdW5DcjFDTWI4WEswT1QxMnZ4alR0b0UwMUpncUR4dWUzaTJsZWpXRXZMRldEcFFKM2h2VzA0NVVMMDNQMklxY3MyYlZqMlpwVm9tOFBIUjVBUEhVQnd5RUVJS0twSDdOXzRIVUpvUnlOZkZuM2YwZnZBOHRXT3RNMjdkeXpDSUp5TUZjOEpHc1d3cDY0MVU0aDdLdE5qWlBTMkFqekFR?oc=5</x:v>
      </x:c>
      <x:c r="Z46" s="18" t="n">
        <x:v>46272.80347222222</x:v>
      </x:c>
      <x:c r="AA46" s="18" t="n">
        <x:v>46275.38862103009</x:v>
      </x:c>
      <x:c r="AB46" s="18" t="str">
        <x:v>public_rss</x:v>
      </x:c>
      <x:c r="AC46" s="18" t="str">
        <x:v>READY</x:v>
      </x:c>
    </x:row>
    <x:row r="47">
      <x:c r="A47" s="18" t="str">
        <x:v>NYT-41-0317b8d9ca06911a</x:v>
      </x:c>
      <x:c r="B47" s="18" t="str">
        <x:v>Misuse of Green Tax funds by Raj govt ‘surprising and shocking’: NGT - The Times of India</x:v>
      </x:c>
      <x:c r="C47" s="18" t="str">
        <x:v>2026-09-05</x:v>
      </x:c>
      <x:c r="D47" s="18" t="n">
        <x:v>2026</x:v>
      </x:c>
      <x:c r="E47" s="18" t="str">
        <x:v>2026-09</x:v>
      </x:c>
      <x:c r="F47" s="18" t="str"/>
      <x:c r="G47" s="18" t="str">
        <x:v>National Green Tribunal NGT order</x:v>
      </x:c>
      <x:c r="H47" s="18" t="str"/>
      <x:c r="I47" s="18" t="str">
        <x:v>The Times of India</x:v>
      </x:c>
      <x:c r="J47" s="20" t="str"/>
      <x:c r="K47" s="18" t="str"/>
      <x:c r="L47" s="18" t="str">
        <x:v>Misuse of Green Tax funds by Raj govt ‘surprising and shocking’: NGT - The Times of India</x:v>
      </x:c>
      <x:c r="M47" s="18" t="str">
        <x:v>The Times of India</x:v>
      </x:c>
      <x:c r="N47" s="18" t="str">
        <x:v>National Green Tribunal NGT order</x:v>
      </x:c>
      <x:c r="O47" s="18" t="n">
        <x:v>46270.80763888889</x:v>
      </x:c>
      <x:c r="P47" s="18" t="str">
        <x:v>https://timesofindia.indiatimes.com</x:v>
      </x:c>
      <x:c r="Q47" s="18" t="str">
        <x:v>DEFINED_TERMINAL_OR_FEED_SCOPE</x:v>
      </x:c>
      <x:c r="R47" s="18" t="str">
        <x:v>news_ngt_14d.json — published records loaded</x:v>
      </x:c>
      <x:c r="S47" s="18" t="str"/>
      <x:c r="T47" s="18" t="str"/>
      <x:c r="U47" s="20" t="n">
        <x:v>52</x:v>
      </x:c>
      <x:c r="V47" s="19" t="n">
        <x:f>IFERROR(TODAY()-DATEVALUE(C47),"")</x:f>
        <x:v>5</x:v>
      </x:c>
      <x:c r="W47" s="21" t="n">
        <x:f>ROUND(COUNTA(A47:K47)/11*100,0)</x:f>
        <x:v>100</x:v>
      </x:c>
      <x:c r="X47" s="18" t="str">
        <x:v>Google News RSS</x:v>
      </x:c>
      <x:c r="Y47" s="22" t="str">
        <x:v>https://news.google.com/rss/articles/CBMi1gFBVV95cUxQTnhlVjRTV215MUZhT1JobWVZcVpRTTBtemhXNG5jaHVkeDUyaEd0OXJVMVpQeXF1R1diTzFXZ2l3QU01QmVIVXZZVmN3cnRXeGhTSkNjc0tyYnYtVHI5R2MxUW9UbmZqWEd3b2lTRW9jbU1Kemh4YU1Va2Z6dVRqdFE3NF9velBRbk5SWnN4RHcycHFZbTNuSU9SNWVIeFEtUFRGNHBHNG02bDFuWkZ0YzF2QTM3TWJFU0M1RzdNN1ROX1BEcFJsYkd6MmlDLTVCTG5YeEZR0gHbAUFVX3lxTE9kQ1R0UkZ0MFBmNDhSLXM5UHJ2Y1Mwa3BxLU1yY2llMF90TmVoeUY1SXE1Y1duRVZiYUlEOU9qLXJmRDU0OGRnM2cyQXVrVWJIX1IwMjdXbFNJaEYtaUVHUFZyR1JONV9MUHZHYVJ2bldSU2F4MFdiZmFIWks4eWlUZ1VXRXVUNFptTHJ5OHZETS01VjJzcVI2U0R0R1pfWjk1QzFqcko5aE94NVRUU2xxMTNUZ0NQNDJ0VlNpalBVZkc1S3FuM1dfbzZrMnZrcF9HaVZFNHpmYk5zcw?oc=5</x:v>
      </x:c>
      <x:c r="Z47" s="18" t="n">
        <x:v>46270.80763888889</x:v>
      </x:c>
      <x:c r="AA47" s="18" t="n">
        <x:v>46275.38862103009</x:v>
      </x:c>
      <x:c r="AB47" s="18" t="str">
        <x:v>public_rss</x:v>
      </x:c>
      <x:c r="AC47" s="18" t="str">
        <x:v>READY</x:v>
      </x:c>
    </x:row>
    <x:row r="48">
      <x:c r="A48" s="18" t="str">
        <x:v>NYT-41-94b592df795f8462</x:v>
      </x:c>
      <x:c r="B48" s="18" t="str">
        <x:v>NGT orders joint probe into alleged illegal stone extraction in Nayagarh - The Times of India</x:v>
      </x:c>
      <x:c r="C48" s="18" t="str">
        <x:v>2026-09-09</x:v>
      </x:c>
      <x:c r="D48" s="18" t="n">
        <x:v>2026</x:v>
      </x:c>
      <x:c r="E48" s="18" t="str">
        <x:v>2026-09</x:v>
      </x:c>
      <x:c r="F48" s="18" t="str"/>
      <x:c r="G48" s="18" t="str">
        <x:v>National Green Tribunal NGT order</x:v>
      </x:c>
      <x:c r="H48" s="18" t="str"/>
      <x:c r="I48" s="18" t="str">
        <x:v>The Times of India</x:v>
      </x:c>
      <x:c r="J48" s="20" t="str"/>
      <x:c r="K48" s="18" t="str"/>
      <x:c r="L48" s="18" t="str">
        <x:v>NGT orders joint probe into alleged illegal stone extraction in Nayagarh - The Times of India</x:v>
      </x:c>
      <x:c r="M48" s="18" t="str">
        <x:v>The Times of India</x:v>
      </x:c>
      <x:c r="N48" s="18" t="str">
        <x:v>National Green Tribunal NGT order</x:v>
      </x:c>
      <x:c r="O48" s="18" t="n">
        <x:v>46274.51388888889</x:v>
      </x:c>
      <x:c r="P48" s="18" t="str">
        <x:v>https://timesofindia.indiatimes.com</x:v>
      </x:c>
      <x:c r="Q48" s="18" t="str">
        <x:v>DEFINED_TERMINAL_OR_FEED_SCOPE</x:v>
      </x:c>
      <x:c r="R48" s="18" t="str">
        <x:v>news_ngt_14d.json — published records loaded</x:v>
      </x:c>
      <x:c r="S48" s="18" t="str"/>
      <x:c r="T48" s="18" t="str"/>
      <x:c r="U48" s="20" t="n">
        <x:v>52</x:v>
      </x:c>
      <x:c r="V48" s="19" t="n">
        <x:f>IFERROR(TODAY()-DATEVALUE(C48),"")</x:f>
        <x:v>1</x:v>
      </x:c>
      <x:c r="W48" s="21" t="n">
        <x:f>ROUND(COUNTA(A48:K48)/11*100,0)</x:f>
        <x:v>100</x:v>
      </x:c>
      <x:c r="X48" s="18" t="str">
        <x:v>Google News RSS</x:v>
      </x:c>
      <x:c r="Y48" s="22" t="str">
        <x:v>https://news.google.com/rss/articles/CBMi6wFBVV95cUxQdWhyOEVGZTZaOGZXQmkzWHA4VUFHRl9SelNZNUsxYm5xamdvZTBmU3BZcXdlWkNEV0kyUE9aVVpTcHcwOVluWU1Fd2xNeFFHbTJoNGd1Tnc2R2xRZjAtN19GTnNzZi1TUHEyZ3FXQnJQelNFRGE3NTZiM1lOaks5THZEdjNkOTI4R3RjYWtxMkw2NnFPQTdLbzVvbXVRSmMyU05qaHlrdzlvU2IxTVExVk8tUi11bWt4U0FnVF9FNTc1SVFGNlFJSGp2M1hEV1RuTHFqalNnYlFIb2p3aDlZSF9VZ3ExUFNpc2VV0gHrAUFVX3lxTFB1aHI4RUZlNlo4ZldCaTNYcDhVQUdGX1J6U1k1SzFibnFqZ29lMGZTcFlxd2VaQ0RXSTJQT1pVWlNwdzA5WW5ZTUV3bE14UUdtMmg0Z3VOdzZHbFFmMC03X0ZOc3NmLVNQcTJncVdCclB6U0VEYTc1NmIzWU5qSzlMdkR2M2Q5MjhHdGNha3EyTDY2cU9BN0tvNW9tdVFKYzJTTmpoeWt3OW9TYjFNUTFWTy1SLXVta3hTQWdUX0U1NzVJUUY2UUlIanYzWERXVG5McWpqU2diUUhvandoOVlIX1VncTFQU2lzZVU?oc=5</x:v>
      </x:c>
      <x:c r="Z48" s="18" t="n">
        <x:v>46274.51388888889</x:v>
      </x:c>
      <x:c r="AA48" s="18" t="n">
        <x:v>46275.38862103009</x:v>
      </x:c>
      <x:c r="AB48" s="18" t="str">
        <x:v>public_rss</x:v>
      </x:c>
      <x:c r="AC48" s="18" t="str">
        <x:v>READY</x:v>
      </x:c>
    </x:row>
    <x:row r="49">
      <x:c r="A49" s="18" t="str">
        <x:v>NYT-41-845844236932dcee</x:v>
      </x:c>
      <x:c r="B49" s="18" t="str">
        <x:v>Green NOCs missing, UP pollution control board shut 15 hotels, restaurants in last 2 years - The Times of India</x:v>
      </x:c>
      <x:c r="C49" s="18" t="str">
        <x:v>2026-09-09</x:v>
      </x:c>
      <x:c r="D49" s="18" t="n">
        <x:v>2026</x:v>
      </x:c>
      <x:c r="E49" s="18" t="str">
        <x:v>2026-09</x:v>
      </x:c>
      <x:c r="F49" s="18" t="str"/>
      <x:c r="G49" s="18" t="str">
        <x:v>National Green Tribunal NGT order</x:v>
      </x:c>
      <x:c r="H49" s="18" t="str"/>
      <x:c r="I49" s="18" t="str">
        <x:v>The Times of India</x:v>
      </x:c>
      <x:c r="J49" s="20" t="str"/>
      <x:c r="K49" s="18" t="str"/>
      <x:c r="L49" s="18" t="str">
        <x:v>Green NOCs missing, UP pollution control board shut 15 hotels, restaurants in last 2 years - The Times of India</x:v>
      </x:c>
      <x:c r="M49" s="18" t="str">
        <x:v>The Times of India</x:v>
      </x:c>
      <x:c r="N49" s="18" t="str">
        <x:v>National Green Tribunal NGT order</x:v>
      </x:c>
      <x:c r="O49" s="18" t="n">
        <x:v>46274.80069444444</x:v>
      </x:c>
      <x:c r="P49" s="18" t="str">
        <x:v>https://timesofindia.indiatimes.com</x:v>
      </x:c>
      <x:c r="Q49" s="18" t="str">
        <x:v>DEFINED_TERMINAL_OR_FEED_SCOPE</x:v>
      </x:c>
      <x:c r="R49" s="18" t="str">
        <x:v>news_ngt_14d.json — published records loaded</x:v>
      </x:c>
      <x:c r="S49" s="18" t="str"/>
      <x:c r="T49" s="18" t="str"/>
      <x:c r="U49" s="20" t="n">
        <x:v>52</x:v>
      </x:c>
      <x:c r="V49" s="19" t="n">
        <x:f>IFERROR(TODAY()-DATEVALUE(C49),"")</x:f>
        <x:v>1</x:v>
      </x:c>
      <x:c r="W49" s="21" t="n">
        <x:f>ROUND(COUNTA(A49:K49)/11*100,0)</x:f>
        <x:v>100</x:v>
      </x:c>
      <x:c r="X49" s="18" t="str">
        <x:v>Google News RSS</x:v>
      </x:c>
      <x:c r="Y49" s="22" t="str">
        <x:v>https://news.google.com/rss/articles/CBMi8wFBVV95cUxOZ2pmRUl4LW12YjhGV0U0Ty1mUlZsOEdtVUxKZ3FuNDhNRndhWWJpLVNJTU8wVlBBZWRLaXNCbVAyVWh4SlJwR0ZQZmM0WTQyOTNCNGhCTG1hMzZ5RkhxcGl5UFBvMHJ1dGdrN2NvenBvZmNVZ1haaU14cE9uX0p1VXRRS0RLSTdUVUprdXdaU0oxS1N2dnhSbENNbFB3UEZuTnNYUEgxRGI5VmlIWVdYMWtyUFR1b2RrQ013ZlRFUjE5aEE3d1FLZGp2eS1YSHFGdTQtSFVZVVdoU2duUGl2VzEtSllyd1NCeGk4Smh3bDN5VlnSAfgBQVVfeXFMT2Rhb2pvMGluakJnSWpSNTMwX2Rwazdya21SSmtJYVIyTDFpcFJVYllkdWtGTGNNWXdQTDFIdExOSzZRLU5BSjhJZ3RXSTZobVBfalNHRkgtV2lrZW5ELVZqemZRU1RBX1BFU2FmME9DX2NLN0VXRUJhNDJlbWllQm51ekQtc2kzTHpZZXBnVGxEejEyWTNsNXVwdGtZLXpMZU1SV0d4T1FXUjk1a09waTBPSXdCa3k2VXVXbFJGR0R5U2J3SVM1U1V3LWhZaXBHRHF2M29JdnRiVlFvemQ3eC15aVFJejkxZ2pEWHpkSjlRVU10NXpBb08?oc=5</x:v>
      </x:c>
      <x:c r="Z49" s="18" t="n">
        <x:v>46274.80069444444</x:v>
      </x:c>
      <x:c r="AA49" s="18" t="n">
        <x:v>46275.38862103009</x:v>
      </x:c>
      <x:c r="AB49" s="18" t="str">
        <x:v>public_rss</x:v>
      </x:c>
      <x:c r="AC49" s="18" t="str">
        <x:v>READY</x:v>
      </x:c>
    </x:row>
    <x:row r="50">
      <x:c r="A50" s="18" t="str">
        <x:v>NYT-41-93c215b55b58821f</x:v>
      </x:c>
      <x:c r="B50" s="18" t="str">
        <x:v>Prior Land Allotment Not a Prerequisite for Seeking Terms of Reference for Bio-Medical Waste Facility: Supreme Court - Law Trend</x:v>
      </x:c>
      <x:c r="C50" s="18" t="str">
        <x:v>2026-09-07</x:v>
      </x:c>
      <x:c r="D50" s="18" t="n">
        <x:v>2026</x:v>
      </x:c>
      <x:c r="E50" s="18" t="str">
        <x:v>2026-09</x:v>
      </x:c>
      <x:c r="F50" s="18" t="str"/>
      <x:c r="G50" s="18" t="str">
        <x:v>National Green Tribunal NGT order</x:v>
      </x:c>
      <x:c r="H50" s="18" t="str"/>
      <x:c r="I50" s="18" t="str">
        <x:v>Law Trend</x:v>
      </x:c>
      <x:c r="J50" s="20" t="str"/>
      <x:c r="K50" s="18" t="str"/>
      <x:c r="L50" s="18" t="str">
        <x:v>Prior Land Allotment Not a Prerequisite for Seeking Terms of Reference for Bio-Medical Waste Facility: Supreme Court - Law Trend</x:v>
      </x:c>
      <x:c r="M50" s="18" t="str">
        <x:v>Law Trend</x:v>
      </x:c>
      <x:c r="N50" s="18" t="str">
        <x:v>National Green Tribunal NGT order</x:v>
      </x:c>
      <x:c r="O50" s="18" t="n">
        <x:v>46272.486666666664</x:v>
      </x:c>
      <x:c r="P50" s="18" t="str">
        <x:v>https://lawtrend.in</x:v>
      </x:c>
      <x:c r="Q50" s="18" t="str">
        <x:v>DEFINED_TERMINAL_OR_FEED_SCOPE</x:v>
      </x:c>
      <x:c r="R50" s="18" t="str">
        <x:v>news_ngt_14d.json — published records loaded</x:v>
      </x:c>
      <x:c r="S50" s="18" t="str"/>
      <x:c r="T50" s="18" t="str"/>
      <x:c r="U50" s="20" t="n">
        <x:v>52</x:v>
      </x:c>
      <x:c r="V50" s="19" t="n">
        <x:f>IFERROR(TODAY()-DATEVALUE(C50),"")</x:f>
        <x:v>3</x:v>
      </x:c>
      <x:c r="W50" s="21" t="n">
        <x:f>ROUND(COUNTA(A50:K50)/11*100,0)</x:f>
        <x:v>100</x:v>
      </x:c>
      <x:c r="X50" s="18" t="str">
        <x:v>Google News RSS</x:v>
      </x:c>
      <x:c r="Y50" s="22" t="str">
        <x:v>https://news.google.com/rss/articles/CBMi0gFBVV95cUxNdVlQN0xxRnB1eGtpWkVpR0xaMVpBejBxQ2tzYnZlVUVQdW1ZdXpTRmIyQ3RrUGxxTFpEUHNoQXY2U3Vxa0tXSjZxSXF5ZHBqWW9ncFppeWd4aDhTR1ZJQy1qaE0za0NDcmFPMjU1MFpXSFR1QUZjUUJJWnRzal9GVkVaOE9QZFJJVXdjX3Z0azFaRnpOWFJZUlRzZGlsSTBDRWhGMEUxNXY3ajA4SXdMRjZZdWltQ2dQV0tXczM1RVNSMWcxeE1fZjlIWWZ0V2tGSEE?oc=5</x:v>
      </x:c>
      <x:c r="Z50" s="18" t="n">
        <x:v>46272.486666666664</x:v>
      </x:c>
      <x:c r="AA50" s="18" t="n">
        <x:v>46275.38862103009</x:v>
      </x:c>
      <x:c r="AB50" s="18" t="str">
        <x:v>public_rss</x:v>
      </x:c>
      <x:c r="AC50" s="18" t="str">
        <x:v>READY</x:v>
      </x:c>
    </x:row>
    <x:row r="51">
      <x:c r="A51" s="18" t="str">
        <x:v>NYT-41-a16098b6cbd4dec0</x:v>
      </x:c>
      <x:c r="B51" s="18" t="str">
        <x:v>Supreme Court: NGT Members Tenure Extended to Prevent Operational Vacuum - Wansom AI</x:v>
      </x:c>
      <x:c r="C51" s="18" t="str">
        <x:v>2026-09-08</x:v>
      </x:c>
      <x:c r="D51" s="18" t="n">
        <x:v>2026</x:v>
      </x:c>
      <x:c r="E51" s="18" t="str">
        <x:v>2026-09</x:v>
      </x:c>
      <x:c r="F51" s="18" t="str"/>
      <x:c r="G51" s="18" t="str">
        <x:v>National Green Tribunal NGT order</x:v>
      </x:c>
      <x:c r="H51" s="18" t="str"/>
      <x:c r="I51" s="18" t="str">
        <x:v>Wansom AI</x:v>
      </x:c>
      <x:c r="J51" s="20" t="str"/>
      <x:c r="K51" s="18" t="str"/>
      <x:c r="L51" s="18" t="str">
        <x:v>Supreme Court: NGT Members Tenure Extended to Prevent Operational Vacuum - Wansom AI</x:v>
      </x:c>
      <x:c r="M51" s="18" t="str">
        <x:v>Wansom AI</x:v>
      </x:c>
      <x:c r="N51" s="18" t="str">
        <x:v>National Green Tribunal NGT order</x:v>
      </x:c>
      <x:c r="O51" s="18" t="n">
        <x:v>46273.47789351852</x:v>
      </x:c>
      <x:c r="P51" s="18" t="str">
        <x:v>https://www.wansom.ai</x:v>
      </x:c>
      <x:c r="Q51" s="18" t="str">
        <x:v>DEFINED_TERMINAL_OR_FEED_SCOPE</x:v>
      </x:c>
      <x:c r="R51" s="18" t="str">
        <x:v>news_ngt_14d.json — published records loaded</x:v>
      </x:c>
      <x:c r="S51" s="18" t="str"/>
      <x:c r="T51" s="18" t="str"/>
      <x:c r="U51" s="20" t="n">
        <x:v>52</x:v>
      </x:c>
      <x:c r="V51" s="19" t="n">
        <x:f>IFERROR(TODAY()-DATEVALUE(C51),"")</x:f>
        <x:v>2</x:v>
      </x:c>
      <x:c r="W51" s="21" t="n">
        <x:f>ROUND(COUNTA(A51:K51)/11*100,0)</x:f>
        <x:v>100</x:v>
      </x:c>
      <x:c r="X51" s="18" t="str">
        <x:v>Google News RSS</x:v>
      </x:c>
      <x:c r="Y51" s="22" t="str">
        <x:v>https://news.google.com/rss/articles/CBMitAFBVV95cUxOWmlvUjJFTFBBMUI0WExFTGM3UVVDVGZVcGdVREwtNmhzNnYxaTdYSV9VRDRvdzJHT1kzOXFoZ3g5VzRTRkJjZTgxdUtqLVFtMDkxRjFDR2NzNURUUERqa0lVZ21ndXhQMUNRZC1XRG5EcVBNdmRZTm5mbFl3bVk0SFdvN2pCWnY4VmJLS0NWczZKYW50UVRLUHpxeDZ6Qk1KcElhV2VCakwxeDJ4R1hhS1Vhb2c?oc=5</x:v>
      </x:c>
      <x:c r="Z51" s="18" t="n">
        <x:v>46273.47789351852</x:v>
      </x:c>
      <x:c r="AA51" s="18" t="n">
        <x:v>46275.38862103009</x:v>
      </x:c>
      <x:c r="AB51" s="18" t="str">
        <x:v>public_rss</x:v>
      </x:c>
      <x:c r="AC51" s="18" t="str">
        <x:v>READY</x:v>
      </x:c>
    </x:row>
    <x:row r="52">
      <x:c r="A52" s="18" t="str">
        <x:v>NYT-41-0ebc3f5309ad6d58</x:v>
      </x:c>
      <x:c r="B52" s="18" t="str">
        <x:v>Why is D.Y. Patil Stadium in Navi Mumbai not hosting Women’s Champions Trophy matches? - Sportstar</x:v>
      </x:c>
      <x:c r="C52" s="18" t="str">
        <x:v>2026-09-02</x:v>
      </x:c>
      <x:c r="D52" s="18" t="n">
        <x:v>2026</x:v>
      </x:c>
      <x:c r="E52" s="18" t="str">
        <x:v>2026-09</x:v>
      </x:c>
      <x:c r="F52" s="18" t="str"/>
      <x:c r="G52" s="18" t="str">
        <x:v>National Green Tribunal NGT order</x:v>
      </x:c>
      <x:c r="H52" s="18" t="str"/>
      <x:c r="I52" s="18" t="str">
        <x:v>Sportstar</x:v>
      </x:c>
      <x:c r="J52" s="20" t="str"/>
      <x:c r="K52" s="18" t="str"/>
      <x:c r="L52" s="18" t="str">
        <x:v>Why is D.Y. Patil Stadium in Navi Mumbai not hosting Women’s Champions Trophy matches? - Sportstar</x:v>
      </x:c>
      <x:c r="M52" s="18" t="str">
        <x:v>Sportstar</x:v>
      </x:c>
      <x:c r="N52" s="18" t="str">
        <x:v>National Green Tribunal NGT order</x:v>
      </x:c>
      <x:c r="O52" s="18" t="n">
        <x:v>46267.68630787037</x:v>
      </x:c>
      <x:c r="P52" s="18" t="str">
        <x:v>https://sportstar.thehindu.com</x:v>
      </x:c>
      <x:c r="Q52" s="18" t="str">
        <x:v>DEFINED_TERMINAL_OR_FEED_SCOPE</x:v>
      </x:c>
      <x:c r="R52" s="18" t="str">
        <x:v>news_ngt_14d.json — published records loaded</x:v>
      </x:c>
      <x:c r="S52" s="18" t="str"/>
      <x:c r="T52" s="18" t="str"/>
      <x:c r="U52" s="20" t="n">
        <x:v>52</x:v>
      </x:c>
      <x:c r="V52" s="19" t="n">
        <x:f>IFERROR(TODAY()-DATEVALUE(C52),"")</x:f>
        <x:v>8</x:v>
      </x:c>
      <x:c r="W52" s="21" t="n">
        <x:f>ROUND(COUNTA(A52:K52)/11*100,0)</x:f>
        <x:v>100</x:v>
      </x:c>
      <x:c r="X52" s="18" t="str">
        <x:v>Google News RSS</x:v>
      </x:c>
      <x:c r="Y52" s="22" t="str">
        <x:v>https://news.google.com/rss/articles/CBMihgJBVV95cUxNS2gzTnd2Nm5XNThxYlNVOC1vb0RfelcwMDdpVGZSQkRZbnJNSngtdnQ2d2VGb2o5WEVCZGJkaEZUbkFKUmUySjUxeEtRVHgtb3ZuSHRkRmt4bzV0dVRIQzRQWTJ3cUhULTNzaTRwdkh0TzRTOUZZZVozY1dCcFVqVk96M0tOZTRFVE1RTGNmS29CVEFLRWU5LXc5WkUzMHkxQ1pJUGxZUDNtUHM3cFNNWGZnVzFleGJtbjdpa3gzeVF5YW1ld2Q4d2lvWXlmRXdZbnY0T2JWX1hlb01rMjBuRGtRNTJWeXJCdG1QWWU1bHh4QTd0QjRSNFIxS0xxc3FJT0dtWDBn?oc=5</x:v>
      </x:c>
      <x:c r="Z52" s="18" t="n">
        <x:v>46267.68630787037</x:v>
      </x:c>
      <x:c r="AA52" s="18" t="n">
        <x:v>46275.38862103009</x:v>
      </x:c>
      <x:c r="AB52" s="18" t="str">
        <x:v>public_rss</x:v>
      </x:c>
      <x:c r="AC52" s="18" t="str">
        <x:v>READY</x:v>
      </x:c>
    </x:row>
    <x:row r="53">
      <x:c r="A53" s="18" t="str">
        <x:v>NYT-41-a21ac797180ab7fe</x:v>
      </x:c>
      <x:c r="B53" s="18" t="str">
        <x:v>NGT raps admn over ‘poor’ survival rate of trees planted for compensatory afforestation - The Times of India</x:v>
      </x:c>
      <x:c r="C53" s="18" t="str">
        <x:v>2026-09-08</x:v>
      </x:c>
      <x:c r="D53" s="18" t="n">
        <x:v>2026</x:v>
      </x:c>
      <x:c r="E53" s="18" t="str">
        <x:v>2026-09</x:v>
      </x:c>
      <x:c r="F53" s="18" t="str"/>
      <x:c r="G53" s="18" t="str">
        <x:v>National Green Tribunal NGT order</x:v>
      </x:c>
      <x:c r="H53" s="18" t="str"/>
      <x:c r="I53" s="18" t="str">
        <x:v>The Times of India</x:v>
      </x:c>
      <x:c r="J53" s="20" t="str"/>
      <x:c r="K53" s="18" t="str"/>
      <x:c r="L53" s="18" t="str">
        <x:v>NGT raps admn over ‘poor’ survival rate of trees planted for compensatory afforestation - The Times of India</x:v>
      </x:c>
      <x:c r="M53" s="18" t="str">
        <x:v>The Times of India</x:v>
      </x:c>
      <x:c r="N53" s="18" t="str">
        <x:v>National Green Tribunal NGT order</x:v>
      </x:c>
      <x:c r="O53" s="18" t="n">
        <x:v>46273.80625</x:v>
      </x:c>
      <x:c r="P53" s="18" t="str">
        <x:v>https://timesofindia.indiatimes.com</x:v>
      </x:c>
      <x:c r="Q53" s="18" t="str">
        <x:v>DEFINED_TERMINAL_OR_FEED_SCOPE</x:v>
      </x:c>
      <x:c r="R53" s="18" t="str">
        <x:v>news_ngt_14d.json — published records loaded</x:v>
      </x:c>
      <x:c r="S53" s="18" t="str"/>
      <x:c r="T53" s="18" t="str"/>
      <x:c r="U53" s="20" t="n">
        <x:v>52</x:v>
      </x:c>
      <x:c r="V53" s="19" t="n">
        <x:f>IFERROR(TODAY()-DATEVALUE(C53),"")</x:f>
        <x:v>2</x:v>
      </x:c>
      <x:c r="W53" s="21" t="n">
        <x:f>ROUND(COUNTA(A53:K53)/11*100,0)</x:f>
        <x:v>100</x:v>
      </x:c>
      <x:c r="X53" s="18" t="str">
        <x:v>Google News RSS</x:v>
      </x:c>
      <x:c r="Y53" s="22" t="str">
        <x:v>https://news.google.com/rss/articles/CBMi9gFBVV95cUxQeHM2N0JkbXlxdXJWYmhoTVAxcWh1Q0ZmTWNVM19uZVRvZEM2TXBBaTUwOE83MjhoR08zR1UtMmtia3I5UC1teUFzemNMX1ljbm10amY2WnV6S2NwbThvdXM2Tm53Uk1rRG9tc2U3cW9KODhHaUxrcHY0aEtFdUNfUnE2MXVXbWh2M0dVcjNua2MyQ2FsTGs0LXBNZVVVNU9pNDJNd3dwbVRGWm1GVTgzcmVpTnFqZGVhTi1lY25GbWZvbzl4QmJiWmxnamxLbXBoOHY5bWZNVHhVZF8wWDZhdXRHeG9kdlJabzBuWUdBTFNlLV9fTUHSAfYBQVVfeXFMUHhzNjdCZG15cXVyVmJoaE1QMXFodUNGZk1jVTNfbmVUb2RDNk1wQWk1MDhPNzI4aEdPM0dVLTJrYmtyOVAtbXlBc3pjTF9ZY25tdGpmNlp1ektjcG04b3VzNk5ud1JNa0RvbXNlN3FvSjg4R2lMa3B2NGhLRXVDX1JxNjF1V21odjNHVXIzbmtjMkNhbExrNC1wTWVVVTVPaTQyTXd3cG1URlptRlU4M3JlaU5xamRlYU4tZWNuRm1mb285eEJiYlpsZ2psS21waDh2OW1mTVR4VWRfMFg2YXV0R3hvZHZSWm8wbllHQUxTZS1fX01B?oc=5</x:v>
      </x:c>
      <x:c r="Z53" s="18" t="n">
        <x:v>46273.80625</x:v>
      </x:c>
      <x:c r="AA53" s="18" t="n">
        <x:v>46275.38862103009</x:v>
      </x:c>
      <x:c r="AB53" s="18" t="str">
        <x:v>public_rss</x:v>
      </x:c>
      <x:c r="AC53" s="18" t="str">
        <x:v>READY</x:v>
      </x:c>
    </x:row>
    <x:row r="54">
      <x:c r="A54" s="18" t="str">
        <x:v>NYT-41-61237f9a37c4b924</x:v>
      </x:c>
      <x:c r="B54" s="18" t="str">
        <x:v>MP High Court: Bhopal Slaughterhouse PIL Misuse of Process Ruling - Wansom AI</x:v>
      </x:c>
      <x:c r="C54" s="18" t="str">
        <x:v>2026-09-07</x:v>
      </x:c>
      <x:c r="D54" s="18" t="n">
        <x:v>2026</x:v>
      </x:c>
      <x:c r="E54" s="18" t="str">
        <x:v>2026-09</x:v>
      </x:c>
      <x:c r="F54" s="18" t="str"/>
      <x:c r="G54" s="18" t="str">
        <x:v>National Green Tribunal NGT order</x:v>
      </x:c>
      <x:c r="H54" s="18" t="str"/>
      <x:c r="I54" s="18" t="str">
        <x:v>Wansom AI</x:v>
      </x:c>
      <x:c r="J54" s="20" t="str"/>
      <x:c r="K54" s="18" t="str"/>
      <x:c r="L54" s="18" t="str">
        <x:v>MP High Court: Bhopal Slaughterhouse PIL Misuse of Process Ruling - Wansom AI</x:v>
      </x:c>
      <x:c r="M54" s="18" t="str">
        <x:v>Wansom AI</x:v>
      </x:c>
      <x:c r="N54" s="18" t="str">
        <x:v>National Green Tribunal NGT order</x:v>
      </x:c>
      <x:c r="O54" s="18" t="n">
        <x:v>46272.400358796294</x:v>
      </x:c>
      <x:c r="P54" s="18" t="str">
        <x:v>https://www.wansom.ai</x:v>
      </x:c>
      <x:c r="Q54" s="18" t="str">
        <x:v>DEFINED_TERMINAL_OR_FEED_SCOPE</x:v>
      </x:c>
      <x:c r="R54" s="18" t="str">
        <x:v>news_ngt_14d.json — published records loaded</x:v>
      </x:c>
      <x:c r="S54" s="18" t="str"/>
      <x:c r="T54" s="18" t="str"/>
      <x:c r="U54" s="20" t="n">
        <x:v>52</x:v>
      </x:c>
      <x:c r="V54" s="19" t="n">
        <x:f>IFERROR(TODAY()-DATEVALUE(C54),"")</x:f>
        <x:v>3</x:v>
      </x:c>
      <x:c r="W54" s="21" t="n">
        <x:f>ROUND(COUNTA(A54:K54)/11*100,0)</x:f>
        <x:v>100</x:v>
      </x:c>
      <x:c r="X54" s="18" t="str">
        <x:v>Google News RSS</x:v>
      </x:c>
      <x:c r="Y54" s="22" t="str">
        <x:v>https://news.google.com/rss/articles/CBMivwFBVV95cUxNd0hjTldOQWtUbUVmajN1VFowa09yQnJFaUNLeVA2TkJxUW9YUVVGSlZOc092U3hKSjZTUDRPQWlLQmNBekhkZTlsVTlUUkVNUGpnUjdvV2doOGpBakdiQ1FpaXFXeEktcGk3QlUxSi0xVzJOTWktQUlLVzcyNVZ0d0dncGtkZnpycVVFakNTX1pHVmZJU3RtSVhHZ015OER4dTk4eG84VG9id2d6RlVTMGVCQlJfbE1uTm4wLWZZQQ?oc=5</x:v>
      </x:c>
      <x:c r="Z54" s="18" t="n">
        <x:v>46272.400358796294</x:v>
      </x:c>
      <x:c r="AA54" s="18" t="n">
        <x:v>46275.38862103009</x:v>
      </x:c>
      <x:c r="AB54" s="18" t="str">
        <x:v>public_rss</x:v>
      </x:c>
      <x:c r="AC54" s="18" t="str">
        <x:v>READY</x:v>
      </x:c>
    </x:row>
    <x:row r="55">
      <x:c r="A55" s="18" t="str">
        <x:v>NYT-41-c6d56a8035354503</x:v>
      </x:c>
      <x:c r="B55" s="18" t="str">
        <x:v>NGT issues show-cause notices to Odisha Chief Secretary, IAS, IPS officers; warns of arrest - odishatv.in</x:v>
      </x:c>
      <x:c r="C55" s="18" t="str">
        <x:v>2026-08-28</x:v>
      </x:c>
      <x:c r="D55" s="18" t="n">
        <x:v>2026</x:v>
      </x:c>
      <x:c r="E55" s="18" t="str">
        <x:v>2026-08</x:v>
      </x:c>
      <x:c r="F55" s="18" t="str"/>
      <x:c r="G55" s="18" t="str">
        <x:v>National Green Tribunal NGT order</x:v>
      </x:c>
      <x:c r="H55" s="18" t="str"/>
      <x:c r="I55" s="18" t="str">
        <x:v>odishatv.in</x:v>
      </x:c>
      <x:c r="J55" s="20" t="str"/>
      <x:c r="K55" s="18" t="str"/>
      <x:c r="L55" s="18" t="str">
        <x:v>NGT issues show-cause notices to Odisha Chief Secretary, IAS, IPS officers; warns of arrest - odishatv.in</x:v>
      </x:c>
      <x:c r="M55" s="18" t="str">
        <x:v>odishatv.in</x:v>
      </x:c>
      <x:c r="N55" s="18" t="str">
        <x:v>National Green Tribunal NGT order</x:v>
      </x:c>
      <x:c r="O55" s="18" t="n">
        <x:v>46262.148194444446</x:v>
      </x:c>
      <x:c r="P55" s="18" t="str">
        <x:v>https://odishatv.in</x:v>
      </x:c>
      <x:c r="Q55" s="18" t="str">
        <x:v>DEFINED_TERMINAL_OR_FEED_SCOPE</x:v>
      </x:c>
      <x:c r="R55" s="18" t="str">
        <x:v>news_ngt_14d.json — published records loaded</x:v>
      </x:c>
      <x:c r="S55" s="18" t="str"/>
      <x:c r="T55" s="18" t="str"/>
      <x:c r="U55" s="20" t="n">
        <x:v>52</x:v>
      </x:c>
      <x:c r="V55" s="19" t="n">
        <x:f>IFERROR(TODAY()-DATEVALUE(C55),"")</x:f>
        <x:v>13</x:v>
      </x:c>
      <x:c r="W55" s="21" t="n">
        <x:f>ROUND(COUNTA(A55:K55)/11*100,0)</x:f>
        <x:v>100</x:v>
      </x:c>
      <x:c r="X55" s="18" t="str">
        <x:v>Google News RSS</x:v>
      </x:c>
      <x:c r="Y55" s="22" t="str">
        <x:v>https://news.google.com/rss/articles/CBMixAFBVV95cUxOSXBUV2p2TFRaUnR5VWFPNE1NVWRsSmJXeWxaWGhMZmJkR1gxcllJV3lZOEgtVUdyZjUtR1RpcS1SU04zWkhlWm1sUUJCeFl2M3NGemRTeDk1WS0tSXZnQ01nN3ZrWWUtN3V2TEUtQW1BbVNEcjdHMk9XUXhieU5oNVFIdThkOTk1V2V5MVkzclF3TVpRRFZZM1R6TWEtTWtCTFhSaGU0QjZtZURIaDN1Z3NENVlXWUVrUTZLWDloc0txWmlS0gHKAUFVX3lxTE81QnRDUmVpS1RjUUIzdThYV1VjVF9Nako5T2dUWUVKb3ZxQXQ4YldJZmZWSllHNHVsbnUtM3d4UDdueDRrN1VLU3pYTXRlNEhkNEFkNGhHLTBMNk1nOTRlTkZuSk9oMVY4SUR0c1EtWi1rTGNzS3RwSVRZM2k3RkplQk01TDROajFGUjdmQmVNVTNWY2R1LXVVc1ZtY2doQ3RjT3hGVzlnOTZLZmFzdDhCS0ZncjhPVXJKVTRVYkpxUndsNVRBVU9pOXc?oc=5</x:v>
      </x:c>
      <x:c r="Z55" s="18" t="n">
        <x:v>46262.148194444446</x:v>
      </x:c>
      <x:c r="AA55" s="18" t="n">
        <x:v>46275.38862103009</x:v>
      </x:c>
      <x:c r="AB55" s="18" t="str">
        <x:v>public_rss</x:v>
      </x:c>
      <x:c r="AC55" s="18" t="str">
        <x:v>READY</x:v>
      </x:c>
    </x:row>
    <x:row r="56">
      <x:c r="A56" s="18" t="str">
        <x:v>NYT-41-81cb64052e941350</x:v>
      </x:c>
      <x:c r="B56" s="18" t="str">
        <x:v>NGT Orders Mapping Of Sewage Outfalls Into Bhopal Lakes, Seeks Zero Untreated Discharge Plan - Free Press Journal</x:v>
      </x:c>
      <x:c r="C56" s="18" t="str">
        <x:v>2026-09-01</x:v>
      </x:c>
      <x:c r="D56" s="18" t="n">
        <x:v>2026</x:v>
      </x:c>
      <x:c r="E56" s="18" t="str">
        <x:v>2026-09</x:v>
      </x:c>
      <x:c r="F56" s="18" t="str"/>
      <x:c r="G56" s="18" t="str">
        <x:v>National Green Tribunal NGT order</x:v>
      </x:c>
      <x:c r="H56" s="18" t="str"/>
      <x:c r="I56" s="18" t="str">
        <x:v>Free Press Journal</x:v>
      </x:c>
      <x:c r="J56" s="20" t="str"/>
      <x:c r="K56" s="18" t="str"/>
      <x:c r="L56" s="18" t="str">
        <x:v>NGT Orders Mapping Of Sewage Outfalls Into Bhopal Lakes, Seeks Zero Untreated Discharge Plan - Free Press Journal</x:v>
      </x:c>
      <x:c r="M56" s="18" t="str">
        <x:v>Free Press Journal</x:v>
      </x:c>
      <x:c r="N56" s="18" t="str">
        <x:v>National Green Tribunal NGT order</x:v>
      </x:c>
      <x:c r="O56" s="18" t="n">
        <x:v>46266.291666666664</x:v>
      </x:c>
      <x:c r="P56" s="18" t="str">
        <x:v>https://www.freepressjournal.in</x:v>
      </x:c>
      <x:c r="Q56" s="18" t="str">
        <x:v>DEFINED_TERMINAL_OR_FEED_SCOPE</x:v>
      </x:c>
      <x:c r="R56" s="18" t="str">
        <x:v>news_ngt_14d.json — published records loaded</x:v>
      </x:c>
      <x:c r="S56" s="18" t="str"/>
      <x:c r="T56" s="18" t="str"/>
      <x:c r="U56" s="20" t="n">
        <x:v>52</x:v>
      </x:c>
      <x:c r="V56" s="19" t="n">
        <x:f>IFERROR(TODAY()-DATEVALUE(C56),"")</x:f>
        <x:v>9</x:v>
      </x:c>
      <x:c r="W56" s="21" t="n">
        <x:f>ROUND(COUNTA(A56:K56)/11*100,0)</x:f>
        <x:v>100</x:v>
      </x:c>
      <x:c r="X56" s="18" t="str">
        <x:v>Google News RSS</x:v>
      </x:c>
      <x:c r="Y56" s="22" t="str">
        <x:v>https://news.google.com/rss/articles/CBMiygFBVV95cUxOUW5rTkRkb2Y3NnFMNkoyYTRWSUhFTkFUSXltSDBSb2RDcVRManBYeEs2eWdTdENuOFNoQXRlQ2hXSGlNcHNXSlBSRGhYWEFRck9GUEcxRmlFYXhGM0Q2WXYwOXdFWFNtSFBpRURkM0taNDNrZzUteTUwRFRHZm1yUHRlR3NJN1Vmcm1IRDdaQVZKQkROZnI4Rk94NkRZbW5aZnFsSUdza3pvRDlRVlBzd29sMDE1azgwa0VTYVhFMDhxZW1leGczdmdB0gHPAUFVX3lxTE1UMnRfSElMRVRpTW1PcktDWnhGM2FNdmRfcGNvZm42bkpOSkI4T09VaTFzenJIQ3NKSV9xVUZwQ3JBYWFaM1Z6WmhBN0RkNUxCWS1TTFdYVHN4QzByR1lVZG5hOGxhcFNpZ21VcElRV2hQVUNMNWJVMlVJSFdIWmtoUGpfVTF6TVg4RFJqSjMxcmxLdjRvUnhmOFRZeWY0Q1k4SmR2RFhLV3h2SExEVndQc0w3dVh3a2s3RU92bjNOUkNVZDk3OFdWWVBaMlVadw?oc=5</x:v>
      </x:c>
      <x:c r="Z56" s="18" t="n">
        <x:v>46266.291666666664</x:v>
      </x:c>
      <x:c r="AA56" s="18" t="n">
        <x:v>46275.38862103009</x:v>
      </x:c>
      <x:c r="AB56" s="18" t="str">
        <x:v>public_rss</x:v>
      </x:c>
      <x:c r="AC56" s="18" t="str">
        <x:v>READY</x:v>
      </x:c>
    </x:row>
    <x:row r="57">
      <x:c r="A57" s="18" t="str">
        <x:v>NYT-41-6bf91edb5f4beefc</x:v>
      </x:c>
      <x:c r="B57" s="18" t="str">
        <x:v>Supreme Court Dismisses Environmental Clearance Challenge To Adani Project, Calls Plea ‘Misuse Of Process’ - Free Press Journal</x:v>
      </x:c>
      <x:c r="C57" s="18" t="str">
        <x:v>2026-09-07</x:v>
      </x:c>
      <x:c r="D57" s="18" t="n">
        <x:v>2026</x:v>
      </x:c>
      <x:c r="E57" s="18" t="str">
        <x:v>2026-09</x:v>
      </x:c>
      <x:c r="F57" s="18" t="str"/>
      <x:c r="G57" s="18" t="str">
        <x:v>National Green Tribunal NGT order</x:v>
      </x:c>
      <x:c r="H57" s="18" t="str"/>
      <x:c r="I57" s="18" t="str">
        <x:v>Free Press Journal</x:v>
      </x:c>
      <x:c r="J57" s="20" t="str"/>
      <x:c r="K57" s="18" t="str"/>
      <x:c r="L57" s="18" t="str">
        <x:v>Supreme Court Dismisses Environmental Clearance Challenge To Adani Project, Calls Plea ‘Misuse Of Process’ - Free Press Journal</x:v>
      </x:c>
      <x:c r="M57" s="18" t="str">
        <x:v>Free Press Journal</x:v>
      </x:c>
      <x:c r="N57" s="18" t="str">
        <x:v>National Green Tribunal NGT order</x:v>
      </x:c>
      <x:c r="O57" s="18" t="n">
        <x:v>46272.65159722222</x:v>
      </x:c>
      <x:c r="P57" s="18" t="str">
        <x:v>https://www.freepressjournal.in</x:v>
      </x:c>
      <x:c r="Q57" s="18" t="str">
        <x:v>DEFINED_TERMINAL_OR_FEED_SCOPE</x:v>
      </x:c>
      <x:c r="R57" s="18" t="str">
        <x:v>news_ngt_14d.json — published records loaded</x:v>
      </x:c>
      <x:c r="S57" s="18" t="str"/>
      <x:c r="T57" s="18" t="str"/>
      <x:c r="U57" s="20" t="n">
        <x:v>52</x:v>
      </x:c>
      <x:c r="V57" s="19" t="n">
        <x:f>IFERROR(TODAY()-DATEVALUE(C57),"")</x:f>
        <x:v>3</x:v>
      </x:c>
      <x:c r="W57" s="21" t="n">
        <x:f>ROUND(COUNTA(A57:K57)/11*100,0)</x:f>
        <x:v>100</x:v>
      </x:c>
      <x:c r="X57" s="18" t="str">
        <x:v>Google News RSS</x:v>
      </x:c>
      <x:c r="Y57" s="22" t="str">
        <x:v>https://news.google.com/rss/articles/CBMi9wFBVV95cUxNQVVyaktEUDlyYVppbGZCVXRwM1JyVjdwRkd5WkpiZFFRMDNyUFUweW1kQndjZFJQUmNrWE1scVlXQXc0cmNCMGN3LXcyNkNnMUpEZFAxY2JWNk4tS2hWRHlQTlZBSy1QTGtsdkYyWWVxRFhsbmZqT0JGdk9xSEV2SlZqZWNzMUtvNmxJam5fV0JRTGxzU3FUaFh2c2lXQUV3cnd1RTQxbndCNl9LWWowSDYybWNiMXlUOEtMZTV2RGhTcTZ3Sk5kWkZFc2VmZ0FzSGZoMUtsdy0wd0laNE5GaEJvcFMwR1dSbjNmWVlKWDVnWlAxU1ow0gH3AUFVX3lxTE1BVXJqS0RQOXJhWmlsZkJVdHAzUnJWN3BGR3laSmJkUVEwM3JQVTB5bWRCd2NkUlBSY2tYTWxxWVdBdzRyY0IwY3ctdzI2Q2cxSkRkUDFjYlY2Ti1LaFZEeVBOVkFLLVBMa2x2RjJZZXFEWGxuZmpPQkZ2T3FIRXZKVmplY3MxS282bElqbl9XQlFMbHNTcVRoWHZzaVdBRXdyd3VFNDFud0I2X0tZajBINjJtY2IxeVQ4S0xlNXZEaFNxNndKTmRaRkVzZWZnQXNIZmgxS2x3LTB3SVo0TkZoQm9wUzBHV1JuM2ZZWUpYNWdaUDFTWjA?oc=5</x:v>
      </x:c>
      <x:c r="Z57" s="18" t="n">
        <x:v>46272.65159722222</x:v>
      </x:c>
      <x:c r="AA57" s="18" t="n">
        <x:v>46275.38862103009</x:v>
      </x:c>
      <x:c r="AB57" s="18" t="str">
        <x:v>public_rss</x:v>
      </x:c>
      <x:c r="AC57" s="18" t="str">
        <x:v>READY</x:v>
      </x:c>
    </x:row>
    <x:row r="58">
      <x:c r="A58" s="18" t="str">
        <x:v>NYT-41-1f17b1c4ac892c3c</x:v>
      </x:c>
      <x:c r="B58" s="18" t="str">
        <x:v>Plantation Failure: Green Tribunal Flags Poor Survival Of Saplings, Seeks Accountability - Free Press Journal</x:v>
      </x:c>
      <x:c r="C58" s="18" t="str">
        <x:v>2026-09-08</x:v>
      </x:c>
      <x:c r="D58" s="18" t="n">
        <x:v>2026</x:v>
      </x:c>
      <x:c r="E58" s="18" t="str">
        <x:v>2026-09</x:v>
      </x:c>
      <x:c r="F58" s="18" t="str"/>
      <x:c r="G58" s="18" t="str">
        <x:v>National Green Tribunal NGT order</x:v>
      </x:c>
      <x:c r="H58" s="18" t="str"/>
      <x:c r="I58" s="18" t="str">
        <x:v>Free Press Journal</x:v>
      </x:c>
      <x:c r="J58" s="20" t="str"/>
      <x:c r="K58" s="18" t="str"/>
      <x:c r="L58" s="18" t="str">
        <x:v>Plantation Failure: Green Tribunal Flags Poor Survival Of Saplings, Seeks Accountability - Free Press Journal</x:v>
      </x:c>
      <x:c r="M58" s="18" t="str">
        <x:v>Free Press Journal</x:v>
      </x:c>
      <x:c r="N58" s="18" t="str">
        <x:v>National Green Tribunal NGT order</x:v>
      </x:c>
      <x:c r="O58" s="18" t="n">
        <x:v>46273.9375</x:v>
      </x:c>
      <x:c r="P58" s="18" t="str">
        <x:v>https://www.freepressjournal.in</x:v>
      </x:c>
      <x:c r="Q58" s="18" t="str">
        <x:v>DEFINED_TERMINAL_OR_FEED_SCOPE</x:v>
      </x:c>
      <x:c r="R58" s="18" t="str">
        <x:v>news_ngt_14d.json — published records loaded</x:v>
      </x:c>
      <x:c r="S58" s="18" t="str"/>
      <x:c r="T58" s="18" t="str"/>
      <x:c r="U58" s="20" t="n">
        <x:v>52</x:v>
      </x:c>
      <x:c r="V58" s="19" t="n">
        <x:f>IFERROR(TODAY()-DATEVALUE(C58),"")</x:f>
        <x:v>2</x:v>
      </x:c>
      <x:c r="W58" s="21" t="n">
        <x:f>ROUND(COUNTA(A58:K58)/11*100,0)</x:f>
        <x:v>100</x:v>
      </x:c>
      <x:c r="X58" s="18" t="str">
        <x:v>Google News RSS</x:v>
      </x:c>
      <x:c r="Y58" s="22" t="str">
        <x:v>https://news.google.com/rss/articles/CBMiyAFBVV95cUxNM1dSQjZvVG5WbjZRZHNhLXJWOXhFOG1aN0EyTGtHcW00TWl6VzBxTzctTU9YNWlyczZYV0tkRjM0NDFETFdvUEF4b0hCYWJhWnVrZkVmQ01RLTdqM2t5a3lHRjlSRGF1Rno0bHEyaUxKTUhRbjA1SDdHNHFvdmFrU2ZkeXVZY0drdGZtSXAxUTRSSjlIZ1h0STM2MXJXNVp2R21xZWxud01qRUJOZXRXNW9mMl9OZG9zZkN0VHgtTHppd05Bc3VaedIByAFBVV95cUxNM1dSQjZvVG5WbjZRZHNhLXJWOXhFOG1aN0EyTGtHcW00TWl6VzBxTzctTU9YNWlyczZYV0tkRjM0NDFETFdvUEF4b0hCYWJhWnVrZkVmQ01RLTdqM2t5a3lHRjlSRGF1Rno0bHEyaUxKTUhRbjA1SDdHNHFvdmFrU2ZkeXVZY0drdGZtSXAxUTRSSjlIZ1h0STM2MXJXNVp2R21xZWxud01qRUJOZXRXNW9mMl9OZG9zZkN0VHgtTHppd05Bc3VaeQ?oc=5</x:v>
      </x:c>
      <x:c r="Z58" s="18" t="n">
        <x:v>46273.9375</x:v>
      </x:c>
      <x:c r="AA58" s="18" t="n">
        <x:v>46275.38862103009</x:v>
      </x:c>
      <x:c r="AB58" s="18" t="str">
        <x:v>public_rss</x:v>
      </x:c>
      <x:c r="AC58" s="18" t="str">
        <x:v>READY</x:v>
      </x:c>
    </x:row>
    <x:row r="59">
      <x:c r="A59" s="18" t="str">
        <x:v>NYT-41-40e16d9249442fba</x:v>
      </x:c>
      <x:c r="B59" s="18" t="str">
        <x:v>NGT Orders Joint Probe Into Alleged Contaminated Water Supply At Bhiwandi Housing Society, MPCB-CPCB Team To - Free Press Journal</x:v>
      </x:c>
      <x:c r="C59" s="18" t="str">
        <x:v>2026-09-08</x:v>
      </x:c>
      <x:c r="D59" s="18" t="n">
        <x:v>2026</x:v>
      </x:c>
      <x:c r="E59" s="18" t="str">
        <x:v>2026-09</x:v>
      </x:c>
      <x:c r="F59" s="18" t="str"/>
      <x:c r="G59" s="18" t="str">
        <x:v>National Green Tribunal NGT order</x:v>
      </x:c>
      <x:c r="H59" s="18" t="str"/>
      <x:c r="I59" s="18" t="str">
        <x:v>Free Press Journal</x:v>
      </x:c>
      <x:c r="J59" s="20" t="str"/>
      <x:c r="K59" s="18" t="str"/>
      <x:c r="L59" s="18" t="str">
        <x:v>NGT Orders Joint Probe Into Alleged Contaminated Water Supply At Bhiwandi Housing Society, MPCB-CPCB Team To - Free Press Journal</x:v>
      </x:c>
      <x:c r="M59" s="18" t="str">
        <x:v>Free Press Journal</x:v>
      </x:c>
      <x:c r="N59" s="18" t="str">
        <x:v>National Green Tribunal NGT order</x:v>
      </x:c>
      <x:c r="O59" s="18" t="n">
        <x:v>46273.517222222225</x:v>
      </x:c>
      <x:c r="P59" s="18" t="str">
        <x:v>https://www.freepressjournal.in</x:v>
      </x:c>
      <x:c r="Q59" s="18" t="str">
        <x:v>DEFINED_TERMINAL_OR_FEED_SCOPE</x:v>
      </x:c>
      <x:c r="R59" s="18" t="str">
        <x:v>news_ngt_14d.json — published records loaded</x:v>
      </x:c>
      <x:c r="S59" s="18" t="str"/>
      <x:c r="T59" s="18" t="str"/>
      <x:c r="U59" s="20" t="n">
        <x:v>52</x:v>
      </x:c>
      <x:c r="V59" s="19" t="n">
        <x:f>IFERROR(TODAY()-DATEVALUE(C59),"")</x:f>
        <x:v>2</x:v>
      </x:c>
      <x:c r="W59" s="21" t="n">
        <x:f>ROUND(COUNTA(A59:K59)/11*100,0)</x:f>
        <x:v>100</x:v>
      </x:c>
      <x:c r="X59" s="18" t="str">
        <x:v>Google News RSS</x:v>
      </x:c>
      <x:c r="Y59" s="22" t="str">
        <x:v>https://news.google.com/rss/articles/CBMigwJBVV95cUxPS0w3bFNUclZtY25HQWZ4SDdTby1xOUw0SVZ5cm1udEFqQzctc1Y4RE9FR3dHV0kwZnJoWGtjSWJXUzJpaWJmc3hXRVVTRml1Nko4TVFiejM0Q3BEdU1hSDlxSWxyNDc5SUtnYi1VNGVIRUFHMlRzZEozWl9jRXoxTEItcXBFUHlFR0JBZU1VVWVYVm9ySzlUWG9lS2kzMDcwV3FZWDRSYkNTM2lyWFNUQjd5R0hOUkRaTnM0NnU4bG13T3lXU1F1cGdKVjhwazVQeXQzS0RYbjFzeGxjZGhJc2VucWNqbElmM1hxdmk1SXlYbXZWb3ltVUVXSEhnbk1Qa2Q00gGIAkFVX3lxTE41X2Y0QTB3SVByaGtBVmkydkozS1gzVWpNYk5zeTBvTm54UXBPdk9DdDU4UGJfMHducTF0cDNsZWwwT0dwVmkwUkNNQjJBa004dENjSXJLWUVwTUptcno2TkNQN041SVhTOUZERWNkckxKd051SlZDM2dlLXIzZVc3dk85S2M4Zm1DWFBidnpRcVdlQll3bkRTWGlOVlNWVzhYLXp1VkdHcmxnMDRGU2pTN3hVb1pta2hOc1I1STVUWkplSjl0YmxoMmZwWVB6dVR5SVhJNkVaVzlaXzhPaEpZX1NENllxWXlnOUlIQ2N2V1FVM2RaXzNYMGxNT0lPVC1SckhFeXBSZg?oc=5</x:v>
      </x:c>
      <x:c r="Z59" s="18" t="n">
        <x:v>46273.517222222225</x:v>
      </x:c>
      <x:c r="AA59" s="18" t="n">
        <x:v>46275.38862103009</x:v>
      </x:c>
      <x:c r="AB59" s="18" t="str">
        <x:v>public_rss</x:v>
      </x:c>
      <x:c r="AC59" s="18" t="str">
        <x:v>READY</x:v>
      </x:c>
    </x:row>
    <x:row r="60">
      <x:c r="A60" s="18" t="str">
        <x:v>NYT-41-cfdfa8cf0cce725b</x:v>
      </x:c>
      <x:c r="B60" s="18" t="str">
        <x:v>NGT Orders SDM Kolar To Ensure Encroachment Removal From Shahpura Lake - Free Press Journal</x:v>
      </x:c>
      <x:c r="C60" s="18" t="str">
        <x:v>2026-09-04</x:v>
      </x:c>
      <x:c r="D60" s="18" t="n">
        <x:v>2026</x:v>
      </x:c>
      <x:c r="E60" s="18" t="str">
        <x:v>2026-09</x:v>
      </x:c>
      <x:c r="F60" s="18" t="str"/>
      <x:c r="G60" s="18" t="str">
        <x:v>National Green Tribunal NGT order</x:v>
      </x:c>
      <x:c r="H60" s="18" t="str"/>
      <x:c r="I60" s="18" t="str">
        <x:v>Free Press Journal</x:v>
      </x:c>
      <x:c r="J60" s="20" t="str"/>
      <x:c r="K60" s="18" t="str"/>
      <x:c r="L60" s="18" t="str">
        <x:v>NGT Orders SDM Kolar To Ensure Encroachment Removal From Shahpura Lake - Free Press Journal</x:v>
      </x:c>
      <x:c r="M60" s="18" t="str">
        <x:v>Free Press Journal</x:v>
      </x:c>
      <x:c r="N60" s="18" t="str">
        <x:v>National Green Tribunal NGT order</x:v>
      </x:c>
      <x:c r="O60" s="18" t="n">
        <x:v>46269.041666666664</x:v>
      </x:c>
      <x:c r="P60" s="18" t="str">
        <x:v>https://www.freepressjournal.in</x:v>
      </x:c>
      <x:c r="Q60" s="18" t="str">
        <x:v>DEFINED_TERMINAL_OR_FEED_SCOPE</x:v>
      </x:c>
      <x:c r="R60" s="18" t="str">
        <x:v>news_ngt_14d.json — published records loaded</x:v>
      </x:c>
      <x:c r="S60" s="18" t="str"/>
      <x:c r="T60" s="18" t="str"/>
      <x:c r="U60" s="20" t="n">
        <x:v>52</x:v>
      </x:c>
      <x:c r="V60" s="19" t="n">
        <x:f>IFERROR(TODAY()-DATEVALUE(C60),"")</x:f>
        <x:v>6</x:v>
      </x:c>
      <x:c r="W60" s="21" t="n">
        <x:f>ROUND(COUNTA(A60:K60)/11*100,0)</x:f>
        <x:v>100</x:v>
      </x:c>
      <x:c r="X60" s="18" t="str">
        <x:v>Google News RSS</x:v>
      </x:c>
      <x:c r="Y60" s="22" t="str">
        <x:v>https://news.google.com/rss/articles/CBMirgFBVV95cUxOS2QxV3ZDckNLTWIxMmk2T3pwTVdUTmJBN01xYjZ4RUZYWEVsd0RjWGdqb3dNQkx5VThoa0E3VlZ1MFRBZWxKMkRxTGszZEd3bnE1RmpPX2R0czRnSFkxTHBIcXpRdWhDdGtHQVpkTFBaU1dCbmJxc0RqbU9tdWZqeVh4TkNGajF3UUFVdk52SHhTdmtjRWhtaFdDdEVvUUVldVA4SjJrOElobWw4d1HSAbMBQVVfeXFMTktlU2FxZy1tMEFUN3JQRkxkN0U2OVVCYndRZmZUYWJLLVJYSVVGcEt0QXN3NEh3VXVYNWIzUmoyeEU2OVlTbnBmMGVhNnZTT3ltdVNZWTFIazkwZUt2ZzVyRF9PcFNyMEtyMkZOQ1JONDVTTHJpeDY0XzNLWGFPZTR1SktZTnBIWHg0eThvN05yQjVyZ1owVTFuSUZkbnVPX0dBVE1RV3VmVEJ3RkhnVzVtTzg?oc=5</x:v>
      </x:c>
      <x:c r="Z60" s="18" t="n">
        <x:v>46269.041666666664</x:v>
      </x:c>
      <x:c r="AA60" s="18" t="n">
        <x:v>46275.38862103009</x:v>
      </x:c>
      <x:c r="AB60" s="18" t="str">
        <x:v>public_rss</x:v>
      </x:c>
      <x:c r="AC60" s="18" t="str">
        <x:v>READY</x:v>
      </x:c>
    </x:row>
  </x:sheetData>
  <x:mergeCells>
    <x:mergeCell ref="A1:H1"/>
    <x:mergeCell ref="A2:H2"/>
  </x:mergeCells>
  <x:pageMargins left="0.7" right="0.7" top="0.75" bottom="0.75" header="0.3" footer="0.3"/>
  <x:drawing xmlns:r="http://schemas.openxmlformats.org/officeDocument/2006/relationships" r:id="R608325a2a8cc4e78"/>
  <x:tableParts count="1">
    <x:tablePart xmlns:r="http://schemas.openxmlformats.org/officeDocument/2006/relationships" r:id="R5c0fc5becf23421f"/>
  </x:tableParts>
</x:worksheet>
</file>