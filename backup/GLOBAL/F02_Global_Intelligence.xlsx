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69b444faf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2 Global Intelligence" sheetId="1" r:id="Rf8761875c9ac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a4ee2a6624895" /><Relationship Type="http://schemas.openxmlformats.org/officeDocument/2006/relationships/theme" Target="/xl/theme/theme1.xml" Id="R26fe2707224e46a5" /><Relationship Type="http://schemas.openxmlformats.org/officeDocument/2006/relationships/sharedStrings" Target="/xl/sharedStrings.xml" Id="Rd9de62d0a21b4622" /><Relationship Type="http://schemas.openxmlformats.org/officeDocument/2006/relationships/worksheet" Target="/xl/worksheets/sheet1.xml" Id="Rf8761875c9ac44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d7b64bd9ddb4512" /><Relationship Type="http://schemas.openxmlformats.org/officeDocument/2006/relationships/chart" Target="/xl/drawings/charts/chart2.xml" Id="Ra93f0e019fd24a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Notices by country and defence domain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'F02 Global Intelligence'!$BC$3:$BC$9</c:f>
              <c:strCache>
                <c:ptCount val="0"/>
              </c:strCache>
            </c:strRef>
          </c:cat>
          <c:val>
            <c:numRef>
              <c:f>'F02 Global Intelligence'!$BD$3:$BD$9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Contract value by buyer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'F02 Global Intelligence'!$BF$3</c:f>
              <c:strCache>
                <c:ptCount val="0"/>
              </c:strCache>
            </c:strRef>
          </c:cat>
          <c:val>
            <c:numRef>
              <c:f>'F02 Global Intelligence'!$BG$3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7b64bd9ddb451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3f0e019fd24ae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global_2_clean_07f8c4" displayName="T_global_2_clean_07f8c4" ref="A8:AB18" headerRowCount="1" totalsRowCount="0" totalsRowShown="0">
  <x:tableColumns count="28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program_name"/>
    <x:tableColumn id="13" name="stage"/>
    <x:tableColumn id="14" name="table_kind"/>
    <x:tableColumn id="15" name="vendor_or_origin"/>
    <x:tableColumn id="16" name="coverage_status"/>
    <x:tableColumn id="17" name="coverage_scope"/>
    <x:tableColumn id="18" name="coverage_start"/>
    <x:tableColumn id="19" name="coverage_end"/>
    <x:tableColumn id="20" name="universe_count"/>
    <x:tableColumn id="21" name="record_age_days"/>
    <x:tableColumn id="22" name="record_completeness_pct"/>
    <x:tableColumn id="23" name="source_provider"/>
    <x:tableColumn id="24" name="source_url"/>
    <x:tableColumn id="25" name="source_published_at"/>
    <x:tableColumn id="26" name="source_retrieved_at"/>
    <x:tableColumn id="27" name="provenance"/>
    <x:tableColumn id="28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f832d8500d48ab" /><Relationship Type="http://schemas.openxmlformats.org/officeDocument/2006/relationships/table" Target="/xl/tables/table1.xml" Id="R4262c6dfa4fb4216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8" hidden="0" customWidth="1"/>
    <x:col min="24" max="24" width="42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</x:cols>
  <x:sheetData>
    <x:row r="1" ht="25" customHeight="1">
      <x:c r="A1" s="4" t="str">
        <x:v>Global Intelligence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BC3" s="18" t="str">
        <x:v>Combat aircraft</x:v>
      </x:c>
      <x:c r="BD3" s="18" t="n">
        <x:v>2</x:v>
      </x:c>
      <x:c r="BF3" s="18" t="str">
        <x:v>Unclassified</x:v>
      </x:c>
      <x:c r="BG3" s="18" t="n">
        <x:v>10</x:v>
      </x:c>
    </x:row>
    <x:row r="4">
      <x:c r="A4" s="9" t="str">
        <x:v>Records</x:v>
      </x:c>
      <x:c r="B4" s="10" t="n">
        <x:v>10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  <x:c r="BC4" s="18" t="str">
        <x:v>Air defense</x:v>
      </x:c>
      <x:c r="BD4" s="18" t="n">
        <x:v>2</x:v>
      </x:c>
    </x:row>
    <x:row r="5">
      <x:c r="BC5" s="18" t="str">
        <x:v>Submarines</x:v>
      </x:c>
      <x:c r="BD5" s="18" t="n">
        <x:v>2</x:v>
      </x:c>
    </x:row>
    <x:row r="6">
      <x:c r="BC6" s="18" t="str">
        <x:v>Unmanned systems</x:v>
      </x:c>
      <x:c r="BD6" s="18" t="n">
        <x:v>1</x:v>
      </x:c>
    </x:row>
    <x:row r="7">
      <x:c r="BC7" s="18" t="str">
        <x:v>Strategic missile</x:v>
      </x:c>
      <x:c r="BD7" s="18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program_name</x:v>
      </x:c>
      <x:c r="M8" s="15" t="str">
        <x:v>stage</x:v>
      </x:c>
      <x:c r="N8" s="15" t="str">
        <x:v>table_kind</x:v>
      </x:c>
      <x:c r="O8" s="15" t="str">
        <x:v>vendor_or_origin</x:v>
      </x:c>
      <x:c r="P8" s="15" t="str">
        <x:v>coverage_status</x:v>
      </x:c>
      <x:c r="Q8" s="15" t="str">
        <x:v>coverage_scope</x:v>
      </x:c>
      <x:c r="R8" s="15" t="str">
        <x:v>coverage_start</x:v>
      </x:c>
      <x:c r="S8" s="15" t="str">
        <x:v>coverage_end</x:v>
      </x:c>
      <x:c r="T8" s="15" t="str">
        <x:v>universe_count</x:v>
      </x:c>
      <x:c r="U8" s="15" t="str">
        <x:v>record_age_days</x:v>
      </x:c>
      <x:c r="V8" s="15" t="str">
        <x:v>record_completeness_pct</x:v>
      </x:c>
      <x:c r="W8" s="15" t="str">
        <x:v>source_provider</x:v>
      </x:c>
      <x:c r="X8" s="15" t="str">
        <x:v>source_url</x:v>
      </x:c>
      <x:c r="Y8" s="15" t="str">
        <x:v>source_published_at</x:v>
      </x:c>
      <x:c r="Z8" s="15" t="str">
        <x:v>source_retrieved_at</x:v>
      </x:c>
      <x:c r="AA8" s="15" t="str">
        <x:v>provenance</x:v>
      </x:c>
      <x:c r="AB8" s="15" t="str">
        <x:v>quality_status</x:v>
      </x:c>
      <x:c r="BC8" s="18" t="str">
        <x:v>Rotary-wing aircraft</x:v>
      </x:c>
      <x:c r="BD8" s="18" t="n">
        <x:v>1</x:v>
      </x:c>
    </x:row>
    <x:row r="9">
      <x:c r="A9" s="18" t="str">
        <x:v>NYT-02-416c14cfeff6bd6d</x:v>
      </x:c>
      <x:c r="B9" s="18" t="str">
        <x:v>Global Intelligence source coverage</x:v>
      </x:c>
      <x:c r="C9" s="18" t="str"/>
      <x:c r="D9" s="18" t="str"/>
      <x:c r="E9" s="18" t="str"/>
      <x:c r="F9" s="18" t="str">
        <x:v>contract signed</x:v>
      </x:c>
      <x:c r="G9" s="18" t="str">
        <x:v>Combat aircraft</x:v>
      </x:c>
      <x:c r="H9" s="18" t="str"/>
      <x:c r="I9" s="18" t="str"/>
      <x:c r="J9" s="20" t="str"/>
      <x:c r="K9" s="18" t="str"/>
      <x:c r="L9" s="18" t="str">
        <x:v>Rafale Marine (Rafale-M) Naval Fighter</x:v>
      </x:c>
      <x:c r="M9" s="18" t="str">
        <x:v>contract signed</x:v>
      </x:c>
      <x:c r="N9" s="18" t="str">
        <x:v>state</x:v>
      </x:c>
      <x:c r="O9" s="18" t="str">
        <x:v>Dassault Aviation, France</x:v>
      </x:c>
      <x:c r="P9" s="18" t="str">
        <x:v>DEFINED_TERMINAL_OR_FEED_SCOPE</x:v>
      </x:c>
      <x:c r="Q9" s="18" t="str">
        <x:v>geopolitics_defense_procurement.json — published records loaded</x:v>
      </x:c>
      <x:c r="R9" s="18" t="str"/>
      <x:c r="S9" s="18" t="str"/>
      <x:c r="T9" s="20" t="n">
        <x:v>10</x:v>
      </x:c>
      <x:c r="U9" s="19" t="str">
        <x:f>IFERROR(TODAY()-DATEVALUE(C9),"")</x:f>
      </x:c>
      <x:c r="V9" s="21" t="n">
        <x:f>ROUND(COUNTA(A9:K9)/11*100,0)</x:f>
        <x:v>100</x:v>
      </x:c>
      <x:c r="W9" s="18" t="str">
        <x:v>SIPRI databases</x:v>
      </x:c>
      <x:c r="X9" s="22" t="str">
        <x:v>https://www.sipri.org/databases/armstransfers</x:v>
      </x:c>
      <x:c r="Y9" s="18" t="n">
        <x:v>46272.704938055555</x:v>
      </x:c>
      <x:c r="Z9" s="18" t="n">
        <x:v>46272.704938055555</x:v>
      </x:c>
      <x:c r="AA9" s="18" t="str">
        <x:v>unconfirmed</x:v>
      </x:c>
      <x:c r="AB9" s="18" t="str">
        <x:v>PARTIAL_NO_DATE</x:v>
      </x:c>
      <x:c r="BC9" s="18" t="str">
        <x:v>Air-to-air missile</x:v>
      </x:c>
      <x:c r="BD9" s="18" t="n">
        <x:v>1</x:v>
      </x:c>
    </x:row>
    <x:row r="10">
      <x:c r="A10" s="18" t="str">
        <x:v>NYT-02-d3fc1eb814243201</x:v>
      </x:c>
      <x:c r="B10" s="18" t="str">
        <x:v>Global Intelligence source coverage</x:v>
      </x:c>
      <x:c r="C10" s="18" t="str"/>
      <x:c r="D10" s="18" t="str"/>
      <x:c r="E10" s="18" t="str"/>
      <x:c r="F10" s="18" t="str">
        <x:v>delivery ongoing</x:v>
      </x:c>
      <x:c r="G10" s="18" t="str">
        <x:v>Air defense</x:v>
      </x:c>
      <x:c r="H10" s="18" t="str"/>
      <x:c r="I10" s="18" t="str"/>
      <x:c r="J10" s="20" t="str"/>
      <x:c r="K10" s="18" t="str"/>
      <x:c r="L10" s="18" t="str">
        <x:v>S-400 Triumf Air Defense System</x:v>
      </x:c>
      <x:c r="M10" s="18" t="str">
        <x:v>delivery ongoing</x:v>
      </x:c>
      <x:c r="N10" s="18" t="str">
        <x:v>state</x:v>
      </x:c>
      <x:c r="O10" s="18" t="str">
        <x:v>Almaz-Antey, Russia</x:v>
      </x:c>
      <x:c r="P10" s="18" t="str">
        <x:v>DEFINED_TERMINAL_OR_FEED_SCOPE</x:v>
      </x:c>
      <x:c r="Q10" s="18" t="str">
        <x:v>geopolitics_defense_procurement.json — published records loaded</x:v>
      </x:c>
      <x:c r="R10" s="18" t="str"/>
      <x:c r="S10" s="18" t="str"/>
      <x:c r="T10" s="20" t="n">
        <x:v>10</x:v>
      </x:c>
      <x:c r="U10" s="19" t="str">
        <x:f>IFERROR(TODAY()-DATEVALUE(C10),"")</x:f>
      </x:c>
      <x:c r="V10" s="21" t="n">
        <x:f>ROUND(COUNTA(A10:K10)/11*100,0)</x:f>
        <x:v>100</x:v>
      </x:c>
      <x:c r="W10" s="18" t="str">
        <x:v>SIPRI databases</x:v>
      </x:c>
      <x:c r="X10" s="22" t="str">
        <x:v>https://www.sipri.org/databases/armstransfers</x:v>
      </x:c>
      <x:c r="Y10" s="18" t="n">
        <x:v>46272.704938055555</x:v>
      </x:c>
      <x:c r="Z10" s="18" t="n">
        <x:v>46272.704938055555</x:v>
      </x:c>
      <x:c r="AA10" s="18" t="str">
        <x:v>unconfirmed</x:v>
      </x:c>
      <x:c r="AB10" s="18" t="str">
        <x:v>PARTIAL_NO_DATE</x:v>
      </x:c>
    </x:row>
    <x:row r="11">
      <x:c r="A11" s="18" t="str">
        <x:v>NYT-02-2124cdd2d68f6a1b</x:v>
      </x:c>
      <x:c r="B11" s="18" t="str">
        <x:v>Global Intelligence source coverage</x:v>
      </x:c>
      <x:c r="C11" s="18" t="str"/>
      <x:c r="D11" s="18" t="str"/>
      <x:c r="E11" s="18" t="str"/>
      <x:c r="F11" s="18" t="str">
        <x:v>under negotiation</x:v>
      </x:c>
      <x:c r="G11" s="18" t="str">
        <x:v>Submarines</x:v>
      </x:c>
      <x:c r="H11" s="18" t="str"/>
      <x:c r="I11" s="18" t="str"/>
      <x:c r="J11" s="20" t="str"/>
      <x:c r="K11" s="18" t="str"/>
      <x:c r="L11" s="18" t="str">
        <x:v>P-75I Submarines</x:v>
      </x:c>
      <x:c r="M11" s="18" t="str">
        <x:v>under negotiation</x:v>
      </x:c>
      <x:c r="N11" s="18" t="str">
        <x:v>state</x:v>
      </x:c>
      <x:c r="O11" s="18" t="str">
        <x:v>Foreign OEM + Mazagon Dock, India</x:v>
      </x:c>
      <x:c r="P11" s="18" t="str">
        <x:v>DEFINED_TERMINAL_OR_FEED_SCOPE</x:v>
      </x:c>
      <x:c r="Q11" s="18" t="str">
        <x:v>geopolitics_defense_procurement.json — published records loaded</x:v>
      </x:c>
      <x:c r="R11" s="18" t="str"/>
      <x:c r="S11" s="18" t="str"/>
      <x:c r="T11" s="20" t="n">
        <x:v>10</x:v>
      </x:c>
      <x:c r="U11" s="19" t="str">
        <x:f>IFERROR(TODAY()-DATEVALUE(C11),"")</x:f>
      </x:c>
      <x:c r="V11" s="21" t="n">
        <x:f>ROUND(COUNTA(A11:K11)/11*100,0)</x:f>
        <x:v>100</x:v>
      </x:c>
      <x:c r="W11" s="18" t="str">
        <x:v>SIPRI databases</x:v>
      </x:c>
      <x:c r="X11" s="22" t="str">
        <x:v>https://www.sipri.org/databases/armstransfers</x:v>
      </x:c>
      <x:c r="Y11" s="18" t="n">
        <x:v>46272.704938055555</x:v>
      </x:c>
      <x:c r="Z11" s="18" t="n">
        <x:v>46272.704938055555</x:v>
      </x:c>
      <x:c r="AA11" s="18" t="str">
        <x:v>unconfirmed</x:v>
      </x:c>
      <x:c r="AB11" s="18" t="str">
        <x:v>PARTIAL_NO_DATE</x:v>
      </x:c>
    </x:row>
    <x:row r="12">
      <x:c r="A12" s="18" t="str">
        <x:v>NYT-02-4b4f9ae4ee44077e</x:v>
      </x:c>
      <x:c r="B12" s="18" t="str">
        <x:v>Global Intelligence source coverage</x:v>
      </x:c>
      <x:c r="C12" s="18" t="str"/>
      <x:c r="D12" s="18" t="str"/>
      <x:c r="E12" s="18" t="str"/>
      <x:c r="F12" s="18" t="str">
        <x:v>contract signed</x:v>
      </x:c>
      <x:c r="G12" s="18" t="str">
        <x:v>Unmanned systems</x:v>
      </x:c>
      <x:c r="H12" s="18" t="str"/>
      <x:c r="I12" s="18" t="str"/>
      <x:c r="J12" s="20" t="str"/>
      <x:c r="K12" s="18" t="str"/>
      <x:c r="L12" s="18" t="str">
        <x:v>MQ-9B SkyGuardian/SeaGuardian Drones</x:v>
      </x:c>
      <x:c r="M12" s="18" t="str">
        <x:v>contract signed</x:v>
      </x:c>
      <x:c r="N12" s="18" t="str">
        <x:v>state</x:v>
      </x:c>
      <x:c r="O12" s="18" t="str">
        <x:v>General Atomics, USA</x:v>
      </x:c>
      <x:c r="P12" s="18" t="str">
        <x:v>DEFINED_TERMINAL_OR_FEED_SCOPE</x:v>
      </x:c>
      <x:c r="Q12" s="18" t="str">
        <x:v>geopolitics_defense_procurement.json — published records loaded</x:v>
      </x:c>
      <x:c r="R12" s="18" t="str"/>
      <x:c r="S12" s="18" t="str"/>
      <x:c r="T12" s="20" t="n">
        <x:v>10</x:v>
      </x:c>
      <x:c r="U12" s="19" t="str">
        <x:f>IFERROR(TODAY()-DATEVALUE(C12),"")</x:f>
      </x:c>
      <x:c r="V12" s="21" t="n">
        <x:f>ROUND(COUNTA(A12:K12)/11*100,0)</x:f>
        <x:v>100</x:v>
      </x:c>
      <x:c r="W12" s="18" t="str">
        <x:v>SIPRI databases</x:v>
      </x:c>
      <x:c r="X12" s="22" t="str">
        <x:v>https://www.sipri.org/databases/armstransfers</x:v>
      </x:c>
      <x:c r="Y12" s="18" t="n">
        <x:v>46272.704938055555</x:v>
      </x:c>
      <x:c r="Z12" s="18" t="n">
        <x:v>46272.704938055555</x:v>
      </x:c>
      <x:c r="AA12" s="18" t="str">
        <x:v>unconfirmed</x:v>
      </x:c>
      <x:c r="AB12" s="18" t="str">
        <x:v>PARTIAL_NO_DATE</x:v>
      </x:c>
    </x:row>
    <x:row r="13">
      <x:c r="A13" s="18" t="str">
        <x:v>NYT-02-a76c8bd5d6f92f11</x:v>
      </x:c>
      <x:c r="B13" s="18" t="str">
        <x:v>Global Intelligence source coverage</x:v>
      </x:c>
      <x:c r="C13" s="18" t="str"/>
      <x:c r="D13" s="18" t="str"/>
      <x:c r="E13" s="18" t="str"/>
      <x:c r="F13" s="18" t="str">
        <x:v>deliveries underway</x:v>
      </x:c>
      <x:c r="G13" s="18" t="str">
        <x:v>Combat aircraft</x:v>
      </x:c>
      <x:c r="H13" s="18" t="str"/>
      <x:c r="I13" s="18" t="str"/>
      <x:c r="J13" s="20" t="str"/>
      <x:c r="K13" s="18" t="str"/>
      <x:c r="L13" s="18" t="str">
        <x:v>Tejas Mk1A Light Combat Aircraft</x:v>
      </x:c>
      <x:c r="M13" s="18" t="str">
        <x:v>deliveries underway</x:v>
      </x:c>
      <x:c r="N13" s="18" t="str">
        <x:v>state</x:v>
      </x:c>
      <x:c r="O13" s="18" t="str">
        <x:v>HAL, India</x:v>
      </x:c>
      <x:c r="P13" s="18" t="str">
        <x:v>DEFINED_TERMINAL_OR_FEED_SCOPE</x:v>
      </x:c>
      <x:c r="Q13" s="18" t="str">
        <x:v>geopolitics_defense_procurement.json — published records loaded</x:v>
      </x:c>
      <x:c r="R13" s="18" t="str"/>
      <x:c r="S13" s="18" t="str"/>
      <x:c r="T13" s="20" t="n">
        <x:v>10</x:v>
      </x:c>
      <x:c r="U13" s="19" t="str">
        <x:f>IFERROR(TODAY()-DATEVALUE(C13),"")</x:f>
      </x:c>
      <x:c r="V13" s="21" t="n">
        <x:f>ROUND(COUNTA(A13:K13)/11*100,0)</x:f>
        <x:v>100</x:v>
      </x:c>
      <x:c r="W13" s="18" t="str">
        <x:v>SIPRI databases</x:v>
      </x:c>
      <x:c r="X13" s="22" t="str">
        <x:v>https://www.sipri.org/databases/armstransfers</x:v>
      </x:c>
      <x:c r="Y13" s="18" t="n">
        <x:v>46272.704938055555</x:v>
      </x:c>
      <x:c r="Z13" s="18" t="n">
        <x:v>46272.704938055555</x:v>
      </x:c>
      <x:c r="AA13" s="18" t="str">
        <x:v>unconfirmed</x:v>
      </x:c>
      <x:c r="AB13" s="18" t="str">
        <x:v>PARTIAL_NO_DATE</x:v>
      </x:c>
    </x:row>
    <x:row r="14">
      <x:c r="A14" s="18" t="str">
        <x:v>NYT-02-9c09486989217230</x:v>
      </x:c>
      <x:c r="B14" s="18" t="str">
        <x:v>Global Intelligence source coverage</x:v>
      </x:c>
      <x:c r="C14" s="18" t="str"/>
      <x:c r="D14" s="18" t="str"/>
      <x:c r="E14" s="18" t="str"/>
      <x:c r="F14" s="18" t="str">
        <x:v>tested and inducted</x:v>
      </x:c>
      <x:c r="G14" s="18" t="str">
        <x:v>Strategic missile</x:v>
      </x:c>
      <x:c r="H14" s="18" t="str"/>
      <x:c r="I14" s="18" t="str"/>
      <x:c r="J14" s="20" t="str"/>
      <x:c r="K14" s="18" t="str"/>
      <x:c r="L14" s="18" t="str">
        <x:v>Agni-Prime Ballistic Missile</x:v>
      </x:c>
      <x:c r="M14" s="18" t="str">
        <x:v>tested and inducted</x:v>
      </x:c>
      <x:c r="N14" s="18" t="str">
        <x:v>state</x:v>
      </x:c>
      <x:c r="O14" s="18" t="str">
        <x:v>DRDO, India</x:v>
      </x:c>
      <x:c r="P14" s="18" t="str">
        <x:v>DEFINED_TERMINAL_OR_FEED_SCOPE</x:v>
      </x:c>
      <x:c r="Q14" s="18" t="str">
        <x:v>geopolitics_defense_procurement.json — published records loaded</x:v>
      </x:c>
      <x:c r="R14" s="18" t="str"/>
      <x:c r="S14" s="18" t="str"/>
      <x:c r="T14" s="20" t="n">
        <x:v>10</x:v>
      </x:c>
      <x:c r="U14" s="19" t="str">
        <x:f>IFERROR(TODAY()-DATEVALUE(C14),"")</x:f>
      </x:c>
      <x:c r="V14" s="21" t="n">
        <x:f>ROUND(COUNTA(A14:K14)/11*100,0)</x:f>
        <x:v>100</x:v>
      </x:c>
      <x:c r="W14" s="18" t="str">
        <x:v>SIPRI databases</x:v>
      </x:c>
      <x:c r="X14" s="22" t="str">
        <x:v>https://www.sipri.org/databases/armstransfers</x:v>
      </x:c>
      <x:c r="Y14" s="18" t="n">
        <x:v>46272.704938055555</x:v>
      </x:c>
      <x:c r="Z14" s="18" t="n">
        <x:v>46272.704938055555</x:v>
      </x:c>
      <x:c r="AA14" s="18" t="str">
        <x:v>unconfirmed</x:v>
      </x:c>
      <x:c r="AB14" s="18" t="str">
        <x:v>PARTIAL_NO_DATE</x:v>
      </x:c>
    </x:row>
    <x:row r="15">
      <x:c r="A15" s="18" t="str">
        <x:v>NYT-02-d00c59bca1a5a97d</x:v>
      </x:c>
      <x:c r="B15" s="18" t="str">
        <x:v>Global Intelligence source coverage</x:v>
      </x:c>
      <x:c r="C15" s="18" t="str"/>
      <x:c r="D15" s="18" t="str"/>
      <x:c r="E15" s="18" t="str"/>
      <x:c r="F15" s="18" t="str">
        <x:v>delivered</x:v>
      </x:c>
      <x:c r="G15" s="18" t="str">
        <x:v>Rotary-wing aircraft</x:v>
      </x:c>
      <x:c r="H15" s="18" t="str"/>
      <x:c r="I15" s="18" t="str"/>
      <x:c r="J15" s="20" t="str"/>
      <x:c r="K15" s="18" t="str"/>
      <x:c r="L15" s="18" t="str">
        <x:v>Apache AH-64E &amp; Chinook Helicopters</x:v>
      </x:c>
      <x:c r="M15" s="18" t="str">
        <x:v>delivered</x:v>
      </x:c>
      <x:c r="N15" s="18" t="str">
        <x:v>state</x:v>
      </x:c>
      <x:c r="O15" s="18" t="str">
        <x:v>Boeing, USA</x:v>
      </x:c>
      <x:c r="P15" s="18" t="str">
        <x:v>DEFINED_TERMINAL_OR_FEED_SCOPE</x:v>
      </x:c>
      <x:c r="Q15" s="18" t="str">
        <x:v>geopolitics_defense_procurement.json — published records loaded</x:v>
      </x:c>
      <x:c r="R15" s="18" t="str"/>
      <x:c r="S15" s="18" t="str"/>
      <x:c r="T15" s="20" t="n">
        <x:v>10</x:v>
      </x:c>
      <x:c r="U15" s="19" t="str">
        <x:f>IFERROR(TODAY()-DATEVALUE(C15),"")</x:f>
      </x:c>
      <x:c r="V15" s="21" t="n">
        <x:f>ROUND(COUNTA(A15:K15)/11*100,0)</x:f>
        <x:v>100</x:v>
      </x:c>
      <x:c r="W15" s="18" t="str">
        <x:v>SIPRI databases</x:v>
      </x:c>
      <x:c r="X15" s="22" t="str">
        <x:v>https://www.sipri.org/databases/armstransfers</x:v>
      </x:c>
      <x:c r="Y15" s="18" t="n">
        <x:v>46272.704938055555</x:v>
      </x:c>
      <x:c r="Z15" s="18" t="n">
        <x:v>46272.704938055555</x:v>
      </x:c>
      <x:c r="AA15" s="18" t="str">
        <x:v>unconfirmed</x:v>
      </x:c>
      <x:c r="AB15" s="18" t="str">
        <x:v>PARTIAL_NO_DATE</x:v>
      </x:c>
    </x:row>
    <x:row r="16">
      <x:c r="A16" s="18" t="str">
        <x:v>NYT-02-31b2b63e8f59330a</x:v>
      </x:c>
      <x:c r="B16" s="18" t="str">
        <x:v>Global Intelligence source coverage</x:v>
      </x:c>
      <x:c r="C16" s="18" t="str"/>
      <x:c r="D16" s="18" t="str"/>
      <x:c r="E16" s="18" t="str"/>
      <x:c r="F16" s="18" t="str">
        <x:v>inducted</x:v>
      </x:c>
      <x:c r="G16" s="18" t="str">
        <x:v>Air-to-air missile</x:v>
      </x:c>
      <x:c r="H16" s="18" t="str"/>
      <x:c r="I16" s="18" t="str"/>
      <x:c r="J16" s="20" t="str"/>
      <x:c r="K16" s="18" t="str"/>
      <x:c r="L16" s="18" t="str">
        <x:v>Astra Beyond-Visual-Range Air-to-Air Missile</x:v>
      </x:c>
      <x:c r="M16" s="18" t="str">
        <x:v>inducted</x:v>
      </x:c>
      <x:c r="N16" s="18" t="str">
        <x:v>state</x:v>
      </x:c>
      <x:c r="O16" s="18" t="str">
        <x:v>DRDO / Bharat Dynamics, India</x:v>
      </x:c>
      <x:c r="P16" s="18" t="str">
        <x:v>DEFINED_TERMINAL_OR_FEED_SCOPE</x:v>
      </x:c>
      <x:c r="Q16" s="18" t="str">
        <x:v>geopolitics_defense_procurement.json — published records loaded</x:v>
      </x:c>
      <x:c r="R16" s="18" t="str"/>
      <x:c r="S16" s="18" t="str"/>
      <x:c r="T16" s="20" t="n">
        <x:v>10</x:v>
      </x:c>
      <x:c r="U16" s="19" t="str">
        <x:f>IFERROR(TODAY()-DATEVALUE(C16),"")</x:f>
      </x:c>
      <x:c r="V16" s="21" t="n">
        <x:f>ROUND(COUNTA(A16:K16)/11*100,0)</x:f>
        <x:v>100</x:v>
      </x:c>
      <x:c r="W16" s="18" t="str">
        <x:v>SIPRI databases</x:v>
      </x:c>
      <x:c r="X16" s="22" t="str">
        <x:v>https://www.sipri.org/databases/armstransfers</x:v>
      </x:c>
      <x:c r="Y16" s="18" t="n">
        <x:v>46272.704938055555</x:v>
      </x:c>
      <x:c r="Z16" s="18" t="n">
        <x:v>46272.704938055555</x:v>
      </x:c>
      <x:c r="AA16" s="18" t="str">
        <x:v>unconfirmed</x:v>
      </x:c>
      <x:c r="AB16" s="18" t="str">
        <x:v>PARTIAL_NO_DATE</x:v>
      </x:c>
    </x:row>
    <x:row r="17">
      <x:c r="A17" s="18" t="str">
        <x:v>NYT-02-8461d107e168c7be</x:v>
      </x:c>
      <x:c r="B17" s="18" t="str">
        <x:v>Global Intelligence source coverage</x:v>
      </x:c>
      <x:c r="C17" s="18" t="str"/>
      <x:c r="D17" s="18" t="str"/>
      <x:c r="E17" s="18" t="str"/>
      <x:c r="F17" s="18" t="str">
        <x:v>delivered (final unit)</x:v>
      </x:c>
      <x:c r="G17" s="18" t="str">
        <x:v>Submarines</x:v>
      </x:c>
      <x:c r="H17" s="18" t="str"/>
      <x:c r="I17" s="18" t="str"/>
      <x:c r="J17" s="20" t="str"/>
      <x:c r="K17" s="18" t="str"/>
      <x:c r="L17" s="18" t="str">
        <x:v>Project 75 Kalvari-class Submarines</x:v>
      </x:c>
      <x:c r="M17" s="18" t="str">
        <x:v>delivered (final unit)</x:v>
      </x:c>
      <x:c r="N17" s="18" t="str">
        <x:v>state</x:v>
      </x:c>
      <x:c r="O17" s="18" t="str">
        <x:v>Naval Group + Mazagon Dock</x:v>
      </x:c>
      <x:c r="P17" s="18" t="str">
        <x:v>DEFINED_TERMINAL_OR_FEED_SCOPE</x:v>
      </x:c>
      <x:c r="Q17" s="18" t="str">
        <x:v>geopolitics_defense_procurement.json — published records loaded</x:v>
      </x:c>
      <x:c r="R17" s="18" t="str"/>
      <x:c r="S17" s="18" t="str"/>
      <x:c r="T17" s="20" t="n">
        <x:v>10</x:v>
      </x:c>
      <x:c r="U17" s="19" t="str">
        <x:f>IFERROR(TODAY()-DATEVALUE(C17),"")</x:f>
      </x:c>
      <x:c r="V17" s="21" t="n">
        <x:f>ROUND(COUNTA(A17:K17)/11*100,0)</x:f>
        <x:v>100</x:v>
      </x:c>
      <x:c r="W17" s="18" t="str">
        <x:v>SIPRI databases</x:v>
      </x:c>
      <x:c r="X17" s="22" t="str">
        <x:v>https://www.sipri.org/databases/armstransfers</x:v>
      </x:c>
      <x:c r="Y17" s="18" t="n">
        <x:v>46272.704938055555</x:v>
      </x:c>
      <x:c r="Z17" s="18" t="n">
        <x:v>46272.704938055555</x:v>
      </x:c>
      <x:c r="AA17" s="18" t="str">
        <x:v>unconfirmed</x:v>
      </x:c>
      <x:c r="AB17" s="18" t="str">
        <x:v>PARTIAL_NO_DATE</x:v>
      </x:c>
    </x:row>
    <x:row r="18">
      <x:c r="A18" s="18" t="str">
        <x:v>NYT-02-c7c48de5e483dff2</x:v>
      </x:c>
      <x:c r="B18" s="18" t="str">
        <x:v>Global Intelligence source coverage</x:v>
      </x:c>
      <x:c r="C18" s="18" t="str"/>
      <x:c r="D18" s="18" t="str"/>
      <x:c r="E18" s="18" t="str"/>
      <x:c r="F18" s="18" t="str">
        <x:v>tested</x:v>
      </x:c>
      <x:c r="G18" s="18" t="str">
        <x:v>Air defense</x:v>
      </x:c>
      <x:c r="H18" s="18" t="str"/>
      <x:c r="I18" s="18" t="str"/>
      <x:c r="J18" s="20" t="str"/>
      <x:c r="K18" s="18" t="str"/>
      <x:c r="L18" s="18" t="str">
        <x:v>Akash-NG Air Defense Missile</x:v>
      </x:c>
      <x:c r="M18" s="18" t="str">
        <x:v>tested</x:v>
      </x:c>
      <x:c r="N18" s="18" t="str">
        <x:v>state</x:v>
      </x:c>
      <x:c r="O18" s="18" t="str">
        <x:v>DRDO, India</x:v>
      </x:c>
      <x:c r="P18" s="18" t="str">
        <x:v>DEFINED_TERMINAL_OR_FEED_SCOPE</x:v>
      </x:c>
      <x:c r="Q18" s="18" t="str">
        <x:v>geopolitics_defense_procurement.json — published records loaded</x:v>
      </x:c>
      <x:c r="R18" s="18" t="str"/>
      <x:c r="S18" s="18" t="str"/>
      <x:c r="T18" s="20" t="n">
        <x:v>10</x:v>
      </x:c>
      <x:c r="U18" s="19" t="str">
        <x:f>IFERROR(TODAY()-DATEVALUE(C18),"")</x:f>
      </x:c>
      <x:c r="V18" s="21" t="n">
        <x:f>ROUND(COUNTA(A18:K18)/11*100,0)</x:f>
        <x:v>100</x:v>
      </x:c>
      <x:c r="W18" s="18" t="str">
        <x:v>SIPRI databases</x:v>
      </x:c>
      <x:c r="X18" s="22" t="str">
        <x:v>https://www.sipri.org/databases/armstransfers</x:v>
      </x:c>
      <x:c r="Y18" s="18" t="n">
        <x:v>46272.704938055555</x:v>
      </x:c>
      <x:c r="Z18" s="18" t="n">
        <x:v>46272.704938055555</x:v>
      </x:c>
      <x:c r="AA18" s="18" t="str">
        <x:v>unconfirmed</x:v>
      </x:c>
      <x:c r="AB18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7f832d8500d48ab"/>
  <x:tableParts count="1">
    <x:tablePart xmlns:r="http://schemas.openxmlformats.org/officeDocument/2006/relationships" r:id="R4262c6dfa4fb4216"/>
  </x:tableParts>
</x:worksheet>
</file>