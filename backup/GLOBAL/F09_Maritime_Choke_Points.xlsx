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84b5f1a85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09 Maritime Choke-Points" sheetId="1" r:id="Rec1cbb22b448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49ccfa4134404" /><Relationship Type="http://schemas.openxmlformats.org/officeDocument/2006/relationships/theme" Target="/xl/theme/theme1.xml" Id="R2c866feb0f124764" /><Relationship Type="http://schemas.openxmlformats.org/officeDocument/2006/relationships/sharedStrings" Target="/xl/sharedStrings.xml" Id="R0ee90668f2cc48b6" /><Relationship Type="http://schemas.openxmlformats.org/officeDocument/2006/relationships/worksheet" Target="/xl/worksheets/sheet1.xml" Id="Rec1cbb22b4484f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1aadf1cf8f4c89" /><Relationship Type="http://schemas.openxmlformats.org/officeDocument/2006/relationships/chart" Target="/xl/drawings/charts/chart2.xml" Id="R66788f81872e4f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Chokepoints by strategic risk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'F09 Maritime Choke-Points'!$BC$3:$BC$5</c:f>
              <c:strCache>
                <c:ptCount val="0"/>
              </c:strCache>
            </c:strRef>
          </c:cat>
          <c:val>
            <c:numRef>
              <c:f>'F09 Maritime Choke-Points'!$BD$3:$BD$5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Commodity flow exposure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'F09 Maritime Choke-Points'!$BF$3:$BF$14</c:f>
              <c:strCache>
                <c:ptCount val="0"/>
              </c:strCache>
            </c:strRef>
          </c:cat>
          <c:val>
            <c:numRef>
              <c:f>'F09 Maritime Choke-Points'!$BG$3:$BG$14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1aadf1cf8f4c89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788f81872e4f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9_clean_db73aa" displayName="T_global_9_clean_db73aa" ref="A8:AL26" headerRowCount="1" totalsRowCount="0" totalsRowShown="0">
  <x:tableColumns count="38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region"/>
    <x:tableColumn id="13" name="title"/>
    <x:tableColumn id="14" name="id"/>
    <x:tableColumn id="15" name="intensity"/>
    <x:tableColumn id="16" name="lat"/>
    <x:tableColumn id="17" name="lon"/>
    <x:tableColumn id="18" name="name"/>
    <x:tableColumn id="19" name="note"/>
    <x:tableColumn id="20" name="oil"/>
    <x:tableColumn id="21" name="operators"/>
    <x:tableColumn id="22" name="risk"/>
    <x:tableColumn id="23" name="sources"/>
    <x:tableColumn id="24" name="table_kind"/>
    <x:tableColumn id="25" name="width"/>
    <x:tableColumn id="26" name="coverage_status"/>
    <x:tableColumn id="27" name="coverage_scope"/>
    <x:tableColumn id="28" name="coverage_start"/>
    <x:tableColumn id="29" name="coverage_end"/>
    <x:tableColumn id="30" name="universe_count"/>
    <x:tableColumn id="31" name="record_age_days"/>
    <x:tableColumn id="32" name="record_completeness_pct"/>
    <x:tableColumn id="33" name="source_provider"/>
    <x:tableColumn id="34" name="source_url"/>
    <x:tableColumn id="35" name="source_published_at"/>
    <x:tableColumn id="36" name="source_retrieved_at"/>
    <x:tableColumn id="37" name="provenance"/>
    <x:tableColumn id="38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2bca09b7d8487f" /><Relationship Type="http://schemas.openxmlformats.org/officeDocument/2006/relationships/table" Target="/xl/tables/table1.xml" Id="R51d8d6bb14054587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32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  <x:col min="18" max="18" width="32" hidden="0" customWidth="1"/>
    <x:col min="19" max="19" width="18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8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8" hidden="0" customWidth="1"/>
    <x:col min="34" max="34" width="42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</x:cols>
  <x:sheetData>
    <x:row r="1" ht="25" customHeight="1">
      <x:c r="A1" s="4" t="str">
        <x:v>Maritime Choke-Points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18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active</x:v>
      </x:c>
      <x:c r="BD3" s="18" t="n">
        <x:v>11</x:v>
      </x:c>
      <x:c r="BF3" s="18" t="str">
        <x:v>Strait of Hormuz</x:v>
      </x:c>
      <x:c r="BG3" s="18" t="n">
        <x:v>1</x:v>
      </x:c>
    </x:row>
    <x:row r="4">
      <x:c r="A4" s="9" t="str">
        <x:v>Records</x:v>
      </x:c>
      <x:c r="B4" s="10" t="n">
        <x:v>18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C4" s="18" t="str">
        <x:v>escalating</x:v>
      </x:c>
      <x:c r="BD4" s="18" t="n">
        <x:v>4</x:v>
      </x:c>
      <x:c r="BF4" s="18" t="str">
        <x:v>Strait of Malacca</x:v>
      </x:c>
      <x:c r="BG4" s="18" t="n">
        <x:v>1</x:v>
      </x:c>
    </x:row>
    <x:row r="5">
      <x:c r="BC5" s="18" t="str">
        <x:v>under-review</x:v>
      </x:c>
      <x:c r="BD5" s="18" t="n">
        <x:v>3</x:v>
      </x:c>
      <x:c r="BF5" s="18" t="str">
        <x:v>Suez Canal</x:v>
      </x:c>
      <x:c r="BG5" s="18" t="n">
        <x:v>1</x:v>
      </x:c>
    </x:row>
    <x:row r="6">
      <x:c r="BF6" s="18" t="str">
        <x:v>Bab-el-Mandeb</x:v>
      </x:c>
      <x:c r="BG6" s="18" t="n">
        <x:v>1</x:v>
      </x:c>
    </x:row>
    <x:row r="7">
      <x:c r="BF7" s="18" t="str">
        <x:v>Panama Canal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region</x:v>
      </x:c>
      <x:c r="M8" s="15" t="str">
        <x:v>title</x:v>
      </x:c>
      <x:c r="N8" s="15" t="str">
        <x:v>id</x:v>
      </x:c>
      <x:c r="O8" s="15" t="str">
        <x:v>intensity</x:v>
      </x:c>
      <x:c r="P8" s="15" t="str">
        <x:v>lat</x:v>
      </x:c>
      <x:c r="Q8" s="15" t="str">
        <x:v>lon</x:v>
      </x:c>
      <x:c r="R8" s="15" t="str">
        <x:v>name</x:v>
      </x:c>
      <x:c r="S8" s="15" t="str">
        <x:v>note</x:v>
      </x:c>
      <x:c r="T8" s="15" t="str">
        <x:v>oil</x:v>
      </x:c>
      <x:c r="U8" s="15" t="str">
        <x:v>operators</x:v>
      </x:c>
      <x:c r="V8" s="15" t="str">
        <x:v>risk</x:v>
      </x:c>
      <x:c r="W8" s="15" t="str">
        <x:v>sources</x:v>
      </x:c>
      <x:c r="X8" s="15" t="str">
        <x:v>table_kind</x:v>
      </x:c>
      <x:c r="Y8" s="15" t="str">
        <x:v>width</x:v>
      </x:c>
      <x:c r="Z8" s="15" t="str">
        <x:v>coverage_status</x:v>
      </x:c>
      <x:c r="AA8" s="15" t="str">
        <x:v>coverage_scope</x:v>
      </x:c>
      <x:c r="AB8" s="15" t="str">
        <x:v>coverage_start</x:v>
      </x:c>
      <x:c r="AC8" s="15" t="str">
        <x:v>coverage_end</x:v>
      </x:c>
      <x:c r="AD8" s="15" t="str">
        <x:v>universe_count</x:v>
      </x:c>
      <x:c r="AE8" s="15" t="str">
        <x:v>record_age_days</x:v>
      </x:c>
      <x:c r="AF8" s="15" t="str">
        <x:v>record_completeness_pct</x:v>
      </x:c>
      <x:c r="AG8" s="15" t="str">
        <x:v>source_provider</x:v>
      </x:c>
      <x:c r="AH8" s="15" t="str">
        <x:v>source_url</x:v>
      </x:c>
      <x:c r="AI8" s="15" t="str">
        <x:v>source_published_at</x:v>
      </x:c>
      <x:c r="AJ8" s="15" t="str">
        <x:v>source_retrieved_at</x:v>
      </x:c>
      <x:c r="AK8" s="15" t="str">
        <x:v>provenance</x:v>
      </x:c>
      <x:c r="AL8" s="15" t="str">
        <x:v>quality_status</x:v>
      </x:c>
      <x:c r="BF8" s="18" t="str">
        <x:v>Turkish Straits (Bosphorus)</x:v>
      </x:c>
      <x:c r="BG8" s="18" t="n">
        <x:v>1</x:v>
      </x:c>
    </x:row>
    <x:row r="9">
      <x:c r="A9" s="18" t="str">
        <x:v>NYT-09-22ef1ba0b5d7c94a</x:v>
      </x:c>
      <x:c r="B9" s="18" t="str">
        <x:v>Strait of Hormuz</x:v>
      </x:c>
      <x:c r="C9" s="18" t="str"/>
      <x:c r="D9" s="18" t="str"/>
      <x:c r="E9" s="18" t="str"/>
      <x:c r="F9" s="18" t="str">
        <x:v>active</x:v>
      </x:c>
      <x:c r="G9" s="18" t="str"/>
      <x:c r="H9" s="18" t="str">
        <x:v>Persian Gulf</x:v>
      </x:c>
      <x:c r="I9" s="18" t="str">
        <x:v>Strait of Hormuz</x:v>
      </x:c>
      <x:c r="J9" s="20" t="str"/>
      <x:c r="K9" s="18" t="str"/>
      <x:c r="L9" s="18" t="str">
        <x:v>Persian Gulf</x:v>
      </x:c>
      <x:c r="M9" s="18" t="str">
        <x:v>Strait of Hormuz</x:v>
      </x:c>
      <x:c r="N9" s="18" t="str">
        <x:v>hormuz</x:v>
      </x:c>
      <x:c r="O9" s="18" t="n">
        <x:v>92</x:v>
      </x:c>
      <x:c r="P9" s="18" t="n">
        <x:v>26.6</x:v>
      </x:c>
      <x:c r="Q9" s="18" t="n">
        <x:v>56.3</x:v>
      </x:c>
      <x:c r="R9" s="18" t="str">
        <x:v>Strait of Hormuz</x:v>
      </x:c>
      <x:c r="S9" s="18" t="str">
        <x:v>No practical bypass for most Gulf crude; closure would spike prices globally.</x:v>
      </x:c>
      <x:c r="T9" s="18" t="str">
        <x:v>~20 Mb/d</x:v>
      </x:c>
      <x:c r="U9" s="18" t="str">
        <x:v>Iran / Oman coasts</x:v>
      </x:c>
      <x:c r="V9" s="18" t="str">
        <x:v>Extreme — Iran threat; ~1/5 of world oil.</x:v>
      </x:c>
      <x:c r="W9" s="18" t="str">
        <x:v>EIA chokepoints; https://www.eia.gov/</x:v>
      </x:c>
      <x:c r="X9" s="18" t="str">
        <x:v>state</x:v>
      </x:c>
      <x:c r="Y9" s="18" t="str">
        <x:v>~33 km narrowest</x:v>
      </x:c>
      <x:c r="Z9" s="18" t="str">
        <x:v>DEFINED_TERMINAL_OR_FEED_SCOPE</x:v>
      </x:c>
      <x:c r="AA9" s="18" t="str">
        <x:v>geo_chokepoints.json — published records loaded</x:v>
      </x:c>
      <x:c r="AB9" s="18" t="str"/>
      <x:c r="AC9" s="18" t="str"/>
      <x:c r="AD9" s="20" t="n">
        <x:v>18</x:v>
      </x:c>
      <x:c r="AE9" s="19" t="str">
        <x:f>IFERROR(TODAY()-DATEVALUE(C9),"")</x:f>
      </x:c>
      <x:c r="AF9" s="21" t="n">
        <x:f>ROUND(COUNTA(A9:K9)/11*100,0)</x:f>
        <x:v>100</x:v>
      </x:c>
      <x:c r="AG9" s="18" t="str">
        <x:v>US EIA World Oil Transit Chokepoints</x:v>
      </x:c>
      <x:c r="AH9" s="22" t="str">
        <x:v>https://www.eia.gov/international/analysis/special-topics/World_Oil_Transit_Chokepoints</x:v>
      </x:c>
      <x:c r="AI9" s="18" t="str">
        <x:v>2026-07</x:v>
      </x:c>
      <x:c r="AJ9" s="18" t="str">
        <x:v>2026-07</x:v>
      </x:c>
      <x:c r="AK9" s="18" t="str">
        <x:v>unconfirmed</x:v>
      </x:c>
      <x:c r="AL9" s="18" t="str">
        <x:v>PARTIAL_NO_DATE</x:v>
      </x:c>
      <x:c r="BF9" s="18" t="str">
        <x:v>Danish Straits</x:v>
      </x:c>
      <x:c r="BG9" s="18" t="n">
        <x:v>1</x:v>
      </x:c>
    </x:row>
    <x:row r="10">
      <x:c r="A10" s="18" t="str">
        <x:v>NYT-09-dd886097c5f08648</x:v>
      </x:c>
      <x:c r="B10" s="18" t="str">
        <x:v>Strait of Malacca</x:v>
      </x:c>
      <x:c r="C10" s="18" t="str"/>
      <x:c r="D10" s="18" t="str"/>
      <x:c r="E10" s="18" t="str"/>
      <x:c r="F10" s="18" t="str">
        <x:v>active</x:v>
      </x:c>
      <x:c r="G10" s="18" t="str"/>
      <x:c r="H10" s="18" t="str">
        <x:v>SE Asia</x:v>
      </x:c>
      <x:c r="I10" s="18" t="str">
        <x:v>Strait of Malacca</x:v>
      </x:c>
      <x:c r="J10" s="20" t="str"/>
      <x:c r="K10" s="18" t="str"/>
      <x:c r="L10" s="18" t="str">
        <x:v>SE Asia</x:v>
      </x:c>
      <x:c r="M10" s="18" t="str">
        <x:v>Strait of Malacca</x:v>
      </x:c>
      <x:c r="N10" s="18" t="str">
        <x:v>malacca</x:v>
      </x:c>
      <x:c r="O10" s="18" t="n">
        <x:v>78</x:v>
      </x:c>
      <x:c r="P10" s="18" t="n">
        <x:v>2.5</x:v>
      </x:c>
      <x:c r="Q10" s="18" t="n">
        <x:v>101</x:v>
      </x:c>
      <x:c r="R10" s="18" t="str">
        <x:v>Strait of Malacca</x:v>
      </x:c>
      <x:c r="S10" s="18" t="str">
        <x:v>~30% of global trade; primary China energy artery.</x:v>
      </x:c>
      <x:c r="T10" s="18" t="str">
        <x:v>~16 Mb/d</x:v>
      </x:c>
      <x:c r="U10" s="18" t="str">
        <x:v>Malaysia / Indonesia / Singapore</x:v>
      </x:c>
      <x:c r="V10" s="18" t="str">
        <x:v>High — China’s "Malacca dilemma"; piracy.</x:v>
      </x:c>
      <x:c r="W10" s="18" t="str">
        <x:v>UNCTAD; https://unctad.org/</x:v>
      </x:c>
      <x:c r="X10" s="18" t="str">
        <x:v>state</x:v>
      </x:c>
      <x:c r="Y10" s="18" t="str">
        <x:v>~2.7 km narrowest</x:v>
      </x:c>
      <x:c r="Z10" s="18" t="str">
        <x:v>DEFINED_TERMINAL_OR_FEED_SCOPE</x:v>
      </x:c>
      <x:c r="AA10" s="18" t="str">
        <x:v>geo_chokepoints.json — published records loaded</x:v>
      </x:c>
      <x:c r="AB10" s="18" t="str"/>
      <x:c r="AC10" s="18" t="str"/>
      <x:c r="AD10" s="20" t="n">
        <x:v>18</x:v>
      </x:c>
      <x:c r="AE10" s="19" t="str">
        <x:f>IFERROR(TODAY()-DATEVALUE(C10),"")</x:f>
      </x:c>
      <x:c r="AF10" s="21" t="n">
        <x:f>ROUND(COUNTA(A10:K10)/11*100,0)</x:f>
        <x:v>100</x:v>
      </x:c>
      <x:c r="AG10" s="18" t="str">
        <x:v>US EIA World Oil Transit Chokepoints</x:v>
      </x:c>
      <x:c r="AH10" s="22" t="str">
        <x:v>https://www.eia.gov/international/analysis/special-topics/World_Oil_Transit_Chokepoints</x:v>
      </x:c>
      <x:c r="AI10" s="18" t="str">
        <x:v>2026-07</x:v>
      </x:c>
      <x:c r="AJ10" s="18" t="str">
        <x:v>2026-07</x:v>
      </x:c>
      <x:c r="AK10" s="18" t="str">
        <x:v>unconfirmed</x:v>
      </x:c>
      <x:c r="AL10" s="18" t="str">
        <x:v>PARTIAL_NO_DATE</x:v>
      </x:c>
      <x:c r="BF10" s="18" t="str">
        <x:v>Cape of Good Hope</x:v>
      </x:c>
      <x:c r="BG10" s="18" t="n">
        <x:v>1</x:v>
      </x:c>
    </x:row>
    <x:row r="11">
      <x:c r="A11" s="18" t="str">
        <x:v>NYT-09-d41d0d1b897d9ad0</x:v>
      </x:c>
      <x:c r="B11" s="18" t="str">
        <x:v>Suez Canal</x:v>
      </x:c>
      <x:c r="C11" s="18" t="str"/>
      <x:c r="D11" s="18" t="str"/>
      <x:c r="E11" s="18" t="str"/>
      <x:c r="F11" s="18" t="str">
        <x:v>active</x:v>
      </x:c>
      <x:c r="G11" s="18" t="str"/>
      <x:c r="H11" s="18" t="str">
        <x:v>Egypt</x:v>
      </x:c>
      <x:c r="I11" s="18" t="str">
        <x:v>Suez Canal</x:v>
      </x:c>
      <x:c r="J11" s="20" t="str"/>
      <x:c r="K11" s="18" t="str"/>
      <x:c r="L11" s="18" t="str">
        <x:v>Egypt</x:v>
      </x:c>
      <x:c r="M11" s="18" t="str">
        <x:v>Suez Canal</x:v>
      </x:c>
      <x:c r="N11" s="18" t="str">
        <x:v>suez</x:v>
      </x:c>
      <x:c r="O11" s="18" t="n">
        <x:v>66</x:v>
      </x:c>
      <x:c r="P11" s="18" t="n">
        <x:v>30.5</x:v>
      </x:c>
      <x:c r="Q11" s="18" t="n">
        <x:v>32.3</x:v>
      </x:c>
      <x:c r="R11" s="18" t="str">
        <x:v>Suez Canal</x:v>
      </x:c>
      <x:c r="S11" s="18" t="str">
        <x:v>Houthi threat cut transits sharply; +10–14 days via Cape.</x:v>
      </x:c>
      <x:c r="T11" s="18" t="str">
        <x:v>~9 Mb/d + LNG</x:v>
      </x:c>
      <x:c r="U11" s="18" t="str">
        <x:v>Egypt (SCA)</x:v>
      </x:c>
      <x:c r="V11" s="18" t="str">
        <x:v>Elevated — Red Sea attacks reroute traffic round Africa.</x:v>
      </x:c>
      <x:c r="W11" s="18" t="str">
        <x:v>SCA; https://www.suezcanal.gov.eg/</x:v>
      </x:c>
      <x:c r="X11" s="18" t="str">
        <x:v>state</x:v>
      </x:c>
      <x:c r="Y11" s="18" t="str">
        <x:v>canal</x:v>
      </x:c>
      <x:c r="Z11" s="18" t="str">
        <x:v>DEFINED_TERMINAL_OR_FEED_SCOPE</x:v>
      </x:c>
      <x:c r="AA11" s="18" t="str">
        <x:v>geo_chokepoints.json — published records loaded</x:v>
      </x:c>
      <x:c r="AB11" s="18" t="str"/>
      <x:c r="AC11" s="18" t="str"/>
      <x:c r="AD11" s="20" t="n">
        <x:v>18</x:v>
      </x:c>
      <x:c r="AE11" s="19" t="str">
        <x:f>IFERROR(TODAY()-DATEVALUE(C11),"")</x:f>
      </x:c>
      <x:c r="AF11" s="21" t="n">
        <x:f>ROUND(COUNTA(A11:K11)/11*100,0)</x:f>
        <x:v>100</x:v>
      </x:c>
      <x:c r="AG11" s="18" t="str">
        <x:v>US EIA World Oil Transit Chokepoints</x:v>
      </x:c>
      <x:c r="AH11" s="22" t="str">
        <x:v>https://www.eia.gov/international/analysis/special-topics/World_Oil_Transit_Chokepoints</x:v>
      </x:c>
      <x:c r="AI11" s="18" t="str">
        <x:v>2026-07</x:v>
      </x:c>
      <x:c r="AJ11" s="18" t="str">
        <x:v>2026-07</x:v>
      </x:c>
      <x:c r="AK11" s="18" t="str">
        <x:v>unconfirmed</x:v>
      </x:c>
      <x:c r="AL11" s="18" t="str">
        <x:v>PARTIAL_NO_DATE</x:v>
      </x:c>
      <x:c r="BF11" s="18" t="str">
        <x:v>Taiwan Strait</x:v>
      </x:c>
      <x:c r="BG11" s="18" t="n">
        <x:v>1</x:v>
      </x:c>
    </x:row>
    <x:row r="12">
      <x:c r="A12" s="18" t="str">
        <x:v>NYT-09-bce684627847b224</x:v>
      </x:c>
      <x:c r="B12" s="18" t="str">
        <x:v>Bab-el-Mandeb</x:v>
      </x:c>
      <x:c r="C12" s="18" t="str"/>
      <x:c r="D12" s="18" t="str"/>
      <x:c r="E12" s="18" t="str"/>
      <x:c r="F12" s="18" t="str">
        <x:v>escalating</x:v>
      </x:c>
      <x:c r="G12" s="18" t="str"/>
      <x:c r="H12" s="18" t="str">
        <x:v>Red Sea</x:v>
      </x:c>
      <x:c r="I12" s="18" t="str">
        <x:v>Bab-el-Mandeb</x:v>
      </x:c>
      <x:c r="J12" s="20" t="str"/>
      <x:c r="K12" s="18" t="str"/>
      <x:c r="L12" s="18" t="str">
        <x:v>Red Sea</x:v>
      </x:c>
      <x:c r="M12" s="18" t="str">
        <x:v>Bab-el-Mandeb</x:v>
      </x:c>
      <x:c r="N12" s="18" t="str">
        <x:v>babel</x:v>
      </x:c>
      <x:c r="O12" s="18" t="n">
        <x:v>84</x:v>
      </x:c>
      <x:c r="P12" s="18" t="n">
        <x:v>12.6</x:v>
      </x:c>
      <x:c r="Q12" s="18" t="n">
        <x:v>43.4</x:v>
      </x:c>
      <x:c r="R12" s="18" t="str">
        <x:v>Bab-el-Mandeb</x:v>
      </x:c>
      <x:c r="S12" s="18" t="str">
        <x:v>Gateway to Suez; the current epicentre of maritime risk.</x:v>
      </x:c>
      <x:c r="T12" s="18" t="str">
        <x:v>~9 Mb/d</x:v>
      </x:c>
      <x:c r="U12" s="18" t="str">
        <x:v>Yemen / Djibouti / Eritrea</x:v>
      </x:c>
      <x:c r="V12" s="18" t="str">
        <x:v>Extreme — active Houthi USV/missile strikes.</x:v>
      </x:c>
      <x:c r="W12" s="18" t="str">
        <x:v>EIA; https://www.eia.gov/</x:v>
      </x:c>
      <x:c r="X12" s="18" t="str">
        <x:v>state</x:v>
      </x:c>
      <x:c r="Y12" s="18" t="str">
        <x:v>~29 km</x:v>
      </x:c>
      <x:c r="Z12" s="18" t="str">
        <x:v>DEFINED_TERMINAL_OR_FEED_SCOPE</x:v>
      </x:c>
      <x:c r="AA12" s="18" t="str">
        <x:v>geo_chokepoints.json — published records loaded</x:v>
      </x:c>
      <x:c r="AB12" s="18" t="str"/>
      <x:c r="AC12" s="18" t="str"/>
      <x:c r="AD12" s="20" t="n">
        <x:v>18</x:v>
      </x:c>
      <x:c r="AE12" s="19" t="str">
        <x:f>IFERROR(TODAY()-DATEVALUE(C12),"")</x:f>
      </x:c>
      <x:c r="AF12" s="21" t="n">
        <x:f>ROUND(COUNTA(A12:K12)/11*100,0)</x:f>
        <x:v>100</x:v>
      </x:c>
      <x:c r="AG12" s="18" t="str">
        <x:v>US EIA World Oil Transit Chokepoints</x:v>
      </x:c>
      <x:c r="AH12" s="22" t="str">
        <x:v>https://www.eia.gov/international/analysis/special-topics/World_Oil_Transit_Chokepoints</x:v>
      </x:c>
      <x:c r="AI12" s="18" t="str">
        <x:v>2026-07</x:v>
      </x:c>
      <x:c r="AJ12" s="18" t="str">
        <x:v>2026-07</x:v>
      </x:c>
      <x:c r="AK12" s="18" t="str">
        <x:v>unconfirmed</x:v>
      </x:c>
      <x:c r="AL12" s="18" t="str">
        <x:v>PARTIAL_NO_DATE</x:v>
      </x:c>
      <x:c r="BF12" s="18" t="str">
        <x:v>Strait of Gibraltar</x:v>
      </x:c>
      <x:c r="BG12" s="18" t="n">
        <x:v>1</x:v>
      </x:c>
    </x:row>
    <x:row r="13">
      <x:c r="A13" s="18" t="str">
        <x:v>NYT-09-738c0b58c4bd3dc8</x:v>
      </x:c>
      <x:c r="B13" s="18" t="str">
        <x:v>Panama Canal</x:v>
      </x:c>
      <x:c r="C13" s="18" t="str"/>
      <x:c r="D13" s="18" t="str"/>
      <x:c r="E13" s="18" t="str"/>
      <x:c r="F13" s="18" t="str">
        <x:v>active</x:v>
      </x:c>
      <x:c r="G13" s="18" t="str"/>
      <x:c r="H13" s="18" t="str">
        <x:v>Central America</x:v>
      </x:c>
      <x:c r="I13" s="18" t="str">
        <x:v>Panama Canal</x:v>
      </x:c>
      <x:c r="J13" s="20" t="str"/>
      <x:c r="K13" s="18" t="str"/>
      <x:c r="L13" s="18" t="str">
        <x:v>Central America</x:v>
      </x:c>
      <x:c r="M13" s="18" t="str">
        <x:v>Panama Canal</x:v>
      </x:c>
      <x:c r="N13" s="18" t="str">
        <x:v>panama</x:v>
      </x:c>
      <x:c r="O13" s="18" t="n">
        <x:v>52</x:v>
      </x:c>
      <x:c r="P13" s="18" t="n">
        <x:v>9.1</x:v>
      </x:c>
      <x:c r="Q13" s="18" t="n">
        <x:v>-79.7</x:v>
      </x:c>
      <x:c r="R13" s="18" t="str">
        <x:v>Panama Canal</x:v>
      </x:c>
      <x:c r="S13" s="18" t="str">
        <x:v>Climate/water constraints throttle daily slots; US strategic interest.</x:v>
      </x:c>
      <x:c r="T13" s="18" t="str">
        <x:v>LPG/containers</x:v>
      </x:c>
      <x:c r="U13" s="18" t="str">
        <x:v>Panama (ACP)</x:v>
      </x:c>
      <x:c r="V13" s="18" t="str">
        <x:v>Medium — drought-driven draft/transit limits.</x:v>
      </x:c>
      <x:c r="W13" s="18" t="str">
        <x:v>ACP; https://pancanal.com/</x:v>
      </x:c>
      <x:c r="X13" s="18" t="str">
        <x:v>state</x:v>
      </x:c>
      <x:c r="Y13" s="18" t="str">
        <x:v>canal</x:v>
      </x:c>
      <x:c r="Z13" s="18" t="str">
        <x:v>DEFINED_TERMINAL_OR_FEED_SCOPE</x:v>
      </x:c>
      <x:c r="AA13" s="18" t="str">
        <x:v>geo_chokepoints.json — published records loaded</x:v>
      </x:c>
      <x:c r="AB13" s="18" t="str"/>
      <x:c r="AC13" s="18" t="str"/>
      <x:c r="AD13" s="20" t="n">
        <x:v>18</x:v>
      </x:c>
      <x:c r="AE13" s="19" t="str">
        <x:f>IFERROR(TODAY()-DATEVALUE(C13),"")</x:f>
      </x:c>
      <x:c r="AF13" s="21" t="n">
        <x:f>ROUND(COUNTA(A13:K13)/11*100,0)</x:f>
        <x:v>100</x:v>
      </x:c>
      <x:c r="AG13" s="18" t="str">
        <x:v>US EIA World Oil Transit Chokepoints</x:v>
      </x:c>
      <x:c r="AH13" s="22" t="str">
        <x:v>https://www.eia.gov/international/analysis/special-topics/World_Oil_Transit_Chokepoints</x:v>
      </x:c>
      <x:c r="AI13" s="18" t="str">
        <x:v>2026-07</x:v>
      </x:c>
      <x:c r="AJ13" s="18" t="str">
        <x:v>2026-07</x:v>
      </x:c>
      <x:c r="AK13" s="18" t="str">
        <x:v>unconfirmed</x:v>
      </x:c>
      <x:c r="AL13" s="18" t="str">
        <x:v>PARTIAL_NO_DATE</x:v>
      </x:c>
      <x:c r="BF13" s="18" t="str">
        <x:v>Lombok / Makassar</x:v>
      </x:c>
      <x:c r="BG13" s="18" t="n">
        <x:v>1</x:v>
      </x:c>
    </x:row>
    <x:row r="14">
      <x:c r="A14" s="18" t="str">
        <x:v>NYT-09-0b6a21583f5724fe</x:v>
      </x:c>
      <x:c r="B14" s="18" t="str">
        <x:v>Turkish Straits (Bosphorus)</x:v>
      </x:c>
      <x:c r="C14" s="18" t="str"/>
      <x:c r="D14" s="18" t="str"/>
      <x:c r="E14" s="18" t="str"/>
      <x:c r="F14" s="18" t="str">
        <x:v>active</x:v>
      </x:c>
      <x:c r="G14" s="18" t="str"/>
      <x:c r="H14" s="18" t="str">
        <x:v>Black Sea</x:v>
      </x:c>
      <x:c r="I14" s="18" t="str">
        <x:v>Turkish Straits (Bosphorus)</x:v>
      </x:c>
      <x:c r="J14" s="20" t="str"/>
      <x:c r="K14" s="18" t="str"/>
      <x:c r="L14" s="18" t="str">
        <x:v>Black Sea</x:v>
      </x:c>
      <x:c r="M14" s="18" t="str">
        <x:v>Turkish Straits (Bosphorus)</x:v>
      </x:c>
      <x:c r="N14" s="18" t="str">
        <x:v>bosphorus</x:v>
      </x:c>
      <x:c r="O14" s="18" t="n">
        <x:v>58</x:v>
      </x:c>
      <x:c r="P14" s="18" t="n">
        <x:v>41.1</x:v>
      </x:c>
      <x:c r="Q14" s="18" t="n">
        <x:v>29.1</x:v>
      </x:c>
      <x:c r="R14" s="18" t="str">
        <x:v>Turkish Straits (Bosphorus)</x:v>
      </x:c>
      <x:c r="S14" s="18" t="str">
        <x:v>Only Black Sea outlet; grain &amp; Russian oil transit.</x:v>
      </x:c>
      <x:c r="T14" s="18" t="str">
        <x:v>~3 Mb/d</x:v>
      </x:c>
      <x:c r="U14" s="18" t="str">
        <x:v>Turkiye</x:v>
      </x:c>
      <x:c r="V14" s="18" t="str">
        <x:v>Elevated — war-adjacent; Montreux regime.</x:v>
      </x:c>
      <x:c r="W14" s="18" t="str">
        <x:v>Montreux Convention; https://www.mfa.gov.tr/</x:v>
      </x:c>
      <x:c r="X14" s="18" t="str">
        <x:v>state</x:v>
      </x:c>
      <x:c r="Y14" s="18" t="str">
        <x:v>~700 m narrowest</x:v>
      </x:c>
      <x:c r="Z14" s="18" t="str">
        <x:v>DEFINED_TERMINAL_OR_FEED_SCOPE</x:v>
      </x:c>
      <x:c r="AA14" s="18" t="str">
        <x:v>geo_chokepoints.json — published records loaded</x:v>
      </x:c>
      <x:c r="AB14" s="18" t="str"/>
      <x:c r="AC14" s="18" t="str"/>
      <x:c r="AD14" s="20" t="n">
        <x:v>18</x:v>
      </x:c>
      <x:c r="AE14" s="19" t="str">
        <x:f>IFERROR(TODAY()-DATEVALUE(C14),"")</x:f>
      </x:c>
      <x:c r="AF14" s="21" t="n">
        <x:f>ROUND(COUNTA(A14:K14)/11*100,0)</x:f>
        <x:v>100</x:v>
      </x:c>
      <x:c r="AG14" s="18" t="str">
        <x:v>US EIA World Oil Transit Chokepoints</x:v>
      </x:c>
      <x:c r="AH14" s="22" t="str">
        <x:v>https://www.eia.gov/international/analysis/special-topics/World_Oil_Transit_Chokepoints</x:v>
      </x:c>
      <x:c r="AI14" s="18" t="str">
        <x:v>2026-07</x:v>
      </x:c>
      <x:c r="AJ14" s="18" t="str">
        <x:v>2026-07</x:v>
      </x:c>
      <x:c r="AK14" s="18" t="str">
        <x:v>unconfirmed</x:v>
      </x:c>
      <x:c r="AL14" s="18" t="str">
        <x:v>PARTIAL_NO_DATE</x:v>
      </x:c>
      <x:c r="BF14" s="18" t="str">
        <x:v>Sunda Strait</x:v>
      </x:c>
      <x:c r="BG14" s="18" t="n">
        <x:v>1</x:v>
      </x:c>
    </x:row>
    <x:row r="15">
      <x:c r="A15" s="18" t="str">
        <x:v>NYT-09-ec139b495d598286</x:v>
      </x:c>
      <x:c r="B15" s="18" t="str">
        <x:v>Danish Straits</x:v>
      </x:c>
      <x:c r="C15" s="18" t="str"/>
      <x:c r="D15" s="18" t="str"/>
      <x:c r="E15" s="18" t="str"/>
      <x:c r="F15" s="18" t="str">
        <x:v>active</x:v>
      </x:c>
      <x:c r="G15" s="18" t="str"/>
      <x:c r="H15" s="18" t="str">
        <x:v>Baltic</x:v>
      </x:c>
      <x:c r="I15" s="18" t="str">
        <x:v>Danish Straits</x:v>
      </x:c>
      <x:c r="J15" s="20" t="str"/>
      <x:c r="K15" s="18" t="str"/>
      <x:c r="L15" s="18" t="str">
        <x:v>Baltic</x:v>
      </x:c>
      <x:c r="M15" s="18" t="str">
        <x:v>Danish Straits</x:v>
      </x:c>
      <x:c r="N15" s="18" t="str">
        <x:v>denmark</x:v>
      </x:c>
      <x:c r="O15" s="18" t="n">
        <x:v>49</x:v>
      </x:c>
      <x:c r="P15" s="18" t="n">
        <x:v>55.9</x:v>
      </x:c>
      <x:c r="Q15" s="18" t="n">
        <x:v>12.7</x:v>
      </x:c>
      <x:c r="R15" s="18" t="str">
        <x:v>Danish Straits</x:v>
      </x:c>
      <x:c r="S15" s="18" t="str">
        <x:v>Baltic export route; NATO monitoring after cable incidents.</x:v>
      </x:c>
      <x:c r="T15" s="18" t="str">
        <x:v>~3 Mb/d</x:v>
      </x:c>
      <x:c r="U15" s="18" t="str">
        <x:v>Denmark / Sweden</x:v>
      </x:c>
      <x:c r="V15" s="18" t="str">
        <x:v>Medium — Russian shadow-fleet scrutiny; cable sabotage.</x:v>
      </x:c>
      <x:c r="W15" s="18" t="str">
        <x:v>EIA; https://www.eia.gov/</x:v>
      </x:c>
      <x:c r="X15" s="18" t="str">
        <x:v>state</x:v>
      </x:c>
      <x:c r="Y15" s="18" t="str">
        <x:v>straits</x:v>
      </x:c>
      <x:c r="Z15" s="18" t="str">
        <x:v>DEFINED_TERMINAL_OR_FEED_SCOPE</x:v>
      </x:c>
      <x:c r="AA15" s="18" t="str">
        <x:v>geo_chokepoints.json — published records loaded</x:v>
      </x:c>
      <x:c r="AB15" s="18" t="str"/>
      <x:c r="AC15" s="18" t="str"/>
      <x:c r="AD15" s="20" t="n">
        <x:v>18</x:v>
      </x:c>
      <x:c r="AE15" s="19" t="str">
        <x:f>IFERROR(TODAY()-DATEVALUE(C15),"")</x:f>
      </x:c>
      <x:c r="AF15" s="21" t="n">
        <x:f>ROUND(COUNTA(A15:K15)/11*100,0)</x:f>
        <x:v>100</x:v>
      </x:c>
      <x:c r="AG15" s="18" t="str">
        <x:v>US EIA World Oil Transit Chokepoints</x:v>
      </x:c>
      <x:c r="AH15" s="22" t="str">
        <x:v>https://www.eia.gov/international/analysis/special-topics/World_Oil_Transit_Chokepoints</x:v>
      </x:c>
      <x:c r="AI15" s="18" t="str">
        <x:v>2026-07</x:v>
      </x:c>
      <x:c r="AJ15" s="18" t="str">
        <x:v>2026-07</x:v>
      </x:c>
      <x:c r="AK15" s="18" t="str">
        <x:v>unconfirmed</x:v>
      </x:c>
      <x:c r="AL15" s="18" t="str">
        <x:v>PARTIAL_NO_DATE</x:v>
      </x:c>
    </x:row>
    <x:row r="16">
      <x:c r="A16" s="18" t="str">
        <x:v>NYT-09-124b27db5cc243db</x:v>
      </x:c>
      <x:c r="B16" s="18" t="str">
        <x:v>Cape of Good Hope</x:v>
      </x:c>
      <x:c r="C16" s="18" t="str"/>
      <x:c r="D16" s="18" t="str"/>
      <x:c r="E16" s="18" t="str"/>
      <x:c r="F16" s="18" t="str">
        <x:v>under-review</x:v>
      </x:c>
      <x:c r="G16" s="18" t="str"/>
      <x:c r="H16" s="18" t="str">
        <x:v>Southern Africa</x:v>
      </x:c>
      <x:c r="I16" s="18" t="str">
        <x:v>Cape of Good Hope</x:v>
      </x:c>
      <x:c r="J16" s="20" t="str"/>
      <x:c r="K16" s="18" t="str"/>
      <x:c r="L16" s="18" t="str">
        <x:v>Southern Africa</x:v>
      </x:c>
      <x:c r="M16" s="18" t="str">
        <x:v>Cape of Good Hope</x:v>
      </x:c>
      <x:c r="N16" s="18" t="str">
        <x:v>goodhope</x:v>
      </x:c>
      <x:c r="O16" s="18" t="n">
        <x:v>40</x:v>
      </x:c>
      <x:c r="P16" s="18" t="n">
        <x:v>-34.4</x:v>
      </x:c>
      <x:c r="Q16" s="18" t="n">
        <x:v>18.5</x:v>
      </x:c>
      <x:c r="R16" s="18" t="str">
        <x:v>Cape of Good Hope</x:v>
      </x:c>
      <x:c r="S16" s="18" t="str">
        <x:v>Absorbing diverted Asia–Europe traffic; longer, costlier.</x:v>
      </x:c>
      <x:c r="T16" s="18" t="str">
        <x:v>reroute surge</x:v>
      </x:c>
      <x:c r="U16" s="18" t="str">
        <x:v>South Africa (waters)</x:v>
      </x:c>
      <x:c r="V16" s="18" t="str">
        <x:v>Low physical, high load — Suez-avoidance reroute.</x:v>
      </x:c>
      <x:c r="W16" s="18" t="str">
        <x:v>UNCTAD; https://unctad.org/</x:v>
      </x:c>
      <x:c r="X16" s="18" t="str">
        <x:v>state</x:v>
      </x:c>
      <x:c r="Y16" s="18" t="str">
        <x:v>open cape</x:v>
      </x:c>
      <x:c r="Z16" s="18" t="str">
        <x:v>DEFINED_TERMINAL_OR_FEED_SCOPE</x:v>
      </x:c>
      <x:c r="AA16" s="18" t="str">
        <x:v>geo_chokepoints.json — published records loaded</x:v>
      </x:c>
      <x:c r="AB16" s="18" t="str"/>
      <x:c r="AC16" s="18" t="str"/>
      <x:c r="AD16" s="20" t="n">
        <x:v>18</x:v>
      </x:c>
      <x:c r="AE16" s="19" t="str">
        <x:f>IFERROR(TODAY()-DATEVALUE(C16),"")</x:f>
      </x:c>
      <x:c r="AF16" s="21" t="n">
        <x:f>ROUND(COUNTA(A16:K16)/11*100,0)</x:f>
        <x:v>100</x:v>
      </x:c>
      <x:c r="AG16" s="18" t="str">
        <x:v>US EIA World Oil Transit Chokepoints</x:v>
      </x:c>
      <x:c r="AH16" s="22" t="str">
        <x:v>https://www.eia.gov/international/analysis/special-topics/World_Oil_Transit_Chokepoints</x:v>
      </x:c>
      <x:c r="AI16" s="18" t="str">
        <x:v>2026-07</x:v>
      </x:c>
      <x:c r="AJ16" s="18" t="str">
        <x:v>2026-07</x:v>
      </x:c>
      <x:c r="AK16" s="18" t="str">
        <x:v>unconfirmed</x:v>
      </x:c>
      <x:c r="AL16" s="18" t="str">
        <x:v>PARTIAL_NO_DATE</x:v>
      </x:c>
    </x:row>
    <x:row r="17">
      <x:c r="A17" s="18" t="str">
        <x:v>NYT-09-15bd9a241e0be5a7</x:v>
      </x:c>
      <x:c r="B17" s="18" t="str">
        <x:v>Taiwan Strait</x:v>
      </x:c>
      <x:c r="C17" s="18" t="str"/>
      <x:c r="D17" s="18" t="str"/>
      <x:c r="E17" s="18" t="str"/>
      <x:c r="F17" s="18" t="str">
        <x:v>escalating</x:v>
      </x:c>
      <x:c r="G17" s="18" t="str"/>
      <x:c r="H17" s="18" t="str">
        <x:v>East Asia</x:v>
      </x:c>
      <x:c r="I17" s="18" t="str">
        <x:v>Taiwan Strait</x:v>
      </x:c>
      <x:c r="J17" s="20" t="str"/>
      <x:c r="K17" s="18" t="str"/>
      <x:c r="L17" s="18" t="str">
        <x:v>East Asia</x:v>
      </x:c>
      <x:c r="M17" s="18" t="str">
        <x:v>Taiwan Strait</x:v>
      </x:c>
      <x:c r="N17" s="18" t="str">
        <x:v>taiwan</x:v>
      </x:c>
      <x:c r="O17" s="18" t="n">
        <x:v>82</x:v>
      </x:c>
      <x:c r="P17" s="18" t="n">
        <x:v>24.5</x:v>
      </x:c>
      <x:c r="Q17" s="18" t="n">
        <x:v>119.5</x:v>
      </x:c>
      <x:c r="R17" s="18" t="str">
        <x:v>Taiwan Strait</x:v>
      </x:c>
      <x:c r="S17" s="18" t="str">
        <x:v>A blockade would convulse global supply chains &amp; semiconductors.</x:v>
      </x:c>
      <x:c r="T17" s="18" t="str">
        <x:v>container/LNG</x:v>
      </x:c>
      <x:c r="U17" s="18" t="str">
        <x:v>PRC / Taiwan</x:v>
      </x:c>
      <x:c r="V17" s="18" t="str">
        <x:v>Extreme — PLA pressure; ~50% of container fleet transits.</x:v>
      </x:c>
      <x:c r="W17" s="18" t="str">
        <x:v>CSIS; https://www.csis.org/</x:v>
      </x:c>
      <x:c r="X17" s="18" t="str">
        <x:v>state</x:v>
      </x:c>
      <x:c r="Y17" s="18" t="str">
        <x:v>~130 km</x:v>
      </x:c>
      <x:c r="Z17" s="18" t="str">
        <x:v>DEFINED_TERMINAL_OR_FEED_SCOPE</x:v>
      </x:c>
      <x:c r="AA17" s="18" t="str">
        <x:v>geo_chokepoints.json — published records loaded</x:v>
      </x:c>
      <x:c r="AB17" s="18" t="str"/>
      <x:c r="AC17" s="18" t="str"/>
      <x:c r="AD17" s="20" t="n">
        <x:v>18</x:v>
      </x:c>
      <x:c r="AE17" s="19" t="str">
        <x:f>IFERROR(TODAY()-DATEVALUE(C17),"")</x:f>
      </x:c>
      <x:c r="AF17" s="21" t="n">
        <x:f>ROUND(COUNTA(A17:K17)/11*100,0)</x:f>
        <x:v>100</x:v>
      </x:c>
      <x:c r="AG17" s="18" t="str">
        <x:v>US EIA World Oil Transit Chokepoints</x:v>
      </x:c>
      <x:c r="AH17" s="22" t="str">
        <x:v>https://www.eia.gov/international/analysis/special-topics/World_Oil_Transit_Chokepoints</x:v>
      </x:c>
      <x:c r="AI17" s="18" t="str">
        <x:v>2026-07</x:v>
      </x:c>
      <x:c r="AJ17" s="18" t="str">
        <x:v>2026-07</x:v>
      </x:c>
      <x:c r="AK17" s="18" t="str">
        <x:v>unconfirmed</x:v>
      </x:c>
      <x:c r="AL17" s="18" t="str">
        <x:v>PARTIAL_NO_DATE</x:v>
      </x:c>
    </x:row>
    <x:row r="18">
      <x:c r="A18" s="18" t="str">
        <x:v>NYT-09-75af5b10bcf58a6d</x:v>
      </x:c>
      <x:c r="B18" s="18" t="str">
        <x:v>Strait of Gibraltar</x:v>
      </x:c>
      <x:c r="C18" s="18" t="str"/>
      <x:c r="D18" s="18" t="str"/>
      <x:c r="E18" s="18" t="str"/>
      <x:c r="F18" s="18" t="str">
        <x:v>active</x:v>
      </x:c>
      <x:c r="G18" s="18" t="str"/>
      <x:c r="H18" s="18" t="str">
        <x:v>Mediterranean</x:v>
      </x:c>
      <x:c r="I18" s="18" t="str">
        <x:v>Strait of Gibraltar</x:v>
      </x:c>
      <x:c r="J18" s="20" t="str"/>
      <x:c r="K18" s="18" t="str"/>
      <x:c r="L18" s="18" t="str">
        <x:v>Mediterranean</x:v>
      </x:c>
      <x:c r="M18" s="18" t="str">
        <x:v>Strait of Gibraltar</x:v>
      </x:c>
      <x:c r="N18" s="18" t="str">
        <x:v>gibraltar</x:v>
      </x:c>
      <x:c r="O18" s="18" t="n">
        <x:v>44</x:v>
      </x:c>
      <x:c r="P18" s="18" t="n">
        <x:v>36</x:v>
      </x:c>
      <x:c r="Q18" s="18" t="n">
        <x:v>-5.4</x:v>
      </x:c>
      <x:c r="R18" s="18" t="str">
        <x:v>Strait of Gibraltar</x:v>
      </x:c>
      <x:c r="S18" s="18" t="str">
        <x:v>Gateway between Atlantic and Mediterranean.</x:v>
      </x:c>
      <x:c r="T18" s="18" t="str">
        <x:v>Med↔Atlantic</x:v>
      </x:c>
      <x:c r="U18" s="18" t="str">
        <x:v>Spain / Morocco / UK (Gib)</x:v>
      </x:c>
      <x:c r="V18" s="18" t="str">
        <x:v>Medium — NATO-controlled; migration &amp; smuggling.</x:v>
      </x:c>
      <x:c r="W18" s="18" t="str">
        <x:v>EIA; https://www.eia.gov/</x:v>
      </x:c>
      <x:c r="X18" s="18" t="str">
        <x:v>state</x:v>
      </x:c>
      <x:c r="Y18" s="18" t="str">
        <x:v>~14 km</x:v>
      </x:c>
      <x:c r="Z18" s="18" t="str">
        <x:v>DEFINED_TERMINAL_OR_FEED_SCOPE</x:v>
      </x:c>
      <x:c r="AA18" s="18" t="str">
        <x:v>geo_chokepoints.json — published records loaded</x:v>
      </x:c>
      <x:c r="AB18" s="18" t="str"/>
      <x:c r="AC18" s="18" t="str"/>
      <x:c r="AD18" s="20" t="n">
        <x:v>18</x:v>
      </x:c>
      <x:c r="AE18" s="19" t="str">
        <x:f>IFERROR(TODAY()-DATEVALUE(C18),"")</x:f>
      </x:c>
      <x:c r="AF18" s="21" t="n">
        <x:f>ROUND(COUNTA(A18:K18)/11*100,0)</x:f>
        <x:v>100</x:v>
      </x:c>
      <x:c r="AG18" s="18" t="str">
        <x:v>US EIA World Oil Transit Chokepoints</x:v>
      </x:c>
      <x:c r="AH18" s="22" t="str">
        <x:v>https://www.eia.gov/international/analysis/special-topics/World_Oil_Transit_Chokepoints</x:v>
      </x:c>
      <x:c r="AI18" s="18" t="str">
        <x:v>2026-07</x:v>
      </x:c>
      <x:c r="AJ18" s="18" t="str">
        <x:v>2026-07</x:v>
      </x:c>
      <x:c r="AK18" s="18" t="str">
        <x:v>unconfirmed</x:v>
      </x:c>
      <x:c r="AL18" s="18" t="str">
        <x:v>PARTIAL_NO_DATE</x:v>
      </x:c>
    </x:row>
    <x:row r="19">
      <x:c r="A19" s="18" t="str">
        <x:v>NYT-09-1fa001a89baaa609</x:v>
      </x:c>
      <x:c r="B19" s="18" t="str">
        <x:v>Lombok / Makassar</x:v>
      </x:c>
      <x:c r="C19" s="18" t="str"/>
      <x:c r="D19" s="18" t="str"/>
      <x:c r="E19" s="18" t="str"/>
      <x:c r="F19" s="18" t="str">
        <x:v>active</x:v>
      </x:c>
      <x:c r="G19" s="18" t="str"/>
      <x:c r="H19" s="18" t="str">
        <x:v>SE Asia</x:v>
      </x:c>
      <x:c r="I19" s="18" t="str">
        <x:v>Lombok / Makassar</x:v>
      </x:c>
      <x:c r="J19" s="20" t="str"/>
      <x:c r="K19" s="18" t="str"/>
      <x:c r="L19" s="18" t="str">
        <x:v>SE Asia</x:v>
      </x:c>
      <x:c r="M19" s="18" t="str">
        <x:v>Lombok / Makassar</x:v>
      </x:c>
      <x:c r="N19" s="18" t="str">
        <x:v>lombok</x:v>
      </x:c>
      <x:c r="O19" s="18" t="n">
        <x:v>40</x:v>
      </x:c>
      <x:c r="P19" s="18" t="n">
        <x:v>-8.5</x:v>
      </x:c>
      <x:c r="Q19" s="18" t="n">
        <x:v>115.8</x:v>
      </x:c>
      <x:c r="R19" s="18" t="str">
        <x:v>Lombok / Makassar</x:v>
      </x:c>
      <x:c r="S19" s="18" t="str">
        <x:v>Capesize bypass if Malacca disrupted; longer route.</x:v>
      </x:c>
      <x:c r="T19" s="18" t="str">
        <x:v>Malacca alt-route</x:v>
      </x:c>
      <x:c r="U19" s="18" t="str">
        <x:v>Indonesia</x:v>
      </x:c>
      <x:c r="V19" s="18" t="str">
        <x:v>Low-medium — deep-draft alternative to Malacca.</x:v>
      </x:c>
      <x:c r="W19" s="18" t="str">
        <x:v>UNCTAD; https://unctad.org/</x:v>
      </x:c>
      <x:c r="X19" s="18" t="str">
        <x:v>state</x:v>
      </x:c>
      <x:c r="Y19" s="18" t="str">
        <x:v>deep strait</x:v>
      </x:c>
      <x:c r="Z19" s="18" t="str">
        <x:v>DEFINED_TERMINAL_OR_FEED_SCOPE</x:v>
      </x:c>
      <x:c r="AA19" s="18" t="str">
        <x:v>geo_chokepoints.json — published records loaded</x:v>
      </x:c>
      <x:c r="AB19" s="18" t="str"/>
      <x:c r="AC19" s="18" t="str"/>
      <x:c r="AD19" s="20" t="n">
        <x:v>18</x:v>
      </x:c>
      <x:c r="AE19" s="19" t="str">
        <x:f>IFERROR(TODAY()-DATEVALUE(C19),"")</x:f>
      </x:c>
      <x:c r="AF19" s="21" t="n">
        <x:f>ROUND(COUNTA(A19:K19)/11*100,0)</x:f>
        <x:v>100</x:v>
      </x:c>
      <x:c r="AG19" s="18" t="str">
        <x:v>US EIA World Oil Transit Chokepoints</x:v>
      </x:c>
      <x:c r="AH19" s="22" t="str">
        <x:v>https://www.eia.gov/international/analysis/special-topics/World_Oil_Transit_Chokepoints</x:v>
      </x:c>
      <x:c r="AI19" s="18" t="str">
        <x:v>2026-07</x:v>
      </x:c>
      <x:c r="AJ19" s="18" t="str">
        <x:v>2026-07</x:v>
      </x:c>
      <x:c r="AK19" s="18" t="str">
        <x:v>unconfirmed</x:v>
      </x:c>
      <x:c r="AL19" s="18" t="str">
        <x:v>PARTIAL_NO_DATE</x:v>
      </x:c>
    </x:row>
    <x:row r="20">
      <x:c r="A20" s="18" t="str">
        <x:v>NYT-09-ad97800bf34caeb6</x:v>
      </x:c>
      <x:c r="B20" s="18" t="str">
        <x:v>Sunda Strait</x:v>
      </x:c>
      <x:c r="C20" s="18" t="str"/>
      <x:c r="D20" s="18" t="str"/>
      <x:c r="E20" s="18" t="str"/>
      <x:c r="F20" s="18" t="str">
        <x:v>active</x:v>
      </x:c>
      <x:c r="G20" s="18" t="str"/>
      <x:c r="H20" s="18" t="str">
        <x:v>SE Asia</x:v>
      </x:c>
      <x:c r="I20" s="18" t="str">
        <x:v>Sunda Strait</x:v>
      </x:c>
      <x:c r="J20" s="20" t="str"/>
      <x:c r="K20" s="18" t="str"/>
      <x:c r="L20" s="18" t="str">
        <x:v>SE Asia</x:v>
      </x:c>
      <x:c r="M20" s="18" t="str">
        <x:v>Sunda Strait</x:v>
      </x:c>
      <x:c r="N20" s="18" t="str">
        <x:v>sunda</x:v>
      </x:c>
      <x:c r="O20" s="18" t="n">
        <x:v>38</x:v>
      </x:c>
      <x:c r="P20" s="18" t="n">
        <x:v>-6</x:v>
      </x:c>
      <x:c r="Q20" s="18" t="n">
        <x:v>105.9</x:v>
      </x:c>
      <x:c r="R20" s="18" t="str">
        <x:v>Sunda Strait</x:v>
      </x:c>
      <x:c r="S20" s="18" t="str">
        <x:v>Secondary Java–Sumatra passage.</x:v>
      </x:c>
      <x:c r="T20" s="18" t="str">
        <x:v>regional</x:v>
      </x:c>
      <x:c r="U20" s="18" t="str">
        <x:v>Indonesia</x:v>
      </x:c>
      <x:c r="V20" s="18" t="str">
        <x:v>Low-medium — shallow, volcanic (Krakatoa).</x:v>
      </x:c>
      <x:c r="W20" s="18" t="str">
        <x:v>UNCTAD; https://unctad.org/</x:v>
      </x:c>
      <x:c r="X20" s="18" t="str">
        <x:v>state</x:v>
      </x:c>
      <x:c r="Y20" s="18" t="str">
        <x:v>~24 km</x:v>
      </x:c>
      <x:c r="Z20" s="18" t="str">
        <x:v>DEFINED_TERMINAL_OR_FEED_SCOPE</x:v>
      </x:c>
      <x:c r="AA20" s="18" t="str">
        <x:v>geo_chokepoints.json — published records loaded</x:v>
      </x:c>
      <x:c r="AB20" s="18" t="str"/>
      <x:c r="AC20" s="18" t="str"/>
      <x:c r="AD20" s="20" t="n">
        <x:v>18</x:v>
      </x:c>
      <x:c r="AE20" s="19" t="str">
        <x:f>IFERROR(TODAY()-DATEVALUE(C20),"")</x:f>
      </x:c>
      <x:c r="AF20" s="21" t="n">
        <x:f>ROUND(COUNTA(A20:K20)/11*100,0)</x:f>
        <x:v>100</x:v>
      </x:c>
      <x:c r="AG20" s="18" t="str">
        <x:v>US EIA World Oil Transit Chokepoints</x:v>
      </x:c>
      <x:c r="AH20" s="22" t="str">
        <x:v>https://www.eia.gov/international/analysis/special-topics/World_Oil_Transit_Chokepoints</x:v>
      </x:c>
      <x:c r="AI20" s="18" t="str">
        <x:v>2026-07</x:v>
      </x:c>
      <x:c r="AJ20" s="18" t="str">
        <x:v>2026-07</x:v>
      </x:c>
      <x:c r="AK20" s="18" t="str">
        <x:v>unconfirmed</x:v>
      </x:c>
      <x:c r="AL20" s="18" t="str">
        <x:v>PARTIAL_NO_DATE</x:v>
      </x:c>
    </x:row>
    <x:row r="21">
      <x:c r="A21" s="18" t="str">
        <x:v>NYT-09-7a72b116c1a5344c</x:v>
      </x:c>
      <x:c r="B21" s="18" t="str">
        <x:v>Kerch Strait</x:v>
      </x:c>
      <x:c r="C21" s="18" t="str"/>
      <x:c r="D21" s="18" t="str"/>
      <x:c r="E21" s="18" t="str"/>
      <x:c r="F21" s="18" t="str">
        <x:v>escalating</x:v>
      </x:c>
      <x:c r="G21" s="18" t="str"/>
      <x:c r="H21" s="18" t="str">
        <x:v>Black Sea</x:v>
      </x:c>
      <x:c r="I21" s="18" t="str">
        <x:v>Kerch Strait</x:v>
      </x:c>
      <x:c r="J21" s="20" t="str"/>
      <x:c r="K21" s="18" t="str"/>
      <x:c r="L21" s="18" t="str">
        <x:v>Black Sea</x:v>
      </x:c>
      <x:c r="M21" s="18" t="str">
        <x:v>Kerch Strait</x:v>
      </x:c>
      <x:c r="N21" s="18" t="str">
        <x:v>kerch</x:v>
      </x:c>
      <x:c r="O21" s="18" t="n">
        <x:v>70</x:v>
      </x:c>
      <x:c r="P21" s="18" t="n">
        <x:v>45.3</x:v>
      </x:c>
      <x:c r="Q21" s="18" t="n">
        <x:v>36.5</x:v>
      </x:c>
      <x:c r="R21" s="18" t="str">
        <x:v>Kerch Strait</x:v>
      </x:c>
      <x:c r="S21" s="18" t="str">
        <x:v>Sea of Azov gateway; grain &amp; Russian logistics.</x:v>
      </x:c>
      <x:c r="T21" s="18" t="str">
        <x:v>Azov exports</x:v>
      </x:c>
      <x:c r="U21" s="18" t="str">
        <x:v>Russia (occupied)</x:v>
      </x:c>
      <x:c r="V21" s="18" t="str">
        <x:v>High — active war zone; bridge a strike target.</x:v>
      </x:c>
      <x:c r="W21" s="18" t="str">
        <x:v>ISW; https://understandingwar.org/</x:v>
      </x:c>
      <x:c r="X21" s="18" t="str">
        <x:v>state</x:v>
      </x:c>
      <x:c r="Y21" s="18" t="str">
        <x:v>~3.5 km</x:v>
      </x:c>
      <x:c r="Z21" s="18" t="str">
        <x:v>DEFINED_TERMINAL_OR_FEED_SCOPE</x:v>
      </x:c>
      <x:c r="AA21" s="18" t="str">
        <x:v>geo_chokepoints.json — published records loaded</x:v>
      </x:c>
      <x:c r="AB21" s="18" t="str"/>
      <x:c r="AC21" s="18" t="str"/>
      <x:c r="AD21" s="20" t="n">
        <x:v>18</x:v>
      </x:c>
      <x:c r="AE21" s="19" t="str">
        <x:f>IFERROR(TODAY()-DATEVALUE(C21),"")</x:f>
      </x:c>
      <x:c r="AF21" s="21" t="n">
        <x:f>ROUND(COUNTA(A21:K21)/11*100,0)</x:f>
        <x:v>100</x:v>
      </x:c>
      <x:c r="AG21" s="18" t="str">
        <x:v>US EIA World Oil Transit Chokepoints</x:v>
      </x:c>
      <x:c r="AH21" s="22" t="str">
        <x:v>https://www.eia.gov/international/analysis/special-topics/World_Oil_Transit_Chokepoints</x:v>
      </x:c>
      <x:c r="AI21" s="18" t="str">
        <x:v>2026-07</x:v>
      </x:c>
      <x:c r="AJ21" s="18" t="str">
        <x:v>2026-07</x:v>
      </x:c>
      <x:c r="AK21" s="18" t="str">
        <x:v>unconfirmed</x:v>
      </x:c>
      <x:c r="AL21" s="18" t="str">
        <x:v>PARTIAL_NO_DATE</x:v>
      </x:c>
    </x:row>
    <x:row r="22">
      <x:c r="A22" s="18" t="str">
        <x:v>NYT-09-c119771c566e43cf</x:v>
      </x:c>
      <x:c r="B22" s="18" t="str">
        <x:v>Hodeidah (port)</x:v>
      </x:c>
      <x:c r="C22" s="18" t="str"/>
      <x:c r="D22" s="18" t="str"/>
      <x:c r="E22" s="18" t="str"/>
      <x:c r="F22" s="18" t="str">
        <x:v>escalating</x:v>
      </x:c>
      <x:c r="G22" s="18" t="str"/>
      <x:c r="H22" s="18" t="str">
        <x:v>Red Sea</x:v>
      </x:c>
      <x:c r="I22" s="18" t="str">
        <x:v>Hodeidah (port)</x:v>
      </x:c>
      <x:c r="J22" s="20" t="str"/>
      <x:c r="K22" s="18" t="str"/>
      <x:c r="L22" s="18" t="str">
        <x:v>Red Sea</x:v>
      </x:c>
      <x:c r="M22" s="18" t="str">
        <x:v>Hodeidah (port)</x:v>
      </x:c>
      <x:c r="N22" s="18" t="str">
        <x:v>hodeidah</x:v>
      </x:c>
      <x:c r="O22" s="18" t="n">
        <x:v>72</x:v>
      </x:c>
      <x:c r="P22" s="18" t="n">
        <x:v>14.8</x:v>
      </x:c>
      <x:c r="Q22" s="18" t="n">
        <x:v>42.9</x:v>
      </x:c>
      <x:c r="R22" s="18" t="str">
        <x:v>Hodeidah (port)</x:v>
      </x:c>
      <x:c r="S22" s="18" t="str">
        <x:v>Aid lifeline &amp; Houthi weapons entry point.</x:v>
      </x:c>
      <x:c r="T22" s="18" t="str">
        <x:v>Yemen import lifeline</x:v>
      </x:c>
      <x:c r="U22" s="18" t="str">
        <x:v>Houthi-controlled</x:v>
      </x:c>
      <x:c r="V22" s="18" t="str">
        <x:v>Extreme — Houthi hub; strike-target.</x:v>
      </x:c>
      <x:c r="W22" s="18" t="str">
        <x:v>UN OCHA; https://www.unocha.org/yemen</x:v>
      </x:c>
      <x:c r="X22" s="18" t="str">
        <x:v>state</x:v>
      </x:c>
      <x:c r="Y22" s="18" t="str">
        <x:v>port</x:v>
      </x:c>
      <x:c r="Z22" s="18" t="str">
        <x:v>DEFINED_TERMINAL_OR_FEED_SCOPE</x:v>
      </x:c>
      <x:c r="AA22" s="18" t="str">
        <x:v>geo_chokepoints.json — published records loaded</x:v>
      </x:c>
      <x:c r="AB22" s="18" t="str"/>
      <x:c r="AC22" s="18" t="str"/>
      <x:c r="AD22" s="20" t="n">
        <x:v>18</x:v>
      </x:c>
      <x:c r="AE22" s="19" t="str">
        <x:f>IFERROR(TODAY()-DATEVALUE(C22),"")</x:f>
      </x:c>
      <x:c r="AF22" s="21" t="n">
        <x:f>ROUND(COUNTA(A22:K22)/11*100,0)</x:f>
        <x:v>100</x:v>
      </x:c>
      <x:c r="AG22" s="18" t="str">
        <x:v>US EIA World Oil Transit Chokepoints</x:v>
      </x:c>
      <x:c r="AH22" s="22" t="str">
        <x:v>https://www.eia.gov/international/analysis/special-topics/World_Oil_Transit_Chokepoints</x:v>
      </x:c>
      <x:c r="AI22" s="18" t="str">
        <x:v>2026-07</x:v>
      </x:c>
      <x:c r="AJ22" s="18" t="str">
        <x:v>2026-07</x:v>
      </x:c>
      <x:c r="AK22" s="18" t="str">
        <x:v>unconfirmed</x:v>
      </x:c>
      <x:c r="AL22" s="18" t="str">
        <x:v>PARTIAL_NO_DATE</x:v>
      </x:c>
    </x:row>
    <x:row r="23">
      <x:c r="A23" s="18" t="str">
        <x:v>NYT-09-2690a0a2d8d3e5f9</x:v>
      </x:c>
      <x:c r="B23" s="18" t="str">
        <x:v>Djibouti (port/bases)</x:v>
      </x:c>
      <x:c r="C23" s="18" t="str"/>
      <x:c r="D23" s="18" t="str"/>
      <x:c r="E23" s="18" t="str"/>
      <x:c r="F23" s="18" t="str">
        <x:v>active</x:v>
      </x:c>
      <x:c r="G23" s="18" t="str"/>
      <x:c r="H23" s="18" t="str">
        <x:v>Horn of Africa</x:v>
      </x:c>
      <x:c r="I23" s="18" t="str">
        <x:v>Djibouti (port/bases)</x:v>
      </x:c>
      <x:c r="J23" s="20" t="str"/>
      <x:c r="K23" s="18" t="str"/>
      <x:c r="L23" s="18" t="str">
        <x:v>Horn of Africa</x:v>
      </x:c>
      <x:c r="M23" s="18" t="str">
        <x:v>Djibouti (port/bases)</x:v>
      </x:c>
      <x:c r="N23" s="18" t="str">
        <x:v>djibouti</x:v>
      </x:c>
      <x:c r="O23" s="18" t="n">
        <x:v>58</x:v>
      </x:c>
      <x:c r="P23" s="18" t="n">
        <x:v>11.6</x:v>
      </x:c>
      <x:c r="Q23" s="18" t="n">
        <x:v>43.1</x:v>
      </x:c>
      <x:c r="R23" s="18" t="str">
        <x:v>Djibouti (port/bases)</x:v>
      </x:c>
      <x:c r="S23" s="18" t="str">
        <x:v>Only place US &amp; China bases sit side-by-side.</x:v>
      </x:c>
      <x:c r="T23" s="18" t="str">
        <x:v>Bab-el-Mandeb adjunct</x:v>
      </x:c>
      <x:c r="U23" s="18" t="str">
        <x:v>Djibouti</x:v>
      </x:c>
      <x:c r="V23" s="18" t="str">
        <x:v>Elevated — militarised; US/China/France/Japan bases co-located.</x:v>
      </x:c>
      <x:c r="W23" s="18" t="str">
        <x:v>CSIS; https://www.csis.org/</x:v>
      </x:c>
      <x:c r="X23" s="18" t="str">
        <x:v>state</x:v>
      </x:c>
      <x:c r="Y23" s="18" t="str">
        <x:v>port</x:v>
      </x:c>
      <x:c r="Z23" s="18" t="str">
        <x:v>DEFINED_TERMINAL_OR_FEED_SCOPE</x:v>
      </x:c>
      <x:c r="AA23" s="18" t="str">
        <x:v>geo_chokepoints.json — published records loaded</x:v>
      </x:c>
      <x:c r="AB23" s="18" t="str"/>
      <x:c r="AC23" s="18" t="str"/>
      <x:c r="AD23" s="20" t="n">
        <x:v>18</x:v>
      </x:c>
      <x:c r="AE23" s="19" t="str">
        <x:f>IFERROR(TODAY()-DATEVALUE(C23),"")</x:f>
      </x:c>
      <x:c r="AF23" s="21" t="n">
        <x:f>ROUND(COUNTA(A23:K23)/11*100,0)</x:f>
        <x:v>100</x:v>
      </x:c>
      <x:c r="AG23" s="18" t="str">
        <x:v>US EIA World Oil Transit Chokepoints</x:v>
      </x:c>
      <x:c r="AH23" s="22" t="str">
        <x:v>https://www.eia.gov/international/analysis/special-topics/World_Oil_Transit_Chokepoints</x:v>
      </x:c>
      <x:c r="AI23" s="18" t="str">
        <x:v>2026-07</x:v>
      </x:c>
      <x:c r="AJ23" s="18" t="str">
        <x:v>2026-07</x:v>
      </x:c>
      <x:c r="AK23" s="18" t="str">
        <x:v>unconfirmed</x:v>
      </x:c>
      <x:c r="AL23" s="18" t="str">
        <x:v>PARTIAL_NO_DATE</x:v>
      </x:c>
    </x:row>
    <x:row r="24">
      <x:c r="A24" s="18" t="str">
        <x:v>NYT-09-3df74f4e0b44ec03</x:v>
      </x:c>
      <x:c r="B24" s="18" t="str">
        <x:v>Gwadar (port, CPEC)</x:v>
      </x:c>
      <x:c r="C24" s="18" t="str"/>
      <x:c r="D24" s="18" t="str"/>
      <x:c r="E24" s="18" t="str"/>
      <x:c r="F24" s="18" t="str">
        <x:v>under-review</x:v>
      </x:c>
      <x:c r="G24" s="18" t="str"/>
      <x:c r="H24" s="18" t="str">
        <x:v>Arabian Sea</x:v>
      </x:c>
      <x:c r="I24" s="18" t="str">
        <x:v>Gwadar (port, CPEC)</x:v>
      </x:c>
      <x:c r="J24" s="20" t="str"/>
      <x:c r="K24" s="18" t="str"/>
      <x:c r="L24" s="18" t="str">
        <x:v>Arabian Sea</x:v>
      </x:c>
      <x:c r="M24" s="18" t="str">
        <x:v>Gwadar (port, CPEC)</x:v>
      </x:c>
      <x:c r="N24" s="18" t="str">
        <x:v>gwadar</x:v>
      </x:c>
      <x:c r="O24" s="18" t="n">
        <x:v>48</x:v>
      </x:c>
      <x:c r="P24" s="18" t="n">
        <x:v>25.1</x:v>
      </x:c>
      <x:c r="Q24" s="18" t="n">
        <x:v>62.3</x:v>
      </x:c>
      <x:c r="R24" s="18" t="str">
        <x:v>Gwadar (port, CPEC)</x:v>
      </x:c>
      <x:c r="S24" s="18" t="str">
        <x:v>CPEC endpoint; potential PLA-Navy access; Hormuz-adjacent.</x:v>
      </x:c>
      <x:c r="T24" s="18" t="str">
        <x:v>China energy corridor</x:v>
      </x:c>
      <x:c r="U24" s="18" t="str">
        <x:v>Pakistan / China (operator)</x:v>
      </x:c>
      <x:c r="V24" s="18" t="str">
        <x:v>Medium — insurgency (Baloch); China strategic asset.</x:v>
      </x:c>
      <x:c r="W24" s="18" t="str">
        <x:v>CSIS; https://www.csis.org/</x:v>
      </x:c>
      <x:c r="X24" s="18" t="str">
        <x:v>state</x:v>
      </x:c>
      <x:c r="Y24" s="18" t="str">
        <x:v>port</x:v>
      </x:c>
      <x:c r="Z24" s="18" t="str">
        <x:v>DEFINED_TERMINAL_OR_FEED_SCOPE</x:v>
      </x:c>
      <x:c r="AA24" s="18" t="str">
        <x:v>geo_chokepoints.json — published records loaded</x:v>
      </x:c>
      <x:c r="AB24" s="18" t="str"/>
      <x:c r="AC24" s="18" t="str"/>
      <x:c r="AD24" s="20" t="n">
        <x:v>18</x:v>
      </x:c>
      <x:c r="AE24" s="19" t="str">
        <x:f>IFERROR(TODAY()-DATEVALUE(C24),"")</x:f>
      </x:c>
      <x:c r="AF24" s="21" t="n">
        <x:f>ROUND(COUNTA(A24:K24)/11*100,0)</x:f>
        <x:v>100</x:v>
      </x:c>
      <x:c r="AG24" s="18" t="str">
        <x:v>US EIA World Oil Transit Chokepoints</x:v>
      </x:c>
      <x:c r="AH24" s="22" t="str">
        <x:v>https://www.eia.gov/international/analysis/special-topics/World_Oil_Transit_Chokepoints</x:v>
      </x:c>
      <x:c r="AI24" s="18" t="str">
        <x:v>2026-07</x:v>
      </x:c>
      <x:c r="AJ24" s="18" t="str">
        <x:v>2026-07</x:v>
      </x:c>
      <x:c r="AK24" s="18" t="str">
        <x:v>unconfirmed</x:v>
      </x:c>
      <x:c r="AL24" s="18" t="str">
        <x:v>PARTIAL_NO_DATE</x:v>
      </x:c>
    </x:row>
    <x:row r="25">
      <x:c r="A25" s="18" t="str">
        <x:v>NYT-09-dcce6b17c56c4cd2</x:v>
      </x:c>
      <x:c r="B25" s="18" t="str">
        <x:v>Hambantota (port)</x:v>
      </x:c>
      <x:c r="C25" s="18" t="str"/>
      <x:c r="D25" s="18" t="str"/>
      <x:c r="E25" s="18" t="str"/>
      <x:c r="F25" s="18" t="str">
        <x:v>under-review</x:v>
      </x:c>
      <x:c r="G25" s="18" t="str"/>
      <x:c r="H25" s="18" t="str">
        <x:v>Indian Ocean</x:v>
      </x:c>
      <x:c r="I25" s="18" t="str">
        <x:v>Hambantota (port)</x:v>
      </x:c>
      <x:c r="J25" s="20" t="str"/>
      <x:c r="K25" s="18" t="str"/>
      <x:c r="L25" s="18" t="str">
        <x:v>Indian Ocean</x:v>
      </x:c>
      <x:c r="M25" s="18" t="str">
        <x:v>Hambantota (port)</x:v>
      </x:c>
      <x:c r="N25" s="18" t="str">
        <x:v>hambantota</x:v>
      </x:c>
      <x:c r="O25" s="18" t="n">
        <x:v>42</x:v>
      </x:c>
      <x:c r="P25" s="18" t="n">
        <x:v>6.1</x:v>
      </x:c>
      <x:c r="Q25" s="18" t="n">
        <x:v>81.1</x:v>
      </x:c>
      <x:c r="R25" s="18" t="str">
        <x:v>Hambantota (port)</x:v>
      </x:c>
      <x:c r="S25" s="18" t="str">
        <x:v>Astride Indian Ocean lanes; India security concern.</x:v>
      </x:c>
      <x:c r="T25" s="18" t="str">
        <x:v>IOR sea-lane</x:v>
      </x:c>
      <x:c r="U25" s="18" t="str">
        <x:v>Sri Lanka / China (lease)</x:v>
      </x:c>
      <x:c r="V25" s="18" t="str">
        <x:v>Medium — China 99-yr lease; "debt-trap" case.</x:v>
      </x:c>
      <x:c r="W25" s="18" t="str">
        <x:v>CSIS; https://www.csis.org/</x:v>
      </x:c>
      <x:c r="X25" s="18" t="str">
        <x:v>state</x:v>
      </x:c>
      <x:c r="Y25" s="18" t="str">
        <x:v>port</x:v>
      </x:c>
      <x:c r="Z25" s="18" t="str">
        <x:v>DEFINED_TERMINAL_OR_FEED_SCOPE</x:v>
      </x:c>
      <x:c r="AA25" s="18" t="str">
        <x:v>geo_chokepoints.json — published records loaded</x:v>
      </x:c>
      <x:c r="AB25" s="18" t="str"/>
      <x:c r="AC25" s="18" t="str"/>
      <x:c r="AD25" s="20" t="n">
        <x:v>18</x:v>
      </x:c>
      <x:c r="AE25" s="19" t="str">
        <x:f>IFERROR(TODAY()-DATEVALUE(C25),"")</x:f>
      </x:c>
      <x:c r="AF25" s="21" t="n">
        <x:f>ROUND(COUNTA(A25:K25)/11*100,0)</x:f>
        <x:v>100</x:v>
      </x:c>
      <x:c r="AG25" s="18" t="str">
        <x:v>US EIA World Oil Transit Chokepoints</x:v>
      </x:c>
      <x:c r="AH25" s="22" t="str">
        <x:v>https://www.eia.gov/international/analysis/special-topics/World_Oil_Transit_Chokepoints</x:v>
      </x:c>
      <x:c r="AI25" s="18" t="str">
        <x:v>2026-07</x:v>
      </x:c>
      <x:c r="AJ25" s="18" t="str">
        <x:v>2026-07</x:v>
      </x:c>
      <x:c r="AK25" s="18" t="str">
        <x:v>unconfirmed</x:v>
      </x:c>
      <x:c r="AL25" s="18" t="str">
        <x:v>PARTIAL_NO_DATE</x:v>
      </x:c>
    </x:row>
    <x:row r="26">
      <x:c r="A26" s="18" t="str">
        <x:v>NYT-09-adac33451bb1d276</x:v>
      </x:c>
      <x:c r="B26" s="18" t="str">
        <x:v>Fujairah (bunker hub)</x:v>
      </x:c>
      <x:c r="C26" s="18" t="str"/>
      <x:c r="D26" s="18" t="str"/>
      <x:c r="E26" s="18" t="str"/>
      <x:c r="F26" s="18" t="str">
        <x:v>active</x:v>
      </x:c>
      <x:c r="G26" s="18" t="str"/>
      <x:c r="H26" s="18" t="str">
        <x:v>Gulf of Oman</x:v>
      </x:c>
      <x:c r="I26" s="18" t="str">
        <x:v>Fujairah (bunker hub)</x:v>
      </x:c>
      <x:c r="J26" s="20" t="str"/>
      <x:c r="K26" s="18" t="str"/>
      <x:c r="L26" s="18" t="str">
        <x:v>Gulf of Oman</x:v>
      </x:c>
      <x:c r="M26" s="18" t="str">
        <x:v>Fujairah (bunker hub)</x:v>
      </x:c>
      <x:c r="N26" s="18" t="str">
        <x:v>ormuz-port</x:v>
      </x:c>
      <x:c r="O26" s="18" t="n">
        <x:v>60</x:v>
      </x:c>
      <x:c r="P26" s="18" t="n">
        <x:v>25.1</x:v>
      </x:c>
      <x:c r="Q26" s="18" t="n">
        <x:v>56.3</x:v>
      </x:c>
      <x:c r="R26" s="18" t="str">
        <x:v>Fujairah (bunker hub)</x:v>
      </x:c>
      <x:c r="S26" s="18" t="str">
        <x:v>Key oil-bunkering &amp; the one partial Hormuz bypass.</x:v>
      </x:c>
      <x:c r="T26" s="18" t="str">
        <x:v>Hormuz-bypass export</x:v>
      </x:c>
      <x:c r="U26" s="18" t="str">
        <x:v>UAE</x:v>
      </x:c>
      <x:c r="V26" s="18" t="str">
        <x:v>High — outside Hormuz; UAE pipeline outlet.</x:v>
      </x:c>
      <x:c r="W26" s="18" t="str">
        <x:v>EIA; https://www.eia.gov/</x:v>
      </x:c>
      <x:c r="X26" s="18" t="str">
        <x:v>state</x:v>
      </x:c>
      <x:c r="Y26" s="18" t="str">
        <x:v>port</x:v>
      </x:c>
      <x:c r="Z26" s="18" t="str">
        <x:v>DEFINED_TERMINAL_OR_FEED_SCOPE</x:v>
      </x:c>
      <x:c r="AA26" s="18" t="str">
        <x:v>geo_chokepoints.json — published records loaded</x:v>
      </x:c>
      <x:c r="AB26" s="18" t="str"/>
      <x:c r="AC26" s="18" t="str"/>
      <x:c r="AD26" s="20" t="n">
        <x:v>18</x:v>
      </x:c>
      <x:c r="AE26" s="19" t="str">
        <x:f>IFERROR(TODAY()-DATEVALUE(C26),"")</x:f>
      </x:c>
      <x:c r="AF26" s="21" t="n">
        <x:f>ROUND(COUNTA(A26:K26)/11*100,0)</x:f>
        <x:v>100</x:v>
      </x:c>
      <x:c r="AG26" s="18" t="str">
        <x:v>US EIA World Oil Transit Chokepoints</x:v>
      </x:c>
      <x:c r="AH26" s="22" t="str">
        <x:v>https://www.eia.gov/international/analysis/special-topics/World_Oil_Transit_Chokepoints</x:v>
      </x:c>
      <x:c r="AI26" s="18" t="str">
        <x:v>2026-07</x:v>
      </x:c>
      <x:c r="AJ26" s="18" t="str">
        <x:v>2026-07</x:v>
      </x:c>
      <x:c r="AK26" s="18" t="str">
        <x:v>unconfirmed</x:v>
      </x:c>
      <x:c r="AL26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32bca09b7d8487f"/>
  <x:tableParts count="1">
    <x:tablePart xmlns:r="http://schemas.openxmlformats.org/officeDocument/2006/relationships" r:id="R51d8d6bb14054587"/>
  </x:tableParts>
</x:worksheet>
</file>