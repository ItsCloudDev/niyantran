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108cbbd1f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13 Heads of State" sheetId="1" r:id="R698aea46202e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64653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64653"/>
      </x:patternFill>
    </x:fill>
  </x:fills>
  <x:borders count="3">
    <x:border/>
    <x:border>
      <x:bottom style="medium">
        <x:color rgb="FF26465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7d3570d5d4414" /><Relationship Type="http://schemas.openxmlformats.org/officeDocument/2006/relationships/theme" Target="/xl/theme/theme1.xml" Id="Rc89accf9d49a4620" /><Relationship Type="http://schemas.openxmlformats.org/officeDocument/2006/relationships/sharedStrings" Target="/xl/sharedStrings.xml" Id="Rcf6de1306c664eba" /><Relationship Type="http://schemas.openxmlformats.org/officeDocument/2006/relationships/worksheet" Target="/xl/worksheets/sheet1.xml" Id="R698aea46202e41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16f38d549f49b4" /><Relationship Type="http://schemas.openxmlformats.org/officeDocument/2006/relationships/chart" Target="/xl/drawings/charts/chart2.xml" Id="Rf716718d51b74e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Tenure timeline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'F13 Heads of State'!$BC$3</c:f>
              <c:strCache>
                <c:ptCount val="0"/>
              </c:strCache>
            </c:strRef>
          </c:cat>
          <c:val>
            <c:numRef>
              <c:f>'F13 Heads of State'!$BD$3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Party and ideology distribution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'F13 Heads of State'!$BF$3:$BF$14</c:f>
              <c:strCache>
                <c:ptCount val="0"/>
              </c:strCache>
            </c:strRef>
          </c:cat>
          <c:val>
            <c:numRef>
              <c:f>'F13 Heads of State'!$BG$3:$BG$14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16f38d549f49b4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16718d51b74e2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global_13_clean_0a04e4" displayName="T_global_13_clean_0a04e4" ref="A8:AD260" headerRowCount="1" totalsRowCount="0" totalsRowShown="0">
  <x:tableColumns count="30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country"/>
    <x:tableColumn id="13" name="person_name"/>
    <x:tableColumn id="14" name="country_id"/>
    <x:tableColumn id="15" name="office"/>
    <x:tableColumn id="16" name="person_id"/>
    <x:tableColumn id="17" name="start_date"/>
    <x:tableColumn id="18" name="coverage_status"/>
    <x:tableColumn id="19" name="coverage_scope"/>
    <x:tableColumn id="20" name="coverage_start"/>
    <x:tableColumn id="21" name="coverage_end"/>
    <x:tableColumn id="22" name="universe_count"/>
    <x:tableColumn id="23" name="record_age_days"/>
    <x:tableColumn id="24" name="record_completeness_pct"/>
    <x:tableColumn id="25" name="source_provider"/>
    <x:tableColumn id="26" name="source_url"/>
    <x:tableColumn id="27" name="source_published_at"/>
    <x:tableColumn id="28" name="source_retrieved_at"/>
    <x:tableColumn id="29" name="provenance"/>
    <x:tableColumn id="30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95b04bb1b14687" /><Relationship Type="http://schemas.openxmlformats.org/officeDocument/2006/relationships/table" Target="/xl/tables/table1.xml" Id="Rf13e1e7afb5648b7" /></Relationships>
</file>

<file path=xl/worksheets/sheet1.xml><?xml version="1.0" encoding="utf-8"?>
<x:worksheet xmlns:x="http://schemas.openxmlformats.org/spreadsheetml/2006/main">
  <x:sheetPr>
    <x:tabColor rgb="FF264653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32" hidden="0" customWidth="1"/>
    <x:col min="14" max="14" width="18" hidden="0" customWidth="1"/>
    <x:col min="15" max="15" width="15" hidden="0" customWidth="1"/>
    <x:col min="16" max="16" width="18" hidden="0" customWidth="1"/>
    <x:col min="17" max="17" width="16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8" hidden="0" customWidth="1"/>
    <x:col min="26" max="26" width="42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</x:cols>
  <x:sheetData>
    <x:row r="1" ht="25" customHeight="1">
      <x:c r="A1" s="4" t="str">
        <x:v>Heads of State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252 enrichment records • COMPLETE_FINITE_SNAPSHOT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BC3" s="18" t="str">
        <x:v>Unclassified</x:v>
      </x:c>
      <x:c r="BD3" s="18" t="n">
        <x:v>252</x:v>
      </x:c>
      <x:c r="BF3" s="18" t="str">
        <x:v>Russian Empire</x:v>
      </x:c>
      <x:c r="BG3" s="18" t="n">
        <x:v>14</x:v>
      </x:c>
    </x:row>
    <x:row r="4">
      <x:c r="A4" s="9" t="str">
        <x:v>Records</x:v>
      </x:c>
      <x:c r="B4" s="10" t="n">
        <x:v>252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1</x:v>
      </x:c>
      <x:c r="G4" s="9" t="str">
        <x:v>Freshest record</x:v>
      </x:c>
      <x:c r="H4" s="9" t="str"/>
      <x:c r="BF4" s="18" t="str">
        <x:v>Kingdom of Tavolara</x:v>
      </x:c>
      <x:c r="BG4" s="18" t="n">
        <x:v>7</x:v>
      </x:c>
    </x:row>
    <x:row r="5">
      <x:c r="BF5" s="18" t="str">
        <x:v>Belgian Empire</x:v>
      </x:c>
      <x:c r="BG5" s="18" t="n">
        <x:v>6</x:v>
      </x:c>
    </x:row>
    <x:row r="6">
      <x:c r="BF6" s="18" t="str">
        <x:v>Bosnia and Herzegovina</x:v>
      </x:c>
      <x:c r="BG6" s="18" t="n">
        <x:v>3</x:v>
      </x:c>
    </x:row>
    <x:row r="7">
      <x:c r="BF7" s="18" t="str">
        <x:v>Guinea-Bissau</x:v>
      </x:c>
      <x:c r="BG7" s="18" t="n">
        <x:v>3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country</x:v>
      </x:c>
      <x:c r="M8" s="15" t="str">
        <x:v>person_name</x:v>
      </x:c>
      <x:c r="N8" s="15" t="str">
        <x:v>country_id</x:v>
      </x:c>
      <x:c r="O8" s="15" t="str">
        <x:v>office</x:v>
      </x:c>
      <x:c r="P8" s="15" t="str">
        <x:v>person_id</x:v>
      </x:c>
      <x:c r="Q8" s="15" t="str">
        <x:v>start_date</x:v>
      </x:c>
      <x:c r="R8" s="15" t="str">
        <x:v>coverage_status</x:v>
      </x:c>
      <x:c r="S8" s="15" t="str">
        <x:v>coverage_scope</x:v>
      </x:c>
      <x:c r="T8" s="15" t="str">
        <x:v>coverage_start</x:v>
      </x:c>
      <x:c r="U8" s="15" t="str">
        <x:v>coverage_end</x:v>
      </x:c>
      <x:c r="V8" s="15" t="str">
        <x:v>universe_count</x:v>
      </x:c>
      <x:c r="W8" s="15" t="str">
        <x:v>record_age_days</x:v>
      </x:c>
      <x:c r="X8" s="15" t="str">
        <x:v>record_completeness_pct</x:v>
      </x:c>
      <x:c r="Y8" s="15" t="str">
        <x:v>source_provider</x:v>
      </x:c>
      <x:c r="Z8" s="15" t="str">
        <x:v>source_url</x:v>
      </x:c>
      <x:c r="AA8" s="15" t="str">
        <x:v>source_published_at</x:v>
      </x:c>
      <x:c r="AB8" s="15" t="str">
        <x:v>source_retrieved_at</x:v>
      </x:c>
      <x:c r="AC8" s="15" t="str">
        <x:v>provenance</x:v>
      </x:c>
      <x:c r="AD8" s="15" t="str">
        <x:v>quality_status</x:v>
      </x:c>
      <x:c r="BF8" s="18" t="str">
        <x:v>Andorra</x:v>
      </x:c>
      <x:c r="BG8" s="18" t="n">
        <x:v>2</x:v>
      </x:c>
    </x:row>
    <x:row r="9">
      <x:c r="A9" s="18" t="str">
        <x:v>NYT-13-bf41291d4c8d428c</x:v>
      </x:c>
      <x:c r="B9" s="18" t="str">
        <x:v>Peter the Great</x:v>
      </x:c>
      <x:c r="C9" s="18" t="str"/>
      <x:c r="D9" s="18" t="str"/>
      <x:c r="E9" s="18" t="str"/>
      <x:c r="F9" s="18" t="str"/>
      <x:c r="G9" s="18" t="str"/>
      <x:c r="H9" s="18" t="str">
        <x:v>Russian Empire</x:v>
      </x:c>
      <x:c r="I9" s="18" t="str">
        <x:v>Russian Empire</x:v>
      </x:c>
      <x:c r="J9" s="20" t="str"/>
      <x:c r="K9" s="18" t="str"/>
      <x:c r="L9" s="20" t="str">
        <x:v>Russian Empire</x:v>
      </x:c>
      <x:c r="M9" s="18" t="str">
        <x:v>Peter the Great</x:v>
      </x:c>
      <x:c r="N9" s="20" t="str">
        <x:v>Q34266</x:v>
      </x:c>
      <x:c r="O9" s="18" t="str">
        <x:v>Emperor of all the Russias</x:v>
      </x:c>
      <x:c r="P9" s="18" t="str">
        <x:v>Q8479</x:v>
      </x:c>
      <x:c r="Q9" s="18" t="n">
        <x:v>-65071</x:v>
      </x:c>
      <x:c r="R9" s="18" t="str">
        <x:v>COMPLETE_FINITE_SNAPSHOT</x:v>
      </x:c>
      <x:c r="S9" s="18" t="str">
        <x:v>Complete returned current head-of-state statements for sovereign-state universe</x:v>
      </x:c>
      <x:c r="T9" s="18" t="str"/>
      <x:c r="U9" s="18" t="str"/>
      <x:c r="V9" s="20" t="n">
        <x:v>252</x:v>
      </x:c>
      <x:c r="W9" s="19" t="str">
        <x:f>IFERROR(TODAY()-DATEVALUE(C9),"")</x:f>
      </x:c>
      <x:c r="X9" s="21" t="n">
        <x:f>ROUND(COUNTA(A9:K9)/11*100,0)</x:f>
        <x:v>100</x:v>
      </x:c>
      <x:c r="Y9" s="18" t="str">
        <x:v>Wikidata</x:v>
      </x:c>
      <x:c r="Z9" s="22" t="str">
        <x:v>http://www.wikidata.org/entity/Q8479</x:v>
      </x:c>
      <x:c r="AA9" s="18" t="str"/>
      <x:c r="AB9" s="18" t="n">
        <x:v>46275.416216736114</x:v>
      </x:c>
      <x:c r="AC9" s="18" t="str">
        <x:v>independent_public</x:v>
      </x:c>
      <x:c r="AD9" s="18" t="str">
        <x:v>PARTIAL_NO_DATE</x:v>
      </x:c>
      <x:c r="BF9" s="18" t="str">
        <x:v>San Marino</x:v>
      </x:c>
      <x:c r="BG9" s="18" t="n">
        <x:v>2</x:v>
      </x:c>
    </x:row>
    <x:row r="10">
      <x:c r="A10" s="18" t="str">
        <x:v>NYT-13-33cf4cd3e6ae6f9a</x:v>
      </x:c>
      <x:c r="B10" s="18" t="str">
        <x:v>Albulena Haxhiu</x:v>
      </x:c>
      <x:c r="C10" s="18" t="str"/>
      <x:c r="D10" s="18" t="str"/>
      <x:c r="E10" s="18" t="str"/>
      <x:c r="F10" s="18" t="str"/>
      <x:c r="G10" s="18" t="str"/>
      <x:c r="H10" s="18" t="str">
        <x:v>Kosovo</x:v>
      </x:c>
      <x:c r="I10" s="18" t="str">
        <x:v>Kosovo</x:v>
      </x:c>
      <x:c r="J10" s="20" t="str"/>
      <x:c r="K10" s="18" t="str"/>
      <x:c r="L10" s="20" t="str">
        <x:v>Kosovo</x:v>
      </x:c>
      <x:c r="M10" s="18" t="str">
        <x:v>Albulena Haxhiu</x:v>
      </x:c>
      <x:c r="N10" s="20" t="str">
        <x:v>Q1246</x:v>
      </x:c>
      <x:c r="O10" s="18" t="str">
        <x:v>Minister of Justice of Kosovo</x:v>
      </x:c>
      <x:c r="P10" s="18" t="str">
        <x:v>Q13036897</x:v>
      </x:c>
      <x:c r="Q10" s="18" t="n">
        <x:v>44277</x:v>
      </x:c>
      <x:c r="R10" s="18" t="str">
        <x:v>COMPLETE_FINITE_SNAPSHOT</x:v>
      </x:c>
      <x:c r="S10" s="18" t="str">
        <x:v>Complete returned current head-of-state statements for sovereign-state universe</x:v>
      </x:c>
      <x:c r="T10" s="18" t="str"/>
      <x:c r="U10" s="18" t="str"/>
      <x:c r="V10" s="20" t="n">
        <x:v>252</x:v>
      </x:c>
      <x:c r="W10" s="19" t="str">
        <x:f>IFERROR(TODAY()-DATEVALUE(C10),"")</x:f>
      </x:c>
      <x:c r="X10" s="21" t="n">
        <x:f>ROUND(COUNTA(A10:K10)/11*100,0)</x:f>
        <x:v>100</x:v>
      </x:c>
      <x:c r="Y10" s="18" t="str">
        <x:v>Wikidata</x:v>
      </x:c>
      <x:c r="Z10" s="22" t="str">
        <x:v>http://www.wikidata.org/entity/Q13036897</x:v>
      </x:c>
      <x:c r="AA10" s="18" t="str"/>
      <x:c r="AB10" s="18" t="n">
        <x:v>46275.416216736114</x:v>
      </x:c>
      <x:c r="AC10" s="18" t="str">
        <x:v>independent_public</x:v>
      </x:c>
      <x:c r="AD10" s="18" t="str">
        <x:v>PARTIAL_NO_DATE</x:v>
      </x:c>
      <x:c r="BF10" s="18" t="str">
        <x:v>Kosovo</x:v>
      </x:c>
      <x:c r="BG10" s="18" t="n">
        <x:v>1</x:v>
      </x:c>
    </x:row>
    <x:row r="11">
      <x:c r="A11" s="18" t="str">
        <x:v>NYT-13-757c238d0648d9d5</x:v>
      </x:c>
      <x:c r="B11" s="18" t="str">
        <x:v>Baudouin I of Belgium</x:v>
      </x:c>
      <x:c r="C11" s="18" t="str"/>
      <x:c r="D11" s="18" t="str"/>
      <x:c r="E11" s="18" t="str"/>
      <x:c r="F11" s="18" t="str"/>
      <x:c r="G11" s="18" t="str"/>
      <x:c r="H11" s="18" t="str">
        <x:v>Belgian Empire</x:v>
      </x:c>
      <x:c r="I11" s="18" t="str">
        <x:v>Belgian Empire</x:v>
      </x:c>
      <x:c r="J11" s="20" t="str"/>
      <x:c r="K11" s="18" t="str"/>
      <x:c r="L11" s="20" t="str">
        <x:v>Belgian Empire</x:v>
      </x:c>
      <x:c r="M11" s="18" t="str">
        <x:v>Baudouin I of Belgium</x:v>
      </x:c>
      <x:c r="N11" s="20" t="str">
        <x:v>Q815524</x:v>
      </x:c>
      <x:c r="O11" s="18" t="str">
        <x:v>King of the Belgians</x:v>
      </x:c>
      <x:c r="P11" s="18" t="str">
        <x:v>Q12976</x:v>
      </x:c>
      <x:c r="Q11" s="18" t="n">
        <x:v>18826</x:v>
      </x:c>
      <x:c r="R11" s="18" t="str">
        <x:v>COMPLETE_FINITE_SNAPSHOT</x:v>
      </x:c>
      <x:c r="S11" s="18" t="str">
        <x:v>Complete returned current head-of-state statements for sovereign-state universe</x:v>
      </x:c>
      <x:c r="T11" s="18" t="str"/>
      <x:c r="U11" s="18" t="str"/>
      <x:c r="V11" s="20" t="n">
        <x:v>252</x:v>
      </x:c>
      <x:c r="W11" s="19" t="str">
        <x:f>IFERROR(TODAY()-DATEVALUE(C11),"")</x:f>
      </x:c>
      <x:c r="X11" s="21" t="n">
        <x:f>ROUND(COUNTA(A11:K11)/11*100,0)</x:f>
        <x:v>100</x:v>
      </x:c>
      <x:c r="Y11" s="18" t="str">
        <x:v>Wikidata</x:v>
      </x:c>
      <x:c r="Z11" s="22" t="str">
        <x:v>http://www.wikidata.org/entity/Q12976</x:v>
      </x:c>
      <x:c r="AA11" s="18" t="str"/>
      <x:c r="AB11" s="18" t="n">
        <x:v>46275.416216736114</x:v>
      </x:c>
      <x:c r="AC11" s="18" t="str">
        <x:v>independent_public</x:v>
      </x:c>
      <x:c r="AD11" s="18" t="str">
        <x:v>PARTIAL_NO_DATE</x:v>
      </x:c>
      <x:c r="BF11" s="18" t="str">
        <x:v>Moldova</x:v>
      </x:c>
      <x:c r="BG11" s="18" t="n">
        <x:v>1</x:v>
      </x:c>
    </x:row>
    <x:row r="12">
      <x:c r="A12" s="18" t="str">
        <x:v>NYT-13-4bcb2b9923f45b7a</x:v>
      </x:c>
      <x:c r="B12" s="18" t="str">
        <x:v>Maia Sandu</x:v>
      </x:c>
      <x:c r="C12" s="18" t="str"/>
      <x:c r="D12" s="18" t="str"/>
      <x:c r="E12" s="18" t="str"/>
      <x:c r="F12" s="18" t="str"/>
      <x:c r="G12" s="18" t="str"/>
      <x:c r="H12" s="18" t="str">
        <x:v>Moldova</x:v>
      </x:c>
      <x:c r="I12" s="18" t="str">
        <x:v>Moldova</x:v>
      </x:c>
      <x:c r="J12" s="20" t="str"/>
      <x:c r="K12" s="18" t="str"/>
      <x:c r="L12" s="20" t="str">
        <x:v>Moldova</x:v>
      </x:c>
      <x:c r="M12" s="18" t="str">
        <x:v>Maia Sandu</x:v>
      </x:c>
      <x:c r="N12" s="20" t="str">
        <x:v>Q217</x:v>
      </x:c>
      <x:c r="O12" s="18" t="str">
        <x:v>President of Moldova</x:v>
      </x:c>
      <x:c r="P12" s="18" t="str">
        <x:v>Q15071069</x:v>
      </x:c>
      <x:c r="Q12" s="18" t="n">
        <x:v>44189</x:v>
      </x:c>
      <x:c r="R12" s="18" t="str">
        <x:v>COMPLETE_FINITE_SNAPSHOT</x:v>
      </x:c>
      <x:c r="S12" s="18" t="str">
        <x:v>Complete returned current head-of-state statements for sovereign-state universe</x:v>
      </x:c>
      <x:c r="T12" s="18" t="str"/>
      <x:c r="U12" s="18" t="str"/>
      <x:c r="V12" s="20" t="n">
        <x:v>252</x:v>
      </x:c>
      <x:c r="W12" s="19" t="str">
        <x:f>IFERROR(TODAY()-DATEVALUE(C12),"")</x:f>
      </x:c>
      <x:c r="X12" s="21" t="n">
        <x:f>ROUND(COUNTA(A12:K12)/11*100,0)</x:f>
        <x:v>100</x:v>
      </x:c>
      <x:c r="Y12" s="18" t="str">
        <x:v>Wikidata</x:v>
      </x:c>
      <x:c r="Z12" s="22" t="str">
        <x:v>http://www.wikidata.org/entity/Q15071069</x:v>
      </x:c>
      <x:c r="AA12" s="18" t="str"/>
      <x:c r="AB12" s="18" t="n">
        <x:v>46275.416216736114</x:v>
      </x:c>
      <x:c r="AC12" s="18" t="str">
        <x:v>independent_public</x:v>
      </x:c>
      <x:c r="AD12" s="18" t="str">
        <x:v>PARTIAL_NO_DATE</x:v>
      </x:c>
      <x:c r="BF12" s="18" t="str">
        <x:v>Timor-Leste</x:v>
      </x:c>
      <x:c r="BG12" s="18" t="n">
        <x:v>1</x:v>
      </x:c>
    </x:row>
    <x:row r="13">
      <x:c r="A13" s="18" t="str">
        <x:v>NYT-13-36aff8bdefd0a568</x:v>
      </x:c>
      <x:c r="B13" s="18" t="str">
        <x:v>José Ramos-Horta</x:v>
      </x:c>
      <x:c r="C13" s="18" t="str"/>
      <x:c r="D13" s="18" t="str"/>
      <x:c r="E13" s="18" t="str"/>
      <x:c r="F13" s="18" t="str"/>
      <x:c r="G13" s="18" t="str"/>
      <x:c r="H13" s="18" t="str">
        <x:v>Timor-Leste</x:v>
      </x:c>
      <x:c r="I13" s="18" t="str">
        <x:v>Timor-Leste</x:v>
      </x:c>
      <x:c r="J13" s="20" t="str"/>
      <x:c r="K13" s="18" t="str"/>
      <x:c r="L13" s="20" t="str">
        <x:v>Timor-Leste</x:v>
      </x:c>
      <x:c r="M13" s="18" t="str">
        <x:v>José Ramos-Horta</x:v>
      </x:c>
      <x:c r="N13" s="20" t="str">
        <x:v>Q574</x:v>
      </x:c>
      <x:c r="O13" s="18" t="str">
        <x:v>President of East Timor</x:v>
      </x:c>
      <x:c r="P13" s="18" t="str">
        <x:v>Q11665</x:v>
      </x:c>
      <x:c r="Q13" s="18" t="n">
        <x:v>44701</x:v>
      </x:c>
      <x:c r="R13" s="18" t="str">
        <x:v>COMPLETE_FINITE_SNAPSHOT</x:v>
      </x:c>
      <x:c r="S13" s="18" t="str">
        <x:v>Complete returned current head-of-state statements for sovereign-state universe</x:v>
      </x:c>
      <x:c r="T13" s="18" t="str"/>
      <x:c r="U13" s="18" t="str"/>
      <x:c r="V13" s="20" t="n">
        <x:v>252</x:v>
      </x:c>
      <x:c r="W13" s="19" t="str">
        <x:f>IFERROR(TODAY()-DATEVALUE(C13),"")</x:f>
      </x:c>
      <x:c r="X13" s="21" t="n">
        <x:f>ROUND(COUNTA(A13:K13)/11*100,0)</x:f>
        <x:v>100</x:v>
      </x:c>
      <x:c r="Y13" s="18" t="str">
        <x:v>Wikidata</x:v>
      </x:c>
      <x:c r="Z13" s="22" t="str">
        <x:v>http://www.wikidata.org/entity/Q11665</x:v>
      </x:c>
      <x:c r="AA13" s="18" t="str"/>
      <x:c r="AB13" s="18" t="n">
        <x:v>46275.416216736114</x:v>
      </x:c>
      <x:c r="AC13" s="18" t="str">
        <x:v>independent_public</x:v>
      </x:c>
      <x:c r="AD13" s="18" t="str">
        <x:v>PARTIAL_NO_DATE</x:v>
      </x:c>
      <x:c r="BF13" s="18" t="str">
        <x:v>Slovenia</x:v>
      </x:c>
      <x:c r="BG13" s="18" t="n">
        <x:v>1</x:v>
      </x:c>
    </x:row>
    <x:row r="14">
      <x:c r="A14" s="18" t="str">
        <x:v>NYT-13-c88f30ca35562b9a</x:v>
      </x:c>
      <x:c r="B14" s="18" t="str">
        <x:v>Nataša Pirc Musar</x:v>
      </x:c>
      <x:c r="C14" s="18" t="str"/>
      <x:c r="D14" s="18" t="str"/>
      <x:c r="E14" s="18" t="str"/>
      <x:c r="F14" s="18" t="str"/>
      <x:c r="G14" s="18" t="str"/>
      <x:c r="H14" s="18" t="str">
        <x:v>Slovenia</x:v>
      </x:c>
      <x:c r="I14" s="18" t="str">
        <x:v>Slovenia</x:v>
      </x:c>
      <x:c r="J14" s="20" t="str"/>
      <x:c r="K14" s="18" t="str"/>
      <x:c r="L14" s="20" t="str">
        <x:v>Slovenia</x:v>
      </x:c>
      <x:c r="M14" s="18" t="str">
        <x:v>Nataša Pirc Musar</x:v>
      </x:c>
      <x:c r="N14" s="20" t="str">
        <x:v>Q215</x:v>
      </x:c>
      <x:c r="O14" s="18" t="str">
        <x:v>President of Slovenia</x:v>
      </x:c>
      <x:c r="P14" s="18" t="str">
        <x:v>Q12797332</x:v>
      </x:c>
      <x:c r="Q14" s="18" t="n">
        <x:v>44917</x:v>
      </x:c>
      <x:c r="R14" s="18" t="str">
        <x:v>COMPLETE_FINITE_SNAPSHOT</x:v>
      </x:c>
      <x:c r="S14" s="18" t="str">
        <x:v>Complete returned current head-of-state statements for sovereign-state universe</x:v>
      </x:c>
      <x:c r="T14" s="18" t="str"/>
      <x:c r="U14" s="18" t="str"/>
      <x:c r="V14" s="20" t="n">
        <x:v>252</x:v>
      </x:c>
      <x:c r="W14" s="19" t="str">
        <x:f>IFERROR(TODAY()-DATEVALUE(C14),"")</x:f>
      </x:c>
      <x:c r="X14" s="21" t="n">
        <x:f>ROUND(COUNTA(A14:K14)/11*100,0)</x:f>
        <x:v>100</x:v>
      </x:c>
      <x:c r="Y14" s="18" t="str">
        <x:v>Wikidata</x:v>
      </x:c>
      <x:c r="Z14" s="22" t="str">
        <x:v>http://www.wikidata.org/entity/Q12797332</x:v>
      </x:c>
      <x:c r="AA14" s="18" t="str"/>
      <x:c r="AB14" s="18" t="n">
        <x:v>46275.416216736114</x:v>
      </x:c>
      <x:c r="AC14" s="18" t="str">
        <x:v>independent_public</x:v>
      </x:c>
      <x:c r="AD14" s="18" t="str">
        <x:v>PARTIAL_NO_DATE</x:v>
      </x:c>
      <x:c r="BF14" s="18" t="str">
        <x:v>Cape Verde</x:v>
      </x:c>
      <x:c r="BG14" s="18" t="n">
        <x:v>1</x:v>
      </x:c>
    </x:row>
    <x:row r="15">
      <x:c r="A15" s="18" t="str">
        <x:v>NYT-13-5cee0f959577a499</x:v>
      </x:c>
      <x:c r="B15" s="18" t="str">
        <x:v>José Maria Neves</x:v>
      </x:c>
      <x:c r="C15" s="18" t="str"/>
      <x:c r="D15" s="18" t="str"/>
      <x:c r="E15" s="18" t="str"/>
      <x:c r="F15" s="18" t="str"/>
      <x:c r="G15" s="18" t="str"/>
      <x:c r="H15" s="18" t="str">
        <x:v>Cape Verde</x:v>
      </x:c>
      <x:c r="I15" s="18" t="str">
        <x:v>Cape Verde</x:v>
      </x:c>
      <x:c r="J15" s="20" t="str"/>
      <x:c r="K15" s="18" t="str"/>
      <x:c r="L15" s="20" t="str">
        <x:v>Cape Verde</x:v>
      </x:c>
      <x:c r="M15" s="18" t="str">
        <x:v>José Maria Neves</x:v>
      </x:c>
      <x:c r="N15" s="20" t="str">
        <x:v>Q1011</x:v>
      </x:c>
      <x:c r="O15" s="18" t="str">
        <x:v>Prime Minister of Cabo Verde</x:v>
      </x:c>
      <x:c r="P15" s="18" t="str">
        <x:v>Q57649</x:v>
      </x:c>
      <x:c r="Q15" s="18" t="n">
        <x:v>36923</x:v>
      </x:c>
      <x:c r="R15" s="18" t="str">
        <x:v>COMPLETE_FINITE_SNAPSHOT</x:v>
      </x:c>
      <x:c r="S15" s="18" t="str">
        <x:v>Complete returned current head-of-state statements for sovereign-state universe</x:v>
      </x:c>
      <x:c r="T15" s="18" t="str"/>
      <x:c r="U15" s="18" t="str"/>
      <x:c r="V15" s="20" t="n">
        <x:v>252</x:v>
      </x:c>
      <x:c r="W15" s="19" t="str">
        <x:f>IFERROR(TODAY()-DATEVALUE(C15),"")</x:f>
      </x:c>
      <x:c r="X15" s="21" t="n">
        <x:f>ROUND(COUNTA(A15:K15)/11*100,0)</x:f>
        <x:v>100</x:v>
      </x:c>
      <x:c r="Y15" s="18" t="str">
        <x:v>Wikidata</x:v>
      </x:c>
      <x:c r="Z15" s="22" t="str">
        <x:v>http://www.wikidata.org/entity/Q57649</x:v>
      </x:c>
      <x:c r="AA15" s="18" t="str"/>
      <x:c r="AB15" s="18" t="n">
        <x:v>46275.416216736114</x:v>
      </x:c>
      <x:c r="AC15" s="18" t="str">
        <x:v>independent_public</x:v>
      </x:c>
      <x:c r="AD15" s="18" t="str">
        <x:v>PARTIAL_NO_DATE</x:v>
      </x:c>
    </x:row>
    <x:row r="16">
      <x:c r="A16" s="18" t="str">
        <x:v>NYT-13-e2297ac3ae525d4b</x:v>
      </x:c>
      <x:c r="B16" s="18" t="str">
        <x:v>Leopold III of Belgium</x:v>
      </x:c>
      <x:c r="C16" s="18" t="str"/>
      <x:c r="D16" s="18" t="str"/>
      <x:c r="E16" s="18" t="str"/>
      <x:c r="F16" s="18" t="str"/>
      <x:c r="G16" s="18" t="str"/>
      <x:c r="H16" s="18" t="str">
        <x:v>Belgian Empire</x:v>
      </x:c>
      <x:c r="I16" s="18" t="str">
        <x:v>Belgian Empire</x:v>
      </x:c>
      <x:c r="J16" s="20" t="str"/>
      <x:c r="K16" s="18" t="str"/>
      <x:c r="L16" s="20" t="str">
        <x:v>Belgian Empire</x:v>
      </x:c>
      <x:c r="M16" s="18" t="str">
        <x:v>Leopold III of Belgium</x:v>
      </x:c>
      <x:c r="N16" s="20" t="str">
        <x:v>Q815524</x:v>
      </x:c>
      <x:c r="O16" s="18" t="str">
        <x:v>King of the Belgians</x:v>
      </x:c>
      <x:c r="P16" s="18" t="str">
        <x:v>Q12973</x:v>
      </x:c>
      <x:c r="Q16" s="18" t="n">
        <x:v>12473</x:v>
      </x:c>
      <x:c r="R16" s="18" t="str">
        <x:v>COMPLETE_FINITE_SNAPSHOT</x:v>
      </x:c>
      <x:c r="S16" s="18" t="str">
        <x:v>Complete returned current head-of-state statements for sovereign-state universe</x:v>
      </x:c>
      <x:c r="T16" s="18" t="str"/>
      <x:c r="U16" s="18" t="str"/>
      <x:c r="V16" s="20" t="n">
        <x:v>252</x:v>
      </x:c>
      <x:c r="W16" s="19" t="str">
        <x:f>IFERROR(TODAY()-DATEVALUE(C16),"")</x:f>
      </x:c>
      <x:c r="X16" s="21" t="n">
        <x:f>ROUND(COUNTA(A16:K16)/11*100,0)</x:f>
        <x:v>100</x:v>
      </x:c>
      <x:c r="Y16" s="18" t="str">
        <x:v>Wikidata</x:v>
      </x:c>
      <x:c r="Z16" s="22" t="str">
        <x:v>http://www.wikidata.org/entity/Q12973</x:v>
      </x:c>
      <x:c r="AA16" s="18" t="str"/>
      <x:c r="AB16" s="18" t="n">
        <x:v>46275.416216736114</x:v>
      </x:c>
      <x:c r="AC16" s="18" t="str">
        <x:v>independent_public</x:v>
      </x:c>
      <x:c r="AD16" s="18" t="str">
        <x:v>PARTIAL_NO_DATE</x:v>
      </x:c>
    </x:row>
    <x:row r="17">
      <x:c r="A17" s="18" t="str">
        <x:v>NYT-13-f72317d57fc6a037</x:v>
      </x:c>
      <x:c r="B17" s="18" t="str">
        <x:v>Leopold I of Belgium</x:v>
      </x:c>
      <x:c r="C17" s="18" t="str"/>
      <x:c r="D17" s="18" t="str"/>
      <x:c r="E17" s="18" t="str"/>
      <x:c r="F17" s="18" t="str"/>
      <x:c r="G17" s="18" t="str"/>
      <x:c r="H17" s="18" t="str">
        <x:v>Belgian Empire</x:v>
      </x:c>
      <x:c r="I17" s="18" t="str">
        <x:v>Belgian Empire</x:v>
      </x:c>
      <x:c r="J17" s="20" t="str"/>
      <x:c r="K17" s="18" t="str"/>
      <x:c r="L17" s="20" t="str">
        <x:v>Belgian Empire</x:v>
      </x:c>
      <x:c r="M17" s="18" t="str">
        <x:v>Leopold I of Belgium</x:v>
      </x:c>
      <x:c r="N17" s="20" t="str">
        <x:v>Q815524</x:v>
      </x:c>
      <x:c r="O17" s="18" t="str">
        <x:v>King of the Belgians</x:v>
      </x:c>
      <x:c r="P17" s="18" t="str">
        <x:v>Q12971</x:v>
      </x:c>
      <x:c r="Q17" s="18" t="n">
        <x:v>-24999</x:v>
      </x:c>
      <x:c r="R17" s="18" t="str">
        <x:v>COMPLETE_FINITE_SNAPSHOT</x:v>
      </x:c>
      <x:c r="S17" s="18" t="str">
        <x:v>Complete returned current head-of-state statements for sovereign-state universe</x:v>
      </x:c>
      <x:c r="T17" s="18" t="str"/>
      <x:c r="U17" s="18" t="str"/>
      <x:c r="V17" s="20" t="n">
        <x:v>252</x:v>
      </x:c>
      <x:c r="W17" s="19" t="str">
        <x:f>IFERROR(TODAY()-DATEVALUE(C17),"")</x:f>
      </x:c>
      <x:c r="X17" s="21" t="n">
        <x:f>ROUND(COUNTA(A17:K17)/11*100,0)</x:f>
        <x:v>100</x:v>
      </x:c>
      <x:c r="Y17" s="18" t="str">
        <x:v>Wikidata</x:v>
      </x:c>
      <x:c r="Z17" s="22" t="str">
        <x:v>http://www.wikidata.org/entity/Q12971</x:v>
      </x:c>
      <x:c r="AA17" s="18" t="str"/>
      <x:c r="AB17" s="18" t="n">
        <x:v>46275.416216736114</x:v>
      </x:c>
      <x:c r="AC17" s="18" t="str">
        <x:v>independent_public</x:v>
      </x:c>
      <x:c r="AD17" s="18" t="str">
        <x:v>PARTIAL_NO_DATE</x:v>
      </x:c>
    </x:row>
    <x:row r="18">
      <x:c r="A18" s="18" t="str">
        <x:v>NYT-13-31eb83455d87ab62</x:v>
      </x:c>
      <x:c r="B18" s="18" t="str">
        <x:v>Leopold II of Belgium</x:v>
      </x:c>
      <x:c r="C18" s="18" t="str"/>
      <x:c r="D18" s="18" t="str"/>
      <x:c r="E18" s="18" t="str"/>
      <x:c r="F18" s="18" t="str"/>
      <x:c r="G18" s="18" t="str"/>
      <x:c r="H18" s="18" t="str">
        <x:v>Belgian Empire</x:v>
      </x:c>
      <x:c r="I18" s="18" t="str">
        <x:v>Belgian Empire</x:v>
      </x:c>
      <x:c r="J18" s="20" t="str"/>
      <x:c r="K18" s="18" t="str"/>
      <x:c r="L18" s="20" t="str">
        <x:v>Belgian Empire</x:v>
      </x:c>
      <x:c r="M18" s="18" t="str">
        <x:v>Leopold II of Belgium</x:v>
      </x:c>
      <x:c r="N18" s="20" t="str">
        <x:v>Q815524</x:v>
      </x:c>
      <x:c r="O18" s="18" t="str">
        <x:v>King of the Belgians</x:v>
      </x:c>
      <x:c r="P18" s="18" t="str">
        <x:v>Q12967</x:v>
      </x:c>
      <x:c r="Q18" s="18" t="n">
        <x:v>-12431</x:v>
      </x:c>
      <x:c r="R18" s="18" t="str">
        <x:v>COMPLETE_FINITE_SNAPSHOT</x:v>
      </x:c>
      <x:c r="S18" s="18" t="str">
        <x:v>Complete returned current head-of-state statements for sovereign-state universe</x:v>
      </x:c>
      <x:c r="T18" s="18" t="str"/>
      <x:c r="U18" s="18" t="str"/>
      <x:c r="V18" s="20" t="n">
        <x:v>252</x:v>
      </x:c>
      <x:c r="W18" s="19" t="str">
        <x:f>IFERROR(TODAY()-DATEVALUE(C18),"")</x:f>
      </x:c>
      <x:c r="X18" s="21" t="n">
        <x:f>ROUND(COUNTA(A18:K18)/11*100,0)</x:f>
        <x:v>100</x:v>
      </x:c>
      <x:c r="Y18" s="18" t="str">
        <x:v>Wikidata</x:v>
      </x:c>
      <x:c r="Z18" s="22" t="str">
        <x:v>http://www.wikidata.org/entity/Q12967</x:v>
      </x:c>
      <x:c r="AA18" s="18" t="str"/>
      <x:c r="AB18" s="18" t="n">
        <x:v>46275.416216736114</x:v>
      </x:c>
      <x:c r="AC18" s="18" t="str">
        <x:v>independent_public</x:v>
      </x:c>
      <x:c r="AD18" s="18" t="str">
        <x:v>PARTIAL_NO_DATE</x:v>
      </x:c>
    </x:row>
    <x:row r="19">
      <x:c r="A19" s="18" t="str">
        <x:v>NYT-13-ecbb7335975e1745</x:v>
      </x:c>
      <x:c r="B19" s="18" t="str">
        <x:v>Alar Karis</x:v>
      </x:c>
      <x:c r="C19" s="18" t="str"/>
      <x:c r="D19" s="18" t="str"/>
      <x:c r="E19" s="18" t="str"/>
      <x:c r="F19" s="18" t="str"/>
      <x:c r="G19" s="18" t="str"/>
      <x:c r="H19" s="18" t="str">
        <x:v>Estonia</x:v>
      </x:c>
      <x:c r="I19" s="18" t="str">
        <x:v>Estonia</x:v>
      </x:c>
      <x:c r="J19" s="20" t="str"/>
      <x:c r="K19" s="18" t="str"/>
      <x:c r="L19" s="20" t="str">
        <x:v>Estonia</x:v>
      </x:c>
      <x:c r="M19" s="18" t="str">
        <x:v>Alar Karis</x:v>
      </x:c>
      <x:c r="N19" s="20" t="str">
        <x:v>Q191</x:v>
      </x:c>
      <x:c r="O19" s="18" t="str">
        <x:v>Rector of the University of Tartu</x:v>
      </x:c>
      <x:c r="P19" s="18" t="str">
        <x:v>Q12358575</x:v>
      </x:c>
      <x:c r="Q19" s="18" t="n">
        <x:v>39083</x:v>
      </x:c>
      <x:c r="R19" s="18" t="str">
        <x:v>COMPLETE_FINITE_SNAPSHOT</x:v>
      </x:c>
      <x:c r="S19" s="18" t="str">
        <x:v>Complete returned current head-of-state statements for sovereign-state universe</x:v>
      </x:c>
      <x:c r="T19" s="18" t="str"/>
      <x:c r="U19" s="18" t="str"/>
      <x:c r="V19" s="20" t="n">
        <x:v>252</x:v>
      </x:c>
      <x:c r="W19" s="19" t="str">
        <x:f>IFERROR(TODAY()-DATEVALUE(C19),"")</x:f>
      </x:c>
      <x:c r="X19" s="21" t="n">
        <x:f>ROUND(COUNTA(A19:K19)/11*100,0)</x:f>
        <x:v>100</x:v>
      </x:c>
      <x:c r="Y19" s="18" t="str">
        <x:v>Wikidata</x:v>
      </x:c>
      <x:c r="Z19" s="22" t="str">
        <x:v>http://www.wikidata.org/entity/Q12358575</x:v>
      </x:c>
      <x:c r="AA19" s="18" t="str"/>
      <x:c r="AB19" s="18" t="n">
        <x:v>46275.416216736114</x:v>
      </x:c>
      <x:c r="AC19" s="18" t="str">
        <x:v>independent_public</x:v>
      </x:c>
      <x:c r="AD19" s="18" t="str">
        <x:v>PARTIAL_NO_DATE</x:v>
      </x:c>
    </x:row>
    <x:row r="20">
      <x:c r="A20" s="18" t="str">
        <x:v>NYT-13-4da63f0878d9900e</x:v>
      </x:c>
      <x:c r="B20" s="18" t="str">
        <x:v>Denis Bećirović</x:v>
      </x:c>
      <x:c r="C20" s="18" t="str"/>
      <x:c r="D20" s="18" t="str"/>
      <x:c r="E20" s="18" t="str"/>
      <x:c r="F20" s="18" t="str"/>
      <x:c r="G20" s="18" t="str"/>
      <x:c r="H20" s="18" t="str">
        <x:v>Bosnia and Herzegovina</x:v>
      </x:c>
      <x:c r="I20" s="18" t="str">
        <x:v>Bosnia and Herzegovina</x:v>
      </x:c>
      <x:c r="J20" s="20" t="str"/>
      <x:c r="K20" s="18" t="str"/>
      <x:c r="L20" s="20" t="str">
        <x:v>Bosnia and Herzegovina</x:v>
      </x:c>
      <x:c r="M20" s="18" t="str">
        <x:v>Denis Bećirović</x:v>
      </x:c>
      <x:c r="N20" s="20" t="str">
        <x:v>Q225</x:v>
      </x:c>
      <x:c r="O20" s="18" t="str">
        <x:v>Bosniak Member of the Presidency of Bosnia and Herzegovina</x:v>
      </x:c>
      <x:c r="P20" s="18" t="str">
        <x:v>Q13081568</x:v>
      </x:c>
      <x:c r="Q20" s="18" t="n">
        <x:v>44881</x:v>
      </x:c>
      <x:c r="R20" s="18" t="str">
        <x:v>COMPLETE_FINITE_SNAPSHOT</x:v>
      </x:c>
      <x:c r="S20" s="18" t="str">
        <x:v>Complete returned current head-of-state statements for sovereign-state universe</x:v>
      </x:c>
      <x:c r="T20" s="18" t="str"/>
      <x:c r="U20" s="18" t="str"/>
      <x:c r="V20" s="20" t="n">
        <x:v>252</x:v>
      </x:c>
      <x:c r="W20" s="19" t="str">
        <x:f>IFERROR(TODAY()-DATEVALUE(C20),"")</x:f>
      </x:c>
      <x:c r="X20" s="21" t="n">
        <x:f>ROUND(COUNTA(A20:K20)/11*100,0)</x:f>
        <x:v>100</x:v>
      </x:c>
      <x:c r="Y20" s="18" t="str">
        <x:v>Wikidata</x:v>
      </x:c>
      <x:c r="Z20" s="22" t="str">
        <x:v>http://www.wikidata.org/entity/Q13081568</x:v>
      </x:c>
      <x:c r="AA20" s="18" t="str"/>
      <x:c r="AB20" s="18" t="n">
        <x:v>46275.416216736114</x:v>
      </x:c>
      <x:c r="AC20" s="18" t="str">
        <x:v>independent_public</x:v>
      </x:c>
      <x:c r="AD20" s="18" t="str">
        <x:v>PARTIAL_NO_DATE</x:v>
      </x:c>
    </x:row>
    <x:row r="21">
      <x:c r="A21" s="18" t="str">
        <x:v>NYT-13-a3ddde01ef58b711</x:v>
      </x:c>
      <x:c r="B21" s="18" t="str">
        <x:v>Gordana Siljanovska-Davkova</x:v>
      </x:c>
      <x:c r="C21" s="18" t="str"/>
      <x:c r="D21" s="18" t="str"/>
      <x:c r="E21" s="18" t="str"/>
      <x:c r="F21" s="18" t="str"/>
      <x:c r="G21" s="18" t="str"/>
      <x:c r="H21" s="18" t="str">
        <x:v>North Macedonia</x:v>
      </x:c>
      <x:c r="I21" s="18" t="str">
        <x:v>North Macedonia</x:v>
      </x:c>
      <x:c r="J21" s="20" t="str"/>
      <x:c r="K21" s="18" t="str"/>
      <x:c r="L21" s="20" t="str">
        <x:v>North Macedonia</x:v>
      </x:c>
      <x:c r="M21" s="18" t="str">
        <x:v>Gordana Siljanovska-Davkova</x:v>
      </x:c>
      <x:c r="N21" s="20" t="str">
        <x:v>Q221</x:v>
      </x:c>
      <x:c r="O21" s="18" t="str">
        <x:v>President of North Macedonia</x:v>
      </x:c>
      <x:c r="P21" s="18" t="str">
        <x:v>Q12277168</x:v>
      </x:c>
      <x:c r="Q21" s="18" t="n">
        <x:v>45424</x:v>
      </x:c>
      <x:c r="R21" s="18" t="str">
        <x:v>COMPLETE_FINITE_SNAPSHOT</x:v>
      </x:c>
      <x:c r="S21" s="18" t="str">
        <x:v>Complete returned current head-of-state statements for sovereign-state universe</x:v>
      </x:c>
      <x:c r="T21" s="18" t="str"/>
      <x:c r="U21" s="18" t="str"/>
      <x:c r="V21" s="20" t="n">
        <x:v>252</x:v>
      </x:c>
      <x:c r="W21" s="19" t="str">
        <x:f>IFERROR(TODAY()-DATEVALUE(C21),"")</x:f>
      </x:c>
      <x:c r="X21" s="21" t="n">
        <x:f>ROUND(COUNTA(A21:K21)/11*100,0)</x:f>
        <x:v>100</x:v>
      </x:c>
      <x:c r="Y21" s="18" t="str">
        <x:v>Wikidata</x:v>
      </x:c>
      <x:c r="Z21" s="22" t="str">
        <x:v>http://www.wikidata.org/entity/Q12277168</x:v>
      </x:c>
      <x:c r="AA21" s="18" t="str"/>
      <x:c r="AB21" s="18" t="n">
        <x:v>46275.416216736114</x:v>
      </x:c>
      <x:c r="AC21" s="18" t="str">
        <x:v>independent_public</x:v>
      </x:c>
      <x:c r="AD21" s="18" t="str">
        <x:v>PARTIAL_NO_DATE</x:v>
      </x:c>
    </x:row>
    <x:row r="22">
      <x:c r="A22" s="18" t="str">
        <x:v>NYT-13-54aa86e936fde5d6</x:v>
      </x:c>
      <x:c r="B22" s="18" t="str">
        <x:v>Xi Jinping</x:v>
      </x:c>
      <x:c r="C22" s="18" t="str"/>
      <x:c r="D22" s="18" t="str"/>
      <x:c r="E22" s="18" t="str"/>
      <x:c r="F22" s="18" t="str"/>
      <x:c r="G22" s="18" t="str"/>
      <x:c r="H22" s="18" t="str">
        <x:v>People's Republic of China</x:v>
      </x:c>
      <x:c r="I22" s="18" t="str">
        <x:v>People's Republic of China</x:v>
      </x:c>
      <x:c r="J22" s="20" t="str"/>
      <x:c r="K22" s="18" t="str"/>
      <x:c r="L22" s="20" t="str">
        <x:v>People's Republic of China</x:v>
      </x:c>
      <x:c r="M22" s="18" t="str">
        <x:v>Xi Jinping</x:v>
      </x:c>
      <x:c r="N22" s="20" t="str">
        <x:v>Q148</x:v>
      </x:c>
      <x:c r="O22" s="18" t="str">
        <x:v>member of the Politburo Standing Committee of the Chinese Communist Party</x:v>
      </x:c>
      <x:c r="P22" s="18" t="str">
        <x:v>Q15031</x:v>
      </x:c>
      <x:c r="Q22" s="18" t="n">
        <x:v>39377</x:v>
      </x:c>
      <x:c r="R22" s="18" t="str">
        <x:v>COMPLETE_FINITE_SNAPSHOT</x:v>
      </x:c>
      <x:c r="S22" s="18" t="str">
        <x:v>Complete returned current head-of-state statements for sovereign-state universe</x:v>
      </x:c>
      <x:c r="T22" s="18" t="str"/>
      <x:c r="U22" s="18" t="str"/>
      <x:c r="V22" s="20" t="n">
        <x:v>252</x:v>
      </x:c>
      <x:c r="W22" s="19" t="str">
        <x:f>IFERROR(TODAY()-DATEVALUE(C22),"")</x:f>
      </x:c>
      <x:c r="X22" s="21" t="n">
        <x:f>ROUND(COUNTA(A22:K22)/11*100,0)</x:f>
        <x:v>100</x:v>
      </x:c>
      <x:c r="Y22" s="18" t="str">
        <x:v>Wikidata</x:v>
      </x:c>
      <x:c r="Z22" s="22" t="str">
        <x:v>http://www.wikidata.org/entity/Q15031</x:v>
      </x:c>
      <x:c r="AA22" s="18" t="str"/>
      <x:c r="AB22" s="18" t="n">
        <x:v>46275.416216736114</x:v>
      </x:c>
      <x:c r="AC22" s="18" t="str">
        <x:v>independent_public</x:v>
      </x:c>
      <x:c r="AD22" s="18" t="str">
        <x:v>PARTIAL_NO_DATE</x:v>
      </x:c>
    </x:row>
    <x:row r="23">
      <x:c r="A23" s="18" t="str">
        <x:v>NYT-13-c7b1d65cbec891c1</x:v>
      </x:c>
      <x:c r="B23" s="18" t="str">
        <x:v>Lee Jae Myung</x:v>
      </x:c>
      <x:c r="C23" s="18" t="str"/>
      <x:c r="D23" s="18" t="str"/>
      <x:c r="E23" s="18" t="str"/>
      <x:c r="F23" s="18" t="str"/>
      <x:c r="G23" s="18" t="str"/>
      <x:c r="H23" s="18" t="str">
        <x:v>South Korea</x:v>
      </x:c>
      <x:c r="I23" s="18" t="str">
        <x:v>South Korea</x:v>
      </x:c>
      <x:c r="J23" s="20" t="str"/>
      <x:c r="K23" s="18" t="str"/>
      <x:c r="L23" s="20" t="str">
        <x:v>South Korea</x:v>
      </x:c>
      <x:c r="M23" s="18" t="str">
        <x:v>Lee Jae Myung</x:v>
      </x:c>
      <x:c r="N23" s="20" t="str">
        <x:v>Q884</x:v>
      </x:c>
      <x:c r="O23" s="18" t="str">
        <x:v>President of South Korea</x:v>
      </x:c>
      <x:c r="P23" s="18" t="str">
        <x:v>Q12612463</x:v>
      </x:c>
      <x:c r="Q23" s="18" t="n">
        <x:v>45812</x:v>
      </x:c>
      <x:c r="R23" s="18" t="str">
        <x:v>COMPLETE_FINITE_SNAPSHOT</x:v>
      </x:c>
      <x:c r="S23" s="18" t="str">
        <x:v>Complete returned current head-of-state statements for sovereign-state universe</x:v>
      </x:c>
      <x:c r="T23" s="18" t="str"/>
      <x:c r="U23" s="18" t="str"/>
      <x:c r="V23" s="20" t="n">
        <x:v>252</x:v>
      </x:c>
      <x:c r="W23" s="19" t="str">
        <x:f>IFERROR(TODAY()-DATEVALUE(C23),"")</x:f>
      </x:c>
      <x:c r="X23" s="21" t="n">
        <x:f>ROUND(COUNTA(A23:K23)/11*100,0)</x:f>
        <x:v>100</x:v>
      </x:c>
      <x:c r="Y23" s="18" t="str">
        <x:v>Wikidata</x:v>
      </x:c>
      <x:c r="Z23" s="22" t="str">
        <x:v>http://www.wikidata.org/entity/Q12612463</x:v>
      </x:c>
      <x:c r="AA23" s="18" t="str"/>
      <x:c r="AB23" s="18" t="n">
        <x:v>46275.416216736114</x:v>
      </x:c>
      <x:c r="AC23" s="18" t="str">
        <x:v>independent_public</x:v>
      </x:c>
      <x:c r="AD23" s="18" t="str">
        <x:v>PARTIAL_NO_DATE</x:v>
      </x:c>
    </x:row>
    <x:row r="24">
      <x:c r="A24" s="18" t="str">
        <x:v>NYT-13-1e9d631b59911dd1</x:v>
      </x:c>
      <x:c r="B24" s="18" t="str">
        <x:v>Shavkat Mirziyoyev</x:v>
      </x:c>
      <x:c r="C24" s="18" t="str"/>
      <x:c r="D24" s="18" t="str"/>
      <x:c r="E24" s="18" t="str"/>
      <x:c r="F24" s="18" t="str"/>
      <x:c r="G24" s="18" t="str"/>
      <x:c r="H24" s="18" t="str">
        <x:v>Uzbekistan</x:v>
      </x:c>
      <x:c r="I24" s="18" t="str">
        <x:v>Uzbekistan</x:v>
      </x:c>
      <x:c r="J24" s="20" t="str"/>
      <x:c r="K24" s="18" t="str"/>
      <x:c r="L24" s="20" t="str">
        <x:v>Uzbekistan</x:v>
      </x:c>
      <x:c r="M24" s="18" t="str">
        <x:v>Shavkat Mirziyoyev</x:v>
      </x:c>
      <x:c r="N24" s="20" t="str">
        <x:v>Q265</x:v>
      </x:c>
      <x:c r="O24" s="18" t="str">
        <x:v>Chairman of the Council of CIS Heads of State</x:v>
      </x:c>
      <x:c r="P24" s="18" t="str">
        <x:v>Q57808</x:v>
      </x:c>
      <x:c r="Q24" s="18" t="n">
        <x:v>43831</x:v>
      </x:c>
      <x:c r="R24" s="18" t="str">
        <x:v>COMPLETE_FINITE_SNAPSHOT</x:v>
      </x:c>
      <x:c r="S24" s="18" t="str">
        <x:v>Complete returned current head-of-state statements for sovereign-state universe</x:v>
      </x:c>
      <x:c r="T24" s="18" t="str"/>
      <x:c r="U24" s="18" t="str"/>
      <x:c r="V24" s="20" t="n">
        <x:v>252</x:v>
      </x:c>
      <x:c r="W24" s="19" t="str">
        <x:f>IFERROR(TODAY()-DATEVALUE(C24),"")</x:f>
      </x:c>
      <x:c r="X24" s="21" t="n">
        <x:f>ROUND(COUNTA(A24:K24)/11*100,0)</x:f>
        <x:v>100</x:v>
      </x:c>
      <x:c r="Y24" s="18" t="str">
        <x:v>Wikidata</x:v>
      </x:c>
      <x:c r="Z24" s="22" t="str">
        <x:v>http://www.wikidata.org/entity/Q57808</x:v>
      </x:c>
      <x:c r="AA24" s="18" t="str"/>
      <x:c r="AB24" s="18" t="n">
        <x:v>46275.416216736114</x:v>
      </x:c>
      <x:c r="AC24" s="18" t="str">
        <x:v>independent_public</x:v>
      </x:c>
      <x:c r="AD24" s="18" t="str">
        <x:v>PARTIAL_NO_DATE</x:v>
      </x:c>
    </x:row>
    <x:row r="25">
      <x:c r="A25" s="18" t="str">
        <x:v>NYT-13-8f42ba8521e9fddf</x:v>
      </x:c>
      <x:c r="B25" s="18" t="str">
        <x:v>David Adeang</x:v>
      </x:c>
      <x:c r="C25" s="18" t="str"/>
      <x:c r="D25" s="18" t="str"/>
      <x:c r="E25" s="18" t="str"/>
      <x:c r="F25" s="18" t="str"/>
      <x:c r="G25" s="18" t="str"/>
      <x:c r="H25" s="18" t="str">
        <x:v>Nauru</x:v>
      </x:c>
      <x:c r="I25" s="18" t="str">
        <x:v>Nauru</x:v>
      </x:c>
      <x:c r="J25" s="20" t="str"/>
      <x:c r="K25" s="18" t="str"/>
      <x:c r="L25" s="20" t="str">
        <x:v>Nauru</x:v>
      </x:c>
      <x:c r="M25" s="18" t="str">
        <x:v>David Adeang</x:v>
      </x:c>
      <x:c r="N25" s="20" t="str">
        <x:v>Q697</x:v>
      </x:c>
      <x:c r="O25" s="18" t="str">
        <x:v>Minister for Finance</x:v>
      </x:c>
      <x:c r="P25" s="18" t="str">
        <x:v>Q58096</x:v>
      </x:c>
      <x:c r="Q25" s="18" t="n">
        <x:v>37742</x:v>
      </x:c>
      <x:c r="R25" s="18" t="str">
        <x:v>COMPLETE_FINITE_SNAPSHOT</x:v>
      </x:c>
      <x:c r="S25" s="18" t="str">
        <x:v>Complete returned current head-of-state statements for sovereign-state universe</x:v>
      </x:c>
      <x:c r="T25" s="18" t="str"/>
      <x:c r="U25" s="18" t="str"/>
      <x:c r="V25" s="20" t="n">
        <x:v>252</x:v>
      </x:c>
      <x:c r="W25" s="19" t="str">
        <x:f>IFERROR(TODAY()-DATEVALUE(C25),"")</x:f>
      </x:c>
      <x:c r="X25" s="21" t="n">
        <x:f>ROUND(COUNTA(A25:K25)/11*100,0)</x:f>
        <x:v>100</x:v>
      </x:c>
      <x:c r="Y25" s="18" t="str">
        <x:v>Wikidata</x:v>
      </x:c>
      <x:c r="Z25" s="22" t="str">
        <x:v>http://www.wikidata.org/entity/Q58096</x:v>
      </x:c>
      <x:c r="AA25" s="18" t="str"/>
      <x:c r="AB25" s="18" t="n">
        <x:v>46275.416216736114</x:v>
      </x:c>
      <x:c r="AC25" s="18" t="str">
        <x:v>independent_public</x:v>
      </x:c>
      <x:c r="AD25" s="18" t="str">
        <x:v>PARTIAL_NO_DATE</x:v>
      </x:c>
    </x:row>
    <x:row r="26">
      <x:c r="A26" s="18" t="str">
        <x:v>NYT-13-fda9445972541915</x:v>
      </x:c>
      <x:c r="B26" s="18" t="str">
        <x:v>Haitham bin Tarik Al Said</x:v>
      </x:c>
      <x:c r="C26" s="18" t="str"/>
      <x:c r="D26" s="18" t="str"/>
      <x:c r="E26" s="18" t="str"/>
      <x:c r="F26" s="18" t="str"/>
      <x:c r="G26" s="18" t="str"/>
      <x:c r="H26" s="18" t="str">
        <x:v>Oman</x:v>
      </x:c>
      <x:c r="I26" s="18" t="str">
        <x:v>Oman</x:v>
      </x:c>
      <x:c r="J26" s="20" t="str"/>
      <x:c r="K26" s="18" t="str"/>
      <x:c r="L26" s="20" t="str">
        <x:v>Oman</x:v>
      </x:c>
      <x:c r="M26" s="18" t="str">
        <x:v>Haitham bin Tarik Al Said</x:v>
      </x:c>
      <x:c r="N26" s="20" t="str">
        <x:v>Q842</x:v>
      </x:c>
      <x:c r="O26" s="18" t="str">
        <x:v>Grand Master of the Order of the Renaissance of Oman</x:v>
      </x:c>
      <x:c r="P26" s="18" t="str">
        <x:v>Q12250314</x:v>
      </x:c>
      <x:c r="Q26" s="18" t="n">
        <x:v>43841</x:v>
      </x:c>
      <x:c r="R26" s="18" t="str">
        <x:v>COMPLETE_FINITE_SNAPSHOT</x:v>
      </x:c>
      <x:c r="S26" s="18" t="str">
        <x:v>Complete returned current head-of-state statements for sovereign-state universe</x:v>
      </x:c>
      <x:c r="T26" s="18" t="str"/>
      <x:c r="U26" s="18" t="str"/>
      <x:c r="V26" s="20" t="n">
        <x:v>252</x:v>
      </x:c>
      <x:c r="W26" s="19" t="str">
        <x:f>IFERROR(TODAY()-DATEVALUE(C26),"")</x:f>
      </x:c>
      <x:c r="X26" s="21" t="n">
        <x:f>ROUND(COUNTA(A26:K26)/11*100,0)</x:f>
        <x:v>100</x:v>
      </x:c>
      <x:c r="Y26" s="18" t="str">
        <x:v>Wikidata</x:v>
      </x:c>
      <x:c r="Z26" s="22" t="str">
        <x:v>http://www.wikidata.org/entity/Q12250314</x:v>
      </x:c>
      <x:c r="AA26" s="18" t="str"/>
      <x:c r="AB26" s="18" t="n">
        <x:v>46275.416216736114</x:v>
      </x:c>
      <x:c r="AC26" s="18" t="str">
        <x:v>independent_public</x:v>
      </x:c>
      <x:c r="AD26" s="18" t="str">
        <x:v>PARTIAL_NO_DATE</x:v>
      </x:c>
    </x:row>
    <x:row r="27">
      <x:c r="A27" s="18" t="str">
        <x:v>NYT-13-5d6277365ca919a1</x:v>
      </x:c>
      <x:c r="B27" s="18" t="str">
        <x:v>Thongloun Sisoulith</x:v>
      </x:c>
      <x:c r="C27" s="18" t="str"/>
      <x:c r="D27" s="18" t="str"/>
      <x:c r="E27" s="18" t="str"/>
      <x:c r="F27" s="18" t="str"/>
      <x:c r="G27" s="18" t="str"/>
      <x:c r="H27" s="18" t="str">
        <x:v>Laos</x:v>
      </x:c>
      <x:c r="I27" s="18" t="str">
        <x:v>Laos</x:v>
      </x:c>
      <x:c r="J27" s="20" t="str"/>
      <x:c r="K27" s="18" t="str"/>
      <x:c r="L27" s="20" t="str">
        <x:v>Laos</x:v>
      </x:c>
      <x:c r="M27" s="18" t="str">
        <x:v>Thongloun Sisoulith</x:v>
      </x:c>
      <x:c r="N27" s="20" t="str">
        <x:v>Q819</x:v>
      </x:c>
      <x:c r="O27" s="18" t="str">
        <x:v>Minister of Foreign Affairs</x:v>
      </x:c>
      <x:c r="P27" s="18" t="str">
        <x:v>Q58323</x:v>
      </x:c>
      <x:c r="Q27" s="18" t="n">
        <x:v>38876</x:v>
      </x:c>
      <x:c r="R27" s="18" t="str">
        <x:v>COMPLETE_FINITE_SNAPSHOT</x:v>
      </x:c>
      <x:c r="S27" s="18" t="str">
        <x:v>Complete returned current head-of-state statements for sovereign-state universe</x:v>
      </x:c>
      <x:c r="T27" s="18" t="str"/>
      <x:c r="U27" s="18" t="str"/>
      <x:c r="V27" s="20" t="n">
        <x:v>252</x:v>
      </x:c>
      <x:c r="W27" s="19" t="str">
        <x:f>IFERROR(TODAY()-DATEVALUE(C27),"")</x:f>
      </x:c>
      <x:c r="X27" s="21" t="n">
        <x:f>ROUND(COUNTA(A27:K27)/11*100,0)</x:f>
        <x:v>100</x:v>
      </x:c>
      <x:c r="Y27" s="18" t="str">
        <x:v>Wikidata</x:v>
      </x:c>
      <x:c r="Z27" s="22" t="str">
        <x:v>http://www.wikidata.org/entity/Q58323</x:v>
      </x:c>
      <x:c r="AA27" s="18" t="str"/>
      <x:c r="AB27" s="18" t="n">
        <x:v>46275.416216736114</x:v>
      </x:c>
      <x:c r="AC27" s="18" t="str">
        <x:v>independent_public</x:v>
      </x:c>
      <x:c r="AD27" s="18" t="str">
        <x:v>PARTIAL_NO_DATE</x:v>
      </x:c>
    </x:row>
    <x:row r="28">
      <x:c r="A28" s="18" t="str">
        <x:v>NYT-13-d945cb2a0eee2904</x:v>
      </x:c>
      <x:c r="B28" s="18" t="str">
        <x:v>Delcy Rodriguez</x:v>
      </x:c>
      <x:c r="C28" s="18" t="str"/>
      <x:c r="D28" s="18" t="str"/>
      <x:c r="E28" s="18" t="str"/>
      <x:c r="F28" s="18" t="str"/>
      <x:c r="G28" s="18" t="str"/>
      <x:c r="H28" s="18" t="str">
        <x:v>Venezuela</x:v>
      </x:c>
      <x:c r="I28" s="18" t="str">
        <x:v>Venezuela</x:v>
      </x:c>
      <x:c r="J28" s="20" t="str"/>
      <x:c r="K28" s="18" t="str"/>
      <x:c r="L28" s="20" t="str">
        <x:v>Venezuela</x:v>
      </x:c>
      <x:c r="M28" s="18" t="str">
        <x:v>Delcy Rodriguez</x:v>
      </x:c>
      <x:c r="N28" s="20" t="str">
        <x:v>Q717</x:v>
      </x:c>
      <x:c r="O28" s="18" t="str">
        <x:v>minister of Communications and Information of Venezuela</x:v>
      </x:c>
      <x:c r="P28" s="18" t="str">
        <x:v>Q15081116</x:v>
      </x:c>
      <x:c r="Q28" s="18" t="n">
        <x:v>41489</x:v>
      </x:c>
      <x:c r="R28" s="18" t="str">
        <x:v>COMPLETE_FINITE_SNAPSHOT</x:v>
      </x:c>
      <x:c r="S28" s="18" t="str">
        <x:v>Complete returned current head-of-state statements for sovereign-state universe</x:v>
      </x:c>
      <x:c r="T28" s="18" t="str"/>
      <x:c r="U28" s="18" t="str"/>
      <x:c r="V28" s="20" t="n">
        <x:v>252</x:v>
      </x:c>
      <x:c r="W28" s="19" t="str">
        <x:f>IFERROR(TODAY()-DATEVALUE(C28),"")</x:f>
      </x:c>
      <x:c r="X28" s="21" t="n">
        <x:f>ROUND(COUNTA(A28:K28)/11*100,0)</x:f>
        <x:v>100</x:v>
      </x:c>
      <x:c r="Y28" s="18" t="str">
        <x:v>Wikidata</x:v>
      </x:c>
      <x:c r="Z28" s="22" t="str">
        <x:v>http://www.wikidata.org/entity/Q15081116</x:v>
      </x:c>
      <x:c r="AA28" s="18" t="str"/>
      <x:c r="AB28" s="18" t="n">
        <x:v>46275.416216736114</x:v>
      </x:c>
      <x:c r="AC28" s="18" t="str">
        <x:v>independent_public</x:v>
      </x:c>
      <x:c r="AD28" s="18" t="str">
        <x:v>PARTIAL_NO_DATE</x:v>
      </x:c>
    </x:row>
    <x:row r="29">
      <x:c r="A29" s="18" t="str">
        <x:v>NYT-13-fc2735db9aaf2dcf</x:v>
      </x:c>
      <x:c r="B29" s="18" t="str">
        <x:v>Josep-Lluís Serrano Pentinat</x:v>
      </x:c>
      <x:c r="C29" s="18" t="str"/>
      <x:c r="D29" s="18" t="str"/>
      <x:c r="E29" s="18" t="str"/>
      <x:c r="F29" s="18" t="str"/>
      <x:c r="G29" s="18" t="str"/>
      <x:c r="H29" s="18" t="str">
        <x:v>Andorra</x:v>
      </x:c>
      <x:c r="I29" s="18" t="str">
        <x:v>Andorra</x:v>
      </x:c>
      <x:c r="J29" s="20" t="str"/>
      <x:c r="K29" s="18" t="str"/>
      <x:c r="L29" s="20" t="str">
        <x:v>Andorra</x:v>
      </x:c>
      <x:c r="M29" s="18" t="str">
        <x:v>Josep-Lluís Serrano Pentinat</x:v>
      </x:c>
      <x:c r="N29" s="20" t="str">
        <x:v>Q228</x:v>
      </x:c>
      <x:c r="O29" s="18" t="str">
        <x:v>Episcopal Co-Prince</x:v>
      </x:c>
      <x:c r="P29" s="18" t="str">
        <x:v>Q93244592</x:v>
      </x:c>
      <x:c r="Q29" s="18" t="n">
        <x:v>45808</x:v>
      </x:c>
      <x:c r="R29" s="18" t="str">
        <x:v>COMPLETE_FINITE_SNAPSHOT</x:v>
      </x:c>
      <x:c r="S29" s="18" t="str">
        <x:v>Complete returned current head-of-state statements for sovereign-state universe</x:v>
      </x:c>
      <x:c r="T29" s="18" t="str"/>
      <x:c r="U29" s="18" t="str"/>
      <x:c r="V29" s="20" t="n">
        <x:v>252</x:v>
      </x:c>
      <x:c r="W29" s="19" t="str">
        <x:f>IFERROR(TODAY()-DATEVALUE(C29),"")</x:f>
      </x:c>
      <x:c r="X29" s="21" t="n">
        <x:f>ROUND(COUNTA(A29:K29)/11*100,0)</x:f>
        <x:v>100</x:v>
      </x:c>
      <x:c r="Y29" s="18" t="str">
        <x:v>Wikidata</x:v>
      </x:c>
      <x:c r="Z29" s="22" t="str">
        <x:v>http://www.wikidata.org/entity/Q93244592</x:v>
      </x:c>
      <x:c r="AA29" s="18" t="str"/>
      <x:c r="AB29" s="18" t="n">
        <x:v>46275.416216736114</x:v>
      </x:c>
      <x:c r="AC29" s="18" t="str">
        <x:v>independent_public</x:v>
      </x:c>
      <x:c r="AD29" s="18" t="str">
        <x:v>PARTIAL_NO_DATE</x:v>
      </x:c>
    </x:row>
    <x:row r="30">
      <x:c r="A30" s="18" t="str">
        <x:v>NYT-13-a67c3adfe9c986e2</x:v>
      </x:c>
      <x:c r="B30" s="18" t="str">
        <x:v>Serdar Berdimuhamedow</x:v>
      </x:c>
      <x:c r="C30" s="18" t="str"/>
      <x:c r="D30" s="18" t="str"/>
      <x:c r="E30" s="18" t="str"/>
      <x:c r="F30" s="18" t="str"/>
      <x:c r="G30" s="18" t="str"/>
      <x:c r="H30" s="18" t="str">
        <x:v>Turkmenistan</x:v>
      </x:c>
      <x:c r="I30" s="18" t="str">
        <x:v>Turkmenistan</x:v>
      </x:c>
      <x:c r="J30" s="20" t="str"/>
      <x:c r="K30" s="18" t="str"/>
      <x:c r="L30" s="20" t="str">
        <x:v>Turkmenistan</x:v>
      </x:c>
      <x:c r="M30" s="18" t="str">
        <x:v>Serdar Berdimuhamedow</x:v>
      </x:c>
      <x:c r="N30" s="20" t="str">
        <x:v>Q874</x:v>
      </x:c>
      <x:c r="O30" s="18" t="str">
        <x:v>President of Turkmenistan</x:v>
      </x:c>
      <x:c r="P30" s="18" t="str">
        <x:v>Q51874548</x:v>
      </x:c>
      <x:c r="Q30" s="18" t="n">
        <x:v>44639</x:v>
      </x:c>
      <x:c r="R30" s="18" t="str">
        <x:v>COMPLETE_FINITE_SNAPSHOT</x:v>
      </x:c>
      <x:c r="S30" s="18" t="str">
        <x:v>Complete returned current head-of-state statements for sovereign-state universe</x:v>
      </x:c>
      <x:c r="T30" s="18" t="str"/>
      <x:c r="U30" s="18" t="str"/>
      <x:c r="V30" s="20" t="n">
        <x:v>252</x:v>
      </x:c>
      <x:c r="W30" s="19" t="str">
        <x:f>IFERROR(TODAY()-DATEVALUE(C30),"")</x:f>
      </x:c>
      <x:c r="X30" s="21" t="n">
        <x:f>ROUND(COUNTA(A30:K30)/11*100,0)</x:f>
        <x:v>100</x:v>
      </x:c>
      <x:c r="Y30" s="18" t="str">
        <x:v>Wikidata</x:v>
      </x:c>
      <x:c r="Z30" s="22" t="str">
        <x:v>http://www.wikidata.org/entity/Q51874548</x:v>
      </x:c>
      <x:c r="AA30" s="18" t="str"/>
      <x:c r="AB30" s="18" t="n">
        <x:v>46275.416216736114</x:v>
      </x:c>
      <x:c r="AC30" s="18" t="str">
        <x:v>independent_public</x:v>
      </x:c>
      <x:c r="AD30" s="18" t="str">
        <x:v>PARTIAL_NO_DATE</x:v>
      </x:c>
    </x:row>
    <x:row r="31">
      <x:c r="A31" s="18" t="str">
        <x:v>NYT-13-3f3ceed172488f14</x:v>
      </x:c>
      <x:c r="B31" s="18" t="str">
        <x:v>Napoleon</x:v>
      </x:c>
      <x:c r="C31" s="18" t="str"/>
      <x:c r="D31" s="18" t="str"/>
      <x:c r="E31" s="18" t="str"/>
      <x:c r="F31" s="18" t="str"/>
      <x:c r="G31" s="18" t="str"/>
      <x:c r="H31" s="18" t="str">
        <x:v>First French Empire</x:v>
      </x:c>
      <x:c r="I31" s="18" t="str">
        <x:v>First French Empire</x:v>
      </x:c>
      <x:c r="J31" s="20" t="str"/>
      <x:c r="K31" s="18" t="str"/>
      <x:c r="L31" s="20" t="str">
        <x:v>First French Empire</x:v>
      </x:c>
      <x:c r="M31" s="18" t="str">
        <x:v>Napoleon</x:v>
      </x:c>
      <x:c r="N31" s="20" t="str">
        <x:v>Q71084</x:v>
      </x:c>
      <x:c r="O31" s="18" t="str">
        <x:v>First Consul</x:v>
      </x:c>
      <x:c r="P31" s="18" t="str">
        <x:v>Q517</x:v>
      </x:c>
      <x:c r="Q31" s="18" t="n">
        <x:v>-36574</x:v>
      </x:c>
      <x:c r="R31" s="18" t="str">
        <x:v>COMPLETE_FINITE_SNAPSHOT</x:v>
      </x:c>
      <x:c r="S31" s="18" t="str">
        <x:v>Complete returned current head-of-state statements for sovereign-state universe</x:v>
      </x:c>
      <x:c r="T31" s="18" t="str"/>
      <x:c r="U31" s="18" t="str"/>
      <x:c r="V31" s="20" t="n">
        <x:v>252</x:v>
      </x:c>
      <x:c r="W31" s="19" t="str">
        <x:f>IFERROR(TODAY()-DATEVALUE(C31),"")</x:f>
      </x:c>
      <x:c r="X31" s="21" t="n">
        <x:f>ROUND(COUNTA(A31:K31)/11*100,0)</x:f>
        <x:v>100</x:v>
      </x:c>
      <x:c r="Y31" s="18" t="str">
        <x:v>Wikidata</x:v>
      </x:c>
      <x:c r="Z31" s="22" t="str">
        <x:v>http://www.wikidata.org/entity/Q517</x:v>
      </x:c>
      <x:c r="AA31" s="18" t="str"/>
      <x:c r="AB31" s="18" t="n">
        <x:v>46275.416216736114</x:v>
      </x:c>
      <x:c r="AC31" s="18" t="str">
        <x:v>independent_public</x:v>
      </x:c>
      <x:c r="AD31" s="18" t="str">
        <x:v>PARTIAL_NO_DATE</x:v>
      </x:c>
    </x:row>
    <x:row r="32">
      <x:c r="A32" s="18" t="str">
        <x:v>NYT-13-46ce84ca5ad11d5f</x:v>
      </x:c>
      <x:c r="B32" s="18" t="str">
        <x:v>Jennifer Geerlings-Simons</x:v>
      </x:c>
      <x:c r="C32" s="18" t="str"/>
      <x:c r="D32" s="18" t="str"/>
      <x:c r="E32" s="18" t="str"/>
      <x:c r="F32" s="18" t="str"/>
      <x:c r="G32" s="18" t="str"/>
      <x:c r="H32" s="18" t="str">
        <x:v>Suriname</x:v>
      </x:c>
      <x:c r="I32" s="18" t="str">
        <x:v>Suriname</x:v>
      </x:c>
      <x:c r="J32" s="20" t="str"/>
      <x:c r="K32" s="18" t="str"/>
      <x:c r="L32" s="20" t="str">
        <x:v>Suriname</x:v>
      </x:c>
      <x:c r="M32" s="18" t="str">
        <x:v>Jennifer Geerlings-Simons</x:v>
      </x:c>
      <x:c r="N32" s="20" t="str">
        <x:v>Q730</x:v>
      </x:c>
      <x:c r="O32" s="18" t="str">
        <x:v>President of Suriname</x:v>
      </x:c>
      <x:c r="P32" s="18" t="str">
        <x:v>Q440403</x:v>
      </x:c>
      <x:c r="Q32" s="18" t="n">
        <x:v>45844</x:v>
      </x:c>
      <x:c r="R32" s="18" t="str">
        <x:v>COMPLETE_FINITE_SNAPSHOT</x:v>
      </x:c>
      <x:c r="S32" s="18" t="str">
        <x:v>Complete returned current head-of-state statements for sovereign-state universe</x:v>
      </x:c>
      <x:c r="T32" s="18" t="str"/>
      <x:c r="U32" s="18" t="str"/>
      <x:c r="V32" s="20" t="n">
        <x:v>252</x:v>
      </x:c>
      <x:c r="W32" s="19" t="str">
        <x:f>IFERROR(TODAY()-DATEVALUE(C32),"")</x:f>
      </x:c>
      <x:c r="X32" s="21" t="n">
        <x:f>ROUND(COUNTA(A32:K32)/11*100,0)</x:f>
        <x:v>100</x:v>
      </x:c>
      <x:c r="Y32" s="18" t="str">
        <x:v>Wikidata</x:v>
      </x:c>
      <x:c r="Z32" s="22" t="str">
        <x:v>http://www.wikidata.org/entity/Q440403</x:v>
      </x:c>
      <x:c r="AA32" s="18" t="str"/>
      <x:c r="AB32" s="18" t="n">
        <x:v>46275.416216736114</x:v>
      </x:c>
      <x:c r="AC32" s="18" t="str">
        <x:v>independent_public</x:v>
      </x:c>
      <x:c r="AD32" s="18" t="str">
        <x:v>PARTIAL_NO_DATE</x:v>
      </x:c>
    </x:row>
    <x:row r="33">
      <x:c r="A33" s="18" t="str">
        <x:v>NYT-13-f3340359ff17ef0a</x:v>
      </x:c>
      <x:c r="B33" s="18" t="str">
        <x:v>Abdel Fattah el-Sisi</x:v>
      </x:c>
      <x:c r="C33" s="18" t="str"/>
      <x:c r="D33" s="18" t="str"/>
      <x:c r="E33" s="18" t="str"/>
      <x:c r="F33" s="18" t="str"/>
      <x:c r="G33" s="18" t="str"/>
      <x:c r="H33" s="18" t="str">
        <x:v>Egypt</x:v>
      </x:c>
      <x:c r="I33" s="18" t="str">
        <x:v>Egypt</x:v>
      </x:c>
      <x:c r="J33" s="20" t="str"/>
      <x:c r="K33" s="18" t="str"/>
      <x:c r="L33" s="20" t="str">
        <x:v>Egypt</x:v>
      </x:c>
      <x:c r="M33" s="18" t="str">
        <x:v>Abdel Fattah el-Sisi</x:v>
      </x:c>
      <x:c r="N33" s="20" t="str">
        <x:v>Q79</x:v>
      </x:c>
      <x:c r="O33" s="18" t="str">
        <x:v>Chairperson of the African Union</x:v>
      </x:c>
      <x:c r="P33" s="18" t="str">
        <x:v>Q307871</x:v>
      </x:c>
      <x:c r="Q33" s="18" t="n">
        <x:v>43506</x:v>
      </x:c>
      <x:c r="R33" s="18" t="str">
        <x:v>COMPLETE_FINITE_SNAPSHOT</x:v>
      </x:c>
      <x:c r="S33" s="18" t="str">
        <x:v>Complete returned current head-of-state statements for sovereign-state universe</x:v>
      </x:c>
      <x:c r="T33" s="18" t="str"/>
      <x:c r="U33" s="18" t="str"/>
      <x:c r="V33" s="20" t="n">
        <x:v>252</x:v>
      </x:c>
      <x:c r="W33" s="19" t="str">
        <x:f>IFERROR(TODAY()-DATEVALUE(C33),"")</x:f>
      </x:c>
      <x:c r="X33" s="21" t="n">
        <x:f>ROUND(COUNTA(A33:K33)/11*100,0)</x:f>
        <x:v>100</x:v>
      </x:c>
      <x:c r="Y33" s="18" t="str">
        <x:v>Wikidata</x:v>
      </x:c>
      <x:c r="Z33" s="22" t="str">
        <x:v>http://www.wikidata.org/entity/Q307871</x:v>
      </x:c>
      <x:c r="AA33" s="18" t="str"/>
      <x:c r="AB33" s="18" t="n">
        <x:v>46275.416216736114</x:v>
      </x:c>
      <x:c r="AC33" s="18" t="str">
        <x:v>independent_public</x:v>
      </x:c>
      <x:c r="AD33" s="18" t="str">
        <x:v>PARTIAL_NO_DATE</x:v>
      </x:c>
    </x:row>
    <x:row r="34">
      <x:c r="A34" s="18" t="str">
        <x:v>NYT-13-a5f8fadb02c2dede</x:v>
      </x:c>
      <x:c r="B34" s="18" t="str">
        <x:v>Vladimir Putin</x:v>
      </x:c>
      <x:c r="C34" s="18" t="str"/>
      <x:c r="D34" s="18" t="str"/>
      <x:c r="E34" s="18" t="str"/>
      <x:c r="F34" s="18" t="str"/>
      <x:c r="G34" s="18" t="str"/>
      <x:c r="H34" s="18" t="str">
        <x:v>Russia</x:v>
      </x:c>
      <x:c r="I34" s="18" t="str">
        <x:v>Russia</x:v>
      </x:c>
      <x:c r="J34" s="20" t="str"/>
      <x:c r="K34" s="18" t="str"/>
      <x:c r="L34" s="20" t="str">
        <x:v>Russia</x:v>
      </x:c>
      <x:c r="M34" s="18" t="str">
        <x:v>Vladimir Putin</x:v>
      </x:c>
      <x:c r="N34" s="20" t="str">
        <x:v>Q159</x:v>
      </x:c>
      <x:c r="O34" s="18" t="str">
        <x:v>President of Russia</x:v>
      </x:c>
      <x:c r="P34" s="18" t="str">
        <x:v>Q7747</x:v>
      </x:c>
      <x:c r="Q34" s="18" t="n">
        <x:v>36653</x:v>
      </x:c>
      <x:c r="R34" s="18" t="str">
        <x:v>COMPLETE_FINITE_SNAPSHOT</x:v>
      </x:c>
      <x:c r="S34" s="18" t="str">
        <x:v>Complete returned current head-of-state statements for sovereign-state universe</x:v>
      </x:c>
      <x:c r="T34" s="18" t="str"/>
      <x:c r="U34" s="18" t="str"/>
      <x:c r="V34" s="20" t="n">
        <x:v>252</x:v>
      </x:c>
      <x:c r="W34" s="19" t="str">
        <x:f>IFERROR(TODAY()-DATEVALUE(C34),"")</x:f>
      </x:c>
      <x:c r="X34" s="21" t="n">
        <x:f>ROUND(COUNTA(A34:K34)/11*100,0)</x:f>
        <x:v>100</x:v>
      </x:c>
      <x:c r="Y34" s="18" t="str">
        <x:v>Wikidata</x:v>
      </x:c>
      <x:c r="Z34" s="22" t="str">
        <x:v>http://www.wikidata.org/entity/Q7747</x:v>
      </x:c>
      <x:c r="AA34" s="18" t="str"/>
      <x:c r="AB34" s="18" t="n">
        <x:v>46275.416216736114</x:v>
      </x:c>
      <x:c r="AC34" s="18" t="str">
        <x:v>independent_public</x:v>
      </x:c>
      <x:c r="AD34" s="18" t="str">
        <x:v>PARTIAL_NO_DATE</x:v>
      </x:c>
    </x:row>
    <x:row r="35">
      <x:c r="A35" s="18" t="str">
        <x:v>NYT-13-3a894d1b5725ca43</x:v>
      </x:c>
      <x:c r="B35" s="18" t="str">
        <x:v>João Lourenço</x:v>
      </x:c>
      <x:c r="C35" s="18" t="str"/>
      <x:c r="D35" s="18" t="str"/>
      <x:c r="E35" s="18" t="str"/>
      <x:c r="F35" s="18" t="str"/>
      <x:c r="G35" s="18" t="str"/>
      <x:c r="H35" s="18" t="str">
        <x:v>Angola</x:v>
      </x:c>
      <x:c r="I35" s="18" t="str">
        <x:v>Angola</x:v>
      </x:c>
      <x:c r="J35" s="20" t="str"/>
      <x:c r="K35" s="18" t="str"/>
      <x:c r="L35" s="20" t="str">
        <x:v>Angola</x:v>
      </x:c>
      <x:c r="M35" s="18" t="str">
        <x:v>João Lourenço</x:v>
      </x:c>
      <x:c r="N35" s="20" t="str">
        <x:v>Q916</x:v>
      </x:c>
      <x:c r="O35" s="18" t="str">
        <x:v>President of Angola</x:v>
      </x:c>
      <x:c r="P35" s="18" t="str">
        <x:v>Q28650390</x:v>
      </x:c>
      <x:c r="Q35" s="18" t="n">
        <x:v>43004</x:v>
      </x:c>
      <x:c r="R35" s="18" t="str">
        <x:v>COMPLETE_FINITE_SNAPSHOT</x:v>
      </x:c>
      <x:c r="S35" s="18" t="str">
        <x:v>Complete returned current head-of-state statements for sovereign-state universe</x:v>
      </x:c>
      <x:c r="T35" s="18" t="str"/>
      <x:c r="U35" s="18" t="str"/>
      <x:c r="V35" s="20" t="n">
        <x:v>252</x:v>
      </x:c>
      <x:c r="W35" s="19" t="str">
        <x:f>IFERROR(TODAY()-DATEVALUE(C35),"")</x:f>
      </x:c>
      <x:c r="X35" s="21" t="n">
        <x:f>ROUND(COUNTA(A35:K35)/11*100,0)</x:f>
        <x:v>100</x:v>
      </x:c>
      <x:c r="Y35" s="18" t="str">
        <x:v>Wikidata</x:v>
      </x:c>
      <x:c r="Z35" s="22" t="str">
        <x:v>http://www.wikidata.org/entity/Q28650390</x:v>
      </x:c>
      <x:c r="AA35" s="18" t="str"/>
      <x:c r="AB35" s="18" t="n">
        <x:v>46275.416216736114</x:v>
      </x:c>
      <x:c r="AC35" s="18" t="str">
        <x:v>independent_public</x:v>
      </x:c>
      <x:c r="AD35" s="18" t="str">
        <x:v>PARTIAL_NO_DATE</x:v>
      </x:c>
    </x:row>
    <x:row r="36">
      <x:c r="A36" s="18" t="str">
        <x:v>NYT-13-810f572aeeb99fb5</x:v>
      </x:c>
      <x:c r="B36" s="18" t="str">
        <x:v>Salman bin Abdulaziz Al Saud</x:v>
      </x:c>
      <x:c r="C36" s="18" t="str"/>
      <x:c r="D36" s="18" t="str"/>
      <x:c r="E36" s="18" t="str"/>
      <x:c r="F36" s="18" t="str"/>
      <x:c r="G36" s="18" t="str"/>
      <x:c r="H36" s="18" t="str">
        <x:v>Saudi Arabia</x:v>
      </x:c>
      <x:c r="I36" s="18" t="str">
        <x:v>Saudi Arabia</x:v>
      </x:c>
      <x:c r="J36" s="20" t="str"/>
      <x:c r="K36" s="18" t="str"/>
      <x:c r="L36" s="20" t="str">
        <x:v>Saudi Arabia</x:v>
      </x:c>
      <x:c r="M36" s="18" t="str">
        <x:v>Salman bin Abdulaziz Al Saud</x:v>
      </x:c>
      <x:c r="N36" s="20" t="str">
        <x:v>Q851</x:v>
      </x:c>
      <x:c r="O36" s="18" t="str">
        <x:v>House of Saud Council</x:v>
      </x:c>
      <x:c r="P36" s="18" t="str">
        <x:v>Q367825</x:v>
      </x:c>
      <x:c r="Q36" s="18" t="n">
        <x:v>38565</x:v>
      </x:c>
      <x:c r="R36" s="18" t="str">
        <x:v>COMPLETE_FINITE_SNAPSHOT</x:v>
      </x:c>
      <x:c r="S36" s="18" t="str">
        <x:v>Complete returned current head-of-state statements for sovereign-state universe</x:v>
      </x:c>
      <x:c r="T36" s="18" t="str"/>
      <x:c r="U36" s="18" t="str"/>
      <x:c r="V36" s="20" t="n">
        <x:v>252</x:v>
      </x:c>
      <x:c r="W36" s="19" t="str">
        <x:f>IFERROR(TODAY()-DATEVALUE(C36),"")</x:f>
      </x:c>
      <x:c r="X36" s="21" t="n">
        <x:f>ROUND(COUNTA(A36:K36)/11*100,0)</x:f>
        <x:v>100</x:v>
      </x:c>
      <x:c r="Y36" s="18" t="str">
        <x:v>Wikidata</x:v>
      </x:c>
      <x:c r="Z36" s="22" t="str">
        <x:v>http://www.wikidata.org/entity/Q367825</x:v>
      </x:c>
      <x:c r="AA36" s="18" t="str"/>
      <x:c r="AB36" s="18" t="n">
        <x:v>46275.416216736114</x:v>
      </x:c>
      <x:c r="AC36" s="18" t="str">
        <x:v>independent_public</x:v>
      </x:c>
      <x:c r="AD36" s="18" t="str">
        <x:v>PARTIAL_NO_DATE</x:v>
      </x:c>
    </x:row>
    <x:row r="37">
      <x:c r="A37" s="18" t="str">
        <x:v>NYT-13-a09acf7a177dfb82</x:v>
      </x:c>
      <x:c r="B37" s="18" t="str">
        <x:v>Alexander Lukashenka</x:v>
      </x:c>
      <x:c r="C37" s="18" t="str"/>
      <x:c r="D37" s="18" t="str"/>
      <x:c r="E37" s="18" t="str"/>
      <x:c r="F37" s="18" t="str"/>
      <x:c r="G37" s="18" t="str"/>
      <x:c r="H37" s="18" t="str">
        <x:v>Belarus</x:v>
      </x:c>
      <x:c r="I37" s="18" t="str">
        <x:v>Belarus</x:v>
      </x:c>
      <x:c r="J37" s="20" t="str"/>
      <x:c r="K37" s="18" t="str"/>
      <x:c r="L37" s="20" t="str">
        <x:v>Belarus</x:v>
      </x:c>
      <x:c r="M37" s="18" t="str">
        <x:v>Alexander Lukashenka</x:v>
      </x:c>
      <x:c r="N37" s="20" t="str">
        <x:v>Q184</x:v>
      </x:c>
      <x:c r="O37" s="18" t="str">
        <x:v>Chairman of the Council of CIS Heads of State</x:v>
      </x:c>
      <x:c r="P37" s="18" t="str">
        <x:v>Q2866</x:v>
      </x:c>
      <x:c r="Q37" s="18" t="n">
        <x:v>41275</x:v>
      </x:c>
      <x:c r="R37" s="18" t="str">
        <x:v>COMPLETE_FINITE_SNAPSHOT</x:v>
      </x:c>
      <x:c r="S37" s="18" t="str">
        <x:v>Complete returned current head-of-state statements for sovereign-state universe</x:v>
      </x:c>
      <x:c r="T37" s="18" t="str"/>
      <x:c r="U37" s="18" t="str"/>
      <x:c r="V37" s="20" t="n">
        <x:v>252</x:v>
      </x:c>
      <x:c r="W37" s="19" t="str">
        <x:f>IFERROR(TODAY()-DATEVALUE(C37),"")</x:f>
      </x:c>
      <x:c r="X37" s="21" t="n">
        <x:f>ROUND(COUNTA(A37:K37)/11*100,0)</x:f>
        <x:v>100</x:v>
      </x:c>
      <x:c r="Y37" s="18" t="str">
        <x:v>Wikidata</x:v>
      </x:c>
      <x:c r="Z37" s="22" t="str">
        <x:v>http://www.wikidata.org/entity/Q2866</x:v>
      </x:c>
      <x:c r="AA37" s="18" t="str"/>
      <x:c r="AB37" s="18" t="n">
        <x:v>46275.416216736114</x:v>
      </x:c>
      <x:c r="AC37" s="18" t="str">
        <x:v>independent_public</x:v>
      </x:c>
      <x:c r="AD37" s="18" t="str">
        <x:v>PARTIAL_NO_DATE</x:v>
      </x:c>
    </x:row>
    <x:row r="38">
      <x:c r="A38" s="18" t="str">
        <x:v>NYT-13-9b0b44fbf79b71c0</x:v>
      </x:c>
      <x:c r="B38" s="18" t="str">
        <x:v>Albert I of Belgium</x:v>
      </x:c>
      <x:c r="C38" s="18" t="str"/>
      <x:c r="D38" s="18" t="str"/>
      <x:c r="E38" s="18" t="str"/>
      <x:c r="F38" s="18" t="str"/>
      <x:c r="G38" s="18" t="str"/>
      <x:c r="H38" s="18" t="str">
        <x:v>Belgian Empire</x:v>
      </x:c>
      <x:c r="I38" s="18" t="str">
        <x:v>Belgian Empire</x:v>
      </x:c>
      <x:c r="J38" s="20" t="str"/>
      <x:c r="K38" s="18" t="str"/>
      <x:c r="L38" s="20" t="str">
        <x:v>Belgian Empire</x:v>
      </x:c>
      <x:c r="M38" s="18" t="str">
        <x:v>Albert I of Belgium</x:v>
      </x:c>
      <x:c r="N38" s="20" t="str">
        <x:v>Q815524</x:v>
      </x:c>
      <x:c r="O38" s="18" t="str">
        <x:v>King of the Belgians</x:v>
      </x:c>
      <x:c r="P38" s="18" t="str">
        <x:v>Q55008046</x:v>
      </x:c>
      <x:c r="Q38" s="18" t="n">
        <x:v>3645</x:v>
      </x:c>
      <x:c r="R38" s="18" t="str">
        <x:v>COMPLETE_FINITE_SNAPSHOT</x:v>
      </x:c>
      <x:c r="S38" s="18" t="str">
        <x:v>Complete returned current head-of-state statements for sovereign-state universe</x:v>
      </x:c>
      <x:c r="T38" s="18" t="str"/>
      <x:c r="U38" s="18" t="str"/>
      <x:c r="V38" s="20" t="n">
        <x:v>252</x:v>
      </x:c>
      <x:c r="W38" s="19" t="str">
        <x:f>IFERROR(TODAY()-DATEVALUE(C38),"")</x:f>
      </x:c>
      <x:c r="X38" s="21" t="n">
        <x:f>ROUND(COUNTA(A38:K38)/11*100,0)</x:f>
        <x:v>100</x:v>
      </x:c>
      <x:c r="Y38" s="18" t="str">
        <x:v>Wikidata</x:v>
      </x:c>
      <x:c r="Z38" s="22" t="str">
        <x:v>http://www.wikidata.org/entity/Q55008046</x:v>
      </x:c>
      <x:c r="AA38" s="18" t="str"/>
      <x:c r="AB38" s="18" t="n">
        <x:v>46275.416216736114</x:v>
      </x:c>
      <x:c r="AC38" s="18" t="str">
        <x:v>independent_public</x:v>
      </x:c>
      <x:c r="AD38" s="18" t="str">
        <x:v>PARTIAL_NO_DATE</x:v>
      </x:c>
    </x:row>
    <x:row r="39">
      <x:c r="A39" s="18" t="str">
        <x:v>NYT-13-07bb253ca0cd7c38</x:v>
      </x:c>
      <x:c r="B39" s="18" t="str">
        <x:v>Mohamed Ould Ghazouani</x:v>
      </x:c>
      <x:c r="C39" s="18" t="str"/>
      <x:c r="D39" s="18" t="str"/>
      <x:c r="E39" s="18" t="str"/>
      <x:c r="F39" s="18" t="str"/>
      <x:c r="G39" s="18" t="str"/>
      <x:c r="H39" s="18" t="str">
        <x:v>Mauritania</x:v>
      </x:c>
      <x:c r="I39" s="18" t="str">
        <x:v>Mauritania</x:v>
      </x:c>
      <x:c r="J39" s="20" t="str"/>
      <x:c r="K39" s="18" t="str"/>
      <x:c r="L39" s="20" t="str">
        <x:v>Mauritania</x:v>
      </x:c>
      <x:c r="M39" s="18" t="str">
        <x:v>Mohamed Ould Ghazouani</x:v>
      </x:c>
      <x:c r="N39" s="20" t="str">
        <x:v>Q1025</x:v>
      </x:c>
      <x:c r="O39" s="18" t="str">
        <x:v>Defence Minister of Mauritania</x:v>
      </x:c>
      <x:c r="P39" s="18" t="str">
        <x:v>Q12241106</x:v>
      </x:c>
      <x:c r="Q39" s="18" t="n">
        <x:v>43403</x:v>
      </x:c>
      <x:c r="R39" s="18" t="str">
        <x:v>COMPLETE_FINITE_SNAPSHOT</x:v>
      </x:c>
      <x:c r="S39" s="18" t="str">
        <x:v>Complete returned current head-of-state statements for sovereign-state universe</x:v>
      </x:c>
      <x:c r="T39" s="18" t="str"/>
      <x:c r="U39" s="18" t="str"/>
      <x:c r="V39" s="20" t="n">
        <x:v>252</x:v>
      </x:c>
      <x:c r="W39" s="19" t="str">
        <x:f>IFERROR(TODAY()-DATEVALUE(C39),"")</x:f>
      </x:c>
      <x:c r="X39" s="21" t="n">
        <x:f>ROUND(COUNTA(A39:K39)/11*100,0)</x:f>
        <x:v>100</x:v>
      </x:c>
      <x:c r="Y39" s="18" t="str">
        <x:v>Wikidata</x:v>
      </x:c>
      <x:c r="Z39" s="22" t="str">
        <x:v>http://www.wikidata.org/entity/Q12241106</x:v>
      </x:c>
      <x:c r="AA39" s="18" t="str"/>
      <x:c r="AB39" s="18" t="n">
        <x:v>46275.416216736114</x:v>
      </x:c>
      <x:c r="AC39" s="18" t="str">
        <x:v>independent_public</x:v>
      </x:c>
      <x:c r="AD39" s="18" t="str">
        <x:v>PARTIAL_NO_DATE</x:v>
      </x:c>
    </x:row>
    <x:row r="40">
      <x:c r="A40" s="18" t="str">
        <x:v>NYT-13-2cf6eff3d4983f8c</x:v>
      </x:c>
      <x:c r="B40" s="18" t="str">
        <x:v>Gitanas Nausėda</x:v>
      </x:c>
      <x:c r="C40" s="18" t="str"/>
      <x:c r="D40" s="18" t="str"/>
      <x:c r="E40" s="18" t="str"/>
      <x:c r="F40" s="18" t="str"/>
      <x:c r="G40" s="18" t="str"/>
      <x:c r="H40" s="18" t="str">
        <x:v>Lithuania</x:v>
      </x:c>
      <x:c r="I40" s="18" t="str">
        <x:v>Lithuania</x:v>
      </x:c>
      <x:c r="J40" s="20" t="str"/>
      <x:c r="K40" s="18" t="str"/>
      <x:c r="L40" s="20" t="str">
        <x:v>Lithuania</x:v>
      </x:c>
      <x:c r="M40" s="18" t="str">
        <x:v>Gitanas Nausėda</x:v>
      </x:c>
      <x:c r="N40" s="20" t="str">
        <x:v>Q37</x:v>
      </x:c>
      <x:c r="O40" s="18" t="str">
        <x:v>President of the Republic of Lithuania</x:v>
      </x:c>
      <x:c r="P40" s="18" t="str">
        <x:v>Q9268379</x:v>
      </x:c>
      <x:c r="Q40" s="18" t="n">
        <x:v>43658</x:v>
      </x:c>
      <x:c r="R40" s="18" t="str">
        <x:v>COMPLETE_FINITE_SNAPSHOT</x:v>
      </x:c>
      <x:c r="S40" s="18" t="str">
        <x:v>Complete returned current head-of-state statements for sovereign-state universe</x:v>
      </x:c>
      <x:c r="T40" s="18" t="str"/>
      <x:c r="U40" s="18" t="str"/>
      <x:c r="V40" s="20" t="n">
        <x:v>252</x:v>
      </x:c>
      <x:c r="W40" s="19" t="str">
        <x:f>IFERROR(TODAY()-DATEVALUE(C40),"")</x:f>
      </x:c>
      <x:c r="X40" s="21" t="n">
        <x:f>ROUND(COUNTA(A40:K40)/11*100,0)</x:f>
        <x:v>100</x:v>
      </x:c>
      <x:c r="Y40" s="18" t="str">
        <x:v>Wikidata</x:v>
      </x:c>
      <x:c r="Z40" s="22" t="str">
        <x:v>http://www.wikidata.org/entity/Q9268379</x:v>
      </x:c>
      <x:c r="AA40" s="18" t="str"/>
      <x:c r="AB40" s="18" t="n">
        <x:v>46275.416216736114</x:v>
      </x:c>
      <x:c r="AC40" s="18" t="str">
        <x:v>independent_public</x:v>
      </x:c>
      <x:c r="AD40" s="18" t="str">
        <x:v>PARTIAL_NO_DATE</x:v>
      </x:c>
    </x:row>
    <x:row r="41">
      <x:c r="A41" s="18" t="str">
        <x:v>NYT-13-1b1d1c6f95878350</x:v>
      </x:c>
      <x:c r="B41" s="18" t="str">
        <x:v>Ahmed al-Sharaa</x:v>
      </x:c>
      <x:c r="C41" s="18" t="str"/>
      <x:c r="D41" s="18" t="str"/>
      <x:c r="E41" s="18" t="str"/>
      <x:c r="F41" s="18" t="str"/>
      <x:c r="G41" s="18" t="str"/>
      <x:c r="H41" s="18" t="str">
        <x:v>Syria</x:v>
      </x:c>
      <x:c r="I41" s="18" t="str">
        <x:v>Syria</x:v>
      </x:c>
      <x:c r="J41" s="20" t="str"/>
      <x:c r="K41" s="18" t="str"/>
      <x:c r="L41" s="20" t="str">
        <x:v>Syria</x:v>
      </x:c>
      <x:c r="M41" s="18" t="str">
        <x:v>Ahmed al-Sharaa</x:v>
      </x:c>
      <x:c r="N41" s="20" t="str">
        <x:v>Q858</x:v>
      </x:c>
      <x:c r="O41" s="18" t="str">
        <x:v>De facto Leader of Syria</x:v>
      </x:c>
      <x:c r="P41" s="18" t="str">
        <x:v>Q7934206</x:v>
      </x:c>
      <x:c r="Q41" s="18" t="n">
        <x:v>45634</x:v>
      </x:c>
      <x:c r="R41" s="18" t="str">
        <x:v>COMPLETE_FINITE_SNAPSHOT</x:v>
      </x:c>
      <x:c r="S41" s="18" t="str">
        <x:v>Complete returned current head-of-state statements for sovereign-state universe</x:v>
      </x:c>
      <x:c r="T41" s="18" t="str"/>
      <x:c r="U41" s="18" t="str"/>
      <x:c r="V41" s="20" t="n">
        <x:v>252</x:v>
      </x:c>
      <x:c r="W41" s="19" t="str">
        <x:f>IFERROR(TODAY()-DATEVALUE(C41),"")</x:f>
      </x:c>
      <x:c r="X41" s="21" t="n">
        <x:f>ROUND(COUNTA(A41:K41)/11*100,0)</x:f>
        <x:v>100</x:v>
      </x:c>
      <x:c r="Y41" s="18" t="str">
        <x:v>Wikidata</x:v>
      </x:c>
      <x:c r="Z41" s="22" t="str">
        <x:v>http://www.wikidata.org/entity/Q7934206</x:v>
      </x:c>
      <x:c r="AA41" s="18" t="str"/>
      <x:c r="AB41" s="18" t="n">
        <x:v>46275.416216736114</x:v>
      </x:c>
      <x:c r="AC41" s="18" t="str">
        <x:v>independent_public</x:v>
      </x:c>
      <x:c r="AD41" s="18" t="str">
        <x:v>PARTIAL_NO_DATE</x:v>
      </x:c>
    </x:row>
    <x:row r="42">
      <x:c r="A42" s="18" t="str">
        <x:v>NYT-13-d1a40d5e439f7675</x:v>
      </x:c>
      <x:c r="B42" s="18" t="str">
        <x:v>Wesley Simina</x:v>
      </x:c>
      <x:c r="C42" s="18" t="str"/>
      <x:c r="D42" s="18" t="str"/>
      <x:c r="E42" s="18" t="str"/>
      <x:c r="F42" s="18" t="str"/>
      <x:c r="G42" s="18" t="str"/>
      <x:c r="H42" s="18" t="str">
        <x:v>Federated States of Micronesia</x:v>
      </x:c>
      <x:c r="I42" s="18" t="str">
        <x:v>Federated States of Micronesia</x:v>
      </x:c>
      <x:c r="J42" s="20" t="str"/>
      <x:c r="K42" s="18" t="str"/>
      <x:c r="L42" s="20" t="str">
        <x:v>Federated States of Micronesia</x:v>
      </x:c>
      <x:c r="M42" s="18" t="str">
        <x:v>Wesley Simina</x:v>
      </x:c>
      <x:c r="N42" s="20" t="str">
        <x:v>Q702</x:v>
      </x:c>
      <x:c r="O42" s="18" t="str">
        <x:v>President of the Federated States of Micronesia</x:v>
      </x:c>
      <x:c r="P42" s="18" t="str">
        <x:v>Q7984081</x:v>
      </x:c>
      <x:c r="Q42" s="18" t="n">
        <x:v>45057</x:v>
      </x:c>
      <x:c r="R42" s="18" t="str">
        <x:v>COMPLETE_FINITE_SNAPSHOT</x:v>
      </x:c>
      <x:c r="S42" s="18" t="str">
        <x:v>Complete returned current head-of-state statements for sovereign-state universe</x:v>
      </x:c>
      <x:c r="T42" s="18" t="str"/>
      <x:c r="U42" s="18" t="str"/>
      <x:c r="V42" s="20" t="n">
        <x:v>252</x:v>
      </x:c>
      <x:c r="W42" s="19" t="str">
        <x:f>IFERROR(TODAY()-DATEVALUE(C42),"")</x:f>
      </x:c>
      <x:c r="X42" s="21" t="n">
        <x:f>ROUND(COUNTA(A42:K42)/11*100,0)</x:f>
        <x:v>100</x:v>
      </x:c>
      <x:c r="Y42" s="18" t="str">
        <x:v>Wikidata</x:v>
      </x:c>
      <x:c r="Z42" s="22" t="str">
        <x:v>http://www.wikidata.org/entity/Q7984081</x:v>
      </x:c>
      <x:c r="AA42" s="18" t="str"/>
      <x:c r="AB42" s="18" t="n">
        <x:v>46275.416216736114</x:v>
      </x:c>
      <x:c r="AC42" s="18" t="str">
        <x:v>independent_public</x:v>
      </x:c>
      <x:c r="AD42" s="18" t="str">
        <x:v>PARTIAL_NO_DATE</x:v>
      </x:c>
    </x:row>
    <x:row r="43">
      <x:c r="A43" s="18" t="str">
        <x:v>NYT-13-8a93c66594de876a</x:v>
      </x:c>
      <x:c r="B43" s="18" t="str">
        <x:v>Kevin Baugh</x:v>
      </x:c>
      <x:c r="C43" s="18" t="str"/>
      <x:c r="D43" s="18" t="str"/>
      <x:c r="E43" s="18" t="str"/>
      <x:c r="F43" s="18" t="str"/>
      <x:c r="G43" s="18" t="str"/>
      <x:c r="H43" s="18" t="str">
        <x:v>Republic of Molossia</x:v>
      </x:c>
      <x:c r="I43" s="18" t="str">
        <x:v>Republic of Molossia</x:v>
      </x:c>
      <x:c r="J43" s="20" t="str"/>
      <x:c r="K43" s="18" t="str"/>
      <x:c r="L43" s="20" t="str">
        <x:v>Republic of Molossia</x:v>
      </x:c>
      <x:c r="M43" s="18" t="str">
        <x:v>Kevin Baugh</x:v>
      </x:c>
      <x:c r="N43" s="20" t="str">
        <x:v>Q1155768</x:v>
      </x:c>
      <x:c r="O43" s="18" t="str">
        <x:v>President of Molossia</x:v>
      </x:c>
      <x:c r="P43" s="18" t="str">
        <x:v>Q5959278</x:v>
      </x:c>
      <x:c r="Q43" s="18" t="n">
        <x:v>36406</x:v>
      </x:c>
      <x:c r="R43" s="18" t="str">
        <x:v>COMPLETE_FINITE_SNAPSHOT</x:v>
      </x:c>
      <x:c r="S43" s="18" t="str">
        <x:v>Complete returned current head-of-state statements for sovereign-state universe</x:v>
      </x:c>
      <x:c r="T43" s="18" t="str"/>
      <x:c r="U43" s="18" t="str"/>
      <x:c r="V43" s="20" t="n">
        <x:v>252</x:v>
      </x:c>
      <x:c r="W43" s="19" t="str">
        <x:f>IFERROR(TODAY()-DATEVALUE(C43),"")</x:f>
      </x:c>
      <x:c r="X43" s="21" t="n">
        <x:f>ROUND(COUNTA(A43:K43)/11*100,0)</x:f>
        <x:v>100</x:v>
      </x:c>
      <x:c r="Y43" s="18" t="str">
        <x:v>Wikidata</x:v>
      </x:c>
      <x:c r="Z43" s="22" t="str">
        <x:v>http://www.wikidata.org/entity/Q5959278</x:v>
      </x:c>
      <x:c r="AA43" s="18" t="str"/>
      <x:c r="AB43" s="18" t="n">
        <x:v>46275.416216736114</x:v>
      </x:c>
      <x:c r="AC43" s="18" t="str">
        <x:v>independent_public</x:v>
      </x:c>
      <x:c r="AD43" s="18" t="str">
        <x:v>PARTIAL_NO_DATE</x:v>
      </x:c>
    </x:row>
    <x:row r="44">
      <x:c r="A44" s="18" t="str">
        <x:v>NYT-13-26e67997a816ed2e</x:v>
      </x:c>
      <x:c r="B44" s="18" t="str">
        <x:v>Mishal Al-Ahmad Al-Jaber Al-Sabah</x:v>
      </x:c>
      <x:c r="C44" s="18" t="str"/>
      <x:c r="D44" s="18" t="str"/>
      <x:c r="E44" s="18" t="str"/>
      <x:c r="F44" s="18" t="str"/>
      <x:c r="G44" s="18" t="str"/>
      <x:c r="H44" s="18" t="str">
        <x:v>Kuwait</x:v>
      </x:c>
      <x:c r="I44" s="18" t="str">
        <x:v>Kuwait</x:v>
      </x:c>
      <x:c r="J44" s="20" t="str"/>
      <x:c r="K44" s="18" t="str"/>
      <x:c r="L44" s="20" t="str">
        <x:v>Kuwait</x:v>
      </x:c>
      <x:c r="M44" s="18" t="str">
        <x:v>Mishal Al-Ahmad Al-Jaber Al-Sabah</x:v>
      </x:c>
      <x:c r="N44" s="20" t="str">
        <x:v>Q817</x:v>
      </x:c>
      <x:c r="O44" s="18" t="str">
        <x:v>emir of Kuwait</x:v>
      </x:c>
      <x:c r="P44" s="18" t="str">
        <x:v>Q12243161</x:v>
      </x:c>
      <x:c r="Q44" s="18" t="n">
        <x:v>45276</x:v>
      </x:c>
      <x:c r="R44" s="18" t="str">
        <x:v>COMPLETE_FINITE_SNAPSHOT</x:v>
      </x:c>
      <x:c r="S44" s="18" t="str">
        <x:v>Complete returned current head-of-state statements for sovereign-state universe</x:v>
      </x:c>
      <x:c r="T44" s="18" t="str"/>
      <x:c r="U44" s="18" t="str"/>
      <x:c r="V44" s="20" t="n">
        <x:v>252</x:v>
      </x:c>
      <x:c r="W44" s="19" t="str">
        <x:f>IFERROR(TODAY()-DATEVALUE(C44),"")</x:f>
      </x:c>
      <x:c r="X44" s="21" t="n">
        <x:f>ROUND(COUNTA(A44:K44)/11*100,0)</x:f>
        <x:v>100</x:v>
      </x:c>
      <x:c r="Y44" s="18" t="str">
        <x:v>Wikidata</x:v>
      </x:c>
      <x:c r="Z44" s="22" t="str">
        <x:v>http://www.wikidata.org/entity/Q12243161</x:v>
      </x:c>
      <x:c r="AA44" s="18" t="str"/>
      <x:c r="AB44" s="18" t="n">
        <x:v>46275.416216736114</x:v>
      </x:c>
      <x:c r="AC44" s="18" t="str">
        <x:v>independent_public</x:v>
      </x:c>
      <x:c r="AD44" s="18" t="str">
        <x:v>PARTIAL_NO_DATE</x:v>
      </x:c>
    </x:row>
    <x:row r="45">
      <x:c r="A45" s="18" t="str">
        <x:v>NYT-13-f38c70f91a7092e3</x:v>
      </x:c>
      <x:c r="B45" s="18" t="str">
        <x:v>Carlos Vila Nova</x:v>
      </x:c>
      <x:c r="C45" s="18" t="str"/>
      <x:c r="D45" s="18" t="str"/>
      <x:c r="E45" s="18" t="str"/>
      <x:c r="F45" s="18" t="str"/>
      <x:c r="G45" s="18" t="str"/>
      <x:c r="H45" s="18" t="str">
        <x:v>São Tomé and Príncipe</x:v>
      </x:c>
      <x:c r="I45" s="18" t="str">
        <x:v>São Tomé and Príncipe</x:v>
      </x:c>
      <x:c r="J45" s="20" t="str"/>
      <x:c r="K45" s="18" t="str"/>
      <x:c r="L45" s="20" t="str">
        <x:v>São Tomé and Príncipe</x:v>
      </x:c>
      <x:c r="M45" s="18" t="str">
        <x:v>Carlos Vila Nova</x:v>
      </x:c>
      <x:c r="N45" s="20" t="str">
        <x:v>Q1039</x:v>
      </x:c>
      <x:c r="O45" s="18" t="str">
        <x:v>President of São Tomé and Príncipe</x:v>
      </x:c>
      <x:c r="P45" s="18" t="str">
        <x:v>Q27982047</x:v>
      </x:c>
      <x:c r="Q45" s="18" t="n">
        <x:v>44471</x:v>
      </x:c>
      <x:c r="R45" s="18" t="str">
        <x:v>COMPLETE_FINITE_SNAPSHOT</x:v>
      </x:c>
      <x:c r="S45" s="18" t="str">
        <x:v>Complete returned current head-of-state statements for sovereign-state universe</x:v>
      </x:c>
      <x:c r="T45" s="18" t="str"/>
      <x:c r="U45" s="18" t="str"/>
      <x:c r="V45" s="20" t="n">
        <x:v>252</x:v>
      </x:c>
      <x:c r="W45" s="19" t="str">
        <x:f>IFERROR(TODAY()-DATEVALUE(C45),"")</x:f>
      </x:c>
      <x:c r="X45" s="21" t="n">
        <x:f>ROUND(COUNTA(A45:K45)/11*100,0)</x:f>
        <x:v>100</x:v>
      </x:c>
      <x:c r="Y45" s="18" t="str">
        <x:v>Wikidata</x:v>
      </x:c>
      <x:c r="Z45" s="22" t="str">
        <x:v>http://www.wikidata.org/entity/Q27982047</x:v>
      </x:c>
      <x:c r="AA45" s="18" t="str"/>
      <x:c r="AB45" s="18" t="n">
        <x:v>46275.416216736114</x:v>
      </x:c>
      <x:c r="AC45" s="18" t="str">
        <x:v>independent_public</x:v>
      </x:c>
      <x:c r="AD45" s="18" t="str">
        <x:v>PARTIAL_NO_DATE</x:v>
      </x:c>
    </x:row>
    <x:row r="46">
      <x:c r="A46" s="18" t="str">
        <x:v>NYT-13-5e3fbdd091fbe792</x:v>
      </x:c>
      <x:c r="B46" s="18" t="str">
        <x:v>Hassan Sheikh Mohamud</x:v>
      </x:c>
      <x:c r="C46" s="18" t="str"/>
      <x:c r="D46" s="18" t="str"/>
      <x:c r="E46" s="18" t="str"/>
      <x:c r="F46" s="18" t="str"/>
      <x:c r="G46" s="18" t="str"/>
      <x:c r="H46" s="18" t="str">
        <x:v>Somalia</x:v>
      </x:c>
      <x:c r="I46" s="18" t="str">
        <x:v>Somalia</x:v>
      </x:c>
      <x:c r="J46" s="20" t="str"/>
      <x:c r="K46" s="18" t="str"/>
      <x:c r="L46" s="20" t="str">
        <x:v>Somalia</x:v>
      </x:c>
      <x:c r="M46" s="18" t="str">
        <x:v>Hassan Sheikh Mohamud</x:v>
      </x:c>
      <x:c r="N46" s="20" t="str">
        <x:v>Q1045</x:v>
      </x:c>
      <x:c r="O46" s="18" t="str">
        <x:v>President of Somalia</x:v>
      </x:c>
      <x:c r="P46" s="18" t="str">
        <x:v>Q319153</x:v>
      </x:c>
      <x:c r="Q46" s="18" t="n">
        <x:v>41162</x:v>
      </x:c>
      <x:c r="R46" s="18" t="str">
        <x:v>COMPLETE_FINITE_SNAPSHOT</x:v>
      </x:c>
      <x:c r="S46" s="18" t="str">
        <x:v>Complete returned current head-of-state statements for sovereign-state universe</x:v>
      </x:c>
      <x:c r="T46" s="18" t="str"/>
      <x:c r="U46" s="18" t="str"/>
      <x:c r="V46" s="20" t="n">
        <x:v>252</x:v>
      </x:c>
      <x:c r="W46" s="19" t="str">
        <x:f>IFERROR(TODAY()-DATEVALUE(C46),"")</x:f>
      </x:c>
      <x:c r="X46" s="21" t="n">
        <x:f>ROUND(COUNTA(A46:K46)/11*100,0)</x:f>
        <x:v>100</x:v>
      </x:c>
      <x:c r="Y46" s="18" t="str">
        <x:v>Wikidata</x:v>
      </x:c>
      <x:c r="Z46" s="22" t="str">
        <x:v>http://www.wikidata.org/entity/Q319153</x:v>
      </x:c>
      <x:c r="AA46" s="18" t="str"/>
      <x:c r="AB46" s="18" t="n">
        <x:v>46275.416216736114</x:v>
      </x:c>
      <x:c r="AC46" s="18" t="str">
        <x:v>independent_public</x:v>
      </x:c>
      <x:c r="AD46" s="18" t="str">
        <x:v>PARTIAL_NO_DATE</x:v>
      </x:c>
    </x:row>
    <x:row r="47">
      <x:c r="A47" s="18" t="str">
        <x:v>NYT-13-c7b169d1d1291993</x:v>
      </x:c>
      <x:c r="B47" s="18" t="str">
        <x:v>José Antonio Kast</x:v>
      </x:c>
      <x:c r="C47" s="18" t="str"/>
      <x:c r="D47" s="18" t="str"/>
      <x:c r="E47" s="18" t="str"/>
      <x:c r="F47" s="18" t="str"/>
      <x:c r="G47" s="18" t="str"/>
      <x:c r="H47" s="18" t="str">
        <x:v>Chile</x:v>
      </x:c>
      <x:c r="I47" s="18" t="str">
        <x:v>Chile</x:v>
      </x:c>
      <x:c r="J47" s="20" t="str"/>
      <x:c r="K47" s="18" t="str"/>
      <x:c r="L47" s="20" t="str">
        <x:v>Chile</x:v>
      </x:c>
      <x:c r="M47" s="18" t="str">
        <x:v>José Antonio Kast</x:v>
      </x:c>
      <x:c r="N47" s="20" t="str">
        <x:v>Q298</x:v>
      </x:c>
      <x:c r="O47" s="18" t="str">
        <x:v>President of Chile</x:v>
      </x:c>
      <x:c r="P47" s="18" t="str">
        <x:v>Q5937916</x:v>
      </x:c>
      <x:c r="Q47" s="18" t="n">
        <x:v>46092</x:v>
      </x:c>
      <x:c r="R47" s="18" t="str">
        <x:v>COMPLETE_FINITE_SNAPSHOT</x:v>
      </x:c>
      <x:c r="S47" s="18" t="str">
        <x:v>Complete returned current head-of-state statements for sovereign-state universe</x:v>
      </x:c>
      <x:c r="T47" s="18" t="str"/>
      <x:c r="U47" s="18" t="str"/>
      <x:c r="V47" s="20" t="n">
        <x:v>252</x:v>
      </x:c>
      <x:c r="W47" s="19" t="str">
        <x:f>IFERROR(TODAY()-DATEVALUE(C47),"")</x:f>
      </x:c>
      <x:c r="X47" s="21" t="n">
        <x:f>ROUND(COUNTA(A47:K47)/11*100,0)</x:f>
        <x:v>100</x:v>
      </x:c>
      <x:c r="Y47" s="18" t="str">
        <x:v>Wikidata</x:v>
      </x:c>
      <x:c r="Z47" s="22" t="str">
        <x:v>http://www.wikidata.org/entity/Q5937916</x:v>
      </x:c>
      <x:c r="AA47" s="18" t="str"/>
      <x:c r="AB47" s="18" t="n">
        <x:v>46275.416216736114</x:v>
      </x:c>
      <x:c r="AC47" s="18" t="str">
        <x:v>independent_public</x:v>
      </x:c>
      <x:c r="AD47" s="18" t="str">
        <x:v>PARTIAL_NO_DATE</x:v>
      </x:c>
    </x:row>
    <x:row r="48">
      <x:c r="A48" s="18" t="str">
        <x:v>NYT-13-22b0fd5acf85978b</x:v>
      </x:c>
      <x:c r="B48" s="18" t="str">
        <x:v>Peter Mutharika</x:v>
      </x:c>
      <x:c r="C48" s="18" t="str"/>
      <x:c r="D48" s="18" t="str"/>
      <x:c r="E48" s="18" t="str"/>
      <x:c r="F48" s="18" t="str"/>
      <x:c r="G48" s="18" t="str"/>
      <x:c r="H48" s="18" t="str">
        <x:v>Malawi</x:v>
      </x:c>
      <x:c r="I48" s="18" t="str">
        <x:v>Malawi</x:v>
      </x:c>
      <x:c r="J48" s="20" t="str"/>
      <x:c r="K48" s="18" t="str"/>
      <x:c r="L48" s="20" t="str">
        <x:v>Malawi</x:v>
      </x:c>
      <x:c r="M48" s="18" t="str">
        <x:v>Peter Mutharika</x:v>
      </x:c>
      <x:c r="N48" s="20" t="str">
        <x:v>Q1020</x:v>
      </x:c>
      <x:c r="O48" s="18" t="str">
        <x:v>President of Malawi</x:v>
      </x:c>
      <x:c r="P48" s="18" t="str">
        <x:v>Q7176020</x:v>
      </x:c>
      <x:c r="Q48" s="18" t="n">
        <x:v>41790</x:v>
      </x:c>
      <x:c r="R48" s="18" t="str">
        <x:v>COMPLETE_FINITE_SNAPSHOT</x:v>
      </x:c>
      <x:c r="S48" s="18" t="str">
        <x:v>Complete returned current head-of-state statements for sovereign-state universe</x:v>
      </x:c>
      <x:c r="T48" s="18" t="str"/>
      <x:c r="U48" s="18" t="str"/>
      <x:c r="V48" s="20" t="n">
        <x:v>252</x:v>
      </x:c>
      <x:c r="W48" s="19" t="str">
        <x:f>IFERROR(TODAY()-DATEVALUE(C48),"")</x:f>
      </x:c>
      <x:c r="X48" s="21" t="n">
        <x:f>ROUND(COUNTA(A48:K48)/11*100,0)</x:f>
        <x:v>100</x:v>
      </x:c>
      <x:c r="Y48" s="18" t="str">
        <x:v>Wikidata</x:v>
      </x:c>
      <x:c r="Z48" s="22" t="str">
        <x:v>http://www.wikidata.org/entity/Q7176020</x:v>
      </x:c>
      <x:c r="AA48" s="18" t="str"/>
      <x:c r="AB48" s="18" t="n">
        <x:v>46275.416216736114</x:v>
      </x:c>
      <x:c r="AC48" s="18" t="str">
        <x:v>independent_public</x:v>
      </x:c>
      <x:c r="AD48" s="18" t="str">
        <x:v>PARTIAL_NO_DATE</x:v>
      </x:c>
    </x:row>
    <x:row r="49">
      <x:c r="A49" s="18" t="str">
        <x:v>NYT-13-6f6a7274da89551d</x:v>
      </x:c>
      <x:c r="B49" s="18" t="str">
        <x:v>Daniel Chapo</x:v>
      </x:c>
      <x:c r="C49" s="18" t="str"/>
      <x:c r="D49" s="18" t="str"/>
      <x:c r="E49" s="18" t="str"/>
      <x:c r="F49" s="18" t="str"/>
      <x:c r="G49" s="18" t="str"/>
      <x:c r="H49" s="18" t="str">
        <x:v>Mozambique</x:v>
      </x:c>
      <x:c r="I49" s="18" t="str">
        <x:v>Mozambique</x:v>
      </x:c>
      <x:c r="J49" s="20" t="str"/>
      <x:c r="K49" s="18" t="str"/>
      <x:c r="L49" s="20" t="str">
        <x:v>Mozambique</x:v>
      </x:c>
      <x:c r="M49" s="18" t="str">
        <x:v>Daniel Chapo</x:v>
      </x:c>
      <x:c r="N49" s="20" t="str">
        <x:v>Q1029</x:v>
      </x:c>
      <x:c r="O49" s="18" t="str">
        <x:v>Governor of Inhambane</x:v>
      </x:c>
      <x:c r="P49" s="18" t="str">
        <x:v>Q97058466</x:v>
      </x:c>
      <x:c r="Q49" s="18" t="n">
        <x:v>42370</x:v>
      </x:c>
      <x:c r="R49" s="18" t="str">
        <x:v>COMPLETE_FINITE_SNAPSHOT</x:v>
      </x:c>
      <x:c r="S49" s="18" t="str">
        <x:v>Complete returned current head-of-state statements for sovereign-state universe</x:v>
      </x:c>
      <x:c r="T49" s="18" t="str"/>
      <x:c r="U49" s="18" t="str"/>
      <x:c r="V49" s="20" t="n">
        <x:v>252</x:v>
      </x:c>
      <x:c r="W49" s="19" t="str">
        <x:f>IFERROR(TODAY()-DATEVALUE(C49),"")</x:f>
      </x:c>
      <x:c r="X49" s="21" t="n">
        <x:f>ROUND(COUNTA(A49:K49)/11*100,0)</x:f>
        <x:v>100</x:v>
      </x:c>
      <x:c r="Y49" s="18" t="str">
        <x:v>Wikidata</x:v>
      </x:c>
      <x:c r="Z49" s="22" t="str">
        <x:v>http://www.wikidata.org/entity/Q97058466</x:v>
      </x:c>
      <x:c r="AA49" s="18" t="str"/>
      <x:c r="AB49" s="18" t="n">
        <x:v>46275.416216736114</x:v>
      </x:c>
      <x:c r="AC49" s="18" t="str">
        <x:v>independent_public</x:v>
      </x:c>
      <x:c r="AD49" s="18" t="str">
        <x:v>PARTIAL_NO_DATE</x:v>
      </x:c>
    </x:row>
    <x:row r="50">
      <x:c r="A50" s="18" t="str">
        <x:v>NYT-13-73194820ae496e91</x:v>
      </x:c>
      <x:c r="B50" s="18" t="str">
        <x:v>Félix Tshisekedi</x:v>
      </x:c>
      <x:c r="C50" s="18" t="str"/>
      <x:c r="D50" s="18" t="str"/>
      <x:c r="E50" s="18" t="str"/>
      <x:c r="F50" s="18" t="str"/>
      <x:c r="G50" s="18" t="str"/>
      <x:c r="H50" s="18" t="str">
        <x:v>Democratic Republic of the Congo</x:v>
      </x:c>
      <x:c r="I50" s="18" t="str">
        <x:v>Democratic Republic of the Congo</x:v>
      </x:c>
      <x:c r="J50" s="20" t="str"/>
      <x:c r="K50" s="18" t="str"/>
      <x:c r="L50" s="20" t="str">
        <x:v>Democratic Republic of the Congo</x:v>
      </x:c>
      <x:c r="M50" s="18" t="str">
        <x:v>Félix Tshisekedi</x:v>
      </x:c>
      <x:c r="N50" s="20" t="str">
        <x:v>Q974</x:v>
      </x:c>
      <x:c r="O50" s="18" t="str">
        <x:v>President of the Democratic Republic of the Congo</x:v>
      </x:c>
      <x:c r="P50" s="18" t="str">
        <x:v>Q29032770</x:v>
      </x:c>
      <x:c r="Q50" s="18" t="n">
        <x:v>43490</x:v>
      </x:c>
      <x:c r="R50" s="18" t="str">
        <x:v>COMPLETE_FINITE_SNAPSHOT</x:v>
      </x:c>
      <x:c r="S50" s="18" t="str">
        <x:v>Complete returned current head-of-state statements for sovereign-state universe</x:v>
      </x:c>
      <x:c r="T50" s="18" t="str"/>
      <x:c r="U50" s="18" t="str"/>
      <x:c r="V50" s="20" t="n">
        <x:v>252</x:v>
      </x:c>
      <x:c r="W50" s="19" t="str">
        <x:f>IFERROR(TODAY()-DATEVALUE(C50),"")</x:f>
      </x:c>
      <x:c r="X50" s="21" t="n">
        <x:f>ROUND(COUNTA(A50:K50)/11*100,0)</x:f>
        <x:v>100</x:v>
      </x:c>
      <x:c r="Y50" s="18" t="str">
        <x:v>Wikidata</x:v>
      </x:c>
      <x:c r="Z50" s="22" t="str">
        <x:v>http://www.wikidata.org/entity/Q29032770</x:v>
      </x:c>
      <x:c r="AA50" s="18" t="str"/>
      <x:c r="AB50" s="18" t="n">
        <x:v>46275.416216736114</x:v>
      </x:c>
      <x:c r="AC50" s="18" t="str">
        <x:v>independent_public</x:v>
      </x:c>
      <x:c r="AD50" s="18" t="str">
        <x:v>PARTIAL_NO_DATE</x:v>
      </x:c>
    </x:row>
    <x:row r="51">
      <x:c r="A51" s="18" t="str">
        <x:v>NYT-13-d3d5fd99d88758be</x:v>
      </x:c>
      <x:c r="B51" s="18" t="str">
        <x:v>Tô Lâm</x:v>
      </x:c>
      <x:c r="C51" s="18" t="str"/>
      <x:c r="D51" s="18" t="str"/>
      <x:c r="E51" s="18" t="str"/>
      <x:c r="F51" s="18" t="str"/>
      <x:c r="G51" s="18" t="str"/>
      <x:c r="H51" s="18" t="str">
        <x:v>Vietnam</x:v>
      </x:c>
      <x:c r="I51" s="18" t="str">
        <x:v>Vietnam</x:v>
      </x:c>
      <x:c r="J51" s="20" t="str"/>
      <x:c r="K51" s="18" t="str"/>
      <x:c r="L51" s="20" t="str">
        <x:v>Vietnam</x:v>
      </x:c>
      <x:c r="M51" s="18" t="str">
        <x:v>Tô Lâm</x:v>
      </x:c>
      <x:c r="N51" s="20" t="str">
        <x:v>Q881</x:v>
      </x:c>
      <x:c r="O51" s="18" t="str">
        <x:v>General Secretary of the Communist Party of Vietnam</x:v>
      </x:c>
      <x:c r="P51" s="18" t="str">
        <x:v>Q10831196</x:v>
      </x:c>
      <x:c r="Q51" s="18" t="n">
        <x:v>45507</x:v>
      </x:c>
      <x:c r="R51" s="18" t="str">
        <x:v>COMPLETE_FINITE_SNAPSHOT</x:v>
      </x:c>
      <x:c r="S51" s="18" t="str">
        <x:v>Complete returned current head-of-state statements for sovereign-state universe</x:v>
      </x:c>
      <x:c r="T51" s="18" t="str"/>
      <x:c r="U51" s="18" t="str"/>
      <x:c r="V51" s="20" t="n">
        <x:v>252</x:v>
      </x:c>
      <x:c r="W51" s="19" t="str">
        <x:f>IFERROR(TODAY()-DATEVALUE(C51),"")</x:f>
      </x:c>
      <x:c r="X51" s="21" t="n">
        <x:f>ROUND(COUNTA(A51:K51)/11*100,0)</x:f>
        <x:v>100</x:v>
      </x:c>
      <x:c r="Y51" s="18" t="str">
        <x:v>Wikidata</x:v>
      </x:c>
      <x:c r="Z51" s="22" t="str">
        <x:v>http://www.wikidata.org/entity/Q10831196</x:v>
      </x:c>
      <x:c r="AA51" s="18" t="str"/>
      <x:c r="AB51" s="18" t="n">
        <x:v>46275.416216736114</x:v>
      </x:c>
      <x:c r="AC51" s="18" t="str">
        <x:v>independent_public</x:v>
      </x:c>
      <x:c r="AD51" s="18" t="str">
        <x:v>PARTIAL_NO_DATE</x:v>
      </x:c>
    </x:row>
    <x:row r="52">
      <x:c r="A52" s="18" t="str">
        <x:v>NYT-13-6e55600fb56b9d56</x:v>
      </x:c>
      <x:c r="B52" s="18" t="str">
        <x:v>Irfaan Ali</x:v>
      </x:c>
      <x:c r="C52" s="18" t="str"/>
      <x:c r="D52" s="18" t="str"/>
      <x:c r="E52" s="18" t="str"/>
      <x:c r="F52" s="18" t="str"/>
      <x:c r="G52" s="18" t="str"/>
      <x:c r="H52" s="18" t="str">
        <x:v>Guyana</x:v>
      </x:c>
      <x:c r="I52" s="18" t="str">
        <x:v>Guyana</x:v>
      </x:c>
      <x:c r="J52" s="20" t="str"/>
      <x:c r="K52" s="18" t="str"/>
      <x:c r="L52" s="20" t="str">
        <x:v>Guyana</x:v>
      </x:c>
      <x:c r="M52" s="18" t="str">
        <x:v>Irfaan Ali</x:v>
      </x:c>
      <x:c r="N52" s="20" t="str">
        <x:v>Q734</x:v>
      </x:c>
      <x:c r="O52" s="18" t="str">
        <x:v>President of Guyana</x:v>
      </x:c>
      <x:c r="P52" s="18" t="str">
        <x:v>Q64840184</x:v>
      </x:c>
      <x:c r="Q52" s="18" t="n">
        <x:v>44045</x:v>
      </x:c>
      <x:c r="R52" s="18" t="str">
        <x:v>COMPLETE_FINITE_SNAPSHOT</x:v>
      </x:c>
      <x:c r="S52" s="18" t="str">
        <x:v>Complete returned current head-of-state statements for sovereign-state universe</x:v>
      </x:c>
      <x:c r="T52" s="18" t="str"/>
      <x:c r="U52" s="18" t="str"/>
      <x:c r="V52" s="20" t="n">
        <x:v>252</x:v>
      </x:c>
      <x:c r="W52" s="19" t="str">
        <x:f>IFERROR(TODAY()-DATEVALUE(C52),"")</x:f>
      </x:c>
      <x:c r="X52" s="21" t="n">
        <x:f>ROUND(COUNTA(A52:K52)/11*100,0)</x:f>
        <x:v>100</x:v>
      </x:c>
      <x:c r="Y52" s="18" t="str">
        <x:v>Wikidata</x:v>
      </x:c>
      <x:c r="Z52" s="22" t="str">
        <x:v>http://www.wikidata.org/entity/Q64840184</x:v>
      </x:c>
      <x:c r="AA52" s="18" t="str"/>
      <x:c r="AB52" s="18" t="n">
        <x:v>46275.416216736114</x:v>
      </x:c>
      <x:c r="AC52" s="18" t="str">
        <x:v>independent_public</x:v>
      </x:c>
      <x:c r="AD52" s="18" t="str">
        <x:v>PARTIAL_NO_DATE</x:v>
      </x:c>
    </x:row>
    <x:row r="53">
      <x:c r="A53" s="18" t="str">
        <x:v>NYT-13-7e47835f41107086</x:v>
      </x:c>
      <x:c r="B53" s="18" t="str">
        <x:v>Abdel Fattah al-Burhan</x:v>
      </x:c>
      <x:c r="C53" s="18" t="str"/>
      <x:c r="D53" s="18" t="str"/>
      <x:c r="E53" s="18" t="str"/>
      <x:c r="F53" s="18" t="str"/>
      <x:c r="G53" s="18" t="str"/>
      <x:c r="H53" s="18" t="str">
        <x:v>Sudan</x:v>
      </x:c>
      <x:c r="I53" s="18" t="str">
        <x:v>Sudan</x:v>
      </x:c>
      <x:c r="J53" s="20" t="str"/>
      <x:c r="K53" s="18" t="str"/>
      <x:c r="L53" s="20" t="str">
        <x:v>Sudan</x:v>
      </x:c>
      <x:c r="M53" s="18" t="str">
        <x:v>Abdel Fattah al-Burhan</x:v>
      </x:c>
      <x:c r="N53" s="20" t="str">
        <x:v>Q1049</x:v>
      </x:c>
      <x:c r="O53" s="18" t="str">
        <x:v>Chairman of the Sovereignty Council of Sudan</x:v>
      </x:c>
      <x:c r="P53" s="18" t="str">
        <x:v>Q63111184</x:v>
      </x:c>
      <x:c r="Q53" s="18" t="n">
        <x:v>44494</x:v>
      </x:c>
      <x:c r="R53" s="18" t="str">
        <x:v>COMPLETE_FINITE_SNAPSHOT</x:v>
      </x:c>
      <x:c r="S53" s="18" t="str">
        <x:v>Complete returned current head-of-state statements for sovereign-state universe</x:v>
      </x:c>
      <x:c r="T53" s="18" t="str"/>
      <x:c r="U53" s="18" t="str"/>
      <x:c r="V53" s="20" t="n">
        <x:v>252</x:v>
      </x:c>
      <x:c r="W53" s="19" t="str">
        <x:f>IFERROR(TODAY()-DATEVALUE(C53),"")</x:f>
      </x:c>
      <x:c r="X53" s="21" t="n">
        <x:f>ROUND(COUNTA(A53:K53)/11*100,0)</x:f>
        <x:v>100</x:v>
      </x:c>
      <x:c r="Y53" s="18" t="str">
        <x:v>Wikidata</x:v>
      </x:c>
      <x:c r="Z53" s="22" t="str">
        <x:v>http://www.wikidata.org/entity/Q63111184</x:v>
      </x:c>
      <x:c r="AA53" s="18" t="str"/>
      <x:c r="AB53" s="18" t="n">
        <x:v>46275.416216736114</x:v>
      </x:c>
      <x:c r="AC53" s="18" t="str">
        <x:v>independent_public</x:v>
      </x:c>
      <x:c r="AD53" s="18" t="str">
        <x:v>PARTIAL_NO_DATE</x:v>
      </x:c>
    </x:row>
    <x:row r="54">
      <x:c r="A54" s="18" t="str">
        <x:v>NYT-13-affa16fae1312203</x:v>
      </x:c>
      <x:c r="B54" s="18" t="str">
        <x:v>Évariste Ndayishimiye</x:v>
      </x:c>
      <x:c r="C54" s="18" t="str"/>
      <x:c r="D54" s="18" t="str"/>
      <x:c r="E54" s="18" t="str"/>
      <x:c r="F54" s="18" t="str"/>
      <x:c r="G54" s="18" t="str"/>
      <x:c r="H54" s="18" t="str">
        <x:v>Burundi</x:v>
      </x:c>
      <x:c r="I54" s="18" t="str">
        <x:v>Burundi</x:v>
      </x:c>
      <x:c r="J54" s="20" t="str"/>
      <x:c r="K54" s="18" t="str"/>
      <x:c r="L54" s="20" t="str">
        <x:v>Burundi</x:v>
      </x:c>
      <x:c r="M54" s="18" t="str">
        <x:v>Évariste Ndayishimiye</x:v>
      </x:c>
      <x:c r="N54" s="20" t="str">
        <x:v>Q967</x:v>
      </x:c>
      <x:c r="O54" s="18" t="str">
        <x:v>president</x:v>
      </x:c>
      <x:c r="P54" s="18" t="str">
        <x:v>Q27329764</x:v>
      </x:c>
      <x:c r="Q54" s="18" t="n">
        <x:v>39814</x:v>
      </x:c>
      <x:c r="R54" s="18" t="str">
        <x:v>COMPLETE_FINITE_SNAPSHOT</x:v>
      </x:c>
      <x:c r="S54" s="18" t="str">
        <x:v>Complete returned current head-of-state statements for sovereign-state universe</x:v>
      </x:c>
      <x:c r="T54" s="18" t="str"/>
      <x:c r="U54" s="18" t="str"/>
      <x:c r="V54" s="20" t="n">
        <x:v>252</x:v>
      </x:c>
      <x:c r="W54" s="19" t="str">
        <x:f>IFERROR(TODAY()-DATEVALUE(C54),"")</x:f>
      </x:c>
      <x:c r="X54" s="21" t="n">
        <x:f>ROUND(COUNTA(A54:K54)/11*100,0)</x:f>
        <x:v>100</x:v>
      </x:c>
      <x:c r="Y54" s="18" t="str">
        <x:v>Wikidata</x:v>
      </x:c>
      <x:c r="Z54" s="22" t="str">
        <x:v>http://www.wikidata.org/entity/Q27329764</x:v>
      </x:c>
      <x:c r="AA54" s="18" t="str"/>
      <x:c r="AB54" s="18" t="n">
        <x:v>46275.416216736114</x:v>
      </x:c>
      <x:c r="AC54" s="18" t="str">
        <x:v>independent_public</x:v>
      </x:c>
      <x:c r="AD54" s="18" t="str">
        <x:v>PARTIAL_NO_DATE</x:v>
      </x:c>
    </x:row>
    <x:row r="55">
      <x:c r="A55" s="18" t="str">
        <x:v>NYT-13-79f063e5da9d1d4d</x:v>
      </x:c>
      <x:c r="B55" s="18" t="str">
        <x:v>Nicos Christodoulides</x:v>
      </x:c>
      <x:c r="C55" s="18" t="str"/>
      <x:c r="D55" s="18" t="str"/>
      <x:c r="E55" s="18" t="str"/>
      <x:c r="F55" s="18" t="str"/>
      <x:c r="G55" s="18" t="str"/>
      <x:c r="H55" s="18" t="str">
        <x:v>Cyprus</x:v>
      </x:c>
      <x:c r="I55" s="18" t="str">
        <x:v>Cyprus</x:v>
      </x:c>
      <x:c r="J55" s="20" t="str"/>
      <x:c r="K55" s="18" t="str"/>
      <x:c r="L55" s="20" t="str">
        <x:v>Cyprus</x:v>
      </x:c>
      <x:c r="M55" s="18" t="str">
        <x:v>Nicos Christodoulides</x:v>
      </x:c>
      <x:c r="N55" s="20" t="str">
        <x:v>Q229</x:v>
      </x:c>
      <x:c r="O55" s="18" t="str">
        <x:v>President of Cyprus</x:v>
      </x:c>
      <x:c r="P55" s="18" t="str">
        <x:v>Q48905549</x:v>
      </x:c>
      <x:c r="Q55" s="18" t="n">
        <x:v>44985</x:v>
      </x:c>
      <x:c r="R55" s="18" t="str">
        <x:v>COMPLETE_FINITE_SNAPSHOT</x:v>
      </x:c>
      <x:c r="S55" s="18" t="str">
        <x:v>Complete returned current head-of-state statements for sovereign-state universe</x:v>
      </x:c>
      <x:c r="T55" s="18" t="str"/>
      <x:c r="U55" s="18" t="str"/>
      <x:c r="V55" s="20" t="n">
        <x:v>252</x:v>
      </x:c>
      <x:c r="W55" s="19" t="str">
        <x:f>IFERROR(TODAY()-DATEVALUE(C55),"")</x:f>
      </x:c>
      <x:c r="X55" s="21" t="n">
        <x:f>ROUND(COUNTA(A55:K55)/11*100,0)</x:f>
        <x:v>100</x:v>
      </x:c>
      <x:c r="Y55" s="18" t="str">
        <x:v>Wikidata</x:v>
      </x:c>
      <x:c r="Z55" s="22" t="str">
        <x:v>http://www.wikidata.org/entity/Q48905549</x:v>
      </x:c>
      <x:c r="AA55" s="18" t="str"/>
      <x:c r="AB55" s="18" t="n">
        <x:v>46275.416216736114</x:v>
      </x:c>
      <x:c r="AC55" s="18" t="str">
        <x:v>independent_public</x:v>
      </x:c>
      <x:c r="AD55" s="18" t="str">
        <x:v>PARTIAL_NO_DATE</x:v>
      </x:c>
    </x:row>
    <x:row r="56">
      <x:c r="A56" s="18" t="str">
        <x:v>NYT-13-8e230520535fd0b0</x:v>
      </x:c>
      <x:c r="B56" s="18" t="str">
        <x:v>Q5771800</x:v>
      </x:c>
      <x:c r="C56" s="18" t="str"/>
      <x:c r="D56" s="18" t="str"/>
      <x:c r="E56" s="18" t="str"/>
      <x:c r="F56" s="18" t="str"/>
      <x:c r="G56" s="18" t="str"/>
      <x:c r="H56" s="18" t="str">
        <x:v>Mexico</x:v>
      </x:c>
      <x:c r="I56" s="18" t="str">
        <x:v>Mexico</x:v>
      </x:c>
      <x:c r="J56" s="20" t="str"/>
      <x:c r="K56" s="18" t="str"/>
      <x:c r="L56" s="20" t="str">
        <x:v>Mexico</x:v>
      </x:c>
      <x:c r="M56" s="18" t="str">
        <x:v>Q5771800</x:v>
      </x:c>
      <x:c r="N56" s="20" t="str">
        <x:v>Q96</x:v>
      </x:c>
      <x:c r="O56" s="18" t="str">
        <x:v>President of Mexico</x:v>
      </x:c>
      <x:c r="P56" s="18" t="str">
        <x:v>Q5771800</x:v>
      </x:c>
      <x:c r="Q56" s="18" t="n">
        <x:v>45566</x:v>
      </x:c>
      <x:c r="R56" s="18" t="str">
        <x:v>COMPLETE_FINITE_SNAPSHOT</x:v>
      </x:c>
      <x:c r="S56" s="18" t="str">
        <x:v>Complete returned current head-of-state statements for sovereign-state universe</x:v>
      </x:c>
      <x:c r="T56" s="18" t="str"/>
      <x:c r="U56" s="18" t="str"/>
      <x:c r="V56" s="20" t="n">
        <x:v>252</x:v>
      </x:c>
      <x:c r="W56" s="19" t="str">
        <x:f>IFERROR(TODAY()-DATEVALUE(C56),"")</x:f>
      </x:c>
      <x:c r="X56" s="21" t="n">
        <x:f>ROUND(COUNTA(A56:K56)/11*100,0)</x:f>
        <x:v>100</x:v>
      </x:c>
      <x:c r="Y56" s="18" t="str">
        <x:v>Wikidata</x:v>
      </x:c>
      <x:c r="Z56" s="22" t="str">
        <x:v>http://www.wikidata.org/entity/Q5771800</x:v>
      </x:c>
      <x:c r="AA56" s="18" t="str"/>
      <x:c r="AB56" s="18" t="n">
        <x:v>46275.416216736114</x:v>
      </x:c>
      <x:c r="AC56" s="18" t="str">
        <x:v>independent_public</x:v>
      </x:c>
      <x:c r="AD56" s="18" t="str">
        <x:v>PARTIAL_NO_DATE</x:v>
      </x:c>
    </x:row>
    <x:row r="57">
      <x:c r="A57" s="18" t="str">
        <x:v>NYT-13-28ed964a7d55a79a</x:v>
      </x:c>
      <x:c r="B57" s="18" t="str">
        <x:v>Joseph Aoun</x:v>
      </x:c>
      <x:c r="C57" s="18" t="str"/>
      <x:c r="D57" s="18" t="str"/>
      <x:c r="E57" s="18" t="str"/>
      <x:c r="F57" s="18" t="str"/>
      <x:c r="G57" s="18" t="str"/>
      <x:c r="H57" s="18" t="str">
        <x:v>Lebanon</x:v>
      </x:c>
      <x:c r="I57" s="18" t="str">
        <x:v>Lebanon</x:v>
      </x:c>
      <x:c r="J57" s="20" t="str"/>
      <x:c r="K57" s="18" t="str"/>
      <x:c r="L57" s="20" t="str">
        <x:v>Lebanon</x:v>
      </x:c>
      <x:c r="M57" s="18" t="str">
        <x:v>Joseph Aoun</x:v>
      </x:c>
      <x:c r="N57" s="20" t="str">
        <x:v>Q822</x:v>
      </x:c>
      <x:c r="O57" s="18" t="str">
        <x:v>Commander of the Lebanese Armed Forces</x:v>
      </x:c>
      <x:c r="P57" s="18" t="str">
        <x:v>Q29033962</x:v>
      </x:c>
      <x:c r="Q57" s="18" t="n">
        <x:v>42802</x:v>
      </x:c>
      <x:c r="R57" s="18" t="str">
        <x:v>COMPLETE_FINITE_SNAPSHOT</x:v>
      </x:c>
      <x:c r="S57" s="18" t="str">
        <x:v>Complete returned current head-of-state statements for sovereign-state universe</x:v>
      </x:c>
      <x:c r="T57" s="18" t="str"/>
      <x:c r="U57" s="18" t="str"/>
      <x:c r="V57" s="20" t="n">
        <x:v>252</x:v>
      </x:c>
      <x:c r="W57" s="19" t="str">
        <x:f>IFERROR(TODAY()-DATEVALUE(C57),"")</x:f>
      </x:c>
      <x:c r="X57" s="21" t="n">
        <x:f>ROUND(COUNTA(A57:K57)/11*100,0)</x:f>
        <x:v>100</x:v>
      </x:c>
      <x:c r="Y57" s="18" t="str">
        <x:v>Wikidata</x:v>
      </x:c>
      <x:c r="Z57" s="22" t="str">
        <x:v>http://www.wikidata.org/entity/Q29033962</x:v>
      </x:c>
      <x:c r="AA57" s="18" t="str"/>
      <x:c r="AB57" s="18" t="n">
        <x:v>46275.416216736114</x:v>
      </x:c>
      <x:c r="AC57" s="18" t="str">
        <x:v>independent_public</x:v>
      </x:c>
      <x:c r="AD57" s="18" t="str">
        <x:v>PARTIAL_NO_DATE</x:v>
      </x:c>
    </x:row>
    <x:row r="58">
      <x:c r="A58" s="18" t="str">
        <x:v>NYT-13-682e2c50f7458a12</x:v>
      </x:c>
      <x:c r="B58" s="18" t="str">
        <x:v>Alexander Stubb</x:v>
      </x:c>
      <x:c r="C58" s="18" t="str"/>
      <x:c r="D58" s="18" t="str"/>
      <x:c r="E58" s="18" t="str"/>
      <x:c r="F58" s="18" t="str"/>
      <x:c r="G58" s="18" t="str"/>
      <x:c r="H58" s="18" t="str">
        <x:v>Finland</x:v>
      </x:c>
      <x:c r="I58" s="18" t="str">
        <x:v>Finland</x:v>
      </x:c>
      <x:c r="J58" s="20" t="str"/>
      <x:c r="K58" s="18" t="str"/>
      <x:c r="L58" s="20" t="str">
        <x:v>Finland</x:v>
      </x:c>
      <x:c r="M58" s="18" t="str">
        <x:v>Alexander Stubb</x:v>
      </x:c>
      <x:c r="N58" s="20" t="str">
        <x:v>Q33</x:v>
      </x:c>
      <x:c r="O58" s="18" t="str">
        <x:v>Minister of Finance</x:v>
      </x:c>
      <x:c r="P58" s="18" t="str">
        <x:v>Q503143</x:v>
      </x:c>
      <x:c r="Q58" s="18" t="n">
        <x:v>42153</x:v>
      </x:c>
      <x:c r="R58" s="18" t="str">
        <x:v>COMPLETE_FINITE_SNAPSHOT</x:v>
      </x:c>
      <x:c r="S58" s="18" t="str">
        <x:v>Complete returned current head-of-state statements for sovereign-state universe</x:v>
      </x:c>
      <x:c r="T58" s="18" t="str"/>
      <x:c r="U58" s="18" t="str"/>
      <x:c r="V58" s="20" t="n">
        <x:v>252</x:v>
      </x:c>
      <x:c r="W58" s="19" t="str">
        <x:f>IFERROR(TODAY()-DATEVALUE(C58),"")</x:f>
      </x:c>
      <x:c r="X58" s="21" t="n">
        <x:f>ROUND(COUNTA(A58:K58)/11*100,0)</x:f>
        <x:v>100</x:v>
      </x:c>
      <x:c r="Y58" s="18" t="str">
        <x:v>Wikidata</x:v>
      </x:c>
      <x:c r="Z58" s="22" t="str">
        <x:v>http://www.wikidata.org/entity/Q503143</x:v>
      </x:c>
      <x:c r="AA58" s="18" t="str"/>
      <x:c r="AB58" s="18" t="n">
        <x:v>46275.416216736114</x:v>
      </x:c>
      <x:c r="AC58" s="18" t="str">
        <x:v>independent_public</x:v>
      </x:c>
      <x:c r="AD58" s="18" t="str">
        <x:v>PARTIAL_NO_DATE</x:v>
      </x:c>
    </x:row>
    <x:row r="59">
      <x:c r="A59" s="18" t="str">
        <x:v>NYT-13-d8a4d5ed7710966d</x:v>
      </x:c>
      <x:c r="B59" s="18" t="str">
        <x:v>Javier Milei</x:v>
      </x:c>
      <x:c r="C59" s="18" t="str"/>
      <x:c r="D59" s="18" t="str"/>
      <x:c r="E59" s="18" t="str"/>
      <x:c r="F59" s="18" t="str"/>
      <x:c r="G59" s="18" t="str"/>
      <x:c r="H59" s="18" t="str">
        <x:v>Argentina</x:v>
      </x:c>
      <x:c r="I59" s="18" t="str">
        <x:v>Argentina</x:v>
      </x:c>
      <x:c r="J59" s="20" t="str"/>
      <x:c r="K59" s="18" t="str"/>
      <x:c r="L59" s="20" t="str">
        <x:v>Argentina</x:v>
      </x:c>
      <x:c r="M59" s="18" t="str">
        <x:v>Javier Milei</x:v>
      </x:c>
      <x:c r="N59" s="20" t="str">
        <x:v>Q414</x:v>
      </x:c>
      <x:c r="O59" s="18" t="str">
        <x:v>member of the Argentine Chamber of Deputies</x:v>
      </x:c>
      <x:c r="P59" s="18" t="str">
        <x:v>Q52395487</x:v>
      </x:c>
      <x:c r="Q59" s="18" t="n">
        <x:v>44540</x:v>
      </x:c>
      <x:c r="R59" s="18" t="str">
        <x:v>COMPLETE_FINITE_SNAPSHOT</x:v>
      </x:c>
      <x:c r="S59" s="18" t="str">
        <x:v>Complete returned current head-of-state statements for sovereign-state universe</x:v>
      </x:c>
      <x:c r="T59" s="18" t="str"/>
      <x:c r="U59" s="18" t="str"/>
      <x:c r="V59" s="20" t="n">
        <x:v>252</x:v>
      </x:c>
      <x:c r="W59" s="19" t="str">
        <x:f>IFERROR(TODAY()-DATEVALUE(C59),"")</x:f>
      </x:c>
      <x:c r="X59" s="21" t="n">
        <x:f>ROUND(COUNTA(A59:K59)/11*100,0)</x:f>
        <x:v>100</x:v>
      </x:c>
      <x:c r="Y59" s="18" t="str">
        <x:v>Wikidata</x:v>
      </x:c>
      <x:c r="Z59" s="22" t="str">
        <x:v>http://www.wikidata.org/entity/Q52395487</x:v>
      </x:c>
      <x:c r="AA59" s="18" t="str"/>
      <x:c r="AB59" s="18" t="n">
        <x:v>46275.416216736114</x:v>
      </x:c>
      <x:c r="AC59" s="18" t="str">
        <x:v>independent_public</x:v>
      </x:c>
      <x:c r="AD59" s="18" t="str">
        <x:v>PARTIAL_NO_DATE</x:v>
      </x:c>
    </x:row>
    <x:row r="60">
      <x:c r="A60" s="18" t="str">
        <x:v>NYT-13-3b0df46546adcf8c</x:v>
      </x:c>
      <x:c r="B60" s="18" t="str">
        <x:v>Prince Charles, Count of Flanders</x:v>
      </x:c>
      <x:c r="C60" s="18" t="str"/>
      <x:c r="D60" s="18" t="str"/>
      <x:c r="E60" s="18" t="str"/>
      <x:c r="F60" s="18" t="str"/>
      <x:c r="G60" s="18" t="str"/>
      <x:c r="H60" s="18" t="str">
        <x:v>Belgian Empire</x:v>
      </x:c>
      <x:c r="I60" s="18" t="str">
        <x:v>Belgian Empire</x:v>
      </x:c>
      <x:c r="J60" s="20" t="str"/>
      <x:c r="K60" s="18" t="str"/>
      <x:c r="L60" s="20" t="str">
        <x:v>Belgian Empire</x:v>
      </x:c>
      <x:c r="M60" s="18" t="str">
        <x:v>Prince Charles, Count of Flanders</x:v>
      </x:c>
      <x:c r="N60" s="20" t="str">
        <x:v>Q815524</x:v>
      </x:c>
      <x:c r="O60" s="18" t="str">
        <x:v>Regent of Belgium</x:v>
      </x:c>
      <x:c r="P60" s="18" t="str">
        <x:v>Q445553</x:v>
      </x:c>
      <x:c r="Q60" s="18" t="n">
        <x:v>16335</x:v>
      </x:c>
      <x:c r="R60" s="18" t="str">
        <x:v>COMPLETE_FINITE_SNAPSHOT</x:v>
      </x:c>
      <x:c r="S60" s="18" t="str">
        <x:v>Complete returned current head-of-state statements for sovereign-state universe</x:v>
      </x:c>
      <x:c r="T60" s="18" t="str"/>
      <x:c r="U60" s="18" t="str"/>
      <x:c r="V60" s="20" t="n">
        <x:v>252</x:v>
      </x:c>
      <x:c r="W60" s="19" t="str">
        <x:f>IFERROR(TODAY()-DATEVALUE(C60),"")</x:f>
      </x:c>
      <x:c r="X60" s="21" t="n">
        <x:f>ROUND(COUNTA(A60:K60)/11*100,0)</x:f>
        <x:v>100</x:v>
      </x:c>
      <x:c r="Y60" s="18" t="str">
        <x:v>Wikidata</x:v>
      </x:c>
      <x:c r="Z60" s="22" t="str">
        <x:v>http://www.wikidata.org/entity/Q445553</x:v>
      </x:c>
      <x:c r="AA60" s="18" t="str"/>
      <x:c r="AB60" s="18" t="n">
        <x:v>46275.416216736114</x:v>
      </x:c>
      <x:c r="AC60" s="18" t="str">
        <x:v>independent_public</x:v>
      </x:c>
      <x:c r="AD60" s="18" t="str">
        <x:v>PARTIAL_NO_DATE</x:v>
      </x:c>
    </x:row>
    <x:row r="61">
      <x:c r="A61" s="18" t="str">
        <x:v>NYT-13-6d2b129fec34f6be</x:v>
      </x:c>
      <x:c r="B61" s="18" t="str">
        <x:v>Nicușor Dan</x:v>
      </x:c>
      <x:c r="C61" s="18" t="str"/>
      <x:c r="D61" s="18" t="str"/>
      <x:c r="E61" s="18" t="str"/>
      <x:c r="F61" s="18" t="str"/>
      <x:c r="G61" s="18" t="str"/>
      <x:c r="H61" s="18" t="str">
        <x:v>Romania</x:v>
      </x:c>
      <x:c r="I61" s="18" t="str">
        <x:v>Romania</x:v>
      </x:c>
      <x:c r="J61" s="20" t="str"/>
      <x:c r="K61" s="18" t="str"/>
      <x:c r="L61" s="20" t="str">
        <x:v>Romania</x:v>
      </x:c>
      <x:c r="M61" s="18" t="str">
        <x:v>Nicușor Dan</x:v>
      </x:c>
      <x:c r="N61" s="20" t="str">
        <x:v>Q218</x:v>
      </x:c>
      <x:c r="O61" s="18" t="str">
        <x:v>president of Romania</x:v>
      </x:c>
      <x:c r="P61" s="18" t="str">
        <x:v>Q11163124</x:v>
      </x:c>
      <x:c r="Q61" s="18" t="n">
        <x:v>45803</x:v>
      </x:c>
      <x:c r="R61" s="18" t="str">
        <x:v>COMPLETE_FINITE_SNAPSHOT</x:v>
      </x:c>
      <x:c r="S61" s="18" t="str">
        <x:v>Complete returned current head-of-state statements for sovereign-state universe</x:v>
      </x:c>
      <x:c r="T61" s="18" t="str"/>
      <x:c r="U61" s="18" t="str"/>
      <x:c r="V61" s="20" t="n">
        <x:v>252</x:v>
      </x:c>
      <x:c r="W61" s="19" t="str">
        <x:f>IFERROR(TODAY()-DATEVALUE(C61),"")</x:f>
      </x:c>
      <x:c r="X61" s="21" t="n">
        <x:f>ROUND(COUNTA(A61:K61)/11*100,0)</x:f>
        <x:v>100</x:v>
      </x:c>
      <x:c r="Y61" s="18" t="str">
        <x:v>Wikidata</x:v>
      </x:c>
      <x:c r="Z61" s="22" t="str">
        <x:v>http://www.wikidata.org/entity/Q11163124</x:v>
      </x:c>
      <x:c r="AA61" s="18" t="str"/>
      <x:c r="AB61" s="18" t="n">
        <x:v>46275.416216736114</x:v>
      </x:c>
      <x:c r="AC61" s="18" t="str">
        <x:v>independent_public</x:v>
      </x:c>
      <x:c r="AD61" s="18" t="str">
        <x:v>PARTIAL_NO_DATE</x:v>
      </x:c>
    </x:row>
    <x:row r="62">
      <x:c r="A62" s="18" t="str">
        <x:v>NYT-13-56c589514a235852</x:v>
      </x:c>
      <x:c r="B62" s="18" t="str">
        <x:v>Adama Barrow</x:v>
      </x:c>
      <x:c r="C62" s="18" t="str"/>
      <x:c r="D62" s="18" t="str"/>
      <x:c r="E62" s="18" t="str"/>
      <x:c r="F62" s="18" t="str"/>
      <x:c r="G62" s="18" t="str"/>
      <x:c r="H62" s="18" t="str">
        <x:v>The Gambia</x:v>
      </x:c>
      <x:c r="I62" s="18" t="str">
        <x:v>The Gambia</x:v>
      </x:c>
      <x:c r="J62" s="20" t="str"/>
      <x:c r="K62" s="18" t="str"/>
      <x:c r="L62" s="20" t="str">
        <x:v>The Gambia</x:v>
      </x:c>
      <x:c r="M62" s="18" t="str">
        <x:v>Adama Barrow</x:v>
      </x:c>
      <x:c r="N62" s="20" t="str">
        <x:v>Q1005</x:v>
      </x:c>
      <x:c r="O62" s="18" t="str">
        <x:v>President of the Gambia</x:v>
      </x:c>
      <x:c r="P62" s="18" t="str">
        <x:v>Q27917049</x:v>
      </x:c>
      <x:c r="Q62" s="18" t="n">
        <x:v>42754</x:v>
      </x:c>
      <x:c r="R62" s="18" t="str">
        <x:v>COMPLETE_FINITE_SNAPSHOT</x:v>
      </x:c>
      <x:c r="S62" s="18" t="str">
        <x:v>Complete returned current head-of-state statements for sovereign-state universe</x:v>
      </x:c>
      <x:c r="T62" s="18" t="str"/>
      <x:c r="U62" s="18" t="str"/>
      <x:c r="V62" s="20" t="n">
        <x:v>252</x:v>
      </x:c>
      <x:c r="W62" s="19" t="str">
        <x:f>IFERROR(TODAY()-DATEVALUE(C62),"")</x:f>
      </x:c>
      <x:c r="X62" s="21" t="n">
        <x:f>ROUND(COUNTA(A62:K62)/11*100,0)</x:f>
        <x:v>100</x:v>
      </x:c>
      <x:c r="Y62" s="18" t="str">
        <x:v>Wikidata</x:v>
      </x:c>
      <x:c r="Z62" s="22" t="str">
        <x:v>http://www.wikidata.org/entity/Q27917049</x:v>
      </x:c>
      <x:c r="AA62" s="18" t="str"/>
      <x:c r="AB62" s="18" t="n">
        <x:v>46275.416216736114</x:v>
      </x:c>
      <x:c r="AC62" s="18" t="str">
        <x:v>independent_public</x:v>
      </x:c>
      <x:c r="AD62" s="18" t="str">
        <x:v>PARTIAL_NO_DATE</x:v>
      </x:c>
    </x:row>
    <x:row r="63">
      <x:c r="A63" s="18" t="str">
        <x:v>NYT-13-8ed2fd7f4d85d726</x:v>
      </x:c>
      <x:c r="B63" s="18" t="str">
        <x:v>Jean-Lucien Savi de Tové</x:v>
      </x:c>
      <x:c r="C63" s="18" t="str"/>
      <x:c r="D63" s="18" t="str"/>
      <x:c r="E63" s="18" t="str"/>
      <x:c r="F63" s="18" t="str"/>
      <x:c r="G63" s="18" t="str"/>
      <x:c r="H63" s="18" t="str">
        <x:v>Togo</x:v>
      </x:c>
      <x:c r="I63" s="18" t="str">
        <x:v>Togo</x:v>
      </x:c>
      <x:c r="J63" s="20" t="str"/>
      <x:c r="K63" s="18" t="str"/>
      <x:c r="L63" s="20" t="str">
        <x:v>Togo</x:v>
      </x:c>
      <x:c r="M63" s="18" t="str">
        <x:v>Jean-Lucien Savi de Tové</x:v>
      </x:c>
      <x:c r="N63" s="20" t="str">
        <x:v>Q945</x:v>
      </x:c>
      <x:c r="O63" s="18" t="str">
        <x:v>President of Togo</x:v>
      </x:c>
      <x:c r="P63" s="18" t="str">
        <x:v>Q6169516</x:v>
      </x:c>
      <x:c r="Q63" s="18" t="n">
        <x:v>45780</x:v>
      </x:c>
      <x:c r="R63" s="18" t="str">
        <x:v>COMPLETE_FINITE_SNAPSHOT</x:v>
      </x:c>
      <x:c r="S63" s="18" t="str">
        <x:v>Complete returned current head-of-state statements for sovereign-state universe</x:v>
      </x:c>
      <x:c r="T63" s="18" t="str"/>
      <x:c r="U63" s="18" t="str"/>
      <x:c r="V63" s="20" t="n">
        <x:v>252</x:v>
      </x:c>
      <x:c r="W63" s="19" t="str">
        <x:f>IFERROR(TODAY()-DATEVALUE(C63),"")</x:f>
      </x:c>
      <x:c r="X63" s="21" t="n">
        <x:f>ROUND(COUNTA(A63:K63)/11*100,0)</x:f>
        <x:v>100</x:v>
      </x:c>
      <x:c r="Y63" s="18" t="str">
        <x:v>Wikidata</x:v>
      </x:c>
      <x:c r="Z63" s="22" t="str">
        <x:v>http://www.wikidata.org/entity/Q6169516</x:v>
      </x:c>
      <x:c r="AA63" s="18" t="str"/>
      <x:c r="AB63" s="18" t="n">
        <x:v>46275.416216736114</x:v>
      </x:c>
      <x:c r="AC63" s="18" t="str">
        <x:v>independent_public</x:v>
      </x:c>
      <x:c r="AD63" s="18" t="str">
        <x:v>PARTIAL_NO_DATE</x:v>
      </x:c>
    </x:row>
    <x:row r="64">
      <x:c r="A64" s="18" t="str">
        <x:v>NYT-13-2c0328366010ba56</x:v>
      </x:c>
      <x:c r="B64" s="18" t="str">
        <x:v>Michael Bates</x:v>
      </x:c>
      <x:c r="C64" s="18" t="str"/>
      <x:c r="D64" s="18" t="str"/>
      <x:c r="E64" s="18" t="str"/>
      <x:c r="F64" s="18" t="str"/>
      <x:c r="G64" s="18" t="str"/>
      <x:c r="H64" s="18" t="str">
        <x:v>Principality of Sealand</x:v>
      </x:c>
      <x:c r="I64" s="18" t="str">
        <x:v>Principality of Sealand</x:v>
      </x:c>
      <x:c r="J64" s="20" t="str"/>
      <x:c r="K64" s="18" t="str"/>
      <x:c r="L64" s="20" t="str">
        <x:v>Principality of Sealand</x:v>
      </x:c>
      <x:c r="M64" s="18" t="str">
        <x:v>Michael Bates</x:v>
      </x:c>
      <x:c r="N64" s="20" t="str">
        <x:v>Q13706</x:v>
      </x:c>
      <x:c r="O64" s="18" t="str">
        <x:v>prince</x:v>
      </x:c>
      <x:c r="P64" s="18" t="str">
        <x:v>Q47026361</x:v>
      </x:c>
      <x:c r="Q64" s="18" t="n">
        <x:v>41183</x:v>
      </x:c>
      <x:c r="R64" s="18" t="str">
        <x:v>COMPLETE_FINITE_SNAPSHOT</x:v>
      </x:c>
      <x:c r="S64" s="18" t="str">
        <x:v>Complete returned current head-of-state statements for sovereign-state universe</x:v>
      </x:c>
      <x:c r="T64" s="18" t="str"/>
      <x:c r="U64" s="18" t="str"/>
      <x:c r="V64" s="20" t="n">
        <x:v>252</x:v>
      </x:c>
      <x:c r="W64" s="19" t="str">
        <x:f>IFERROR(TODAY()-DATEVALUE(C64),"")</x:f>
      </x:c>
      <x:c r="X64" s="21" t="n">
        <x:f>ROUND(COUNTA(A64:K64)/11*100,0)</x:f>
        <x:v>100</x:v>
      </x:c>
      <x:c r="Y64" s="18" t="str">
        <x:v>Wikidata</x:v>
      </x:c>
      <x:c r="Z64" s="22" t="str">
        <x:v>http://www.wikidata.org/entity/Q47026361</x:v>
      </x:c>
      <x:c r="AA64" s="18" t="str"/>
      <x:c r="AB64" s="18" t="n">
        <x:v>46275.416216736114</x:v>
      </x:c>
      <x:c r="AC64" s="18" t="str">
        <x:v>independent_public</x:v>
      </x:c>
      <x:c r="AD64" s="18" t="str">
        <x:v>PARTIAL_NO_DATE</x:v>
      </x:c>
    </x:row>
    <x:row r="65">
      <x:c r="A65" s="18" t="str">
        <x:v>NYT-13-3b85766581e89cb2</x:v>
      </x:c>
      <x:c r="B65" s="18" t="str">
        <x:v>Rashad al-Alimi</x:v>
      </x:c>
      <x:c r="C65" s="18" t="str"/>
      <x:c r="D65" s="18" t="str"/>
      <x:c r="E65" s="18" t="str"/>
      <x:c r="F65" s="18" t="str"/>
      <x:c r="G65" s="18" t="str"/>
      <x:c r="H65" s="18" t="str">
        <x:v>Yemen</x:v>
      </x:c>
      <x:c r="I65" s="18" t="str">
        <x:v>Yemen</x:v>
      </x:c>
      <x:c r="J65" s="20" t="str"/>
      <x:c r="K65" s="18" t="str"/>
      <x:c r="L65" s="20" t="str">
        <x:v>Yemen</x:v>
      </x:c>
      <x:c r="M65" s="18" t="str">
        <x:v>Rashad al-Alimi</x:v>
      </x:c>
      <x:c r="N65" s="20" t="str">
        <x:v>Q805</x:v>
      </x:c>
      <x:c r="O65" s="18" t="str">
        <x:v>President of Yemen</x:v>
      </x:c>
      <x:c r="P65" s="18" t="str">
        <x:v>Q12213376</x:v>
      </x:c>
      <x:c r="Q65" s="18" t="n">
        <x:v>44658</x:v>
      </x:c>
      <x:c r="R65" s="18" t="str">
        <x:v>COMPLETE_FINITE_SNAPSHOT</x:v>
      </x:c>
      <x:c r="S65" s="18" t="str">
        <x:v>Complete returned current head-of-state statements for sovereign-state universe</x:v>
      </x:c>
      <x:c r="T65" s="18" t="str"/>
      <x:c r="U65" s="18" t="str"/>
      <x:c r="V65" s="20" t="n">
        <x:v>252</x:v>
      </x:c>
      <x:c r="W65" s="19" t="str">
        <x:f>IFERROR(TODAY()-DATEVALUE(C65),"")</x:f>
      </x:c>
      <x:c r="X65" s="21" t="n">
        <x:f>ROUND(COUNTA(A65:K65)/11*100,0)</x:f>
        <x:v>100</x:v>
      </x:c>
      <x:c r="Y65" s="18" t="str">
        <x:v>Wikidata</x:v>
      </x:c>
      <x:c r="Z65" s="22" t="str">
        <x:v>http://www.wikidata.org/entity/Q12213376</x:v>
      </x:c>
      <x:c r="AA65" s="18" t="str"/>
      <x:c r="AB65" s="18" t="n">
        <x:v>46275.416216736114</x:v>
      </x:c>
      <x:c r="AC65" s="18" t="str">
        <x:v>independent_public</x:v>
      </x:c>
      <x:c r="AD65" s="18" t="str">
        <x:v>PARTIAL_NO_DATE</x:v>
      </x:c>
    </x:row>
    <x:row r="66">
      <x:c r="A66" s="18" t="str">
        <x:v>NYT-13-63a837af89143224</x:v>
      </x:c>
      <x:c r="B66" s="18" t="str">
        <x:v>Va'aletoa Sualauvi II</x:v>
      </x:c>
      <x:c r="C66" s="18" t="str"/>
      <x:c r="D66" s="18" t="str"/>
      <x:c r="E66" s="18" t="str"/>
      <x:c r="F66" s="18" t="str"/>
      <x:c r="G66" s="18" t="str"/>
      <x:c r="H66" s="18" t="str">
        <x:v>Samoa</x:v>
      </x:c>
      <x:c r="I66" s="18" t="str">
        <x:v>Samoa</x:v>
      </x:c>
      <x:c r="J66" s="20" t="str"/>
      <x:c r="K66" s="18" t="str"/>
      <x:c r="L66" s="20" t="str">
        <x:v>Samoa</x:v>
      </x:c>
      <x:c r="M66" s="18" t="str">
        <x:v>Va'aletoa Sualauvi II</x:v>
      </x:c>
      <x:c r="N66" s="20" t="str">
        <x:v>Q683</x:v>
      </x:c>
      <x:c r="O66" s="18" t="str">
        <x:v>O le Ao o le Malo</x:v>
      </x:c>
      <x:c r="P66" s="18" t="str">
        <x:v>Q32014514</x:v>
      </x:c>
      <x:c r="Q66" s="18" t="n">
        <x:v>42937</x:v>
      </x:c>
      <x:c r="R66" s="18" t="str">
        <x:v>COMPLETE_FINITE_SNAPSHOT</x:v>
      </x:c>
      <x:c r="S66" s="18" t="str">
        <x:v>Complete returned current head-of-state statements for sovereign-state universe</x:v>
      </x:c>
      <x:c r="T66" s="18" t="str"/>
      <x:c r="U66" s="18" t="str"/>
      <x:c r="V66" s="20" t="n">
        <x:v>252</x:v>
      </x:c>
      <x:c r="W66" s="19" t="str">
        <x:f>IFERROR(TODAY()-DATEVALUE(C66),"")</x:f>
      </x:c>
      <x:c r="X66" s="21" t="n">
        <x:f>ROUND(COUNTA(A66:K66)/11*100,0)</x:f>
        <x:v>100</x:v>
      </x:c>
      <x:c r="Y66" s="18" t="str">
        <x:v>Wikidata</x:v>
      </x:c>
      <x:c r="Z66" s="22" t="str">
        <x:v>http://www.wikidata.org/entity/Q32014514</x:v>
      </x:c>
      <x:c r="AA66" s="18" t="str"/>
      <x:c r="AB66" s="18" t="n">
        <x:v>46275.416216736114</x:v>
      </x:c>
      <x:c r="AC66" s="18" t="str">
        <x:v>independent_public</x:v>
      </x:c>
      <x:c r="AD66" s="18" t="str">
        <x:v>PARTIAL_NO_DATE</x:v>
      </x:c>
    </x:row>
    <x:row r="67">
      <x:c r="A67" s="18" t="str">
        <x:v>NYT-13-ea2324f3e3a4cdaa</x:v>
      </x:c>
      <x:c r="B67" s="18" t="str">
        <x:v>John Charlton Rudge</x:v>
      </x:c>
      <x:c r="C67" s="18" t="str"/>
      <x:c r="D67" s="18" t="str"/>
      <x:c r="E67" s="18" t="str"/>
      <x:c r="F67" s="18" t="str"/>
      <x:c r="G67" s="18" t="str"/>
      <x:c r="H67" s="18" t="str">
        <x:v>Grand Duchy of Avram</x:v>
      </x:c>
      <x:c r="I67" s="18" t="str">
        <x:v>Grand Duchy of Avram</x:v>
      </x:c>
      <x:c r="J67" s="20" t="str"/>
      <x:c r="K67" s="18" t="str"/>
      <x:c r="L67" s="20" t="str">
        <x:v>Grand Duchy of Avram</x:v>
      </x:c>
      <x:c r="M67" s="18" t="str">
        <x:v>John Charlton Rudge</x:v>
      </x:c>
      <x:c r="N67" s="20" t="str">
        <x:v>Q744042</x:v>
      </x:c>
      <x:c r="O67" s="18" t="str">
        <x:v>Member of the Tasmanian House of Assembly</x:v>
      </x:c>
      <x:c r="P67" s="18" t="str">
        <x:v>Q6225811</x:v>
      </x:c>
      <x:c r="Q67" s="18" t="n">
        <x:v>32641</x:v>
      </x:c>
      <x:c r="R67" s="18" t="str">
        <x:v>COMPLETE_FINITE_SNAPSHOT</x:v>
      </x:c>
      <x:c r="S67" s="18" t="str">
        <x:v>Complete returned current head-of-state statements for sovereign-state universe</x:v>
      </x:c>
      <x:c r="T67" s="18" t="str"/>
      <x:c r="U67" s="18" t="str"/>
      <x:c r="V67" s="20" t="n">
        <x:v>252</x:v>
      </x:c>
      <x:c r="W67" s="19" t="str">
        <x:f>IFERROR(TODAY()-DATEVALUE(C67),"")</x:f>
      </x:c>
      <x:c r="X67" s="21" t="n">
        <x:f>ROUND(COUNTA(A67:K67)/11*100,0)</x:f>
        <x:v>100</x:v>
      </x:c>
      <x:c r="Y67" s="18" t="str">
        <x:v>Wikidata</x:v>
      </x:c>
      <x:c r="Z67" s="22" t="str">
        <x:v>http://www.wikidata.org/entity/Q6225811</x:v>
      </x:c>
      <x:c r="AA67" s="18" t="str"/>
      <x:c r="AB67" s="18" t="n">
        <x:v>46275.416216736114</x:v>
      </x:c>
      <x:c r="AC67" s="18" t="str">
        <x:v>independent_public</x:v>
      </x:c>
      <x:c r="AD67" s="18" t="str">
        <x:v>PARTIAL_NO_DATE</x:v>
      </x:c>
    </x:row>
    <x:row r="68">
      <x:c r="A68" s="18" t="str">
        <x:v>NYT-13-6f337adc6a48222e</x:v>
      </x:c>
      <x:c r="B68" s="18" t="str">
        <x:v>Iliana Iotova</x:v>
      </x:c>
      <x:c r="C68" s="18" t="str"/>
      <x:c r="D68" s="18" t="str"/>
      <x:c r="E68" s="18" t="str"/>
      <x:c r="F68" s="18" t="str"/>
      <x:c r="G68" s="18" t="str"/>
      <x:c r="H68" s="18" t="str">
        <x:v>Bulgaria</x:v>
      </x:c>
      <x:c r="I68" s="18" t="str">
        <x:v>Bulgaria</x:v>
      </x:c>
      <x:c r="J68" s="20" t="str"/>
      <x:c r="K68" s="18" t="str"/>
      <x:c r="L68" s="20" t="str">
        <x:v>Bulgaria</x:v>
      </x:c>
      <x:c r="M68" s="18" t="str">
        <x:v>Iliana Iotova</x:v>
      </x:c>
      <x:c r="N68" s="20" t="str">
        <x:v>Q219</x:v>
      </x:c>
      <x:c r="O68" s="18" t="str">
        <x:v>President of Bulgaria</x:v>
      </x:c>
      <x:c r="P68" s="18" t="str">
        <x:v>Q433338</x:v>
      </x:c>
      <x:c r="Q68" s="18" t="n">
        <x:v>46045</x:v>
      </x:c>
      <x:c r="R68" s="18" t="str">
        <x:v>COMPLETE_FINITE_SNAPSHOT</x:v>
      </x:c>
      <x:c r="S68" s="18" t="str">
        <x:v>Complete returned current head-of-state statements for sovereign-state universe</x:v>
      </x:c>
      <x:c r="T68" s="18" t="str"/>
      <x:c r="U68" s="18" t="str"/>
      <x:c r="V68" s="20" t="n">
        <x:v>252</x:v>
      </x:c>
      <x:c r="W68" s="19" t="str">
        <x:f>IFERROR(TODAY()-DATEVALUE(C68),"")</x:f>
      </x:c>
      <x:c r="X68" s="21" t="n">
        <x:f>ROUND(COUNTA(A68:K68)/11*100,0)</x:f>
        <x:v>100</x:v>
      </x:c>
      <x:c r="Y68" s="18" t="str">
        <x:v>Wikidata</x:v>
      </x:c>
      <x:c r="Z68" s="22" t="str">
        <x:v>http://www.wikidata.org/entity/Q433338</x:v>
      </x:c>
      <x:c r="AA68" s="18" t="str"/>
      <x:c r="AB68" s="18" t="n">
        <x:v>46275.416216736114</x:v>
      </x:c>
      <x:c r="AC68" s="18" t="str">
        <x:v>independent_public</x:v>
      </x:c>
      <x:c r="AD68" s="18" t="str">
        <x:v>PARTIAL_NO_DATE</x:v>
      </x:c>
    </x:row>
    <x:row r="69">
      <x:c r="A69" s="18" t="str">
        <x:v>NYT-13-2a59cfa35e6783e1</x:v>
      </x:c>
      <x:c r="B69" s="18" t="str">
        <x:v>Željko Komšić</x:v>
      </x:c>
      <x:c r="C69" s="18" t="str"/>
      <x:c r="D69" s="18" t="str"/>
      <x:c r="E69" s="18" t="str"/>
      <x:c r="F69" s="18" t="str"/>
      <x:c r="G69" s="18" t="str"/>
      <x:c r="H69" s="18" t="str">
        <x:v>Bosnia and Herzegovina</x:v>
      </x:c>
      <x:c r="I69" s="18" t="str">
        <x:v>Bosnia and Herzegovina</x:v>
      </x:c>
      <x:c r="J69" s="20" t="str"/>
      <x:c r="K69" s="18" t="str"/>
      <x:c r="L69" s="20" t="str">
        <x:v>Bosnia and Herzegovina</x:v>
      </x:c>
      <x:c r="M69" s="18" t="str">
        <x:v>Željko Komšić</x:v>
      </x:c>
      <x:c r="N69" s="20" t="str">
        <x:v>Q225</x:v>
      </x:c>
      <x:c r="O69" s="18" t="str">
        <x:v>Chairman of the Presidency of Bosnia and Herzegovina</x:v>
      </x:c>
      <x:c r="P69" s="18" t="str">
        <x:v>Q297825</x:v>
      </x:c>
      <x:c r="Q69" s="18" t="n">
        <x:v>45123</x:v>
      </x:c>
      <x:c r="R69" s="18" t="str">
        <x:v>COMPLETE_FINITE_SNAPSHOT</x:v>
      </x:c>
      <x:c r="S69" s="18" t="str">
        <x:v>Complete returned current head-of-state statements for sovereign-state universe</x:v>
      </x:c>
      <x:c r="T69" s="18" t="str"/>
      <x:c r="U69" s="18" t="str"/>
      <x:c r="V69" s="20" t="n">
        <x:v>252</x:v>
      </x:c>
      <x:c r="W69" s="19" t="str">
        <x:f>IFERROR(TODAY()-DATEVALUE(C69),"")</x:f>
      </x:c>
      <x:c r="X69" s="21" t="n">
        <x:f>ROUND(COUNTA(A69:K69)/11*100,0)</x:f>
        <x:v>100</x:v>
      </x:c>
      <x:c r="Y69" s="18" t="str">
        <x:v>Wikidata</x:v>
      </x:c>
      <x:c r="Z69" s="22" t="str">
        <x:v>http://www.wikidata.org/entity/Q297825</x:v>
      </x:c>
      <x:c r="AA69" s="18" t="str"/>
      <x:c r="AB69" s="18" t="n">
        <x:v>46275.416216736114</x:v>
      </x:c>
      <x:c r="AC69" s="18" t="str">
        <x:v>independent_public</x:v>
      </x:c>
      <x:c r="AD69" s="18" t="str">
        <x:v>PARTIAL_NO_DATE</x:v>
      </x:c>
    </x:row>
    <x:row r="70">
      <x:c r="A70" s="18" t="str">
        <x:v>NYT-13-9df8ce714c7f0598</x:v>
      </x:c>
      <x:c r="B70" s="18" t="str">
        <x:v>Albert II, Prince of Monaco</x:v>
      </x:c>
      <x:c r="C70" s="18" t="str"/>
      <x:c r="D70" s="18" t="str"/>
      <x:c r="E70" s="18" t="str"/>
      <x:c r="F70" s="18" t="str"/>
      <x:c r="G70" s="18" t="str"/>
      <x:c r="H70" s="18" t="str">
        <x:v>Monaco</x:v>
      </x:c>
      <x:c r="I70" s="18" t="str">
        <x:v>Monaco</x:v>
      </x:c>
      <x:c r="J70" s="20" t="str"/>
      <x:c r="K70" s="18" t="str"/>
      <x:c r="L70" s="20" t="str">
        <x:v>Monaco</x:v>
      </x:c>
      <x:c r="M70" s="18" t="str">
        <x:v>Albert II, Prince of Monaco</x:v>
      </x:c>
      <x:c r="N70" s="20" t="str">
        <x:v>Q235</x:v>
      </x:c>
      <x:c r="O70" s="18" t="str">
        <x:v>member of the International Olympic Committee</x:v>
      </x:c>
      <x:c r="P70" s="18" t="str">
        <x:v>Q3910</x:v>
      </x:c>
      <x:c r="Q70" s="18" t="n">
        <x:v>31048</x:v>
      </x:c>
      <x:c r="R70" s="18" t="str">
        <x:v>COMPLETE_FINITE_SNAPSHOT</x:v>
      </x:c>
      <x:c r="S70" s="18" t="str">
        <x:v>Complete returned current head-of-state statements for sovereign-state universe</x:v>
      </x:c>
      <x:c r="T70" s="18" t="str"/>
      <x:c r="U70" s="18" t="str"/>
      <x:c r="V70" s="20" t="n">
        <x:v>252</x:v>
      </x:c>
      <x:c r="W70" s="19" t="str">
        <x:f>IFERROR(TODAY()-DATEVALUE(C70),"")</x:f>
      </x:c>
      <x:c r="X70" s="21" t="n">
        <x:f>ROUND(COUNTA(A70:K70)/11*100,0)</x:f>
        <x:v>100</x:v>
      </x:c>
      <x:c r="Y70" s="18" t="str">
        <x:v>Wikidata</x:v>
      </x:c>
      <x:c r="Z70" s="22" t="str">
        <x:v>http://www.wikidata.org/entity/Q3910</x:v>
      </x:c>
      <x:c r="AA70" s="18" t="str"/>
      <x:c r="AB70" s="18" t="n">
        <x:v>46275.416216736114</x:v>
      </x:c>
      <x:c r="AC70" s="18" t="str">
        <x:v>independent_public</x:v>
      </x:c>
      <x:c r="AD70" s="18" t="str">
        <x:v>PARTIAL_NO_DATE</x:v>
      </x:c>
    </x:row>
    <x:row r="71">
      <x:c r="A71" s="18" t="str">
        <x:v>NYT-13-bb3641d0e10863a8</x:v>
      </x:c>
      <x:c r="B71" s="18" t="str">
        <x:v>Charles III</x:v>
      </x:c>
      <x:c r="C71" s="18" t="str"/>
      <x:c r="D71" s="18" t="str"/>
      <x:c r="E71" s="18" t="str"/>
      <x:c r="F71" s="18" t="str"/>
      <x:c r="G71" s="18" t="str"/>
      <x:c r="H71" s="18" t="str">
        <x:v>Belize</x:v>
      </x:c>
      <x:c r="I71" s="18" t="str">
        <x:v>Belize</x:v>
      </x:c>
      <x:c r="J71" s="20" t="str"/>
      <x:c r="K71" s="18" t="str"/>
      <x:c r="L71" s="20" t="str">
        <x:v>Belize</x:v>
      </x:c>
      <x:c r="M71" s="18" t="str">
        <x:v>Charles III</x:v>
      </x:c>
      <x:c r="N71" s="20" t="str">
        <x:v>Q242</x:v>
      </x:c>
      <x:c r="O71" s="18" t="str">
        <x:v>Monarch of the United Kingdom</x:v>
      </x:c>
      <x:c r="P71" s="18" t="str">
        <x:v>Q43274</x:v>
      </x:c>
      <x:c r="Q71" s="18" t="n">
        <x:v>44812</x:v>
      </x:c>
      <x:c r="R71" s="18" t="str">
        <x:v>COMPLETE_FINITE_SNAPSHOT</x:v>
      </x:c>
      <x:c r="S71" s="18" t="str">
        <x:v>Complete returned current head-of-state statements for sovereign-state universe</x:v>
      </x:c>
      <x:c r="T71" s="18" t="str"/>
      <x:c r="U71" s="18" t="str"/>
      <x:c r="V71" s="20" t="n">
        <x:v>252</x:v>
      </x:c>
      <x:c r="W71" s="19" t="str">
        <x:f>IFERROR(TODAY()-DATEVALUE(C71),"")</x:f>
      </x:c>
      <x:c r="X71" s="21" t="n">
        <x:f>ROUND(COUNTA(A71:K71)/11*100,0)</x:f>
        <x:v>100</x:v>
      </x:c>
      <x:c r="Y71" s="18" t="str">
        <x:v>Wikidata</x:v>
      </x:c>
      <x:c r="Z71" s="22" t="str">
        <x:v>http://www.wikidata.org/entity/Q43274</x:v>
      </x:c>
      <x:c r="AA71" s="18" t="str"/>
      <x:c r="AB71" s="18" t="n">
        <x:v>46275.416216736114</x:v>
      </x:c>
      <x:c r="AC71" s="18" t="str">
        <x:v>independent_public</x:v>
      </x:c>
      <x:c r="AD71" s="18" t="str">
        <x:v>PARTIAL_NO_DATE</x:v>
      </x:c>
    </x:row>
    <x:row r="72">
      <x:c r="A72" s="18" t="str">
        <x:v>NYT-13-ffdb1533e1dab3bf</x:v>
      </x:c>
      <x:c r="B72" s="18" t="str">
        <x:v>John Mahama</x:v>
      </x:c>
      <x:c r="C72" s="18" t="str"/>
      <x:c r="D72" s="18" t="str"/>
      <x:c r="E72" s="18" t="str"/>
      <x:c r="F72" s="18" t="str"/>
      <x:c r="G72" s="18" t="str"/>
      <x:c r="H72" s="18" t="str">
        <x:v>Ghana</x:v>
      </x:c>
      <x:c r="I72" s="18" t="str">
        <x:v>Ghana</x:v>
      </x:c>
      <x:c r="J72" s="20" t="str"/>
      <x:c r="K72" s="18" t="str"/>
      <x:c r="L72" s="20" t="str">
        <x:v>Ghana</x:v>
      </x:c>
      <x:c r="M72" s="18" t="str">
        <x:v>John Mahama</x:v>
      </x:c>
      <x:c r="N72" s="20" t="str">
        <x:v>Q117</x:v>
      </x:c>
      <x:c r="O72" s="18" t="str">
        <x:v>Vice President of the Republic of Ghana</x:v>
      </x:c>
      <x:c r="P72" s="18" t="str">
        <x:v>Q50678</x:v>
      </x:c>
      <x:c r="Q72" s="18" t="n">
        <x:v>39820</x:v>
      </x:c>
      <x:c r="R72" s="18" t="str">
        <x:v>COMPLETE_FINITE_SNAPSHOT</x:v>
      </x:c>
      <x:c r="S72" s="18" t="str">
        <x:v>Complete returned current head-of-state statements for sovereign-state universe</x:v>
      </x:c>
      <x:c r="T72" s="18" t="str"/>
      <x:c r="U72" s="18" t="str"/>
      <x:c r="V72" s="20" t="n">
        <x:v>252</x:v>
      </x:c>
      <x:c r="W72" s="19" t="str">
        <x:f>IFERROR(TODAY()-DATEVALUE(C72),"")</x:f>
      </x:c>
      <x:c r="X72" s="21" t="n">
        <x:f>ROUND(COUNTA(A72:K72)/11*100,0)</x:f>
        <x:v>100</x:v>
      </x:c>
      <x:c r="Y72" s="18" t="str">
        <x:v>Wikidata</x:v>
      </x:c>
      <x:c r="Z72" s="22" t="str">
        <x:v>http://www.wikidata.org/entity/Q50678</x:v>
      </x:c>
      <x:c r="AA72" s="18" t="str"/>
      <x:c r="AB72" s="18" t="n">
        <x:v>46275.416216736114</x:v>
      </x:c>
      <x:c r="AC72" s="18" t="str">
        <x:v>independent_public</x:v>
      </x:c>
      <x:c r="AD72" s="18" t="str">
        <x:v>PARTIAL_NO_DATE</x:v>
      </x:c>
    </x:row>
    <x:row r="73">
      <x:c r="A73" s="18" t="str">
        <x:v>NYT-13-6dad0bf03e6ac10f</x:v>
      </x:c>
      <x:c r="B73" s="18" t="str">
        <x:v>Charles III</x:v>
      </x:c>
      <x:c r="C73" s="18" t="str"/>
      <x:c r="D73" s="18" t="str"/>
      <x:c r="E73" s="18" t="str"/>
      <x:c r="F73" s="18" t="str"/>
      <x:c r="G73" s="18" t="str"/>
      <x:c r="H73" s="18" t="str">
        <x:v>Gibraltar</x:v>
      </x:c>
      <x:c r="I73" s="18" t="str">
        <x:v>Gibraltar</x:v>
      </x:c>
      <x:c r="J73" s="20" t="str"/>
      <x:c r="K73" s="18" t="str"/>
      <x:c r="L73" s="20" t="str">
        <x:v>Gibraltar</x:v>
      </x:c>
      <x:c r="M73" s="18" t="str">
        <x:v>Charles III</x:v>
      </x:c>
      <x:c r="N73" s="20" t="str">
        <x:v>Q1410</x:v>
      </x:c>
      <x:c r="O73" s="18" t="str">
        <x:v>Monarch of the United Kingdom</x:v>
      </x:c>
      <x:c r="P73" s="18" t="str">
        <x:v>Q43274</x:v>
      </x:c>
      <x:c r="Q73" s="18" t="n">
        <x:v>44812</x:v>
      </x:c>
      <x:c r="R73" s="18" t="str">
        <x:v>COMPLETE_FINITE_SNAPSHOT</x:v>
      </x:c>
      <x:c r="S73" s="18" t="str">
        <x:v>Complete returned current head-of-state statements for sovereign-state universe</x:v>
      </x:c>
      <x:c r="T73" s="18" t="str"/>
      <x:c r="U73" s="18" t="str"/>
      <x:c r="V73" s="20" t="n">
        <x:v>252</x:v>
      </x:c>
      <x:c r="W73" s="19" t="str">
        <x:f>IFERROR(TODAY()-DATEVALUE(C73),"")</x:f>
      </x:c>
      <x:c r="X73" s="21" t="n">
        <x:f>ROUND(COUNTA(A73:K73)/11*100,0)</x:f>
        <x:v>100</x:v>
      </x:c>
      <x:c r="Y73" s="18" t="str">
        <x:v>Wikidata</x:v>
      </x:c>
      <x:c r="Z73" s="22" t="str">
        <x:v>http://www.wikidata.org/entity/Q43274</x:v>
      </x:c>
      <x:c r="AA73" s="18" t="str"/>
      <x:c r="AB73" s="18" t="n">
        <x:v>46275.416216736114</x:v>
      </x:c>
      <x:c r="AC73" s="18" t="str">
        <x:v>independent_public</x:v>
      </x:c>
      <x:c r="AD73" s="18" t="str">
        <x:v>PARTIAL_NO_DATE</x:v>
      </x:c>
    </x:row>
    <x:row r="74">
      <x:c r="A74" s="18" t="str">
        <x:v>NYT-13-89f9f0f1c1f1348b</x:v>
      </x:c>
      <x:c r="B74" s="18" t="str">
        <x:v>Charles III</x:v>
      </x:c>
      <x:c r="C74" s="18" t="str"/>
      <x:c r="D74" s="18" t="str"/>
      <x:c r="E74" s="18" t="str"/>
      <x:c r="F74" s="18" t="str"/>
      <x:c r="G74" s="18" t="str"/>
      <x:c r="H74" s="18" t="str">
        <x:v>Grenada</x:v>
      </x:c>
      <x:c r="I74" s="18" t="str">
        <x:v>Grenada</x:v>
      </x:c>
      <x:c r="J74" s="20" t="str"/>
      <x:c r="K74" s="18" t="str"/>
      <x:c r="L74" s="20" t="str">
        <x:v>Grenada</x:v>
      </x:c>
      <x:c r="M74" s="18" t="str">
        <x:v>Charles III</x:v>
      </x:c>
      <x:c r="N74" s="20" t="str">
        <x:v>Q769</x:v>
      </x:c>
      <x:c r="O74" s="18" t="str">
        <x:v>Monarch of the United Kingdom</x:v>
      </x:c>
      <x:c r="P74" s="18" t="str">
        <x:v>Q43274</x:v>
      </x:c>
      <x:c r="Q74" s="18" t="n">
        <x:v>44812</x:v>
      </x:c>
      <x:c r="R74" s="18" t="str">
        <x:v>COMPLETE_FINITE_SNAPSHOT</x:v>
      </x:c>
      <x:c r="S74" s="18" t="str">
        <x:v>Complete returned current head-of-state statements for sovereign-state universe</x:v>
      </x:c>
      <x:c r="T74" s="18" t="str"/>
      <x:c r="U74" s="18" t="str"/>
      <x:c r="V74" s="20" t="n">
        <x:v>252</x:v>
      </x:c>
      <x:c r="W74" s="19" t="str">
        <x:f>IFERROR(TODAY()-DATEVALUE(C74),"")</x:f>
      </x:c>
      <x:c r="X74" s="21" t="n">
        <x:f>ROUND(COUNTA(A74:K74)/11*100,0)</x:f>
        <x:v>100</x:v>
      </x:c>
      <x:c r="Y74" s="18" t="str">
        <x:v>Wikidata</x:v>
      </x:c>
      <x:c r="Z74" s="22" t="str">
        <x:v>http://www.wikidata.org/entity/Q43274</x:v>
      </x:c>
      <x:c r="AA74" s="18" t="str"/>
      <x:c r="AB74" s="18" t="n">
        <x:v>46275.416216736114</x:v>
      </x:c>
      <x:c r="AC74" s="18" t="str">
        <x:v>independent_public</x:v>
      </x:c>
      <x:c r="AD74" s="18" t="str">
        <x:v>PARTIAL_NO_DATE</x:v>
      </x:c>
    </x:row>
    <x:row r="75">
      <x:c r="A75" s="18" t="str">
        <x:v>NYT-13-8a29c237e3581a05</x:v>
      </x:c>
      <x:c r="B75" s="18" t="str">
        <x:v>Nicholas II of Russia</x:v>
      </x:c>
      <x:c r="C75" s="18" t="str"/>
      <x:c r="D75" s="18" t="str"/>
      <x:c r="E75" s="18" t="str"/>
      <x:c r="F75" s="18" t="str"/>
      <x:c r="G75" s="18" t="str"/>
      <x:c r="H75" s="18" t="str">
        <x:v>Russian Empire</x:v>
      </x:c>
      <x:c r="I75" s="18" t="str">
        <x:v>Russian Empire</x:v>
      </x:c>
      <x:c r="J75" s="20" t="str"/>
      <x:c r="K75" s="18" t="str"/>
      <x:c r="L75" s="20" t="str">
        <x:v>Russian Empire</x:v>
      </x:c>
      <x:c r="M75" s="18" t="str">
        <x:v>Nicholas II of Russia</x:v>
      </x:c>
      <x:c r="N75" s="20" t="str">
        <x:v>Q34266</x:v>
      </x:c>
      <x:c r="O75" s="18" t="str">
        <x:v>Emperor of all the Russias</x:v>
      </x:c>
      <x:c r="P75" s="18" t="str">
        <x:v>Q40787</x:v>
      </x:c>
      <x:c r="Q75" s="18" t="n">
        <x:v>-1885</x:v>
      </x:c>
      <x:c r="R75" s="18" t="str">
        <x:v>COMPLETE_FINITE_SNAPSHOT</x:v>
      </x:c>
      <x:c r="S75" s="18" t="str">
        <x:v>Complete returned current head-of-state statements for sovereign-state universe</x:v>
      </x:c>
      <x:c r="T75" s="18" t="str"/>
      <x:c r="U75" s="18" t="str"/>
      <x:c r="V75" s="20" t="n">
        <x:v>252</x:v>
      </x:c>
      <x:c r="W75" s="19" t="str">
        <x:f>IFERROR(TODAY()-DATEVALUE(C75),"")</x:f>
      </x:c>
      <x:c r="X75" s="21" t="n">
        <x:f>ROUND(COUNTA(A75:K75)/11*100,0)</x:f>
        <x:v>100</x:v>
      </x:c>
      <x:c r="Y75" s="18" t="str">
        <x:v>Wikidata</x:v>
      </x:c>
      <x:c r="Z75" s="22" t="str">
        <x:v>http://www.wikidata.org/entity/Q40787</x:v>
      </x:c>
      <x:c r="AA75" s="18" t="str"/>
      <x:c r="AB75" s="18" t="n">
        <x:v>46275.416216736114</x:v>
      </x:c>
      <x:c r="AC75" s="18" t="str">
        <x:v>independent_public</x:v>
      </x:c>
      <x:c r="AD75" s="18" t="str">
        <x:v>PARTIAL_NO_DATE</x:v>
      </x:c>
    </x:row>
    <x:row r="76">
      <x:c r="A76" s="18" t="str">
        <x:v>NYT-13-c9cef0b14155d958</x:v>
      </x:c>
      <x:c r="B76" s="18" t="str">
        <x:v>Charles III</x:v>
      </x:c>
      <x:c r="C76" s="18" t="str"/>
      <x:c r="D76" s="18" t="str"/>
      <x:c r="E76" s="18" t="str"/>
      <x:c r="F76" s="18" t="str"/>
      <x:c r="G76" s="18" t="str"/>
      <x:c r="H76" s="18" t="str">
        <x:v>Saint Kitts and Nevis</x:v>
      </x:c>
      <x:c r="I76" s="18" t="str">
        <x:v>Saint Kitts and Nevis</x:v>
      </x:c>
      <x:c r="J76" s="20" t="str"/>
      <x:c r="K76" s="18" t="str"/>
      <x:c r="L76" s="20" t="str">
        <x:v>Saint Kitts and Nevis</x:v>
      </x:c>
      <x:c r="M76" s="18" t="str">
        <x:v>Charles III</x:v>
      </x:c>
      <x:c r="N76" s="20" t="str">
        <x:v>Q763</x:v>
      </x:c>
      <x:c r="O76" s="18" t="str">
        <x:v>Monarch of the United Kingdom</x:v>
      </x:c>
      <x:c r="P76" s="18" t="str">
        <x:v>Q43274</x:v>
      </x:c>
      <x:c r="Q76" s="18" t="n">
        <x:v>44812</x:v>
      </x:c>
      <x:c r="R76" s="18" t="str">
        <x:v>COMPLETE_FINITE_SNAPSHOT</x:v>
      </x:c>
      <x:c r="S76" s="18" t="str">
        <x:v>Complete returned current head-of-state statements for sovereign-state universe</x:v>
      </x:c>
      <x:c r="T76" s="18" t="str"/>
      <x:c r="U76" s="18" t="str"/>
      <x:c r="V76" s="20" t="n">
        <x:v>252</x:v>
      </x:c>
      <x:c r="W76" s="19" t="str">
        <x:f>IFERROR(TODAY()-DATEVALUE(C76),"")</x:f>
      </x:c>
      <x:c r="X76" s="21" t="n">
        <x:f>ROUND(COUNTA(A76:K76)/11*100,0)</x:f>
        <x:v>100</x:v>
      </x:c>
      <x:c r="Y76" s="18" t="str">
        <x:v>Wikidata</x:v>
      </x:c>
      <x:c r="Z76" s="22" t="str">
        <x:v>http://www.wikidata.org/entity/Q43274</x:v>
      </x:c>
      <x:c r="AA76" s="18" t="str"/>
      <x:c r="AB76" s="18" t="n">
        <x:v>46275.416216736114</x:v>
      </x:c>
      <x:c r="AC76" s="18" t="str">
        <x:v>independent_public</x:v>
      </x:c>
      <x:c r="AD76" s="18" t="str">
        <x:v>PARTIAL_NO_DATE</x:v>
      </x:c>
    </x:row>
    <x:row r="77">
      <x:c r="A77" s="18" t="str">
        <x:v>NYT-13-9e3d8e8974341787</x:v>
      </x:c>
      <x:c r="B77" s="18" t="str">
        <x:v>Charles III</x:v>
      </x:c>
      <x:c r="C77" s="18" t="str"/>
      <x:c r="D77" s="18" t="str"/>
      <x:c r="E77" s="18" t="str"/>
      <x:c r="F77" s="18" t="str"/>
      <x:c r="G77" s="18" t="str"/>
      <x:c r="H77" s="18" t="str">
        <x:v>Jamaica</x:v>
      </x:c>
      <x:c r="I77" s="18" t="str">
        <x:v>Jamaica</x:v>
      </x:c>
      <x:c r="J77" s="20" t="str"/>
      <x:c r="K77" s="18" t="str"/>
      <x:c r="L77" s="20" t="str">
        <x:v>Jamaica</x:v>
      </x:c>
      <x:c r="M77" s="18" t="str">
        <x:v>Charles III</x:v>
      </x:c>
      <x:c r="N77" s="20" t="str">
        <x:v>Q766</x:v>
      </x:c>
      <x:c r="O77" s="18" t="str">
        <x:v>Monarch of the United Kingdom</x:v>
      </x:c>
      <x:c r="P77" s="18" t="str">
        <x:v>Q43274</x:v>
      </x:c>
      <x:c r="Q77" s="18" t="n">
        <x:v>44812</x:v>
      </x:c>
      <x:c r="R77" s="18" t="str">
        <x:v>COMPLETE_FINITE_SNAPSHOT</x:v>
      </x:c>
      <x:c r="S77" s="18" t="str">
        <x:v>Complete returned current head-of-state statements for sovereign-state universe</x:v>
      </x:c>
      <x:c r="T77" s="18" t="str"/>
      <x:c r="U77" s="18" t="str"/>
      <x:c r="V77" s="20" t="n">
        <x:v>252</x:v>
      </x:c>
      <x:c r="W77" s="19" t="str">
        <x:f>IFERROR(TODAY()-DATEVALUE(C77),"")</x:f>
      </x:c>
      <x:c r="X77" s="21" t="n">
        <x:f>ROUND(COUNTA(A77:K77)/11*100,0)</x:f>
        <x:v>100</x:v>
      </x:c>
      <x:c r="Y77" s="18" t="str">
        <x:v>Wikidata</x:v>
      </x:c>
      <x:c r="Z77" s="22" t="str">
        <x:v>http://www.wikidata.org/entity/Q43274</x:v>
      </x:c>
      <x:c r="AA77" s="18" t="str"/>
      <x:c r="AB77" s="18" t="n">
        <x:v>46275.416216736114</x:v>
      </x:c>
      <x:c r="AC77" s="18" t="str">
        <x:v>independent_public</x:v>
      </x:c>
      <x:c r="AD77" s="18" t="str">
        <x:v>PARTIAL_NO_DATE</x:v>
      </x:c>
    </x:row>
    <x:row r="78">
      <x:c r="A78" s="18" t="str">
        <x:v>NYT-13-c3d52ea0f5b58c15</x:v>
      </x:c>
      <x:c r="B78" s="18" t="str">
        <x:v>Charles III</x:v>
      </x:c>
      <x:c r="C78" s="18" t="str"/>
      <x:c r="D78" s="18" t="str"/>
      <x:c r="E78" s="18" t="str"/>
      <x:c r="F78" s="18" t="str"/>
      <x:c r="G78" s="18" t="str"/>
      <x:c r="H78" s="18" t="str">
        <x:v>United Kingdom</x:v>
      </x:c>
      <x:c r="I78" s="18" t="str">
        <x:v>United Kingdom</x:v>
      </x:c>
      <x:c r="J78" s="20" t="str"/>
      <x:c r="K78" s="18" t="str"/>
      <x:c r="L78" s="20" t="str">
        <x:v>United Kingdom</x:v>
      </x:c>
      <x:c r="M78" s="18" t="str">
        <x:v>Charles III</x:v>
      </x:c>
      <x:c r="N78" s="20" t="str">
        <x:v>Q145</x:v>
      </x:c>
      <x:c r="O78" s="18" t="str">
        <x:v>Monarch of the United Kingdom</x:v>
      </x:c>
      <x:c r="P78" s="18" t="str">
        <x:v>Q43274</x:v>
      </x:c>
      <x:c r="Q78" s="18" t="n">
        <x:v>44812</x:v>
      </x:c>
      <x:c r="R78" s="18" t="str">
        <x:v>COMPLETE_FINITE_SNAPSHOT</x:v>
      </x:c>
      <x:c r="S78" s="18" t="str">
        <x:v>Complete returned current head-of-state statements for sovereign-state universe</x:v>
      </x:c>
      <x:c r="T78" s="18" t="str"/>
      <x:c r="U78" s="18" t="str"/>
      <x:c r="V78" s="20" t="n">
        <x:v>252</x:v>
      </x:c>
      <x:c r="W78" s="19" t="str">
        <x:f>IFERROR(TODAY()-DATEVALUE(C78),"")</x:f>
      </x:c>
      <x:c r="X78" s="21" t="n">
        <x:f>ROUND(COUNTA(A78:K78)/11*100,0)</x:f>
        <x:v>100</x:v>
      </x:c>
      <x:c r="Y78" s="18" t="str">
        <x:v>Wikidata</x:v>
      </x:c>
      <x:c r="Z78" s="22" t="str">
        <x:v>http://www.wikidata.org/entity/Q43274</x:v>
      </x:c>
      <x:c r="AA78" s="18" t="str"/>
      <x:c r="AB78" s="18" t="n">
        <x:v>46275.416216736114</x:v>
      </x:c>
      <x:c r="AC78" s="18" t="str">
        <x:v>independent_public</x:v>
      </x:c>
      <x:c r="AD78" s="18" t="str">
        <x:v>PARTIAL_NO_DATE</x:v>
      </x:c>
    </x:row>
    <x:row r="79">
      <x:c r="A79" s="18" t="str">
        <x:v>NYT-13-8d68c6f976dc38bd</x:v>
      </x:c>
      <x:c r="B79" s="18" t="str">
        <x:v>Charles III</x:v>
      </x:c>
      <x:c r="C79" s="18" t="str"/>
      <x:c r="D79" s="18" t="str"/>
      <x:c r="E79" s="18" t="str"/>
      <x:c r="F79" s="18" t="str"/>
      <x:c r="G79" s="18" t="str"/>
      <x:c r="H79" s="18" t="str">
        <x:v>Australia</x:v>
      </x:c>
      <x:c r="I79" s="18" t="str">
        <x:v>Australia</x:v>
      </x:c>
      <x:c r="J79" s="20" t="str"/>
      <x:c r="K79" s="18" t="str"/>
      <x:c r="L79" s="20" t="str">
        <x:v>Australia</x:v>
      </x:c>
      <x:c r="M79" s="18" t="str">
        <x:v>Charles III</x:v>
      </x:c>
      <x:c r="N79" s="20" t="str">
        <x:v>Q408</x:v>
      </x:c>
      <x:c r="O79" s="18" t="str">
        <x:v>Monarch of the United Kingdom</x:v>
      </x:c>
      <x:c r="P79" s="18" t="str">
        <x:v>Q43274</x:v>
      </x:c>
      <x:c r="Q79" s="18" t="n">
        <x:v>44812</x:v>
      </x:c>
      <x:c r="R79" s="18" t="str">
        <x:v>COMPLETE_FINITE_SNAPSHOT</x:v>
      </x:c>
      <x:c r="S79" s="18" t="str">
        <x:v>Complete returned current head-of-state statements for sovereign-state universe</x:v>
      </x:c>
      <x:c r="T79" s="18" t="str"/>
      <x:c r="U79" s="18" t="str"/>
      <x:c r="V79" s="20" t="n">
        <x:v>252</x:v>
      </x:c>
      <x:c r="W79" s="19" t="str">
        <x:f>IFERROR(TODAY()-DATEVALUE(C79),"")</x:f>
      </x:c>
      <x:c r="X79" s="21" t="n">
        <x:f>ROUND(COUNTA(A79:K79)/11*100,0)</x:f>
        <x:v>100</x:v>
      </x:c>
      <x:c r="Y79" s="18" t="str">
        <x:v>Wikidata</x:v>
      </x:c>
      <x:c r="Z79" s="22" t="str">
        <x:v>http://www.wikidata.org/entity/Q43274</x:v>
      </x:c>
      <x:c r="AA79" s="18" t="str"/>
      <x:c r="AB79" s="18" t="n">
        <x:v>46275.416216736114</x:v>
      </x:c>
      <x:c r="AC79" s="18" t="str">
        <x:v>independent_public</x:v>
      </x:c>
      <x:c r="AD79" s="18" t="str">
        <x:v>PARTIAL_NO_DATE</x:v>
      </x:c>
    </x:row>
    <x:row r="80">
      <x:c r="A80" s="18" t="str">
        <x:v>NYT-13-e23e7edde5ab14df</x:v>
      </x:c>
      <x:c r="B80" s="18" t="str">
        <x:v>Charles III</x:v>
      </x:c>
      <x:c r="C80" s="18" t="str"/>
      <x:c r="D80" s="18" t="str"/>
      <x:c r="E80" s="18" t="str"/>
      <x:c r="F80" s="18" t="str"/>
      <x:c r="G80" s="18" t="str"/>
      <x:c r="H80" s="18" t="str">
        <x:v>New Zealand</x:v>
      </x:c>
      <x:c r="I80" s="18" t="str">
        <x:v>New Zealand</x:v>
      </x:c>
      <x:c r="J80" s="20" t="str"/>
      <x:c r="K80" s="18" t="str"/>
      <x:c r="L80" s="20" t="str">
        <x:v>New Zealand</x:v>
      </x:c>
      <x:c r="M80" s="18" t="str">
        <x:v>Charles III</x:v>
      </x:c>
      <x:c r="N80" s="20" t="str">
        <x:v>Q664</x:v>
      </x:c>
      <x:c r="O80" s="18" t="str">
        <x:v>Monarch of the United Kingdom</x:v>
      </x:c>
      <x:c r="P80" s="18" t="str">
        <x:v>Q43274</x:v>
      </x:c>
      <x:c r="Q80" s="18" t="n">
        <x:v>44812</x:v>
      </x:c>
      <x:c r="R80" s="18" t="str">
        <x:v>COMPLETE_FINITE_SNAPSHOT</x:v>
      </x:c>
      <x:c r="S80" s="18" t="str">
        <x:v>Complete returned current head-of-state statements for sovereign-state universe</x:v>
      </x:c>
      <x:c r="T80" s="18" t="str"/>
      <x:c r="U80" s="18" t="str"/>
      <x:c r="V80" s="20" t="n">
        <x:v>252</x:v>
      </x:c>
      <x:c r="W80" s="19" t="str">
        <x:f>IFERROR(TODAY()-DATEVALUE(C80),"")</x:f>
      </x:c>
      <x:c r="X80" s="21" t="n">
        <x:f>ROUND(COUNTA(A80:K80)/11*100,0)</x:f>
        <x:v>100</x:v>
      </x:c>
      <x:c r="Y80" s="18" t="str">
        <x:v>Wikidata</x:v>
      </x:c>
      <x:c r="Z80" s="22" t="str">
        <x:v>http://www.wikidata.org/entity/Q43274</x:v>
      </x:c>
      <x:c r="AA80" s="18" t="str"/>
      <x:c r="AB80" s="18" t="n">
        <x:v>46275.416216736114</x:v>
      </x:c>
      <x:c r="AC80" s="18" t="str">
        <x:v>independent_public</x:v>
      </x:c>
      <x:c r="AD80" s="18" t="str">
        <x:v>PARTIAL_NO_DATE</x:v>
      </x:c>
    </x:row>
    <x:row r="81">
      <x:c r="A81" s="18" t="str">
        <x:v>NYT-13-578fc742015b9cc1</x:v>
      </x:c>
      <x:c r="B81" s="18" t="str">
        <x:v>Charles III</x:v>
      </x:c>
      <x:c r="C81" s="18" t="str"/>
      <x:c r="D81" s="18" t="str"/>
      <x:c r="E81" s="18" t="str"/>
      <x:c r="F81" s="18" t="str"/>
      <x:c r="G81" s="18" t="str"/>
      <x:c r="H81" s="18" t="str">
        <x:v>Saint Lucia</x:v>
      </x:c>
      <x:c r="I81" s="18" t="str">
        <x:v>Saint Lucia</x:v>
      </x:c>
      <x:c r="J81" s="20" t="str"/>
      <x:c r="K81" s="18" t="str"/>
      <x:c r="L81" s="20" t="str">
        <x:v>Saint Lucia</x:v>
      </x:c>
      <x:c r="M81" s="18" t="str">
        <x:v>Charles III</x:v>
      </x:c>
      <x:c r="N81" s="20" t="str">
        <x:v>Q760</x:v>
      </x:c>
      <x:c r="O81" s="18" t="str">
        <x:v>Monarch of the United Kingdom</x:v>
      </x:c>
      <x:c r="P81" s="18" t="str">
        <x:v>Q43274</x:v>
      </x:c>
      <x:c r="Q81" s="18" t="n">
        <x:v>44812</x:v>
      </x:c>
      <x:c r="R81" s="18" t="str">
        <x:v>COMPLETE_FINITE_SNAPSHOT</x:v>
      </x:c>
      <x:c r="S81" s="18" t="str">
        <x:v>Complete returned current head-of-state statements for sovereign-state universe</x:v>
      </x:c>
      <x:c r="T81" s="18" t="str"/>
      <x:c r="U81" s="18" t="str"/>
      <x:c r="V81" s="20" t="n">
        <x:v>252</x:v>
      </x:c>
      <x:c r="W81" s="19" t="str">
        <x:f>IFERROR(TODAY()-DATEVALUE(C81),"")</x:f>
      </x:c>
      <x:c r="X81" s="21" t="n">
        <x:f>ROUND(COUNTA(A81:K81)/11*100,0)</x:f>
        <x:v>100</x:v>
      </x:c>
      <x:c r="Y81" s="18" t="str">
        <x:v>Wikidata</x:v>
      </x:c>
      <x:c r="Z81" s="22" t="str">
        <x:v>http://www.wikidata.org/entity/Q43274</x:v>
      </x:c>
      <x:c r="AA81" s="18" t="str"/>
      <x:c r="AB81" s="18" t="n">
        <x:v>46275.416216736114</x:v>
      </x:c>
      <x:c r="AC81" s="18" t="str">
        <x:v>independent_public</x:v>
      </x:c>
      <x:c r="AD81" s="18" t="str">
        <x:v>PARTIAL_NO_DATE</x:v>
      </x:c>
    </x:row>
    <x:row r="82">
      <x:c r="A82" s="18" t="str">
        <x:v>NYT-13-6e127fca30ad2b59</x:v>
      </x:c>
      <x:c r="B82" s="18" t="str">
        <x:v>Charles III</x:v>
      </x:c>
      <x:c r="C82" s="18" t="str"/>
      <x:c r="D82" s="18" t="str"/>
      <x:c r="E82" s="18" t="str"/>
      <x:c r="F82" s="18" t="str"/>
      <x:c r="G82" s="18" t="str"/>
      <x:c r="H82" s="18" t="str">
        <x:v>realm of the United Kingdom</x:v>
      </x:c>
      <x:c r="I82" s="18" t="str">
        <x:v>realm of the United Kingdom</x:v>
      </x:c>
      <x:c r="J82" s="20" t="str"/>
      <x:c r="K82" s="18" t="str"/>
      <x:c r="L82" s="20" t="str">
        <x:v>realm of the United Kingdom</x:v>
      </x:c>
      <x:c r="M82" s="18" t="str">
        <x:v>Charles III</x:v>
      </x:c>
      <x:c r="N82" s="20" t="str">
        <x:v>Q124653007</x:v>
      </x:c>
      <x:c r="O82" s="18" t="str">
        <x:v>Monarch of the United Kingdom</x:v>
      </x:c>
      <x:c r="P82" s="18" t="str">
        <x:v>Q43274</x:v>
      </x:c>
      <x:c r="Q82" s="18" t="n">
        <x:v>44812</x:v>
      </x:c>
      <x:c r="R82" s="18" t="str">
        <x:v>COMPLETE_FINITE_SNAPSHOT</x:v>
      </x:c>
      <x:c r="S82" s="18" t="str">
        <x:v>Complete returned current head-of-state statements for sovereign-state universe</x:v>
      </x:c>
      <x:c r="T82" s="18" t="str"/>
      <x:c r="U82" s="18" t="str"/>
      <x:c r="V82" s="20" t="n">
        <x:v>252</x:v>
      </x:c>
      <x:c r="W82" s="19" t="str">
        <x:f>IFERROR(TODAY()-DATEVALUE(C82),"")</x:f>
      </x:c>
      <x:c r="X82" s="21" t="n">
        <x:f>ROUND(COUNTA(A82:K82)/11*100,0)</x:f>
        <x:v>100</x:v>
      </x:c>
      <x:c r="Y82" s="18" t="str">
        <x:v>Wikidata</x:v>
      </x:c>
      <x:c r="Z82" s="22" t="str">
        <x:v>http://www.wikidata.org/entity/Q43274</x:v>
      </x:c>
      <x:c r="AA82" s="18" t="str"/>
      <x:c r="AB82" s="18" t="n">
        <x:v>46275.416216736114</x:v>
      </x:c>
      <x:c r="AC82" s="18" t="str">
        <x:v>independent_public</x:v>
      </x:c>
      <x:c r="AD82" s="18" t="str">
        <x:v>PARTIAL_NO_DATE</x:v>
      </x:c>
    </x:row>
    <x:row r="83">
      <x:c r="A83" s="18" t="str">
        <x:v>NYT-13-733384a4917b1de7</x:v>
      </x:c>
      <x:c r="B83" s="18" t="str">
        <x:v>Emmerson Mnangagwa</x:v>
      </x:c>
      <x:c r="C83" s="18" t="str"/>
      <x:c r="D83" s="18" t="str"/>
      <x:c r="E83" s="18" t="str"/>
      <x:c r="F83" s="18" t="str"/>
      <x:c r="G83" s="18" t="str"/>
      <x:c r="H83" s="18" t="str">
        <x:v>Zimbabwe</x:v>
      </x:c>
      <x:c r="I83" s="18" t="str">
        <x:v>Zimbabwe</x:v>
      </x:c>
      <x:c r="J83" s="20" t="str"/>
      <x:c r="K83" s="18" t="str"/>
      <x:c r="L83" s="20" t="str">
        <x:v>Zimbabwe</x:v>
      </x:c>
      <x:c r="M83" s="18" t="str">
        <x:v>Emmerson Mnangagwa</x:v>
      </x:c>
      <x:c r="N83" s="20" t="str">
        <x:v>Q954</x:v>
      </x:c>
      <x:c r="O83" s="18" t="str">
        <x:v>Minister of Justice and Legal Affairs</x:v>
      </x:c>
      <x:c r="P83" s="18" t="str">
        <x:v>Q510523</x:v>
      </x:c>
      <x:c r="Q83" s="18" t="n">
        <x:v>32509</x:v>
      </x:c>
      <x:c r="R83" s="18" t="str">
        <x:v>COMPLETE_FINITE_SNAPSHOT</x:v>
      </x:c>
      <x:c r="S83" s="18" t="str">
        <x:v>Complete returned current head-of-state statements for sovereign-state universe</x:v>
      </x:c>
      <x:c r="T83" s="18" t="str"/>
      <x:c r="U83" s="18" t="str"/>
      <x:c r="V83" s="20" t="n">
        <x:v>252</x:v>
      </x:c>
      <x:c r="W83" s="19" t="str">
        <x:f>IFERROR(TODAY()-DATEVALUE(C83),"")</x:f>
      </x:c>
      <x:c r="X83" s="21" t="n">
        <x:f>ROUND(COUNTA(A83:K83)/11*100,0)</x:f>
        <x:v>100</x:v>
      </x:c>
      <x:c r="Y83" s="18" t="str">
        <x:v>Wikidata</x:v>
      </x:c>
      <x:c r="Z83" s="22" t="str">
        <x:v>http://www.wikidata.org/entity/Q510523</x:v>
      </x:c>
      <x:c r="AA83" s="18" t="str"/>
      <x:c r="AB83" s="18" t="n">
        <x:v>46275.416216736114</x:v>
      </x:c>
      <x:c r="AC83" s="18" t="str">
        <x:v>independent_public</x:v>
      </x:c>
      <x:c r="AD83" s="18" t="str">
        <x:v>PARTIAL_NO_DATE</x:v>
      </x:c>
    </x:row>
    <x:row r="84">
      <x:c r="A84" s="18" t="str">
        <x:v>NYT-13-a812292b128673f7</x:v>
      </x:c>
      <x:c r="B84" s="18" t="str">
        <x:v>Charles III</x:v>
      </x:c>
      <x:c r="C84" s="18" t="str"/>
      <x:c r="D84" s="18" t="str"/>
      <x:c r="E84" s="18" t="str"/>
      <x:c r="F84" s="18" t="str"/>
      <x:c r="G84" s="18" t="str"/>
      <x:c r="H84" s="18" t="str">
        <x:v>Papua New Guinea</x:v>
      </x:c>
      <x:c r="I84" s="18" t="str">
        <x:v>Papua New Guinea</x:v>
      </x:c>
      <x:c r="J84" s="20" t="str"/>
      <x:c r="K84" s="18" t="str"/>
      <x:c r="L84" s="20" t="str">
        <x:v>Papua New Guinea</x:v>
      </x:c>
      <x:c r="M84" s="18" t="str">
        <x:v>Charles III</x:v>
      </x:c>
      <x:c r="N84" s="20" t="str">
        <x:v>Q691</x:v>
      </x:c>
      <x:c r="O84" s="18" t="str">
        <x:v>Monarch of the United Kingdom</x:v>
      </x:c>
      <x:c r="P84" s="18" t="str">
        <x:v>Q43274</x:v>
      </x:c>
      <x:c r="Q84" s="18" t="n">
        <x:v>44812</x:v>
      </x:c>
      <x:c r="R84" s="18" t="str">
        <x:v>COMPLETE_FINITE_SNAPSHOT</x:v>
      </x:c>
      <x:c r="S84" s="18" t="str">
        <x:v>Complete returned current head-of-state statements for sovereign-state universe</x:v>
      </x:c>
      <x:c r="T84" s="18" t="str"/>
      <x:c r="U84" s="18" t="str"/>
      <x:c r="V84" s="20" t="n">
        <x:v>252</x:v>
      </x:c>
      <x:c r="W84" s="19" t="str">
        <x:f>IFERROR(TODAY()-DATEVALUE(C84),"")</x:f>
      </x:c>
      <x:c r="X84" s="21" t="n">
        <x:f>ROUND(COUNTA(A84:K84)/11*100,0)</x:f>
        <x:v>100</x:v>
      </x:c>
      <x:c r="Y84" s="18" t="str">
        <x:v>Wikidata</x:v>
      </x:c>
      <x:c r="Z84" s="22" t="str">
        <x:v>http://www.wikidata.org/entity/Q43274</x:v>
      </x:c>
      <x:c r="AA84" s="18" t="str"/>
      <x:c r="AB84" s="18" t="n">
        <x:v>46275.416216736114</x:v>
      </x:c>
      <x:c r="AC84" s="18" t="str">
        <x:v>independent_public</x:v>
      </x:c>
      <x:c r="AD84" s="18" t="str">
        <x:v>PARTIAL_NO_DATE</x:v>
      </x:c>
    </x:row>
    <x:row r="85">
      <x:c r="A85" s="18" t="str">
        <x:v>NYT-13-292b4cfc9b23c645</x:v>
      </x:c>
      <x:c r="B85" s="18" t="str">
        <x:v>Charles III</x:v>
      </x:c>
      <x:c r="C85" s="18" t="str"/>
      <x:c r="D85" s="18" t="str"/>
      <x:c r="E85" s="18" t="str"/>
      <x:c r="F85" s="18" t="str"/>
      <x:c r="G85" s="18" t="str"/>
      <x:c r="H85" s="18" t="str">
        <x:v>Solomon Islands</x:v>
      </x:c>
      <x:c r="I85" s="18" t="str">
        <x:v>Solomon Islands</x:v>
      </x:c>
      <x:c r="J85" s="20" t="str"/>
      <x:c r="K85" s="18" t="str"/>
      <x:c r="L85" s="20" t="str">
        <x:v>Solomon Islands</x:v>
      </x:c>
      <x:c r="M85" s="18" t="str">
        <x:v>Charles III</x:v>
      </x:c>
      <x:c r="N85" s="20" t="str">
        <x:v>Q685</x:v>
      </x:c>
      <x:c r="O85" s="18" t="str">
        <x:v>Monarch of the United Kingdom</x:v>
      </x:c>
      <x:c r="P85" s="18" t="str">
        <x:v>Q43274</x:v>
      </x:c>
      <x:c r="Q85" s="18" t="n">
        <x:v>44812</x:v>
      </x:c>
      <x:c r="R85" s="18" t="str">
        <x:v>COMPLETE_FINITE_SNAPSHOT</x:v>
      </x:c>
      <x:c r="S85" s="18" t="str">
        <x:v>Complete returned current head-of-state statements for sovereign-state universe</x:v>
      </x:c>
      <x:c r="T85" s="18" t="str"/>
      <x:c r="U85" s="18" t="str"/>
      <x:c r="V85" s="20" t="n">
        <x:v>252</x:v>
      </x:c>
      <x:c r="W85" s="19" t="str">
        <x:f>IFERROR(TODAY()-DATEVALUE(C85),"")</x:f>
      </x:c>
      <x:c r="X85" s="21" t="n">
        <x:f>ROUND(COUNTA(A85:K85)/11*100,0)</x:f>
        <x:v>100</x:v>
      </x:c>
      <x:c r="Y85" s="18" t="str">
        <x:v>Wikidata</x:v>
      </x:c>
      <x:c r="Z85" s="22" t="str">
        <x:v>http://www.wikidata.org/entity/Q43274</x:v>
      </x:c>
      <x:c r="AA85" s="18" t="str"/>
      <x:c r="AB85" s="18" t="n">
        <x:v>46275.416216736114</x:v>
      </x:c>
      <x:c r="AC85" s="18" t="str">
        <x:v>independent_public</x:v>
      </x:c>
      <x:c r="AD85" s="18" t="str">
        <x:v>PARTIAL_NO_DATE</x:v>
      </x:c>
    </x:row>
    <x:row r="86">
      <x:c r="A86" s="18" t="str">
        <x:v>NYT-13-aa88c97433cae4f2</x:v>
      </x:c>
      <x:c r="B86" s="18" t="str">
        <x:v>Carl XVI Gustaf of Sweden</x:v>
      </x:c>
      <x:c r="C86" s="18" t="str"/>
      <x:c r="D86" s="18" t="str"/>
      <x:c r="E86" s="18" t="str"/>
      <x:c r="F86" s="18" t="str"/>
      <x:c r="G86" s="18" t="str"/>
      <x:c r="H86" s="18" t="str">
        <x:v>Sweden</x:v>
      </x:c>
      <x:c r="I86" s="18" t="str">
        <x:v>Sweden</x:v>
      </x:c>
      <x:c r="J86" s="20" t="str"/>
      <x:c r="K86" s="18" t="str"/>
      <x:c r="L86" s="20" t="str">
        <x:v>Sweden</x:v>
      </x:c>
      <x:c r="M86" s="18" t="str">
        <x:v>Carl XVI Gustaf of Sweden</x:v>
      </x:c>
      <x:c r="N86" s="20" t="str">
        <x:v>Q34</x:v>
      </x:c>
      <x:c r="O86" s="18" t="str">
        <x:v>Monarch of Sweden</x:v>
      </x:c>
      <x:c r="P86" s="18" t="str">
        <x:v>Q45068</x:v>
      </x:c>
      <x:c r="Q86" s="18" t="n">
        <x:v>26922</x:v>
      </x:c>
      <x:c r="R86" s="18" t="str">
        <x:v>COMPLETE_FINITE_SNAPSHOT</x:v>
      </x:c>
      <x:c r="S86" s="18" t="str">
        <x:v>Complete returned current head-of-state statements for sovereign-state universe</x:v>
      </x:c>
      <x:c r="T86" s="18" t="str"/>
      <x:c r="U86" s="18" t="str"/>
      <x:c r="V86" s="20" t="n">
        <x:v>252</x:v>
      </x:c>
      <x:c r="W86" s="19" t="str">
        <x:f>IFERROR(TODAY()-DATEVALUE(C86),"")</x:f>
      </x:c>
      <x:c r="X86" s="21" t="n">
        <x:f>ROUND(COUNTA(A86:K86)/11*100,0)</x:f>
        <x:v>100</x:v>
      </x:c>
      <x:c r="Y86" s="18" t="str">
        <x:v>Wikidata</x:v>
      </x:c>
      <x:c r="Z86" s="22" t="str">
        <x:v>http://www.wikidata.org/entity/Q45068</x:v>
      </x:c>
      <x:c r="AA86" s="18" t="str"/>
      <x:c r="AB86" s="18" t="n">
        <x:v>46275.416216736114</x:v>
      </x:c>
      <x:c r="AC86" s="18" t="str">
        <x:v>independent_public</x:v>
      </x:c>
      <x:c r="AD86" s="18" t="str">
        <x:v>PARTIAL_NO_DATE</x:v>
      </x:c>
    </x:row>
    <x:row r="87">
      <x:c r="A87" s="18" t="str">
        <x:v>NYT-13-6b457002b57d7b6e</x:v>
      </x:c>
      <x:c r="B87" s="18" t="str">
        <x:v>Charles III</x:v>
      </x:c>
      <x:c r="C87" s="18" t="str"/>
      <x:c r="D87" s="18" t="str"/>
      <x:c r="E87" s="18" t="str"/>
      <x:c r="F87" s="18" t="str"/>
      <x:c r="G87" s="18" t="str"/>
      <x:c r="H87" s="18" t="str">
        <x:v>Saint Vincent and the Grenadines</x:v>
      </x:c>
      <x:c r="I87" s="18" t="str">
        <x:v>Saint Vincent and the Grenadines</x:v>
      </x:c>
      <x:c r="J87" s="20" t="str"/>
      <x:c r="K87" s="18" t="str"/>
      <x:c r="L87" s="20" t="str">
        <x:v>Saint Vincent and the Grenadines</x:v>
      </x:c>
      <x:c r="M87" s="18" t="str">
        <x:v>Charles III</x:v>
      </x:c>
      <x:c r="N87" s="20" t="str">
        <x:v>Q757</x:v>
      </x:c>
      <x:c r="O87" s="18" t="str">
        <x:v>Monarch of the United Kingdom</x:v>
      </x:c>
      <x:c r="P87" s="18" t="str">
        <x:v>Q43274</x:v>
      </x:c>
      <x:c r="Q87" s="18" t="n">
        <x:v>44812</x:v>
      </x:c>
      <x:c r="R87" s="18" t="str">
        <x:v>COMPLETE_FINITE_SNAPSHOT</x:v>
      </x:c>
      <x:c r="S87" s="18" t="str">
        <x:v>Complete returned current head-of-state statements for sovereign-state universe</x:v>
      </x:c>
      <x:c r="T87" s="18" t="str"/>
      <x:c r="U87" s="18" t="str"/>
      <x:c r="V87" s="20" t="n">
        <x:v>252</x:v>
      </x:c>
      <x:c r="W87" s="19" t="str">
        <x:f>IFERROR(TODAY()-DATEVALUE(C87),"")</x:f>
      </x:c>
      <x:c r="X87" s="21" t="n">
        <x:f>ROUND(COUNTA(A87:K87)/11*100,0)</x:f>
        <x:v>100</x:v>
      </x:c>
      <x:c r="Y87" s="18" t="str">
        <x:v>Wikidata</x:v>
      </x:c>
      <x:c r="Z87" s="22" t="str">
        <x:v>http://www.wikidata.org/entity/Q43274</x:v>
      </x:c>
      <x:c r="AA87" s="18" t="str"/>
      <x:c r="AB87" s="18" t="n">
        <x:v>46275.416216736114</x:v>
      </x:c>
      <x:c r="AC87" s="18" t="str">
        <x:v>independent_public</x:v>
      </x:c>
      <x:c r="AD87" s="18" t="str">
        <x:v>PARTIAL_NO_DATE</x:v>
      </x:c>
    </x:row>
    <x:row r="88">
      <x:c r="A88" s="18" t="str">
        <x:v>NYT-13-1cb27a34f6d0f545</x:v>
      </x:c>
      <x:c r="B88" s="18" t="str">
        <x:v>Charles III</x:v>
      </x:c>
      <x:c r="C88" s="18" t="str"/>
      <x:c r="D88" s="18" t="str"/>
      <x:c r="E88" s="18" t="str"/>
      <x:c r="F88" s="18" t="str"/>
      <x:c r="G88" s="18" t="str"/>
      <x:c r="H88" s="18" t="str">
        <x:v>Tuvalu</x:v>
      </x:c>
      <x:c r="I88" s="18" t="str">
        <x:v>Tuvalu</x:v>
      </x:c>
      <x:c r="J88" s="20" t="str"/>
      <x:c r="K88" s="18" t="str"/>
      <x:c r="L88" s="20" t="str">
        <x:v>Tuvalu</x:v>
      </x:c>
      <x:c r="M88" s="18" t="str">
        <x:v>Charles III</x:v>
      </x:c>
      <x:c r="N88" s="20" t="str">
        <x:v>Q672</x:v>
      </x:c>
      <x:c r="O88" s="18" t="str">
        <x:v>Monarch of the United Kingdom</x:v>
      </x:c>
      <x:c r="P88" s="18" t="str">
        <x:v>Q43274</x:v>
      </x:c>
      <x:c r="Q88" s="18" t="n">
        <x:v>44812</x:v>
      </x:c>
      <x:c r="R88" s="18" t="str">
        <x:v>COMPLETE_FINITE_SNAPSHOT</x:v>
      </x:c>
      <x:c r="S88" s="18" t="str">
        <x:v>Complete returned current head-of-state statements for sovereign-state universe</x:v>
      </x:c>
      <x:c r="T88" s="18" t="str"/>
      <x:c r="U88" s="18" t="str"/>
      <x:c r="V88" s="20" t="n">
        <x:v>252</x:v>
      </x:c>
      <x:c r="W88" s="19" t="str">
        <x:f>IFERROR(TODAY()-DATEVALUE(C88),"")</x:f>
      </x:c>
      <x:c r="X88" s="21" t="n">
        <x:f>ROUND(COUNTA(A88:K88)/11*100,0)</x:f>
        <x:v>100</x:v>
      </x:c>
      <x:c r="Y88" s="18" t="str">
        <x:v>Wikidata</x:v>
      </x:c>
      <x:c r="Z88" s="22" t="str">
        <x:v>http://www.wikidata.org/entity/Q43274</x:v>
      </x:c>
      <x:c r="AA88" s="18" t="str"/>
      <x:c r="AB88" s="18" t="n">
        <x:v>46275.416216736114</x:v>
      </x:c>
      <x:c r="AC88" s="18" t="str">
        <x:v>independent_public</x:v>
      </x:c>
      <x:c r="AD88" s="18" t="str">
        <x:v>PARTIAL_NO_DATE</x:v>
      </x:c>
    </x:row>
    <x:row r="89">
      <x:c r="A89" s="18" t="str">
        <x:v>NYT-13-bb51193ae735ae3e</x:v>
      </x:c>
      <x:c r="B89" s="18" t="str">
        <x:v>Christine Kangaloo</x:v>
      </x:c>
      <x:c r="C89" s="18" t="str"/>
      <x:c r="D89" s="18" t="str"/>
      <x:c r="E89" s="18" t="str"/>
      <x:c r="F89" s="18" t="str"/>
      <x:c r="G89" s="18" t="str"/>
      <x:c r="H89" s="18" t="str">
        <x:v>Trinidad and Tobago</x:v>
      </x:c>
      <x:c r="I89" s="18" t="str">
        <x:v>Trinidad and Tobago</x:v>
      </x:c>
      <x:c r="J89" s="20" t="str"/>
      <x:c r="K89" s="18" t="str"/>
      <x:c r="L89" s="20" t="str">
        <x:v>Trinidad and Tobago</x:v>
      </x:c>
      <x:c r="M89" s="18" t="str">
        <x:v>Christine Kangaloo</x:v>
      </x:c>
      <x:c r="N89" s="20" t="str">
        <x:v>Q754</x:v>
      </x:c>
      <x:c r="O89" s="18" t="str">
        <x:v>President of the Senate of Trinidad and Tobago</x:v>
      </x:c>
      <x:c r="P89" s="18" t="str">
        <x:v>Q97400315</x:v>
      </x:c>
      <x:c r="Q89" s="18" t="n">
        <x:v>42270</x:v>
      </x:c>
      <x:c r="R89" s="18" t="str">
        <x:v>COMPLETE_FINITE_SNAPSHOT</x:v>
      </x:c>
      <x:c r="S89" s="18" t="str">
        <x:v>Complete returned current head-of-state statements for sovereign-state universe</x:v>
      </x:c>
      <x:c r="T89" s="18" t="str"/>
      <x:c r="U89" s="18" t="str"/>
      <x:c r="V89" s="20" t="n">
        <x:v>252</x:v>
      </x:c>
      <x:c r="W89" s="19" t="str">
        <x:f>IFERROR(TODAY()-DATEVALUE(C89),"")</x:f>
      </x:c>
      <x:c r="X89" s="21" t="n">
        <x:f>ROUND(COUNTA(A89:K89)/11*100,0)</x:f>
        <x:v>100</x:v>
      </x:c>
      <x:c r="Y89" s="18" t="str">
        <x:v>Wikidata</x:v>
      </x:c>
      <x:c r="Z89" s="22" t="str">
        <x:v>http://www.wikidata.org/entity/Q97400315</x:v>
      </x:c>
      <x:c r="AA89" s="18" t="str"/>
      <x:c r="AB89" s="18" t="n">
        <x:v>46275.416216736114</x:v>
      </x:c>
      <x:c r="AC89" s="18" t="str">
        <x:v>independent_public</x:v>
      </x:c>
      <x:c r="AD89" s="18" t="str">
        <x:v>PARTIAL_NO_DATE</x:v>
      </x:c>
    </x:row>
    <x:row r="90">
      <x:c r="A90" s="18" t="str">
        <x:v>NYT-13-4a593a9b62b552fe</x:v>
      </x:c>
      <x:c r="B90" s="18" t="str">
        <x:v>Charles III</x:v>
      </x:c>
      <x:c r="C90" s="18" t="str"/>
      <x:c r="D90" s="18" t="str"/>
      <x:c r="E90" s="18" t="str"/>
      <x:c r="F90" s="18" t="str"/>
      <x:c r="G90" s="18" t="str"/>
      <x:c r="H90" s="18" t="str">
        <x:v>The Bahamas</x:v>
      </x:c>
      <x:c r="I90" s="18" t="str">
        <x:v>The Bahamas</x:v>
      </x:c>
      <x:c r="J90" s="20" t="str"/>
      <x:c r="K90" s="18" t="str"/>
      <x:c r="L90" s="20" t="str">
        <x:v>The Bahamas</x:v>
      </x:c>
      <x:c r="M90" s="18" t="str">
        <x:v>Charles III</x:v>
      </x:c>
      <x:c r="N90" s="20" t="str">
        <x:v>Q778</x:v>
      </x:c>
      <x:c r="O90" s="18" t="str">
        <x:v>Monarch of the United Kingdom</x:v>
      </x:c>
      <x:c r="P90" s="18" t="str">
        <x:v>Q43274</x:v>
      </x:c>
      <x:c r="Q90" s="18" t="n">
        <x:v>44812</x:v>
      </x:c>
      <x:c r="R90" s="18" t="str">
        <x:v>COMPLETE_FINITE_SNAPSHOT</x:v>
      </x:c>
      <x:c r="S90" s="18" t="str">
        <x:v>Complete returned current head-of-state statements for sovereign-state universe</x:v>
      </x:c>
      <x:c r="T90" s="18" t="str"/>
      <x:c r="U90" s="18" t="str"/>
      <x:c r="V90" s="20" t="n">
        <x:v>252</x:v>
      </x:c>
      <x:c r="W90" s="19" t="str">
        <x:f>IFERROR(TODAY()-DATEVALUE(C90),"")</x:f>
      </x:c>
      <x:c r="X90" s="21" t="n">
        <x:f>ROUND(COUNTA(A90:K90)/11*100,0)</x:f>
        <x:v>100</x:v>
      </x:c>
      <x:c r="Y90" s="18" t="str">
        <x:v>Wikidata</x:v>
      </x:c>
      <x:c r="Z90" s="22" t="str">
        <x:v>http://www.wikidata.org/entity/Q43274</x:v>
      </x:c>
      <x:c r="AA90" s="18" t="str"/>
      <x:c r="AB90" s="18" t="n">
        <x:v>46275.416216736114</x:v>
      </x:c>
      <x:c r="AC90" s="18" t="str">
        <x:v>independent_public</x:v>
      </x:c>
      <x:c r="AD90" s="18" t="str">
        <x:v>PARTIAL_NO_DATE</x:v>
      </x:c>
    </x:row>
    <x:row r="91">
      <x:c r="A91" s="18" t="str">
        <x:v>NYT-13-13a9163d389e49cc</x:v>
      </x:c>
      <x:c r="B91" s="18" t="str">
        <x:v>Charles III</x:v>
      </x:c>
      <x:c r="C91" s="18" t="str"/>
      <x:c r="D91" s="18" t="str"/>
      <x:c r="E91" s="18" t="str"/>
      <x:c r="F91" s="18" t="str"/>
      <x:c r="G91" s="18" t="str"/>
      <x:c r="H91" s="18" t="str">
        <x:v>Canada</x:v>
      </x:c>
      <x:c r="I91" s="18" t="str">
        <x:v>Canada</x:v>
      </x:c>
      <x:c r="J91" s="20" t="str"/>
      <x:c r="K91" s="18" t="str"/>
      <x:c r="L91" s="20" t="str">
        <x:v>Canada</x:v>
      </x:c>
      <x:c r="M91" s="18" t="str">
        <x:v>Charles III</x:v>
      </x:c>
      <x:c r="N91" s="20" t="str">
        <x:v>Q16</x:v>
      </x:c>
      <x:c r="O91" s="18" t="str">
        <x:v>Monarch of the United Kingdom</x:v>
      </x:c>
      <x:c r="P91" s="18" t="str">
        <x:v>Q43274</x:v>
      </x:c>
      <x:c r="Q91" s="18" t="n">
        <x:v>44812</x:v>
      </x:c>
      <x:c r="R91" s="18" t="str">
        <x:v>COMPLETE_FINITE_SNAPSHOT</x:v>
      </x:c>
      <x:c r="S91" s="18" t="str">
        <x:v>Complete returned current head-of-state statements for sovereign-state universe</x:v>
      </x:c>
      <x:c r="T91" s="18" t="str"/>
      <x:c r="U91" s="18" t="str"/>
      <x:c r="V91" s="20" t="n">
        <x:v>252</x:v>
      </x:c>
      <x:c r="W91" s="19" t="str">
        <x:f>IFERROR(TODAY()-DATEVALUE(C91),"")</x:f>
      </x:c>
      <x:c r="X91" s="21" t="n">
        <x:f>ROUND(COUNTA(A91:K91)/11*100,0)</x:f>
        <x:v>100</x:v>
      </x:c>
      <x:c r="Y91" s="18" t="str">
        <x:v>Wikidata</x:v>
      </x:c>
      <x:c r="Z91" s="22" t="str">
        <x:v>http://www.wikidata.org/entity/Q43274</x:v>
      </x:c>
      <x:c r="AA91" s="18" t="str"/>
      <x:c r="AB91" s="18" t="n">
        <x:v>46275.416216736114</x:v>
      </x:c>
      <x:c r="AC91" s="18" t="str">
        <x:v>independent_public</x:v>
      </x:c>
      <x:c r="AD91" s="18" t="str">
        <x:v>PARTIAL_NO_DATE</x:v>
      </x:c>
    </x:row>
    <x:row r="92">
      <x:c r="A92" s="18" t="str">
        <x:v>NYT-13-f00b2d37bb587206</x:v>
      </x:c>
      <x:c r="B92" s="18" t="str">
        <x:v>Charles III</x:v>
      </x:c>
      <x:c r="C92" s="18" t="str"/>
      <x:c r="D92" s="18" t="str"/>
      <x:c r="E92" s="18" t="str"/>
      <x:c r="F92" s="18" t="str"/>
      <x:c r="G92" s="18" t="str"/>
      <x:c r="H92" s="18" t="str">
        <x:v>Antigua and Barbuda</x:v>
      </x:c>
      <x:c r="I92" s="18" t="str">
        <x:v>Antigua and Barbuda</x:v>
      </x:c>
      <x:c r="J92" s="20" t="str"/>
      <x:c r="K92" s="18" t="str"/>
      <x:c r="L92" s="20" t="str">
        <x:v>Antigua and Barbuda</x:v>
      </x:c>
      <x:c r="M92" s="18" t="str">
        <x:v>Charles III</x:v>
      </x:c>
      <x:c r="N92" s="20" t="str">
        <x:v>Q781</x:v>
      </x:c>
      <x:c r="O92" s="18" t="str">
        <x:v>Monarch of the United Kingdom</x:v>
      </x:c>
      <x:c r="P92" s="18" t="str">
        <x:v>Q43274</x:v>
      </x:c>
      <x:c r="Q92" s="18" t="n">
        <x:v>44812</x:v>
      </x:c>
      <x:c r="R92" s="18" t="str">
        <x:v>COMPLETE_FINITE_SNAPSHOT</x:v>
      </x:c>
      <x:c r="S92" s="18" t="str">
        <x:v>Complete returned current head-of-state statements for sovereign-state universe</x:v>
      </x:c>
      <x:c r="T92" s="18" t="str"/>
      <x:c r="U92" s="18" t="str"/>
      <x:c r="V92" s="20" t="n">
        <x:v>252</x:v>
      </x:c>
      <x:c r="W92" s="19" t="str">
        <x:f>IFERROR(TODAY()-DATEVALUE(C92),"")</x:f>
      </x:c>
      <x:c r="X92" s="21" t="n">
        <x:f>ROUND(COUNTA(A92:K92)/11*100,0)</x:f>
        <x:v>100</x:v>
      </x:c>
      <x:c r="Y92" s="18" t="str">
        <x:v>Wikidata</x:v>
      </x:c>
      <x:c r="Z92" s="22" t="str">
        <x:v>http://www.wikidata.org/entity/Q43274</x:v>
      </x:c>
      <x:c r="AA92" s="18" t="str"/>
      <x:c r="AB92" s="18" t="n">
        <x:v>46275.416216736114</x:v>
      </x:c>
      <x:c r="AC92" s="18" t="str">
        <x:v>independent_public</x:v>
      </x:c>
      <x:c r="AD92" s="18" t="str">
        <x:v>PARTIAL_NO_DATE</x:v>
      </x:c>
    </x:row>
    <x:row r="93">
      <x:c r="A93" s="18" t="str">
        <x:v>NYT-13-e4f0f63d8b6a9d0e</x:v>
      </x:c>
      <x:c r="B93" s="18" t="str">
        <x:v>Denise Bronzetti</x:v>
      </x:c>
      <x:c r="C93" s="18" t="str"/>
      <x:c r="D93" s="18" t="str"/>
      <x:c r="E93" s="18" t="str"/>
      <x:c r="F93" s="18" t="str"/>
      <x:c r="G93" s="18" t="str"/>
      <x:c r="H93" s="18" t="str">
        <x:v>San Marino</x:v>
      </x:c>
      <x:c r="I93" s="18" t="str">
        <x:v>San Marino</x:v>
      </x:c>
      <x:c r="J93" s="20" t="str"/>
      <x:c r="K93" s="18" t="str"/>
      <x:c r="L93" s="20" t="str">
        <x:v>San Marino</x:v>
      </x:c>
      <x:c r="M93" s="18" t="str">
        <x:v>Denise Bronzetti</x:v>
      </x:c>
      <x:c r="N93" s="20" t="str">
        <x:v>Q238</x:v>
      </x:c>
      <x:c r="O93" s="18" t="str">
        <x:v>Captain Regent of San Marino</x:v>
      </x:c>
      <x:c r="P93" s="18" t="str">
        <x:v>Q57546</x:v>
      </x:c>
      <x:c r="Q93" s="18" t="n">
        <x:v>41183</x:v>
      </x:c>
      <x:c r="R93" s="18" t="str">
        <x:v>COMPLETE_FINITE_SNAPSHOT</x:v>
      </x:c>
      <x:c r="S93" s="18" t="str">
        <x:v>Complete returned current head-of-state statements for sovereign-state universe</x:v>
      </x:c>
      <x:c r="T93" s="18" t="str"/>
      <x:c r="U93" s="18" t="str"/>
      <x:c r="V93" s="20" t="n">
        <x:v>252</x:v>
      </x:c>
      <x:c r="W93" s="19" t="str">
        <x:f>IFERROR(TODAY()-DATEVALUE(C93),"")</x:f>
      </x:c>
      <x:c r="X93" s="21" t="n">
        <x:f>ROUND(COUNTA(A93:K93)/11*100,0)</x:f>
        <x:v>100</x:v>
      </x:c>
      <x:c r="Y93" s="18" t="str">
        <x:v>Wikidata</x:v>
      </x:c>
      <x:c r="Z93" s="22" t="str">
        <x:v>http://www.wikidata.org/entity/Q57546</x:v>
      </x:c>
      <x:c r="AA93" s="18" t="str"/>
      <x:c r="AB93" s="18" t="n">
        <x:v>46275.416216736114</x:v>
      </x:c>
      <x:c r="AC93" s="18" t="str">
        <x:v>independent_public</x:v>
      </x:c>
      <x:c r="AD93" s="18" t="str">
        <x:v>PARTIAL_NO_DATE</x:v>
      </x:c>
    </x:row>
    <x:row r="94">
      <x:c r="A94" s="18" t="str">
        <x:v>NYT-13-1f6b70b19a7617d5</x:v>
      </x:c>
      <x:c r="B94" s="18" t="str">
        <x:v>Ilham Aliyev</x:v>
      </x:c>
      <x:c r="C94" s="18" t="str"/>
      <x:c r="D94" s="18" t="str"/>
      <x:c r="E94" s="18" t="str"/>
      <x:c r="F94" s="18" t="str"/>
      <x:c r="G94" s="18" t="str"/>
      <x:c r="H94" s="18" t="str">
        <x:v>Azerbaijan</x:v>
      </x:c>
      <x:c r="I94" s="18" t="str">
        <x:v>Azerbaijan</x:v>
      </x:c>
      <x:c r="J94" s="20" t="str"/>
      <x:c r="K94" s="18" t="str"/>
      <x:c r="L94" s="20" t="str">
        <x:v>Azerbaijan</x:v>
      </x:c>
      <x:c r="M94" s="18" t="str">
        <x:v>Ilham Aliyev</x:v>
      </x:c>
      <x:c r="N94" s="20" t="str">
        <x:v>Q227</x:v>
      </x:c>
      <x:c r="O94" s="18" t="str">
        <x:v>general secretary</x:v>
      </x:c>
      <x:c r="P94" s="18" t="str">
        <x:v>Q57371</x:v>
      </x:c>
      <x:c r="Q94" s="18" t="n">
        <x:v>43753</x:v>
      </x:c>
      <x:c r="R94" s="18" t="str">
        <x:v>COMPLETE_FINITE_SNAPSHOT</x:v>
      </x:c>
      <x:c r="S94" s="18" t="str">
        <x:v>Complete returned current head-of-state statements for sovereign-state universe</x:v>
      </x:c>
      <x:c r="T94" s="18" t="str"/>
      <x:c r="U94" s="18" t="str"/>
      <x:c r="V94" s="20" t="n">
        <x:v>252</x:v>
      </x:c>
      <x:c r="W94" s="19" t="str">
        <x:f>IFERROR(TODAY()-DATEVALUE(C94),"")</x:f>
      </x:c>
      <x:c r="X94" s="21" t="n">
        <x:f>ROUND(COUNTA(A94:K94)/11*100,0)</x:f>
        <x:v>100</x:v>
      </x:c>
      <x:c r="Y94" s="18" t="str">
        <x:v>Wikidata</x:v>
      </x:c>
      <x:c r="Z94" s="22" t="str">
        <x:v>http://www.wikidata.org/entity/Q57371</x:v>
      </x:c>
      <x:c r="AA94" s="18" t="str"/>
      <x:c r="AB94" s="18" t="n">
        <x:v>46275.416216736114</x:v>
      </x:c>
      <x:c r="AC94" s="18" t="str">
        <x:v>independent_public</x:v>
      </x:c>
      <x:c r="AD94" s="18" t="str">
        <x:v>PARTIAL_NO_DATE</x:v>
      </x:c>
    </x:row>
    <x:row r="95">
      <x:c r="A95" s="18" t="str">
        <x:v>NYT-13-2b00a555615ad72d</x:v>
      </x:c>
      <x:c r="B95" s="18" t="str">
        <x:v>Nasry Asfura</x:v>
      </x:c>
      <x:c r="C95" s="18" t="str"/>
      <x:c r="D95" s="18" t="str"/>
      <x:c r="E95" s="18" t="str"/>
      <x:c r="F95" s="18" t="str"/>
      <x:c r="G95" s="18" t="str"/>
      <x:c r="H95" s="18" t="str">
        <x:v>Honduras</x:v>
      </x:c>
      <x:c r="I95" s="18" t="str">
        <x:v>Honduras</x:v>
      </x:c>
      <x:c r="J95" s="20" t="str"/>
      <x:c r="K95" s="18" t="str"/>
      <x:c r="L95" s="20" t="str">
        <x:v>Honduras</x:v>
      </x:c>
      <x:c r="M95" s="18" t="str">
        <x:v>Nasry Asfura</x:v>
      </x:c>
      <x:c r="N95" s="20" t="str">
        <x:v>Q783</x:v>
      </x:c>
      <x:c r="O95" s="18" t="str">
        <x:v>President of Honduras</x:v>
      </x:c>
      <x:c r="P95" s="18" t="str">
        <x:v>Q16146159</x:v>
      </x:c>
      <x:c r="Q95" s="18" t="n">
        <x:v>46049</x:v>
      </x:c>
      <x:c r="R95" s="18" t="str">
        <x:v>COMPLETE_FINITE_SNAPSHOT</x:v>
      </x:c>
      <x:c r="S95" s="18" t="str">
        <x:v>Complete returned current head-of-state statements for sovereign-state universe</x:v>
      </x:c>
      <x:c r="T95" s="18" t="str"/>
      <x:c r="U95" s="18" t="str"/>
      <x:c r="V95" s="20" t="n">
        <x:v>252</x:v>
      </x:c>
      <x:c r="W95" s="19" t="str">
        <x:f>IFERROR(TODAY()-DATEVALUE(C95),"")</x:f>
      </x:c>
      <x:c r="X95" s="21" t="n">
        <x:f>ROUND(COUNTA(A95:K95)/11*100,0)</x:f>
        <x:v>100</x:v>
      </x:c>
      <x:c r="Y95" s="18" t="str">
        <x:v>Wikidata</x:v>
      </x:c>
      <x:c r="Z95" s="22" t="str">
        <x:v>http://www.wikidata.org/entity/Q16146159</x:v>
      </x:c>
      <x:c r="AA95" s="18" t="str"/>
      <x:c r="AB95" s="18" t="n">
        <x:v>46275.416216736114</x:v>
      </x:c>
      <x:c r="AC95" s="18" t="str">
        <x:v>independent_public</x:v>
      </x:c>
      <x:c r="AD95" s="18" t="str">
        <x:v>PARTIAL_NO_DATE</x:v>
      </x:c>
    </x:row>
    <x:row r="96">
      <x:c r="A96" s="18" t="str">
        <x:v>NYT-13-f49dc90725a5e99e</x:v>
      </x:c>
      <x:c r="B96" s="18" t="str">
        <x:v>Luiz Inácio Lula da Silva</x:v>
      </x:c>
      <x:c r="C96" s="18" t="str"/>
      <x:c r="D96" s="18" t="str"/>
      <x:c r="E96" s="18" t="str"/>
      <x:c r="F96" s="18" t="str"/>
      <x:c r="G96" s="18" t="str"/>
      <x:c r="H96" s="18" t="str">
        <x:v>Brazil</x:v>
      </x:c>
      <x:c r="I96" s="18" t="str">
        <x:v>Brazil</x:v>
      </x:c>
      <x:c r="J96" s="20" t="str"/>
      <x:c r="K96" s="18" t="str"/>
      <x:c r="L96" s="20" t="str">
        <x:v>Brazil</x:v>
      </x:c>
      <x:c r="M96" s="18" t="str">
        <x:v>Luiz Inácio Lula da Silva</x:v>
      </x:c>
      <x:c r="N96" s="20" t="str">
        <x:v>Q155</x:v>
      </x:c>
      <x:c r="O96" s="18" t="str">
        <x:v>President of Brazil</x:v>
      </x:c>
      <x:c r="P96" s="18" t="str">
        <x:v>Q37181</x:v>
      </x:c>
      <x:c r="Q96" s="18" t="n">
        <x:v>37622</x:v>
      </x:c>
      <x:c r="R96" s="18" t="str">
        <x:v>COMPLETE_FINITE_SNAPSHOT</x:v>
      </x:c>
      <x:c r="S96" s="18" t="str">
        <x:v>Complete returned current head-of-state statements for sovereign-state universe</x:v>
      </x:c>
      <x:c r="T96" s="18" t="str"/>
      <x:c r="U96" s="18" t="str"/>
      <x:c r="V96" s="20" t="n">
        <x:v>252</x:v>
      </x:c>
      <x:c r="W96" s="19" t="str">
        <x:f>IFERROR(TODAY()-DATEVALUE(C96),"")</x:f>
      </x:c>
      <x:c r="X96" s="21" t="n">
        <x:f>ROUND(COUNTA(A96:K96)/11*100,0)</x:f>
        <x:v>100</x:v>
      </x:c>
      <x:c r="Y96" s="18" t="str">
        <x:v>Wikidata</x:v>
      </x:c>
      <x:c r="Z96" s="22" t="str">
        <x:v>http://www.wikidata.org/entity/Q37181</x:v>
      </x:c>
      <x:c r="AA96" s="18" t="str"/>
      <x:c r="AB96" s="18" t="n">
        <x:v>46275.416216736114</x:v>
      </x:c>
      <x:c r="AC96" s="18" t="str">
        <x:v>independent_public</x:v>
      </x:c>
      <x:c r="AD96" s="18" t="str">
        <x:v>PARTIAL_NO_DATE</x:v>
      </x:c>
    </x:row>
    <x:row r="97">
      <x:c r="A97" s="18" t="str">
        <x:v>NYT-13-f2ab47947eb9268a</x:v>
      </x:c>
      <x:c r="B97" s="18" t="str">
        <x:v>Mohammed VI of Morocco</x:v>
      </x:c>
      <x:c r="C97" s="18" t="str"/>
      <x:c r="D97" s="18" t="str"/>
      <x:c r="E97" s="18" t="str"/>
      <x:c r="F97" s="18" t="str"/>
      <x:c r="G97" s="18" t="str"/>
      <x:c r="H97" s="18" t="str">
        <x:v>Morocco</x:v>
      </x:c>
      <x:c r="I97" s="18" t="str">
        <x:v>Morocco</x:v>
      </x:c>
      <x:c r="J97" s="20" t="str"/>
      <x:c r="K97" s="18" t="str"/>
      <x:c r="L97" s="20" t="str">
        <x:v>Morocco</x:v>
      </x:c>
      <x:c r="M97" s="18" t="str">
        <x:v>Mohammed VI of Morocco</x:v>
      </x:c>
      <x:c r="N97" s="20" t="str">
        <x:v>Q1028</x:v>
      </x:c>
      <x:c r="O97" s="18" t="str">
        <x:v>King of Morocco</x:v>
      </x:c>
      <x:c r="P97" s="18" t="str">
        <x:v>Q57553</x:v>
      </x:c>
      <x:c r="Q97" s="18" t="n">
        <x:v>36364</x:v>
      </x:c>
      <x:c r="R97" s="18" t="str">
        <x:v>COMPLETE_FINITE_SNAPSHOT</x:v>
      </x:c>
      <x:c r="S97" s="18" t="str">
        <x:v>Complete returned current head-of-state statements for sovereign-state universe</x:v>
      </x:c>
      <x:c r="T97" s="18" t="str"/>
      <x:c r="U97" s="18" t="str"/>
      <x:c r="V97" s="20" t="n">
        <x:v>252</x:v>
      </x:c>
      <x:c r="W97" s="19" t="str">
        <x:f>IFERROR(TODAY()-DATEVALUE(C97),"")</x:f>
      </x:c>
      <x:c r="X97" s="21" t="n">
        <x:f>ROUND(COUNTA(A97:K97)/11*100,0)</x:f>
        <x:v>100</x:v>
      </x:c>
      <x:c r="Y97" s="18" t="str">
        <x:v>Wikidata</x:v>
      </x:c>
      <x:c r="Z97" s="22" t="str">
        <x:v>http://www.wikidata.org/entity/Q57553</x:v>
      </x:c>
      <x:c r="AA97" s="18" t="str"/>
      <x:c r="AB97" s="18" t="n">
        <x:v>46275.416216736114</x:v>
      </x:c>
      <x:c r="AC97" s="18" t="str">
        <x:v>independent_public</x:v>
      </x:c>
      <x:c r="AD97" s="18" t="str">
        <x:v>PARTIAL_NO_DATE</x:v>
      </x:c>
    </x:row>
    <x:row r="98">
      <x:c r="A98" s="18" t="str">
        <x:v>NYT-13-706ccb1615ff1fa5</x:v>
      </x:c>
      <x:c r="B98" s="18" t="str">
        <x:v>Faustin-Archange Touadéra</x:v>
      </x:c>
      <x:c r="C98" s="18" t="str"/>
      <x:c r="D98" s="18" t="str"/>
      <x:c r="E98" s="18" t="str"/>
      <x:c r="F98" s="18" t="str"/>
      <x:c r="G98" s="18" t="str"/>
      <x:c r="H98" s="18" t="str">
        <x:v>Central African Republic</x:v>
      </x:c>
      <x:c r="I98" s="18" t="str">
        <x:v>Central African Republic</x:v>
      </x:c>
      <x:c r="J98" s="20" t="str"/>
      <x:c r="K98" s="18" t="str"/>
      <x:c r="L98" s="20" t="str">
        <x:v>Central African Republic</x:v>
      </x:c>
      <x:c r="M98" s="18" t="str">
        <x:v>Faustin-Archange Touadéra</x:v>
      </x:c>
      <x:c r="N98" s="20" t="str">
        <x:v>Q929</x:v>
      </x:c>
      <x:c r="O98" s="18" t="str">
        <x:v>Prime Minister of the Central African Republic</x:v>
      </x:c>
      <x:c r="P98" s="18" t="str">
        <x:v>Q57758</x:v>
      </x:c>
      <x:c r="Q98" s="18" t="n">
        <x:v>39469</x:v>
      </x:c>
      <x:c r="R98" s="18" t="str">
        <x:v>COMPLETE_FINITE_SNAPSHOT</x:v>
      </x:c>
      <x:c r="S98" s="18" t="str">
        <x:v>Complete returned current head-of-state statements for sovereign-state universe</x:v>
      </x:c>
      <x:c r="T98" s="18" t="str"/>
      <x:c r="U98" s="18" t="str"/>
      <x:c r="V98" s="20" t="n">
        <x:v>252</x:v>
      </x:c>
      <x:c r="W98" s="19" t="str">
        <x:f>IFERROR(TODAY()-DATEVALUE(C98),"")</x:f>
      </x:c>
      <x:c r="X98" s="21" t="n">
        <x:f>ROUND(COUNTA(A98:K98)/11*100,0)</x:f>
        <x:v>100</x:v>
      </x:c>
      <x:c r="Y98" s="18" t="str">
        <x:v>Wikidata</x:v>
      </x:c>
      <x:c r="Z98" s="22" t="str">
        <x:v>http://www.wikidata.org/entity/Q57758</x:v>
      </x:c>
      <x:c r="AA98" s="18" t="str"/>
      <x:c r="AB98" s="18" t="n">
        <x:v>46275.416216736114</x:v>
      </x:c>
      <x:c r="AC98" s="18" t="str">
        <x:v>independent_public</x:v>
      </x:c>
      <x:c r="AD98" s="18" t="str">
        <x:v>PARTIAL_NO_DATE</x:v>
      </x:c>
    </x:row>
    <x:row r="99">
      <x:c r="A99" s="18" t="str">
        <x:v>NYT-13-185c4a57e244d47b</x:v>
      </x:c>
      <x:c r="B99" s="18" t="str">
        <x:v>Bajram Begaj</x:v>
      </x:c>
      <x:c r="C99" s="18" t="str"/>
      <x:c r="D99" s="18" t="str"/>
      <x:c r="E99" s="18" t="str"/>
      <x:c r="F99" s="18" t="str"/>
      <x:c r="G99" s="18" t="str"/>
      <x:c r="H99" s="18" t="str">
        <x:v>Albania</x:v>
      </x:c>
      <x:c r="I99" s="18" t="str">
        <x:v>Albania</x:v>
      </x:c>
      <x:c r="J99" s="20" t="str"/>
      <x:c r="K99" s="18" t="str"/>
      <x:c r="L99" s="20" t="str">
        <x:v>Albania</x:v>
      </x:c>
      <x:c r="M99" s="18" t="str">
        <x:v>Bajram Begaj</x:v>
      </x:c>
      <x:c r="N99" s="20" t="str">
        <x:v>Q222</x:v>
      </x:c>
      <x:c r="O99" s="18" t="str">
        <x:v>President of Albania</x:v>
      </x:c>
      <x:c r="P99" s="18" t="str">
        <x:v>Q107422711</x:v>
      </x:c>
      <x:c r="Q99" s="18" t="n">
        <x:v>44766</x:v>
      </x:c>
      <x:c r="R99" s="18" t="str">
        <x:v>COMPLETE_FINITE_SNAPSHOT</x:v>
      </x:c>
      <x:c r="S99" s="18" t="str">
        <x:v>Complete returned current head-of-state statements for sovereign-state universe</x:v>
      </x:c>
      <x:c r="T99" s="18" t="str"/>
      <x:c r="U99" s="18" t="str"/>
      <x:c r="V99" s="20" t="n">
        <x:v>252</x:v>
      </x:c>
      <x:c r="W99" s="19" t="str">
        <x:f>IFERROR(TODAY()-DATEVALUE(C99),"")</x:f>
      </x:c>
      <x:c r="X99" s="21" t="n">
        <x:f>ROUND(COUNTA(A99:K99)/11*100,0)</x:f>
        <x:v>100</x:v>
      </x:c>
      <x:c r="Y99" s="18" t="str">
        <x:v>Wikidata</x:v>
      </x:c>
      <x:c r="Z99" s="22" t="str">
        <x:v>http://www.wikidata.org/entity/Q107422711</x:v>
      </x:c>
      <x:c r="AA99" s="18" t="str"/>
      <x:c r="AB99" s="18" t="n">
        <x:v>46275.416216736114</x:v>
      </x:c>
      <x:c r="AC99" s="18" t="str">
        <x:v>independent_public</x:v>
      </x:c>
      <x:c r="AD99" s="18" t="str">
        <x:v>PARTIAL_NO_DATE</x:v>
      </x:c>
    </x:row>
    <x:row r="100">
      <x:c r="A100" s="18" t="str">
        <x:v>NYT-13-b7917c0fe94be76e</x:v>
      </x:c>
      <x:c r="B100" s="18" t="str">
        <x:v>Paul I of Russia</x:v>
      </x:c>
      <x:c r="C100" s="18" t="str"/>
      <x:c r="D100" s="18" t="str"/>
      <x:c r="E100" s="18" t="str"/>
      <x:c r="F100" s="18" t="str"/>
      <x:c r="G100" s="18" t="str"/>
      <x:c r="H100" s="18" t="str">
        <x:v>Russian Empire</x:v>
      </x:c>
      <x:c r="I100" s="18" t="str">
        <x:v>Russian Empire</x:v>
      </x:c>
      <x:c r="J100" s="20" t="str"/>
      <x:c r="K100" s="18" t="str"/>
      <x:c r="L100" s="20" t="str">
        <x:v>Russian Empire</x:v>
      </x:c>
      <x:c r="M100" s="18" t="str">
        <x:v>Paul I of Russia</x:v>
      </x:c>
      <x:c r="N100" s="20" t="str">
        <x:v>Q34266</x:v>
      </x:c>
      <x:c r="O100" s="18" t="str">
        <x:v>president</x:v>
      </x:c>
      <x:c r="P100" s="18" t="str">
        <x:v>Q15189</x:v>
      </x:c>
      <x:c r="Q100" s="18" t="n">
        <x:v>-50215</x:v>
      </x:c>
      <x:c r="R100" s="18" t="str">
        <x:v>COMPLETE_FINITE_SNAPSHOT</x:v>
      </x:c>
      <x:c r="S100" s="18" t="str">
        <x:v>Complete returned current head-of-state statements for sovereign-state universe</x:v>
      </x:c>
      <x:c r="T100" s="18" t="str"/>
      <x:c r="U100" s="18" t="str"/>
      <x:c r="V100" s="20" t="n">
        <x:v>252</x:v>
      </x:c>
      <x:c r="W100" s="19" t="str">
        <x:f>IFERROR(TODAY()-DATEVALUE(C100),"")</x:f>
      </x:c>
      <x:c r="X100" s="21" t="n">
        <x:f>ROUND(COUNTA(A100:K100)/11*100,0)</x:f>
        <x:v>100</x:v>
      </x:c>
      <x:c r="Y100" s="18" t="str">
        <x:v>Wikidata</x:v>
      </x:c>
      <x:c r="Z100" s="22" t="str">
        <x:v>http://www.wikidata.org/entity/Q15189</x:v>
      </x:c>
      <x:c r="AA100" s="18" t="str"/>
      <x:c r="AB100" s="18" t="n">
        <x:v>46275.416216736114</x:v>
      </x:c>
      <x:c r="AC100" s="18" t="str">
        <x:v>independent_public</x:v>
      </x:c>
      <x:c r="AD100" s="18" t="str">
        <x:v>PARTIAL_NO_DATE</x:v>
      </x:c>
    </x:row>
    <x:row r="101">
      <x:c r="A101" s="18" t="str">
        <x:v>NYT-13-f146a4564dbff06a</x:v>
      </x:c>
      <x:c r="B101" s="18" t="str">
        <x:v>Daniel Ortega</x:v>
      </x:c>
      <x:c r="C101" s="18" t="str"/>
      <x:c r="D101" s="18" t="str"/>
      <x:c r="E101" s="18" t="str"/>
      <x:c r="F101" s="18" t="str"/>
      <x:c r="G101" s="18" t="str"/>
      <x:c r="H101" s="18" t="str">
        <x:v>Nicaragua</x:v>
      </x:c>
      <x:c r="I101" s="18" t="str">
        <x:v>Nicaragua</x:v>
      </x:c>
      <x:c r="J101" s="20" t="str"/>
      <x:c r="K101" s="18" t="str"/>
      <x:c r="L101" s="20" t="str">
        <x:v>Nicaragua</x:v>
      </x:c>
      <x:c r="M101" s="18" t="str">
        <x:v>Daniel Ortega</x:v>
      </x:c>
      <x:c r="N101" s="20" t="str">
        <x:v>Q811</x:v>
      </x:c>
      <x:c r="O101" s="18" t="str">
        <x:v>President of Nicaragua</x:v>
      </x:c>
      <x:c r="P101" s="18" t="str">
        <x:v>Q57402</x:v>
      </x:c>
      <x:c r="Q101" s="18" t="n">
        <x:v>31057</x:v>
      </x:c>
      <x:c r="R101" s="18" t="str">
        <x:v>COMPLETE_FINITE_SNAPSHOT</x:v>
      </x:c>
      <x:c r="S101" s="18" t="str">
        <x:v>Complete returned current head-of-state statements for sovereign-state universe</x:v>
      </x:c>
      <x:c r="T101" s="18" t="str"/>
      <x:c r="U101" s="18" t="str"/>
      <x:c r="V101" s="20" t="n">
        <x:v>252</x:v>
      </x:c>
      <x:c r="W101" s="19" t="str">
        <x:f>IFERROR(TODAY()-DATEVALUE(C101),"")</x:f>
      </x:c>
      <x:c r="X101" s="21" t="n">
        <x:f>ROUND(COUNTA(A101:K101)/11*100,0)</x:f>
        <x:v>100</x:v>
      </x:c>
      <x:c r="Y101" s="18" t="str">
        <x:v>Wikidata</x:v>
      </x:c>
      <x:c r="Z101" s="22" t="str">
        <x:v>http://www.wikidata.org/entity/Q57402</x:v>
      </x:c>
      <x:c r="AA101" s="18" t="str"/>
      <x:c r="AB101" s="18" t="n">
        <x:v>46275.416216736114</x:v>
      </x:c>
      <x:c r="AC101" s="18" t="str">
        <x:v>independent_public</x:v>
      </x:c>
      <x:c r="AD101" s="18" t="str">
        <x:v>PARTIAL_NO_DATE</x:v>
      </x:c>
    </x:row>
    <x:row r="102">
      <x:c r="A102" s="18" t="str">
        <x:v>NYT-13-aa46aa2e6448e02f</x:v>
      </x:c>
      <x:c r="B102" s="18" t="str">
        <x:v>Alassane Ouattara</x:v>
      </x:c>
      <x:c r="C102" s="18" t="str"/>
      <x:c r="D102" s="18" t="str"/>
      <x:c r="E102" s="18" t="str"/>
      <x:c r="F102" s="18" t="str"/>
      <x:c r="G102" s="18" t="str"/>
      <x:c r="H102" s="18" t="str">
        <x:v>Ivory Coast</x:v>
      </x:c>
      <x:c r="I102" s="18" t="str">
        <x:v>Ivory Coast</x:v>
      </x:c>
      <x:c r="J102" s="20" t="str"/>
      <x:c r="K102" s="18" t="str"/>
      <x:c r="L102" s="20" t="str">
        <x:v>Ivory Coast</x:v>
      </x:c>
      <x:c r="M102" s="18" t="str">
        <x:v>Alassane Ouattara</x:v>
      </x:c>
      <x:c r="N102" s="20" t="str">
        <x:v>Q1008</x:v>
      </x:c>
      <x:c r="O102" s="18" t="str">
        <x:v>Minister of the Economy and Finance of Ivory Coast</x:v>
      </x:c>
      <x:c r="P102" s="18" t="str">
        <x:v>Q57413</x:v>
      </x:c>
      <x:c r="Q102" s="18" t="n">
        <x:v>33147</x:v>
      </x:c>
      <x:c r="R102" s="18" t="str">
        <x:v>COMPLETE_FINITE_SNAPSHOT</x:v>
      </x:c>
      <x:c r="S102" s="18" t="str">
        <x:v>Complete returned current head-of-state statements for sovereign-state universe</x:v>
      </x:c>
      <x:c r="T102" s="18" t="str"/>
      <x:c r="U102" s="18" t="str"/>
      <x:c r="V102" s="20" t="n">
        <x:v>252</x:v>
      </x:c>
      <x:c r="W102" s="19" t="str">
        <x:f>IFERROR(TODAY()-DATEVALUE(C102),"")</x:f>
      </x:c>
      <x:c r="X102" s="21" t="n">
        <x:f>ROUND(COUNTA(A102:K102)/11*100,0)</x:f>
        <x:v>100</x:v>
      </x:c>
      <x:c r="Y102" s="18" t="str">
        <x:v>Wikidata</x:v>
      </x:c>
      <x:c r="Z102" s="22" t="str">
        <x:v>http://www.wikidata.org/entity/Q57413</x:v>
      </x:c>
      <x:c r="AA102" s="18" t="str"/>
      <x:c r="AB102" s="18" t="n">
        <x:v>46275.416216736114</x:v>
      </x:c>
      <x:c r="AC102" s="18" t="str">
        <x:v>independent_public</x:v>
      </x:c>
      <x:c r="AD102" s="18" t="str">
        <x:v>PARTIAL_NO_DATE</x:v>
      </x:c>
    </x:row>
    <x:row r="103">
      <x:c r="A103" s="18" t="str">
        <x:v>NYT-13-9f8da61b1338683f</x:v>
      </x:c>
      <x:c r="B103" s="18" t="str">
        <x:v>Abdullah II of Jordan</x:v>
      </x:c>
      <x:c r="C103" s="18" t="str"/>
      <x:c r="D103" s="18" t="str"/>
      <x:c r="E103" s="18" t="str"/>
      <x:c r="F103" s="18" t="str"/>
      <x:c r="G103" s="18" t="str"/>
      <x:c r="H103" s="18" t="str">
        <x:v>Jordan</x:v>
      </x:c>
      <x:c r="I103" s="18" t="str">
        <x:v>Jordan</x:v>
      </x:c>
      <x:c r="J103" s="20" t="str"/>
      <x:c r="K103" s="18" t="str"/>
      <x:c r="L103" s="20" t="str">
        <x:v>Jordan</x:v>
      </x:c>
      <x:c r="M103" s="18" t="str">
        <x:v>Abdullah II of Jordan</x:v>
      </x:c>
      <x:c r="N103" s="20" t="str">
        <x:v>Q810</x:v>
      </x:c>
      <x:c r="O103" s="18" t="str">
        <x:v>heir apparent</x:v>
      </x:c>
      <x:c r="P103" s="18" t="str">
        <x:v>Q57464</x:v>
      </x:c>
      <x:c r="Q103" s="18" t="n">
        <x:v>22676</x:v>
      </x:c>
      <x:c r="R103" s="18" t="str">
        <x:v>COMPLETE_FINITE_SNAPSHOT</x:v>
      </x:c>
      <x:c r="S103" s="18" t="str">
        <x:v>Complete returned current head-of-state statements for sovereign-state universe</x:v>
      </x:c>
      <x:c r="T103" s="18" t="str"/>
      <x:c r="U103" s="18" t="str"/>
      <x:c r="V103" s="20" t="n">
        <x:v>252</x:v>
      </x:c>
      <x:c r="W103" s="19" t="str">
        <x:f>IFERROR(TODAY()-DATEVALUE(C103),"")</x:f>
      </x:c>
      <x:c r="X103" s="21" t="n">
        <x:f>ROUND(COUNTA(A103:K103)/11*100,0)</x:f>
        <x:v>100</x:v>
      </x:c>
      <x:c r="Y103" s="18" t="str">
        <x:v>Wikidata</x:v>
      </x:c>
      <x:c r="Z103" s="22" t="str">
        <x:v>http://www.wikidata.org/entity/Q57464</x:v>
      </x:c>
      <x:c r="AA103" s="18" t="str"/>
      <x:c r="AB103" s="18" t="n">
        <x:v>46275.416216736114</x:v>
      </x:c>
      <x:c r="AC103" s="18" t="str">
        <x:v>independent_public</x:v>
      </x:c>
      <x:c r="AD103" s="18" t="str">
        <x:v>PARTIAL_NO_DATE</x:v>
      </x:c>
    </x:row>
    <x:row r="104">
      <x:c r="A104" s="18" t="str">
        <x:v>NYT-13-c7eabe8a331f4b47</x:v>
      </x:c>
      <x:c r="B104" s="18" t="str">
        <x:v>Emomali Rahmon</x:v>
      </x:c>
      <x:c r="C104" s="18" t="str"/>
      <x:c r="D104" s="18" t="str"/>
      <x:c r="E104" s="18" t="str"/>
      <x:c r="F104" s="18" t="str"/>
      <x:c r="G104" s="18" t="str"/>
      <x:c r="H104" s="18" t="str">
        <x:v>Tajikistan</x:v>
      </x:c>
      <x:c r="I104" s="18" t="str">
        <x:v>Tajikistan</x:v>
      </x:c>
      <x:c r="J104" s="20" t="str"/>
      <x:c r="K104" s="18" t="str"/>
      <x:c r="L104" s="20" t="str">
        <x:v>Tajikistan</x:v>
      </x:c>
      <x:c r="M104" s="18" t="str">
        <x:v>Emomali Rahmon</x:v>
      </x:c>
      <x:c r="N104" s="20" t="str">
        <x:v>Q863</x:v>
      </x:c>
      <x:c r="O104" s="18" t="str">
        <x:v>Chairman of the Council of CIS Heads of State</x:v>
      </x:c>
      <x:c r="P104" s="18" t="str">
        <x:v>Q57366</x:v>
      </x:c>
      <x:c r="Q104" s="18" t="n">
        <x:v>40544</x:v>
      </x:c>
      <x:c r="R104" s="18" t="str">
        <x:v>COMPLETE_FINITE_SNAPSHOT</x:v>
      </x:c>
      <x:c r="S104" s="18" t="str">
        <x:v>Complete returned current head-of-state statements for sovereign-state universe</x:v>
      </x:c>
      <x:c r="T104" s="18" t="str"/>
      <x:c r="U104" s="18" t="str"/>
      <x:c r="V104" s="20" t="n">
        <x:v>252</x:v>
      </x:c>
      <x:c r="W104" s="19" t="str">
        <x:f>IFERROR(TODAY()-DATEVALUE(C104),"")</x:f>
      </x:c>
      <x:c r="X104" s="21" t="n">
        <x:f>ROUND(COUNTA(A104:K104)/11*100,0)</x:f>
        <x:v>100</x:v>
      </x:c>
      <x:c r="Y104" s="18" t="str">
        <x:v>Wikidata</x:v>
      </x:c>
      <x:c r="Z104" s="22" t="str">
        <x:v>http://www.wikidata.org/entity/Q57366</x:v>
      </x:c>
      <x:c r="AA104" s="18" t="str"/>
      <x:c r="AB104" s="18" t="n">
        <x:v>46275.416216736114</x:v>
      </x:c>
      <x:c r="AC104" s="18" t="str">
        <x:v>independent_public</x:v>
      </x:c>
      <x:c r="AD104" s="18" t="str">
        <x:v>PARTIAL_NO_DATE</x:v>
      </x:c>
    </x:row>
    <x:row r="105">
      <x:c r="A105" s="18" t="str">
        <x:v>NYT-13-50cd10b75adad903</x:v>
      </x:c>
      <x:c r="B105" s="18" t="str">
        <x:v>Asif Ali Zardari</x:v>
      </x:c>
      <x:c r="C105" s="18" t="str"/>
      <x:c r="D105" s="18" t="str"/>
      <x:c r="E105" s="18" t="str"/>
      <x:c r="F105" s="18" t="str"/>
      <x:c r="G105" s="18" t="str"/>
      <x:c r="H105" s="18" t="str">
        <x:v>Pakistan</x:v>
      </x:c>
      <x:c r="I105" s="18" t="str">
        <x:v>Pakistan</x:v>
      </x:c>
      <x:c r="J105" s="20" t="str"/>
      <x:c r="K105" s="18" t="str"/>
      <x:c r="L105" s="20" t="str">
        <x:v>Pakistan</x:v>
      </x:c>
      <x:c r="M105" s="18" t="str">
        <x:v>Asif Ali Zardari</x:v>
      </x:c>
      <x:c r="N105" s="20" t="str">
        <x:v>Q843</x:v>
      </x:c>
      <x:c r="O105" s="18" t="str">
        <x:v>President of Pakistan Peoples Party Parliamentarians</x:v>
      </x:c>
      <x:c r="P105" s="18" t="str">
        <x:v>Q57373</x:v>
      </x:c>
      <x:c r="Q105" s="18" t="n">
        <x:v>42365</x:v>
      </x:c>
      <x:c r="R105" s="18" t="str">
        <x:v>COMPLETE_FINITE_SNAPSHOT</x:v>
      </x:c>
      <x:c r="S105" s="18" t="str">
        <x:v>Complete returned current head-of-state statements for sovereign-state universe</x:v>
      </x:c>
      <x:c r="T105" s="18" t="str"/>
      <x:c r="U105" s="18" t="str"/>
      <x:c r="V105" s="20" t="n">
        <x:v>252</x:v>
      </x:c>
      <x:c r="W105" s="19" t="str">
        <x:f>IFERROR(TODAY()-DATEVALUE(C105),"")</x:f>
      </x:c>
      <x:c r="X105" s="21" t="n">
        <x:f>ROUND(COUNTA(A105:K105)/11*100,0)</x:f>
        <x:v>100</x:v>
      </x:c>
      <x:c r="Y105" s="18" t="str">
        <x:v>Wikidata</x:v>
      </x:c>
      <x:c r="Z105" s="22" t="str">
        <x:v>http://www.wikidata.org/entity/Q57373</x:v>
      </x:c>
      <x:c r="AA105" s="18" t="str"/>
      <x:c r="AB105" s="18" t="n">
        <x:v>46275.416216736114</x:v>
      </x:c>
      <x:c r="AC105" s="18" t="str">
        <x:v>independent_public</x:v>
      </x:c>
      <x:c r="AD105" s="18" t="str">
        <x:v>PARTIAL_NO_DATE</x:v>
      </x:c>
    </x:row>
    <x:row r="106">
      <x:c r="A106" s="18" t="str">
        <x:v>NYT-13-8ab425d44508adee</x:v>
      </x:c>
      <x:c r="B106" s="18" t="str">
        <x:v>Patrick Herminie</x:v>
      </x:c>
      <x:c r="C106" s="18" t="str"/>
      <x:c r="D106" s="18" t="str"/>
      <x:c r="E106" s="18" t="str"/>
      <x:c r="F106" s="18" t="str"/>
      <x:c r="G106" s="18" t="str"/>
      <x:c r="H106" s="18" t="str">
        <x:v>Seychelles</x:v>
      </x:c>
      <x:c r="I106" s="18" t="str">
        <x:v>Seychelles</x:v>
      </x:c>
      <x:c r="J106" s="20" t="str"/>
      <x:c r="K106" s="18" t="str"/>
      <x:c r="L106" s="20" t="str">
        <x:v>Seychelles</x:v>
      </x:c>
      <x:c r="M106" s="18" t="str">
        <x:v>Patrick Herminie</x:v>
      </x:c>
      <x:c r="N106" s="20" t="str">
        <x:v>Q1042</x:v>
      </x:c>
      <x:c r="O106" s="18" t="str">
        <x:v>President of Seychelles</x:v>
      </x:c>
      <x:c r="P106" s="18" t="str">
        <x:v>Q16190544</x:v>
      </x:c>
      <x:c r="Q106" s="18" t="n">
        <x:v>45956</x:v>
      </x:c>
      <x:c r="R106" s="18" t="str">
        <x:v>COMPLETE_FINITE_SNAPSHOT</x:v>
      </x:c>
      <x:c r="S106" s="18" t="str">
        <x:v>Complete returned current head-of-state statements for sovereign-state universe</x:v>
      </x:c>
      <x:c r="T106" s="18" t="str"/>
      <x:c r="U106" s="18" t="str"/>
      <x:c r="V106" s="20" t="n">
        <x:v>252</x:v>
      </x:c>
      <x:c r="W106" s="19" t="str">
        <x:f>IFERROR(TODAY()-DATEVALUE(C106),"")</x:f>
      </x:c>
      <x:c r="X106" s="21" t="n">
        <x:f>ROUND(COUNTA(A106:K106)/11*100,0)</x:f>
        <x:v>100</x:v>
      </x:c>
      <x:c r="Y106" s="18" t="str">
        <x:v>Wikidata</x:v>
      </x:c>
      <x:c r="Z106" s="22" t="str">
        <x:v>http://www.wikidata.org/entity/Q16190544</x:v>
      </x:c>
      <x:c r="AA106" s="18" t="str"/>
      <x:c r="AB106" s="18" t="n">
        <x:v>46275.416216736114</x:v>
      </x:c>
      <x:c r="AC106" s="18" t="str">
        <x:v>independent_public</x:v>
      </x:c>
      <x:c r="AD106" s="18" t="str">
        <x:v>PARTIAL_NO_DATE</x:v>
      </x:c>
    </x:row>
    <x:row r="107">
      <x:c r="A107" s="18" t="str">
        <x:v>NYT-13-a961041c44adaf73</x:v>
      </x:c>
      <x:c r="B107" s="18" t="str">
        <x:v>Teodoro Obiang</x:v>
      </x:c>
      <x:c r="C107" s="18" t="str"/>
      <x:c r="D107" s="18" t="str"/>
      <x:c r="E107" s="18" t="str"/>
      <x:c r="F107" s="18" t="str"/>
      <x:c r="G107" s="18" t="str"/>
      <x:c r="H107" s="18" t="str">
        <x:v>Equatorial Guinea</x:v>
      </x:c>
      <x:c r="I107" s="18" t="str">
        <x:v>Equatorial Guinea</x:v>
      </x:c>
      <x:c r="J107" s="20" t="str"/>
      <x:c r="K107" s="18" t="str"/>
      <x:c r="L107" s="20" t="str">
        <x:v>Equatorial Guinea</x:v>
      </x:c>
      <x:c r="M107" s="18" t="str">
        <x:v>Teodoro Obiang</x:v>
      </x:c>
      <x:c r="N107" s="20" t="str">
        <x:v>Q983</x:v>
      </x:c>
      <x:c r="O107" s="18" t="str">
        <x:v>Minister of National Defense</x:v>
      </x:c>
      <x:c r="P107" s="18" t="str">
        <x:v>Q57385</x:v>
      </x:c>
      <x:c r="Q107" s="18" t="n">
        <x:v>34325</x:v>
      </x:c>
      <x:c r="R107" s="18" t="str">
        <x:v>COMPLETE_FINITE_SNAPSHOT</x:v>
      </x:c>
      <x:c r="S107" s="18" t="str">
        <x:v>Complete returned current head-of-state statements for sovereign-state universe</x:v>
      </x:c>
      <x:c r="T107" s="18" t="str"/>
      <x:c r="U107" s="18" t="str"/>
      <x:c r="V107" s="20" t="n">
        <x:v>252</x:v>
      </x:c>
      <x:c r="W107" s="19" t="str">
        <x:f>IFERROR(TODAY()-DATEVALUE(C107),"")</x:f>
      </x:c>
      <x:c r="X107" s="21" t="n">
        <x:f>ROUND(COUNTA(A107:K107)/11*100,0)</x:f>
        <x:v>100</x:v>
      </x:c>
      <x:c r="Y107" s="18" t="str">
        <x:v>Wikidata</x:v>
      </x:c>
      <x:c r="Z107" s="22" t="str">
        <x:v>http://www.wikidata.org/entity/Q57385</x:v>
      </x:c>
      <x:c r="AA107" s="18" t="str"/>
      <x:c r="AB107" s="18" t="n">
        <x:v>46275.416216736114</x:v>
      </x:c>
      <x:c r="AC107" s="18" t="str">
        <x:v>independent_public</x:v>
      </x:c>
      <x:c r="AD107" s="18" t="str">
        <x:v>PARTIAL_NO_DATE</x:v>
      </x:c>
    </x:row>
    <x:row r="108">
      <x:c r="A108" s="18" t="str">
        <x:v>NYT-13-87fcde63610aa4e8</x:v>
      </x:c>
      <x:c r="B108" s="18" t="str">
        <x:v>Denis Sassou-Nguesso</x:v>
      </x:c>
      <x:c r="C108" s="18" t="str"/>
      <x:c r="D108" s="18" t="str"/>
      <x:c r="E108" s="18" t="str"/>
      <x:c r="F108" s="18" t="str"/>
      <x:c r="G108" s="18" t="str"/>
      <x:c r="H108" s="18" t="str">
        <x:v>Republic of the Congo</x:v>
      </x:c>
      <x:c r="I108" s="18" t="str">
        <x:v>Republic of the Congo</x:v>
      </x:c>
      <x:c r="J108" s="20" t="str"/>
      <x:c r="K108" s="18" t="str"/>
      <x:c r="L108" s="20" t="str">
        <x:v>Republic of the Congo</x:v>
      </x:c>
      <x:c r="M108" s="18" t="str">
        <x:v>Denis Sassou-Nguesso</x:v>
      </x:c>
      <x:c r="N108" s="20" t="str">
        <x:v>Q971</x:v>
      </x:c>
      <x:c r="O108" s="18" t="str">
        <x:v>Chairperson of the African Union</x:v>
      </x:c>
      <x:c r="P108" s="18" t="str">
        <x:v>Q57418</x:v>
      </x:c>
      <x:c r="Q108" s="18" t="n">
        <x:v>38741</x:v>
      </x:c>
      <x:c r="R108" s="18" t="str">
        <x:v>COMPLETE_FINITE_SNAPSHOT</x:v>
      </x:c>
      <x:c r="S108" s="18" t="str">
        <x:v>Complete returned current head-of-state statements for sovereign-state universe</x:v>
      </x:c>
      <x:c r="T108" s="18" t="str"/>
      <x:c r="U108" s="18" t="str"/>
      <x:c r="V108" s="20" t="n">
        <x:v>252</x:v>
      </x:c>
      <x:c r="W108" s="19" t="str">
        <x:f>IFERROR(TODAY()-DATEVALUE(C108),"")</x:f>
      </x:c>
      <x:c r="X108" s="21" t="n">
        <x:f>ROUND(COUNTA(A108:K108)/11*100,0)</x:f>
        <x:v>100</x:v>
      </x:c>
      <x:c r="Y108" s="18" t="str">
        <x:v>Wikidata</x:v>
      </x:c>
      <x:c r="Z108" s="22" t="str">
        <x:v>http://www.wikidata.org/entity/Q57418</x:v>
      </x:c>
      <x:c r="AA108" s="18" t="str"/>
      <x:c r="AB108" s="18" t="n">
        <x:v>46275.416216736114</x:v>
      </x:c>
      <x:c r="AC108" s="18" t="str">
        <x:v>independent_public</x:v>
      </x:c>
      <x:c r="AD108" s="18" t="str">
        <x:v>PARTIAL_NO_DATE</x:v>
      </x:c>
    </x:row>
    <x:row r="109">
      <x:c r="A109" s="18" t="str">
        <x:v>NYT-13-7a99be078acde806</x:v>
      </x:c>
      <x:c r="B109" s="18" t="str">
        <x:v>Recep Tayyip Erdoğan</x:v>
      </x:c>
      <x:c r="C109" s="18" t="str"/>
      <x:c r="D109" s="18" t="str"/>
      <x:c r="E109" s="18" t="str"/>
      <x:c r="F109" s="18" t="str"/>
      <x:c r="G109" s="18" t="str"/>
      <x:c r="H109" s="18" t="str">
        <x:v>Turkey</x:v>
      </x:c>
      <x:c r="I109" s="18" t="str">
        <x:v>Turkey</x:v>
      </x:c>
      <x:c r="J109" s="20" t="str"/>
      <x:c r="K109" s="18" t="str"/>
      <x:c r="L109" s="20" t="str">
        <x:v>Turkey</x:v>
      </x:c>
      <x:c r="M109" s="18" t="str">
        <x:v>Recep Tayyip Erdoğan</x:v>
      </x:c>
      <x:c r="N109" s="20" t="str">
        <x:v>Q43</x:v>
      </x:c>
      <x:c r="O109" s="18" t="str">
        <x:v>member of the Grand National Assembly of Turkey</x:v>
      </x:c>
      <x:c r="P109" s="18" t="str">
        <x:v>Q39259</x:v>
      </x:c>
      <x:c r="Q109" s="18" t="n">
        <x:v>37689</x:v>
      </x:c>
      <x:c r="R109" s="18" t="str">
        <x:v>COMPLETE_FINITE_SNAPSHOT</x:v>
      </x:c>
      <x:c r="S109" s="18" t="str">
        <x:v>Complete returned current head-of-state statements for sovereign-state universe</x:v>
      </x:c>
      <x:c r="T109" s="18" t="str"/>
      <x:c r="U109" s="18" t="str"/>
      <x:c r="V109" s="20" t="n">
        <x:v>252</x:v>
      </x:c>
      <x:c r="W109" s="19" t="str">
        <x:f>IFERROR(TODAY()-DATEVALUE(C109),"")</x:f>
      </x:c>
      <x:c r="X109" s="21" t="n">
        <x:f>ROUND(COUNTA(A109:K109)/11*100,0)</x:f>
        <x:v>100</x:v>
      </x:c>
      <x:c r="Y109" s="18" t="str">
        <x:v>Wikidata</x:v>
      </x:c>
      <x:c r="Z109" s="22" t="str">
        <x:v>http://www.wikidata.org/entity/Q39259</x:v>
      </x:c>
      <x:c r="AA109" s="18" t="str"/>
      <x:c r="AB109" s="18" t="n">
        <x:v>46275.416216736114</x:v>
      </x:c>
      <x:c r="AC109" s="18" t="str">
        <x:v>independent_public</x:v>
      </x:c>
      <x:c r="AD109" s="18" t="str">
        <x:v>PARTIAL_NO_DATE</x:v>
      </x:c>
    </x:row>
    <x:row r="110">
      <x:c r="A110" s="18" t="str">
        <x:v>NYT-13-2555f5c1104e29ef</x:v>
      </x:c>
      <x:c r="B110" s="18" t="str">
        <x:v>Zoran Milanović</x:v>
      </x:c>
      <x:c r="C110" s="18" t="str"/>
      <x:c r="D110" s="18" t="str"/>
      <x:c r="E110" s="18" t="str"/>
      <x:c r="F110" s="18" t="str"/>
      <x:c r="G110" s="18" t="str"/>
      <x:c r="H110" s="18" t="str">
        <x:v>Croatia</x:v>
      </x:c>
      <x:c r="I110" s="18" t="str">
        <x:v>Croatia</x:v>
      </x:c>
      <x:c r="J110" s="20" t="str"/>
      <x:c r="K110" s="18" t="str"/>
      <x:c r="L110" s="20" t="str">
        <x:v>Croatia</x:v>
      </x:c>
      <x:c r="M110" s="18" t="str">
        <x:v>Zoran Milanović</x:v>
      </x:c>
      <x:c r="N110" s="20" t="str">
        <x:v>Q224</x:v>
      </x:c>
      <x:c r="O110" s="18" t="str">
        <x:v>Prime Minister of Croatia</x:v>
      </x:c>
      <x:c r="P110" s="18" t="str">
        <x:v>Q57687</x:v>
      </x:c>
      <x:c r="Q110" s="18" t="n">
        <x:v>40900</x:v>
      </x:c>
      <x:c r="R110" s="18" t="str">
        <x:v>COMPLETE_FINITE_SNAPSHOT</x:v>
      </x:c>
      <x:c r="S110" s="18" t="str">
        <x:v>Complete returned current head-of-state statements for sovereign-state universe</x:v>
      </x:c>
      <x:c r="T110" s="18" t="str"/>
      <x:c r="U110" s="18" t="str"/>
      <x:c r="V110" s="20" t="n">
        <x:v>252</x:v>
      </x:c>
      <x:c r="W110" s="19" t="str">
        <x:f>IFERROR(TODAY()-DATEVALUE(C110),"")</x:f>
      </x:c>
      <x:c r="X110" s="21" t="n">
        <x:f>ROUND(COUNTA(A110:K110)/11*100,0)</x:f>
        <x:v>100</x:v>
      </x:c>
      <x:c r="Y110" s="18" t="str">
        <x:v>Wikidata</x:v>
      </x:c>
      <x:c r="Z110" s="22" t="str">
        <x:v>http://www.wikidata.org/entity/Q57687</x:v>
      </x:c>
      <x:c r="AA110" s="18" t="str"/>
      <x:c r="AB110" s="18" t="n">
        <x:v>46275.416216736114</x:v>
      </x:c>
      <x:c r="AC110" s="18" t="str">
        <x:v>independent_public</x:v>
      </x:c>
      <x:c r="AD110" s="18" t="str">
        <x:v>PARTIAL_NO_DATE</x:v>
      </x:c>
    </x:row>
    <x:row r="111">
      <x:c r="A111" s="18" t="str">
        <x:v>NYT-13-3a4ef14d21ad6e31</x:v>
      </x:c>
      <x:c r="B111" s="18" t="str">
        <x:v>Catherine II of Russia</x:v>
      </x:c>
      <x:c r="C111" s="18" t="str"/>
      <x:c r="D111" s="18" t="str"/>
      <x:c r="E111" s="18" t="str"/>
      <x:c r="F111" s="18" t="str"/>
      <x:c r="G111" s="18" t="str"/>
      <x:c r="H111" s="18" t="str">
        <x:v>Russian Empire</x:v>
      </x:c>
      <x:c r="I111" s="18" t="str">
        <x:v>Russian Empire</x:v>
      </x:c>
      <x:c r="J111" s="20" t="str"/>
      <x:c r="K111" s="18" t="str"/>
      <x:c r="L111" s="20" t="str">
        <x:v>Russian Empire</x:v>
      </x:c>
      <x:c r="M111" s="18" t="str">
        <x:v>Catherine II of Russia</x:v>
      </x:c>
      <x:c r="N111" s="20" t="str">
        <x:v>Q34266</x:v>
      </x:c>
      <x:c r="O111" s="18" t="str">
        <x:v>Emperor of all the Russias</x:v>
      </x:c>
      <x:c r="P111" s="18" t="str">
        <x:v>Q36450</x:v>
      </x:c>
      <x:c r="Q111" s="18" t="n">
        <x:v>-50212</x:v>
      </x:c>
      <x:c r="R111" s="18" t="str">
        <x:v>COMPLETE_FINITE_SNAPSHOT</x:v>
      </x:c>
      <x:c r="S111" s="18" t="str">
        <x:v>Complete returned current head-of-state statements for sovereign-state universe</x:v>
      </x:c>
      <x:c r="T111" s="18" t="str"/>
      <x:c r="U111" s="18" t="str"/>
      <x:c r="V111" s="20" t="n">
        <x:v>252</x:v>
      </x:c>
      <x:c r="W111" s="19" t="str">
        <x:f>IFERROR(TODAY()-DATEVALUE(C111),"")</x:f>
      </x:c>
      <x:c r="X111" s="21" t="n">
        <x:f>ROUND(COUNTA(A111:K111)/11*100,0)</x:f>
        <x:v>100</x:v>
      </x:c>
      <x:c r="Y111" s="18" t="str">
        <x:v>Wikidata</x:v>
      </x:c>
      <x:c r="Z111" s="22" t="str">
        <x:v>http://www.wikidata.org/entity/Q36450</x:v>
      </x:c>
      <x:c r="AA111" s="18" t="str"/>
      <x:c r="AB111" s="18" t="n">
        <x:v>46275.416216736114</x:v>
      </x:c>
      <x:c r="AC111" s="18" t="str">
        <x:v>independent_public</x:v>
      </x:c>
      <x:c r="AD111" s="18" t="str">
        <x:v>PARTIAL_NO_DATE</x:v>
      </x:c>
    </x:row>
    <x:row r="112">
      <x:c r="A112" s="18" t="str">
        <x:v>NYT-13-d3da1d11ee1d46ff</x:v>
      </x:c>
      <x:c r="B112" s="18" t="str">
        <x:v>Hans-Adam II, Prince of Liechtenstein</x:v>
      </x:c>
      <x:c r="C112" s="18" t="str"/>
      <x:c r="D112" s="18" t="str"/>
      <x:c r="E112" s="18" t="str"/>
      <x:c r="F112" s="18" t="str"/>
      <x:c r="G112" s="18" t="str"/>
      <x:c r="H112" s="18" t="str">
        <x:v>Liechtenstein</x:v>
      </x:c>
      <x:c r="I112" s="18" t="str">
        <x:v>Liechtenstein</x:v>
      </x:c>
      <x:c r="J112" s="20" t="str"/>
      <x:c r="K112" s="18" t="str"/>
      <x:c r="L112" s="20" t="str">
        <x:v>Liechtenstein</x:v>
      </x:c>
      <x:c r="M112" s="18" t="str">
        <x:v>Hans-Adam II, Prince of Liechtenstein</x:v>
      </x:c>
      <x:c r="N112" s="20" t="str">
        <x:v>Q347</x:v>
      </x:c>
      <x:c r="O112" s="18" t="str">
        <x:v>Prince of Lichtenstein</x:v>
      </x:c>
      <x:c r="P112" s="18" t="str">
        <x:v>Q57454</x:v>
      </x:c>
      <x:c r="Q112" s="18" t="n">
        <x:v>32825</x:v>
      </x:c>
      <x:c r="R112" s="18" t="str">
        <x:v>COMPLETE_FINITE_SNAPSHOT</x:v>
      </x:c>
      <x:c r="S112" s="18" t="str">
        <x:v>Complete returned current head-of-state statements for sovereign-state universe</x:v>
      </x:c>
      <x:c r="T112" s="18" t="str"/>
      <x:c r="U112" s="18" t="str"/>
      <x:c r="V112" s="20" t="n">
        <x:v>252</x:v>
      </x:c>
      <x:c r="W112" s="19" t="str">
        <x:f>IFERROR(TODAY()-DATEVALUE(C112),"")</x:f>
      </x:c>
      <x:c r="X112" s="21" t="n">
        <x:f>ROUND(COUNTA(A112:K112)/11*100,0)</x:f>
        <x:v>100</x:v>
      </x:c>
      <x:c r="Y112" s="18" t="str">
        <x:v>Wikidata</x:v>
      </x:c>
      <x:c r="Z112" s="22" t="str">
        <x:v>http://www.wikidata.org/entity/Q57454</x:v>
      </x:c>
      <x:c r="AA112" s="18" t="str"/>
      <x:c r="AB112" s="18" t="n">
        <x:v>46275.416216736114</x:v>
      </x:c>
      <x:c r="AC112" s="18" t="str">
        <x:v>independent_public</x:v>
      </x:c>
      <x:c r="AD112" s="18" t="str">
        <x:v>PARTIAL_NO_DATE</x:v>
      </x:c>
    </x:row>
    <x:row r="113">
      <x:c r="A113" s="18" t="str">
        <x:v>NYT-13-fbdfe23b8f65ac3d</x:v>
      </x:c>
      <x:c r="B113" s="18" t="str">
        <x:v>Manuel Serifo Nhamadjo</x:v>
      </x:c>
      <x:c r="C113" s="18" t="str"/>
      <x:c r="D113" s="18" t="str"/>
      <x:c r="E113" s="18" t="str"/>
      <x:c r="F113" s="18" t="str"/>
      <x:c r="G113" s="18" t="str"/>
      <x:c r="H113" s="18" t="str">
        <x:v>Guinea-Bissau</x:v>
      </x:c>
      <x:c r="I113" s="18" t="str">
        <x:v>Guinea-Bissau</x:v>
      </x:c>
      <x:c r="J113" s="20" t="str"/>
      <x:c r="K113" s="18" t="str"/>
      <x:c r="L113" s="20" t="str">
        <x:v>Guinea-Bissau</x:v>
      </x:c>
      <x:c r="M113" s="18" t="str">
        <x:v>Manuel Serifo Nhamadjo</x:v>
      </x:c>
      <x:c r="N113" s="20" t="str">
        <x:v>Q1007</x:v>
      </x:c>
      <x:c r="O113" s="18" t="str">
        <x:v>President of Guinea-Bissau</x:v>
      </x:c>
      <x:c r="P113" s="18" t="str">
        <x:v>Q57424</x:v>
      </x:c>
      <x:c r="Q113" s="18" t="n">
        <x:v>41041</x:v>
      </x:c>
      <x:c r="R113" s="18" t="str">
        <x:v>COMPLETE_FINITE_SNAPSHOT</x:v>
      </x:c>
      <x:c r="S113" s="18" t="str">
        <x:v>Complete returned current head-of-state statements for sovereign-state universe</x:v>
      </x:c>
      <x:c r="T113" s="18" t="str"/>
      <x:c r="U113" s="18" t="str"/>
      <x:c r="V113" s="20" t="n">
        <x:v>252</x:v>
      </x:c>
      <x:c r="W113" s="19" t="str">
        <x:f>IFERROR(TODAY()-DATEVALUE(C113),"")</x:f>
      </x:c>
      <x:c r="X113" s="21" t="n">
        <x:f>ROUND(COUNTA(A113:K113)/11*100,0)</x:f>
        <x:v>100</x:v>
      </x:c>
      <x:c r="Y113" s="18" t="str">
        <x:v>Wikidata</x:v>
      </x:c>
      <x:c r="Z113" s="22" t="str">
        <x:v>http://www.wikidata.org/entity/Q57424</x:v>
      </x:c>
      <x:c r="AA113" s="18" t="str"/>
      <x:c r="AB113" s="18" t="n">
        <x:v>46275.416216736114</x:v>
      </x:c>
      <x:c r="AC113" s="18" t="str">
        <x:v>independent_public</x:v>
      </x:c>
      <x:c r="AD113" s="18" t="str">
        <x:v>PARTIAL_NO_DATE</x:v>
      </x:c>
    </x:row>
    <x:row r="114">
      <x:c r="A114" s="18" t="str">
        <x:v>NYT-13-89e21a4c8f2c9c60</x:v>
      </x:c>
      <x:c r="B114" s="18" t="str">
        <x:v>Letsie III of Lesotho</x:v>
      </x:c>
      <x:c r="C114" s="18" t="str"/>
      <x:c r="D114" s="18" t="str"/>
      <x:c r="E114" s="18" t="str"/>
      <x:c r="F114" s="18" t="str"/>
      <x:c r="G114" s="18" t="str"/>
      <x:c r="H114" s="18" t="str">
        <x:v>Lesotho</x:v>
      </x:c>
      <x:c r="I114" s="18" t="str">
        <x:v>Lesotho</x:v>
      </x:c>
      <x:c r="J114" s="20" t="str"/>
      <x:c r="K114" s="18" t="str"/>
      <x:c r="L114" s="20" t="str">
        <x:v>Lesotho</x:v>
      </x:c>
      <x:c r="M114" s="18" t="str">
        <x:v>Letsie III of Lesotho</x:v>
      </x:c>
      <x:c r="N114" s="20" t="str">
        <x:v>Q1013</x:v>
      </x:c>
      <x:c r="O114" s="18" t="str">
        <x:v>King of Lesotho</x:v>
      </x:c>
      <x:c r="P114" s="18" t="str">
        <x:v>Q57537</x:v>
      </x:c>
      <x:c r="Q114" s="18" t="n">
        <x:v>32874</x:v>
      </x:c>
      <x:c r="R114" s="18" t="str">
        <x:v>COMPLETE_FINITE_SNAPSHOT</x:v>
      </x:c>
      <x:c r="S114" s="18" t="str">
        <x:v>Complete returned current head-of-state statements for sovereign-state universe</x:v>
      </x:c>
      <x:c r="T114" s="18" t="str"/>
      <x:c r="U114" s="18" t="str"/>
      <x:c r="V114" s="20" t="n">
        <x:v>252</x:v>
      </x:c>
      <x:c r="W114" s="19" t="str">
        <x:f>IFERROR(TODAY()-DATEVALUE(C114),"")</x:f>
      </x:c>
      <x:c r="X114" s="21" t="n">
        <x:f>ROUND(COUNTA(A114:K114)/11*100,0)</x:f>
        <x:v>100</x:v>
      </x:c>
      <x:c r="Y114" s="18" t="str">
        <x:v>Wikidata</x:v>
      </x:c>
      <x:c r="Z114" s="22" t="str">
        <x:v>http://www.wikidata.org/entity/Q57537</x:v>
      </x:c>
      <x:c r="AA114" s="18" t="str"/>
      <x:c r="AB114" s="18" t="n">
        <x:v>46275.416216736114</x:v>
      </x:c>
      <x:c r="AC114" s="18" t="str">
        <x:v>independent_public</x:v>
      </x:c>
      <x:c r="AD114" s="18" t="str">
        <x:v>PARTIAL_NO_DATE</x:v>
      </x:c>
    </x:row>
    <x:row r="115">
      <x:c r="A115" s="18" t="str">
        <x:v>NYT-13-79aad804eb97e115</x:v>
      </x:c>
      <x:c r="B115" s="18" t="str">
        <x:v>Ismail Omar Guelleh</x:v>
      </x:c>
      <x:c r="C115" s="18" t="str"/>
      <x:c r="D115" s="18" t="str"/>
      <x:c r="E115" s="18" t="str"/>
      <x:c r="F115" s="18" t="str"/>
      <x:c r="G115" s="18" t="str"/>
      <x:c r="H115" s="18" t="str">
        <x:v>Djibouti</x:v>
      </x:c>
      <x:c r="I115" s="18" t="str">
        <x:v>Djibouti</x:v>
      </x:c>
      <x:c r="J115" s="20" t="str"/>
      <x:c r="K115" s="18" t="str"/>
      <x:c r="L115" s="20" t="str">
        <x:v>Djibouti</x:v>
      </x:c>
      <x:c r="M115" s="18" t="str">
        <x:v>Ismail Omar Guelleh</x:v>
      </x:c>
      <x:c r="N115" s="20" t="str">
        <x:v>Q977</x:v>
      </x:c>
      <x:c r="O115" s="18" t="str">
        <x:v>President of Djibouti</x:v>
      </x:c>
      <x:c r="P115" s="18" t="str">
        <x:v>Q57390</x:v>
      </x:c>
      <x:c r="Q115" s="18" t="n">
        <x:v>36288</x:v>
      </x:c>
      <x:c r="R115" s="18" t="str">
        <x:v>COMPLETE_FINITE_SNAPSHOT</x:v>
      </x:c>
      <x:c r="S115" s="18" t="str">
        <x:v>Complete returned current head-of-state statements for sovereign-state universe</x:v>
      </x:c>
      <x:c r="T115" s="18" t="str"/>
      <x:c r="U115" s="18" t="str"/>
      <x:c r="V115" s="20" t="n">
        <x:v>252</x:v>
      </x:c>
      <x:c r="W115" s="19" t="str">
        <x:f>IFERROR(TODAY()-DATEVALUE(C115),"")</x:f>
      </x:c>
      <x:c r="X115" s="21" t="n">
        <x:f>ROUND(COUNTA(A115:K115)/11*100,0)</x:f>
        <x:v>100</x:v>
      </x:c>
      <x:c r="Y115" s="18" t="str">
        <x:v>Wikidata</x:v>
      </x:c>
      <x:c r="Z115" s="22" t="str">
        <x:v>http://www.wikidata.org/entity/Q57390</x:v>
      </x:c>
      <x:c r="AA115" s="18" t="str"/>
      <x:c r="AB115" s="18" t="n">
        <x:v>46275.416216736114</x:v>
      </x:c>
      <x:c r="AC115" s="18" t="str">
        <x:v>independent_public</x:v>
      </x:c>
      <x:c r="AD115" s="18" t="str">
        <x:v>PARTIAL_NO_DATE</x:v>
      </x:c>
    </x:row>
    <x:row r="116">
      <x:c r="A116" s="18" t="str">
        <x:v>NYT-13-282cee01e5c15b31</x:v>
      </x:c>
      <x:c r="B116" s="18" t="str">
        <x:v>Jigme Khesar Namgyel Wangchuck</x:v>
      </x:c>
      <x:c r="C116" s="18" t="str"/>
      <x:c r="D116" s="18" t="str"/>
      <x:c r="E116" s="18" t="str"/>
      <x:c r="F116" s="18" t="str"/>
      <x:c r="G116" s="18" t="str"/>
      <x:c r="H116" s="18" t="str">
        <x:v>Bhutan</x:v>
      </x:c>
      <x:c r="I116" s="18" t="str">
        <x:v>Bhutan</x:v>
      </x:c>
      <x:c r="J116" s="20" t="str"/>
      <x:c r="K116" s="18" t="str"/>
      <x:c r="L116" s="20" t="str">
        <x:v>Bhutan</x:v>
      </x:c>
      <x:c r="M116" s="18" t="str">
        <x:v>Jigme Khesar Namgyel Wangchuck</x:v>
      </x:c>
      <x:c r="N116" s="20" t="str">
        <x:v>Q917</x:v>
      </x:c>
      <x:c r="O116" s="18" t="str">
        <x:v>King of Bhutan</x:v>
      </x:c>
      <x:c r="P116" s="18" t="str">
        <x:v>Q57376</x:v>
      </x:c>
      <x:c r="Q116" s="18" t="n">
        <x:v>39065</x:v>
      </x:c>
      <x:c r="R116" s="18" t="str">
        <x:v>COMPLETE_FINITE_SNAPSHOT</x:v>
      </x:c>
      <x:c r="S116" s="18" t="str">
        <x:v>Complete returned current head-of-state statements for sovereign-state universe</x:v>
      </x:c>
      <x:c r="T116" s="18" t="str"/>
      <x:c r="U116" s="18" t="str"/>
      <x:c r="V116" s="20" t="n">
        <x:v>252</x:v>
      </x:c>
      <x:c r="W116" s="19" t="str">
        <x:f>IFERROR(TODAY()-DATEVALUE(C116),"")</x:f>
      </x:c>
      <x:c r="X116" s="21" t="n">
        <x:f>ROUND(COUNTA(A116:K116)/11*100,0)</x:f>
        <x:v>100</x:v>
      </x:c>
      <x:c r="Y116" s="18" t="str">
        <x:v>Wikidata</x:v>
      </x:c>
      <x:c r="Z116" s="22" t="str">
        <x:v>http://www.wikidata.org/entity/Q57376</x:v>
      </x:c>
      <x:c r="AA116" s="18" t="str"/>
      <x:c r="AB116" s="18" t="n">
        <x:v>46275.416216736114</x:v>
      </x:c>
      <x:c r="AC116" s="18" t="str">
        <x:v>independent_public</x:v>
      </x:c>
      <x:c r="AD116" s="18" t="str">
        <x:v>PARTIAL_NO_DATE</x:v>
      </x:c>
    </x:row>
    <x:row r="117">
      <x:c r="A117" s="18" t="str">
        <x:v>NYT-13-1cd318fec312b47a</x:v>
      </x:c>
      <x:c r="B117" s="18" t="str">
        <x:v>Donald Trump</x:v>
      </x:c>
      <x:c r="C117" s="18" t="str"/>
      <x:c r="D117" s="18" t="str"/>
      <x:c r="E117" s="18" t="str"/>
      <x:c r="F117" s="18" t="str"/>
      <x:c r="G117" s="18" t="str"/>
      <x:c r="H117" s="18" t="str">
        <x:v>United States</x:v>
      </x:c>
      <x:c r="I117" s="18" t="str">
        <x:v>United States</x:v>
      </x:c>
      <x:c r="J117" s="20" t="str"/>
      <x:c r="K117" s="18" t="str"/>
      <x:c r="L117" s="20" t="str">
        <x:v>United States</x:v>
      </x:c>
      <x:c r="M117" s="18" t="str">
        <x:v>Donald Trump</x:v>
      </x:c>
      <x:c r="N117" s="20" t="str">
        <x:v>Q30</x:v>
      </x:c>
      <x:c r="O117" s="18" t="str">
        <x:v>President of the United States</x:v>
      </x:c>
      <x:c r="P117" s="18" t="str">
        <x:v>Q22686</x:v>
      </x:c>
      <x:c r="Q117" s="18" t="n">
        <x:v>42755</x:v>
      </x:c>
      <x:c r="R117" s="18" t="str">
        <x:v>COMPLETE_FINITE_SNAPSHOT</x:v>
      </x:c>
      <x:c r="S117" s="18" t="str">
        <x:v>Complete returned current head-of-state statements for sovereign-state universe</x:v>
      </x:c>
      <x:c r="T117" s="18" t="str"/>
      <x:c r="U117" s="18" t="str"/>
      <x:c r="V117" s="20" t="n">
        <x:v>252</x:v>
      </x:c>
      <x:c r="W117" s="19" t="str">
        <x:f>IFERROR(TODAY()-DATEVALUE(C117),"")</x:f>
      </x:c>
      <x:c r="X117" s="21" t="n">
        <x:f>ROUND(COUNTA(A117:K117)/11*100,0)</x:f>
        <x:v>100</x:v>
      </x:c>
      <x:c r="Y117" s="18" t="str">
        <x:v>Wikidata</x:v>
      </x:c>
      <x:c r="Z117" s="22" t="str">
        <x:v>http://www.wikidata.org/entity/Q22686</x:v>
      </x:c>
      <x:c r="AA117" s="18" t="str"/>
      <x:c r="AB117" s="18" t="n">
        <x:v>46275.416216736114</x:v>
      </x:c>
      <x:c r="AC117" s="18" t="str">
        <x:v>independent_public</x:v>
      </x:c>
      <x:c r="AD117" s="18" t="str">
        <x:v>PARTIAL_NO_DATE</x:v>
      </x:c>
    </x:row>
    <x:row r="118">
      <x:c r="A118" s="18" t="str">
        <x:v>NYT-13-a021ca7480200d07</x:v>
      </x:c>
      <x:c r="B118" s="18" t="str">
        <x:v>Umaro Sissoco Embaló</x:v>
      </x:c>
      <x:c r="C118" s="18" t="str"/>
      <x:c r="D118" s="18" t="str"/>
      <x:c r="E118" s="18" t="str"/>
      <x:c r="F118" s="18" t="str"/>
      <x:c r="G118" s="18" t="str"/>
      <x:c r="H118" s="18" t="str">
        <x:v>Guinea-Bissau</x:v>
      </x:c>
      <x:c r="I118" s="18" t="str">
        <x:v>Guinea-Bissau</x:v>
      </x:c>
      <x:c r="J118" s="20" t="str"/>
      <x:c r="K118" s="18" t="str"/>
      <x:c r="L118" s="20" t="str">
        <x:v>Guinea-Bissau</x:v>
      </x:c>
      <x:c r="M118" s="18" t="str">
        <x:v>Umaro Sissoco Embaló</x:v>
      </x:c>
      <x:c r="N118" s="20" t="str">
        <x:v>Q1007</x:v>
      </x:c>
      <x:c r="O118" s="18" t="str">
        <x:v>Chairperson of ECOWAS</x:v>
      </x:c>
      <x:c r="P118" s="18" t="str">
        <x:v>Q16855164</x:v>
      </x:c>
      <x:c r="Q118" s="18" t="n">
        <x:v>44745</x:v>
      </x:c>
      <x:c r="R118" s="18" t="str">
        <x:v>COMPLETE_FINITE_SNAPSHOT</x:v>
      </x:c>
      <x:c r="S118" s="18" t="str">
        <x:v>Complete returned current head-of-state statements for sovereign-state universe</x:v>
      </x:c>
      <x:c r="T118" s="18" t="str"/>
      <x:c r="U118" s="18" t="str"/>
      <x:c r="V118" s="20" t="n">
        <x:v>252</x:v>
      </x:c>
      <x:c r="W118" s="19" t="str">
        <x:f>IFERROR(TODAY()-DATEVALUE(C118),"")</x:f>
      </x:c>
      <x:c r="X118" s="21" t="n">
        <x:f>ROUND(COUNTA(A118:K118)/11*100,0)</x:f>
        <x:v>100</x:v>
      </x:c>
      <x:c r="Y118" s="18" t="str">
        <x:v>Wikidata</x:v>
      </x:c>
      <x:c r="Z118" s="22" t="str">
        <x:v>http://www.wikidata.org/entity/Q16855164</x:v>
      </x:c>
      <x:c r="AA118" s="18" t="str"/>
      <x:c r="AB118" s="18" t="n">
        <x:v>46275.416216736114</x:v>
      </x:c>
      <x:c r="AC118" s="18" t="str">
        <x:v>independent_public</x:v>
      </x:c>
      <x:c r="AD118" s="18" t="str">
        <x:v>PARTIAL_NO_DATE</x:v>
      </x:c>
    </x:row>
    <x:row r="119">
      <x:c r="A119" s="18" t="str">
        <x:v>NYT-13-45a1e18842c19306</x:v>
      </x:c>
      <x:c r="B119" s="18" t="str">
        <x:v>Luis Abinader</x:v>
      </x:c>
      <x:c r="C119" s="18" t="str"/>
      <x:c r="D119" s="18" t="str"/>
      <x:c r="E119" s="18" t="str"/>
      <x:c r="F119" s="18" t="str"/>
      <x:c r="G119" s="18" t="str"/>
      <x:c r="H119" s="18" t="str">
        <x:v>Dominican Republic</x:v>
      </x:c>
      <x:c r="I119" s="18" t="str">
        <x:v>Dominican Republic</x:v>
      </x:c>
      <x:c r="J119" s="20" t="str"/>
      <x:c r="K119" s="18" t="str"/>
      <x:c r="L119" s="20" t="str">
        <x:v>Dominican Republic</x:v>
      </x:c>
      <x:c r="M119" s="18" t="str">
        <x:v>Luis Abinader</x:v>
      </x:c>
      <x:c r="N119" s="20" t="str">
        <x:v>Q786</x:v>
      </x:c>
      <x:c r="O119" s="18" t="str">
        <x:v>President of the Dominican Republic</x:v>
      </x:c>
      <x:c r="P119" s="18" t="str">
        <x:v>Q16594097</x:v>
      </x:c>
      <x:c r="Q119" s="18" t="n">
        <x:v>44059</x:v>
      </x:c>
      <x:c r="R119" s="18" t="str">
        <x:v>COMPLETE_FINITE_SNAPSHOT</x:v>
      </x:c>
      <x:c r="S119" s="18" t="str">
        <x:v>Complete returned current head-of-state statements for sovereign-state universe</x:v>
      </x:c>
      <x:c r="T119" s="18" t="str"/>
      <x:c r="U119" s="18" t="str"/>
      <x:c r="V119" s="20" t="n">
        <x:v>252</x:v>
      </x:c>
      <x:c r="W119" s="19" t="str">
        <x:f>IFERROR(TODAY()-DATEVALUE(C119),"")</x:f>
      </x:c>
      <x:c r="X119" s="21" t="n">
        <x:f>ROUND(COUNTA(A119:K119)/11*100,0)</x:f>
        <x:v>100</x:v>
      </x:c>
      <x:c r="Y119" s="18" t="str">
        <x:v>Wikidata</x:v>
      </x:c>
      <x:c r="Z119" s="22" t="str">
        <x:v>http://www.wikidata.org/entity/Q16594097</x:v>
      </x:c>
      <x:c r="AA119" s="18" t="str"/>
      <x:c r="AB119" s="18" t="n">
        <x:v>46275.416216736114</x:v>
      </x:c>
      <x:c r="AC119" s="18" t="str">
        <x:v>independent_public</x:v>
      </x:c>
      <x:c r="AD119" s="18" t="str">
        <x:v>PARTIAL_NO_DATE</x:v>
      </x:c>
    </x:row>
    <x:row r="120">
      <x:c r="A120" s="18" t="str">
        <x:v>NYT-13-f4f8e6288091ea78</x:v>
      </x:c>
      <x:c r="B120" s="18" t="str">
        <x:v>Catherine I of Russia</x:v>
      </x:c>
      <x:c r="C120" s="18" t="str"/>
      <x:c r="D120" s="18" t="str"/>
      <x:c r="E120" s="18" t="str"/>
      <x:c r="F120" s="18" t="str"/>
      <x:c r="G120" s="18" t="str"/>
      <x:c r="H120" s="18" t="str">
        <x:v>Russian Empire</x:v>
      </x:c>
      <x:c r="I120" s="18" t="str">
        <x:v>Russian Empire</x:v>
      </x:c>
      <x:c r="J120" s="20" t="str"/>
      <x:c r="K120" s="18" t="str"/>
      <x:c r="L120" s="20" t="str">
        <x:v>Russian Empire</x:v>
      </x:c>
      <x:c r="M120" s="18" t="str">
        <x:v>Catherine I of Russia</x:v>
      </x:c>
      <x:c r="N120" s="20" t="str">
        <x:v>Q34266</x:v>
      </x:c>
      <x:c r="O120" s="18" t="str">
        <x:v>Emperor of all the Russias</x:v>
      </x:c>
      <x:c r="P120" s="18" t="str">
        <x:v>Q15208</x:v>
      </x:c>
      <x:c r="Q120" s="18" t="n">
        <x:v>-63877</x:v>
      </x:c>
      <x:c r="R120" s="18" t="str">
        <x:v>COMPLETE_FINITE_SNAPSHOT</x:v>
      </x:c>
      <x:c r="S120" s="18" t="str">
        <x:v>Complete returned current head-of-state statements for sovereign-state universe</x:v>
      </x:c>
      <x:c r="T120" s="18" t="str"/>
      <x:c r="U120" s="18" t="str"/>
      <x:c r="V120" s="20" t="n">
        <x:v>252</x:v>
      </x:c>
      <x:c r="W120" s="19" t="str">
        <x:f>IFERROR(TODAY()-DATEVALUE(C120),"")</x:f>
      </x:c>
      <x:c r="X120" s="21" t="n">
        <x:f>ROUND(COUNTA(A120:K120)/11*100,0)</x:f>
        <x:v>100</x:v>
      </x:c>
      <x:c r="Y120" s="18" t="str">
        <x:v>Wikidata</x:v>
      </x:c>
      <x:c r="Z120" s="22" t="str">
        <x:v>http://www.wikidata.org/entity/Q15208</x:v>
      </x:c>
      <x:c r="AA120" s="18" t="str"/>
      <x:c r="AB120" s="18" t="n">
        <x:v>46275.416216736114</x:v>
      </x:c>
      <x:c r="AC120" s="18" t="str">
        <x:v>independent_public</x:v>
      </x:c>
      <x:c r="AD120" s="18" t="str">
        <x:v>PARTIAL_NO_DATE</x:v>
      </x:c>
    </x:row>
    <x:row r="121">
      <x:c r="A121" s="18" t="str">
        <x:v>NYT-13-a1f7c2b943d5ffc1</x:v>
      </x:c>
      <x:c r="B121" s="18" t="str">
        <x:v>Mahamat Déby</x:v>
      </x:c>
      <x:c r="C121" s="18" t="str"/>
      <x:c r="D121" s="18" t="str"/>
      <x:c r="E121" s="18" t="str"/>
      <x:c r="F121" s="18" t="str"/>
      <x:c r="G121" s="18" t="str"/>
      <x:c r="H121" s="18" t="str">
        <x:v>Chad</x:v>
      </x:c>
      <x:c r="I121" s="18" t="str">
        <x:v>Chad</x:v>
      </x:c>
      <x:c r="J121" s="20" t="str"/>
      <x:c r="K121" s="18" t="str"/>
      <x:c r="L121" s="20" t="str">
        <x:v>Chad</x:v>
      </x:c>
      <x:c r="M121" s="18" t="str">
        <x:v>Mahamat Déby</x:v>
      </x:c>
      <x:c r="N121" s="20" t="str">
        <x:v>Q657</x:v>
      </x:c>
      <x:c r="O121" s="18" t="str">
        <x:v>President of Chad</x:v>
      </x:c>
      <x:c r="P121" s="18" t="str">
        <x:v>Q16206405</x:v>
      </x:c>
      <x:c r="Q121" s="18" t="n">
        <x:v>44306</x:v>
      </x:c>
      <x:c r="R121" s="18" t="str">
        <x:v>COMPLETE_FINITE_SNAPSHOT</x:v>
      </x:c>
      <x:c r="S121" s="18" t="str">
        <x:v>Complete returned current head-of-state statements for sovereign-state universe</x:v>
      </x:c>
      <x:c r="T121" s="18" t="str"/>
      <x:c r="U121" s="18" t="str"/>
      <x:c r="V121" s="20" t="n">
        <x:v>252</x:v>
      </x:c>
      <x:c r="W121" s="19" t="str">
        <x:f>IFERROR(TODAY()-DATEVALUE(C121),"")</x:f>
      </x:c>
      <x:c r="X121" s="21" t="n">
        <x:f>ROUND(COUNTA(A121:K121)/11*100,0)</x:f>
        <x:v>100</x:v>
      </x:c>
      <x:c r="Y121" s="18" t="str">
        <x:v>Wikidata</x:v>
      </x:c>
      <x:c r="Z121" s="22" t="str">
        <x:v>http://www.wikidata.org/entity/Q16206405</x:v>
      </x:c>
      <x:c r="AA121" s="18" t="str"/>
      <x:c r="AB121" s="18" t="n">
        <x:v>46275.416216736114</x:v>
      </x:c>
      <x:c r="AC121" s="18" t="str">
        <x:v>independent_public</x:v>
      </x:c>
      <x:c r="AD121" s="18" t="str">
        <x:v>PARTIAL_NO_DATE</x:v>
      </x:c>
    </x:row>
    <x:row r="122">
      <x:c r="A122" s="18" t="str">
        <x:v>NYT-13-3b46eef3ac2ea942</x:v>
      </x:c>
      <x:c r="B122" s="18" t="str">
        <x:v>Kais Saied</x:v>
      </x:c>
      <x:c r="C122" s="18" t="str"/>
      <x:c r="D122" s="18" t="str"/>
      <x:c r="E122" s="18" t="str"/>
      <x:c r="F122" s="18" t="str"/>
      <x:c r="G122" s="18" t="str"/>
      <x:c r="H122" s="18" t="str">
        <x:v>Tunisia</x:v>
      </x:c>
      <x:c r="I122" s="18" t="str">
        <x:v>Tunisia</x:v>
      </x:c>
      <x:c r="J122" s="20" t="str"/>
      <x:c r="K122" s="18" t="str"/>
      <x:c r="L122" s="20" t="str">
        <x:v>Tunisia</x:v>
      </x:c>
      <x:c r="M122" s="18" t="str">
        <x:v>Kais Saied</x:v>
      </x:c>
      <x:c r="N122" s="20" t="str">
        <x:v>Q948</x:v>
      </x:c>
      <x:c r="O122" s="18" t="str">
        <x:v>President of Tunisia</x:v>
      </x:c>
      <x:c r="P122" s="18" t="str">
        <x:v>Q16120878</x:v>
      </x:c>
      <x:c r="Q122" s="18" t="n">
        <x:v>43761</x:v>
      </x:c>
      <x:c r="R122" s="18" t="str">
        <x:v>COMPLETE_FINITE_SNAPSHOT</x:v>
      </x:c>
      <x:c r="S122" s="18" t="str">
        <x:v>Complete returned current head-of-state statements for sovereign-state universe</x:v>
      </x:c>
      <x:c r="T122" s="18" t="str"/>
      <x:c r="U122" s="18" t="str"/>
      <x:c r="V122" s="20" t="n">
        <x:v>252</x:v>
      </x:c>
      <x:c r="W122" s="19" t="str">
        <x:f>IFERROR(TODAY()-DATEVALUE(C122),"")</x:f>
      </x:c>
      <x:c r="X122" s="21" t="n">
        <x:f>ROUND(COUNTA(A122:K122)/11*100,0)</x:f>
        <x:v>100</x:v>
      </x:c>
      <x:c r="Y122" s="18" t="str">
        <x:v>Wikidata</x:v>
      </x:c>
      <x:c r="Z122" s="22" t="str">
        <x:v>http://www.wikidata.org/entity/Q16120878</x:v>
      </x:c>
      <x:c r="AA122" s="18" t="str"/>
      <x:c r="AB122" s="18" t="n">
        <x:v>46275.416216736114</x:v>
      </x:c>
      <x:c r="AC122" s="18" t="str">
        <x:v>independent_public</x:v>
      </x:c>
      <x:c r="AD122" s="18" t="str">
        <x:v>PARTIAL_NO_DATE</x:v>
      </x:c>
    </x:row>
    <x:row r="123">
      <x:c r="A123" s="18" t="str">
        <x:v>NYT-13-9d548d6295b264b3</x:v>
      </x:c>
      <x:c r="B123" s="18" t="str">
        <x:v>Samia Suluhu Hassan</x:v>
      </x:c>
      <x:c r="C123" s="18" t="str"/>
      <x:c r="D123" s="18" t="str"/>
      <x:c r="E123" s="18" t="str"/>
      <x:c r="F123" s="18" t="str"/>
      <x:c r="G123" s="18" t="str"/>
      <x:c r="H123" s="18" t="str">
        <x:v>Tanzania</x:v>
      </x:c>
      <x:c r="I123" s="18" t="str">
        <x:v>Tanzania</x:v>
      </x:c>
      <x:c r="J123" s="20" t="str"/>
      <x:c r="K123" s="18" t="str"/>
      <x:c r="L123" s="20" t="str">
        <x:v>Tanzania</x:v>
      </x:c>
      <x:c r="M123" s="18" t="str">
        <x:v>Samia Suluhu Hassan</x:v>
      </x:c>
      <x:c r="N123" s="20" t="str">
        <x:v>Q924</x:v>
      </x:c>
      <x:c r="O123" s="18" t="str">
        <x:v>President of Tanzania</x:v>
      </x:c>
      <x:c r="P123" s="18" t="str">
        <x:v>Q16193885</x:v>
      </x:c>
      <x:c r="Q123" s="18" t="n">
        <x:v>44274</x:v>
      </x:c>
      <x:c r="R123" s="18" t="str">
        <x:v>COMPLETE_FINITE_SNAPSHOT</x:v>
      </x:c>
      <x:c r="S123" s="18" t="str">
        <x:v>Complete returned current head-of-state statements for sovereign-state universe</x:v>
      </x:c>
      <x:c r="T123" s="18" t="str"/>
      <x:c r="U123" s="18" t="str"/>
      <x:c r="V123" s="20" t="n">
        <x:v>252</x:v>
      </x:c>
      <x:c r="W123" s="19" t="str">
        <x:f>IFERROR(TODAY()-DATEVALUE(C123),"")</x:f>
      </x:c>
      <x:c r="X123" s="21" t="n">
        <x:f>ROUND(COUNTA(A123:K123)/11*100,0)</x:f>
        <x:v>100</x:v>
      </x:c>
      <x:c r="Y123" s="18" t="str">
        <x:v>Wikidata</x:v>
      </x:c>
      <x:c r="Z123" s="22" t="str">
        <x:v>http://www.wikidata.org/entity/Q16193885</x:v>
      </x:c>
      <x:c r="AA123" s="18" t="str"/>
      <x:c r="AB123" s="18" t="n">
        <x:v>46275.416216736114</x:v>
      </x:c>
      <x:c r="AC123" s="18" t="str">
        <x:v>independent_public</x:v>
      </x:c>
      <x:c r="AD123" s="18" t="str">
        <x:v>PARTIAL_NO_DATE</x:v>
      </x:c>
    </x:row>
    <x:row r="124">
      <x:c r="A124" s="18" t="str">
        <x:v>NYT-13-716d2fc00c2084ad</x:v>
      </x:c>
      <x:c r="B124" s="18" t="str">
        <x:v>Bernardo Arévalo de León</x:v>
      </x:c>
      <x:c r="C124" s="18" t="str"/>
      <x:c r="D124" s="18" t="str"/>
      <x:c r="E124" s="18" t="str"/>
      <x:c r="F124" s="18" t="str"/>
      <x:c r="G124" s="18" t="str"/>
      <x:c r="H124" s="18" t="str">
        <x:v>Guatemala</x:v>
      </x:c>
      <x:c r="I124" s="18" t="str">
        <x:v>Guatemala</x:v>
      </x:c>
      <x:c r="J124" s="20" t="str"/>
      <x:c r="K124" s="18" t="str"/>
      <x:c r="L124" s="20" t="str">
        <x:v>Guatemala</x:v>
      </x:c>
      <x:c r="M124" s="18" t="str">
        <x:v>Bernardo Arévalo de León</x:v>
      </x:c>
      <x:c r="N124" s="20" t="str">
        <x:v>Q774</x:v>
      </x:c>
      <x:c r="O124" s="18" t="str">
        <x:v>president of Guatemala</x:v>
      </x:c>
      <x:c r="P124" s="18" t="str">
        <x:v>Q107254030</x:v>
      </x:c>
      <x:c r="Q124" s="18" t="n">
        <x:v>45306</x:v>
      </x:c>
      <x:c r="R124" s="18" t="str">
        <x:v>COMPLETE_FINITE_SNAPSHOT</x:v>
      </x:c>
      <x:c r="S124" s="18" t="str">
        <x:v>Complete returned current head-of-state statements for sovereign-state universe</x:v>
      </x:c>
      <x:c r="T124" s="18" t="str"/>
      <x:c r="U124" s="18" t="str"/>
      <x:c r="V124" s="20" t="n">
        <x:v>252</x:v>
      </x:c>
      <x:c r="W124" s="19" t="str">
        <x:f>IFERROR(TODAY()-DATEVALUE(C124),"")</x:f>
      </x:c>
      <x:c r="X124" s="21" t="n">
        <x:f>ROUND(COUNTA(A124:K124)/11*100,0)</x:f>
        <x:v>100</x:v>
      </x:c>
      <x:c r="Y124" s="18" t="str">
        <x:v>Wikidata</x:v>
      </x:c>
      <x:c r="Z124" s="22" t="str">
        <x:v>http://www.wikidata.org/entity/Q107254030</x:v>
      </x:c>
      <x:c r="AA124" s="18" t="str"/>
      <x:c r="AB124" s="18" t="n">
        <x:v>46275.416216736114</x:v>
      </x:c>
      <x:c r="AC124" s="18" t="str">
        <x:v>independent_public</x:v>
      </x:c>
      <x:c r="AD124" s="18" t="str">
        <x:v>PARTIAL_NO_DATE</x:v>
      </x:c>
    </x:row>
    <x:row r="125">
      <x:c r="A125" s="18" t="str">
        <x:v>NYT-13-a7df121a0dc4c205</x:v>
      </x:c>
      <x:c r="B125" s="18" t="str">
        <x:v>Alexander I of Russia</x:v>
      </x:c>
      <x:c r="C125" s="18" t="str"/>
      <x:c r="D125" s="18" t="str"/>
      <x:c r="E125" s="18" t="str"/>
      <x:c r="F125" s="18" t="str"/>
      <x:c r="G125" s="18" t="str"/>
      <x:c r="H125" s="18" t="str">
        <x:v>Russian Empire</x:v>
      </x:c>
      <x:c r="I125" s="18" t="str">
        <x:v>Russian Empire</x:v>
      </x:c>
      <x:c r="J125" s="20" t="str"/>
      <x:c r="K125" s="18" t="str"/>
      <x:c r="L125" s="20" t="str">
        <x:v>Russian Empire</x:v>
      </x:c>
      <x:c r="M125" s="18" t="str">
        <x:v>Alexander I of Russia</x:v>
      </x:c>
      <x:c r="N125" s="20" t="str">
        <x:v>Q34266</x:v>
      </x:c>
      <x:c r="O125" s="18" t="str">
        <x:v>Emperor of all the Russias</x:v>
      </x:c>
      <x:c r="P125" s="18" t="str">
        <x:v>Q15193</x:v>
      </x:c>
      <x:c r="Q125" s="18" t="n">
        <x:v>-36075</x:v>
      </x:c>
      <x:c r="R125" s="18" t="str">
        <x:v>COMPLETE_FINITE_SNAPSHOT</x:v>
      </x:c>
      <x:c r="S125" s="18" t="str">
        <x:v>Complete returned current head-of-state statements for sovereign-state universe</x:v>
      </x:c>
      <x:c r="T125" s="18" t="str"/>
      <x:c r="U125" s="18" t="str"/>
      <x:c r="V125" s="20" t="n">
        <x:v>252</x:v>
      </x:c>
      <x:c r="W125" s="19" t="str">
        <x:f>IFERROR(TODAY()-DATEVALUE(C125),"")</x:f>
      </x:c>
      <x:c r="X125" s="21" t="n">
        <x:f>ROUND(COUNTA(A125:K125)/11*100,0)</x:f>
        <x:v>100</x:v>
      </x:c>
      <x:c r="Y125" s="18" t="str">
        <x:v>Wikidata</x:v>
      </x:c>
      <x:c r="Z125" s="22" t="str">
        <x:v>http://www.wikidata.org/entity/Q15193</x:v>
      </x:c>
      <x:c r="AA125" s="18" t="str"/>
      <x:c r="AB125" s="18" t="n">
        <x:v>46275.416216736114</x:v>
      </x:c>
      <x:c r="AC125" s="18" t="str">
        <x:v>independent_public</x:v>
      </x:c>
      <x:c r="AD125" s="18" t="str">
        <x:v>PARTIAL_NO_DATE</x:v>
      </x:c>
    </x:row>
    <x:row r="126">
      <x:c r="A126" s="18" t="str">
        <x:v>NYT-13-3dfa413628330949</x:v>
      </x:c>
      <x:c r="B126" s="18" t="str">
        <x:v>Jakov Milatović</x:v>
      </x:c>
      <x:c r="C126" s="18" t="str"/>
      <x:c r="D126" s="18" t="str"/>
      <x:c r="E126" s="18" t="str"/>
      <x:c r="F126" s="18" t="str"/>
      <x:c r="G126" s="18" t="str"/>
      <x:c r="H126" s="18" t="str">
        <x:v>Montenegro</x:v>
      </x:c>
      <x:c r="I126" s="18" t="str">
        <x:v>Montenegro</x:v>
      </x:c>
      <x:c r="J126" s="20" t="str"/>
      <x:c r="K126" s="18" t="str"/>
      <x:c r="L126" s="20" t="str">
        <x:v>Montenegro</x:v>
      </x:c>
      <x:c r="M126" s="18" t="str">
        <x:v>Jakov Milatović</x:v>
      </x:c>
      <x:c r="N126" s="20" t="str">
        <x:v>Q236</x:v>
      </x:c>
      <x:c r="O126" s="18" t="str">
        <x:v>President of Montenegro</x:v>
      </x:c>
      <x:c r="P126" s="18" t="str">
        <x:v>Q104417661</x:v>
      </x:c>
      <x:c r="Q126" s="18" t="n">
        <x:v>45066</x:v>
      </x:c>
      <x:c r="R126" s="18" t="str">
        <x:v>COMPLETE_FINITE_SNAPSHOT</x:v>
      </x:c>
      <x:c r="S126" s="18" t="str">
        <x:v>Complete returned current head-of-state statements for sovereign-state universe</x:v>
      </x:c>
      <x:c r="T126" s="18" t="str"/>
      <x:c r="U126" s="18" t="str"/>
      <x:c r="V126" s="20" t="n">
        <x:v>252</x:v>
      </x:c>
      <x:c r="W126" s="19" t="str">
        <x:f>IFERROR(TODAY()-DATEVALUE(C126),"")</x:f>
      </x:c>
      <x:c r="X126" s="21" t="n">
        <x:f>ROUND(COUNTA(A126:K126)/11*100,0)</x:f>
        <x:v>100</x:v>
      </x:c>
      <x:c r="Y126" s="18" t="str">
        <x:v>Wikidata</x:v>
      </x:c>
      <x:c r="Z126" s="22" t="str">
        <x:v>http://www.wikidata.org/entity/Q104417661</x:v>
      </x:c>
      <x:c r="AA126" s="18" t="str"/>
      <x:c r="AB126" s="18" t="n">
        <x:v>46275.416216736114</x:v>
      </x:c>
      <x:c r="AC126" s="18" t="str">
        <x:v>independent_public</x:v>
      </x:c>
      <x:c r="AD126" s="18" t="str">
        <x:v>PARTIAL_NO_DATE</x:v>
      </x:c>
    </x:row>
    <x:row r="127">
      <x:c r="A127" s="18" t="str">
        <x:v>NYT-13-456549613783d966</x:v>
      </x:c>
      <x:c r="B127" s="18" t="str">
        <x:v>Kim Jong-un</x:v>
      </x:c>
      <x:c r="C127" s="18" t="str"/>
      <x:c r="D127" s="18" t="str"/>
      <x:c r="E127" s="18" t="str"/>
      <x:c r="F127" s="18" t="str"/>
      <x:c r="G127" s="18" t="str"/>
      <x:c r="H127" s="18" t="str">
        <x:v>North Korea</x:v>
      </x:c>
      <x:c r="I127" s="18" t="str">
        <x:v>North Korea</x:v>
      </x:c>
      <x:c r="J127" s="20" t="str"/>
      <x:c r="K127" s="18" t="str"/>
      <x:c r="L127" s="20" t="str">
        <x:v>North Korea</x:v>
      </x:c>
      <x:c r="M127" s="18" t="str">
        <x:v>Kim Jong-un</x:v>
      </x:c>
      <x:c r="N127" s="20" t="str">
        <x:v>Q423</x:v>
      </x:c>
      <x:c r="O127" s="18" t="str">
        <x:v>Supreme Leader of North Korea</x:v>
      </x:c>
      <x:c r="P127" s="18" t="str">
        <x:v>Q56226</x:v>
      </x:c>
      <x:c r="Q127" s="18" t="n">
        <x:v>40894</x:v>
      </x:c>
      <x:c r="R127" s="18" t="str">
        <x:v>COMPLETE_FINITE_SNAPSHOT</x:v>
      </x:c>
      <x:c r="S127" s="18" t="str">
        <x:v>Complete returned current head-of-state statements for sovereign-state universe</x:v>
      </x:c>
      <x:c r="T127" s="18" t="str"/>
      <x:c r="U127" s="18" t="str"/>
      <x:c r="V127" s="20" t="n">
        <x:v>252</x:v>
      </x:c>
      <x:c r="W127" s="19" t="str">
        <x:f>IFERROR(TODAY()-DATEVALUE(C127),"")</x:f>
      </x:c>
      <x:c r="X127" s="21" t="n">
        <x:f>ROUND(COUNTA(A127:K127)/11*100,0)</x:f>
        <x:v>100</x:v>
      </x:c>
      <x:c r="Y127" s="18" t="str">
        <x:v>Wikidata</x:v>
      </x:c>
      <x:c r="Z127" s="22" t="str">
        <x:v>http://www.wikidata.org/entity/Q56226</x:v>
      </x:c>
      <x:c r="AA127" s="18" t="str"/>
      <x:c r="AB127" s="18" t="n">
        <x:v>46275.416216736114</x:v>
      </x:c>
      <x:c r="AC127" s="18" t="str">
        <x:v>independent_public</x:v>
      </x:c>
      <x:c r="AD127" s="18" t="str">
        <x:v>PARTIAL_NO_DATE</x:v>
      </x:c>
    </x:row>
    <x:row r="128">
      <x:c r="A128" s="18" t="str">
        <x:v>NYT-13-47b865e6b62a26ab</x:v>
      </x:c>
      <x:c r="B128" s="18" t="str">
        <x:v>Salva Kiir Mayardit</x:v>
      </x:c>
      <x:c r="C128" s="18" t="str"/>
      <x:c r="D128" s="18" t="str"/>
      <x:c r="E128" s="18" t="str"/>
      <x:c r="F128" s="18" t="str"/>
      <x:c r="G128" s="18" t="str"/>
      <x:c r="H128" s="18" t="str">
        <x:v>South Sudan</x:v>
      </x:c>
      <x:c r="I128" s="18" t="str">
        <x:v>South Sudan</x:v>
      </x:c>
      <x:c r="J128" s="20" t="str"/>
      <x:c r="K128" s="18" t="str"/>
      <x:c r="L128" s="20" t="str">
        <x:v>South Sudan</x:v>
      </x:c>
      <x:c r="M128" s="18" t="str">
        <x:v>Salva Kiir Mayardit</x:v>
      </x:c>
      <x:c r="N128" s="20" t="str">
        <x:v>Q958</x:v>
      </x:c>
      <x:c r="O128" s="18" t="str">
        <x:v>Vice President of South Sudan</x:v>
      </x:c>
      <x:c r="P128" s="18" t="str">
        <x:v>Q57315</x:v>
      </x:c>
      <x:c r="Q128" s="18" t="n">
        <x:v>38542</x:v>
      </x:c>
      <x:c r="R128" s="18" t="str">
        <x:v>COMPLETE_FINITE_SNAPSHOT</x:v>
      </x:c>
      <x:c r="S128" s="18" t="str">
        <x:v>Complete returned current head-of-state statements for sovereign-state universe</x:v>
      </x:c>
      <x:c r="T128" s="18" t="str"/>
      <x:c r="U128" s="18" t="str"/>
      <x:c r="V128" s="20" t="n">
        <x:v>252</x:v>
      </x:c>
      <x:c r="W128" s="19" t="str">
        <x:f>IFERROR(TODAY()-DATEVALUE(C128),"")</x:f>
      </x:c>
      <x:c r="X128" s="21" t="n">
        <x:f>ROUND(COUNTA(A128:K128)/11*100,0)</x:f>
        <x:v>100</x:v>
      </x:c>
      <x:c r="Y128" s="18" t="str">
        <x:v>Wikidata</x:v>
      </x:c>
      <x:c r="Z128" s="22" t="str">
        <x:v>http://www.wikidata.org/entity/Q57315</x:v>
      </x:c>
      <x:c r="AA128" s="18" t="str"/>
      <x:c r="AB128" s="18" t="n">
        <x:v>46275.416216736114</x:v>
      </x:c>
      <x:c r="AC128" s="18" t="str">
        <x:v>independent_public</x:v>
      </x:c>
      <x:c r="AD128" s="18" t="str">
        <x:v>PARTIAL_NO_DATE</x:v>
      </x:c>
    </x:row>
    <x:row r="129">
      <x:c r="A129" s="18" t="str">
        <x:v>NYT-13-adb637d38813c5f0</x:v>
      </x:c>
      <x:c r="B129" s="18" t="str">
        <x:v>Netumbo Nandi-Ndaitwah</x:v>
      </x:c>
      <x:c r="C129" s="18" t="str"/>
      <x:c r="D129" s="18" t="str"/>
      <x:c r="E129" s="18" t="str"/>
      <x:c r="F129" s="18" t="str"/>
      <x:c r="G129" s="18" t="str"/>
      <x:c r="H129" s="18" t="str">
        <x:v>Namibia</x:v>
      </x:c>
      <x:c r="I129" s="18" t="str">
        <x:v>Namibia</x:v>
      </x:c>
      <x:c r="J129" s="20" t="str"/>
      <x:c r="K129" s="18" t="str"/>
      <x:c r="L129" s="20" t="str">
        <x:v>Namibia</x:v>
      </x:c>
      <x:c r="M129" s="18" t="str">
        <x:v>Netumbo Nandi-Ndaitwah</x:v>
      </x:c>
      <x:c r="N129" s="20" t="str">
        <x:v>Q1030</x:v>
      </x:c>
      <x:c r="O129" s="18" t="str">
        <x:v>Member of the National Assembly of Namibia</x:v>
      </x:c>
      <x:c r="P129" s="18" t="str">
        <x:v>Q527020</x:v>
      </x:c>
      <x:c r="Q129" s="18" t="n">
        <x:v>32874</x:v>
      </x:c>
      <x:c r="R129" s="18" t="str">
        <x:v>COMPLETE_FINITE_SNAPSHOT</x:v>
      </x:c>
      <x:c r="S129" s="18" t="str">
        <x:v>Complete returned current head-of-state statements for sovereign-state universe</x:v>
      </x:c>
      <x:c r="T129" s="18" t="str"/>
      <x:c r="U129" s="18" t="str"/>
      <x:c r="V129" s="20" t="n">
        <x:v>252</x:v>
      </x:c>
      <x:c r="W129" s="19" t="str">
        <x:f>IFERROR(TODAY()-DATEVALUE(C129),"")</x:f>
      </x:c>
      <x:c r="X129" s="21" t="n">
        <x:f>ROUND(COUNTA(A129:K129)/11*100,0)</x:f>
        <x:v>100</x:v>
      </x:c>
      <x:c r="Y129" s="18" t="str">
        <x:v>Wikidata</x:v>
      </x:c>
      <x:c r="Z129" s="22" t="str">
        <x:v>http://www.wikidata.org/entity/Q527020</x:v>
      </x:c>
      <x:c r="AA129" s="18" t="str"/>
      <x:c r="AB129" s="18" t="n">
        <x:v>46275.416216736114</x:v>
      </x:c>
      <x:c r="AC129" s="18" t="str">
        <x:v>independent_public</x:v>
      </x:c>
      <x:c r="AD129" s="18" t="str">
        <x:v>PARTIAL_NO_DATE</x:v>
      </x:c>
    </x:row>
    <x:row r="130">
      <x:c r="A130" s="18" t="str">
        <x:v>NYT-13-35c3b634f6956acd</x:v>
      </x:c>
      <x:c r="B130" s="18" t="str">
        <x:v>William Ruto</x:v>
      </x:c>
      <x:c r="C130" s="18" t="str"/>
      <x:c r="D130" s="18" t="str"/>
      <x:c r="E130" s="18" t="str"/>
      <x:c r="F130" s="18" t="str"/>
      <x:c r="G130" s="18" t="str"/>
      <x:c r="H130" s="18" t="str">
        <x:v>Kenya</x:v>
      </x:c>
      <x:c r="I130" s="18" t="str">
        <x:v>Kenya</x:v>
      </x:c>
      <x:c r="J130" s="20" t="str"/>
      <x:c r="K130" s="18" t="str"/>
      <x:c r="L130" s="20" t="str">
        <x:v>Kenya</x:v>
      </x:c>
      <x:c r="M130" s="18" t="str">
        <x:v>William Ruto</x:v>
      </x:c>
      <x:c r="N130" s="20" t="str">
        <x:v>Q114</x:v>
      </x:c>
      <x:c r="O130" s="18" t="str">
        <x:v>President of Kenya</x:v>
      </x:c>
      <x:c r="P130" s="18" t="str">
        <x:v>Q195725</x:v>
      </x:c>
      <x:c r="Q130" s="18" t="n">
        <x:v>44817</x:v>
      </x:c>
      <x:c r="R130" s="18" t="str">
        <x:v>COMPLETE_FINITE_SNAPSHOT</x:v>
      </x:c>
      <x:c r="S130" s="18" t="str">
        <x:v>Complete returned current head-of-state statements for sovereign-state universe</x:v>
      </x:c>
      <x:c r="T130" s="18" t="str"/>
      <x:c r="U130" s="18" t="str"/>
      <x:c r="V130" s="20" t="n">
        <x:v>252</x:v>
      </x:c>
      <x:c r="W130" s="19" t="str">
        <x:f>IFERROR(TODAY()-DATEVALUE(C130),"")</x:f>
      </x:c>
      <x:c r="X130" s="21" t="n">
        <x:f>ROUND(COUNTA(A130:K130)/11*100,0)</x:f>
        <x:v>100</x:v>
      </x:c>
      <x:c r="Y130" s="18" t="str">
        <x:v>Wikidata</x:v>
      </x:c>
      <x:c r="Z130" s="22" t="str">
        <x:v>http://www.wikidata.org/entity/Q195725</x:v>
      </x:c>
      <x:c r="AA130" s="18" t="str"/>
      <x:c r="AB130" s="18" t="n">
        <x:v>46275.416216736114</x:v>
      </x:c>
      <x:c r="AC130" s="18" t="str">
        <x:v>independent_public</x:v>
      </x:c>
      <x:c r="AD130" s="18" t="str">
        <x:v>PARTIAL_NO_DATE</x:v>
      </x:c>
    </x:row>
    <x:row r="131">
      <x:c r="A131" s="18" t="str">
        <x:v>NYT-13-c9fa69e4600b9ae4</x:v>
      </x:c>
      <x:c r="B131" s="18" t="str">
        <x:v>Mahmoud Abbas</x:v>
      </x:c>
      <x:c r="C131" s="18" t="str"/>
      <x:c r="D131" s="18" t="str"/>
      <x:c r="E131" s="18" t="str"/>
      <x:c r="F131" s="18" t="str"/>
      <x:c r="G131" s="18" t="str"/>
      <x:c r="H131" s="18" t="str">
        <x:v>Palestine</x:v>
      </x:c>
      <x:c r="I131" s="18" t="str">
        <x:v>Palestine</x:v>
      </x:c>
      <x:c r="J131" s="20" t="str"/>
      <x:c r="K131" s="18" t="str"/>
      <x:c r="L131" s="20" t="str">
        <x:v>Palestine</x:v>
      </x:c>
      <x:c r="M131" s="18" t="str">
        <x:v>Mahmoud Abbas</x:v>
      </x:c>
      <x:c r="N131" s="20" t="str">
        <x:v>Q219060</x:v>
      </x:c>
      <x:c r="O131" s="18" t="str">
        <x:v>chairperson</x:v>
      </x:c>
      <x:c r="P131" s="18" t="str">
        <x:v>Q127998</x:v>
      </x:c>
      <x:c r="Q131" s="18" t="n">
        <x:v>35065</x:v>
      </x:c>
      <x:c r="R131" s="18" t="str">
        <x:v>COMPLETE_FINITE_SNAPSHOT</x:v>
      </x:c>
      <x:c r="S131" s="18" t="str">
        <x:v>Complete returned current head-of-state statements for sovereign-state universe</x:v>
      </x:c>
      <x:c r="T131" s="18" t="str"/>
      <x:c r="U131" s="18" t="str"/>
      <x:c r="V131" s="20" t="n">
        <x:v>252</x:v>
      </x:c>
      <x:c r="W131" s="19" t="str">
        <x:f>IFERROR(TODAY()-DATEVALUE(C131),"")</x:f>
      </x:c>
      <x:c r="X131" s="21" t="n">
        <x:f>ROUND(COUNTA(A131:K131)/11*100,0)</x:f>
        <x:v>100</x:v>
      </x:c>
      <x:c r="Y131" s="18" t="str">
        <x:v>Wikidata</x:v>
      </x:c>
      <x:c r="Z131" s="22" t="str">
        <x:v>http://www.wikidata.org/entity/Q127998</x:v>
      </x:c>
      <x:c r="AA131" s="18" t="str"/>
      <x:c r="AB131" s="18" t="n">
        <x:v>46275.416216736114</x:v>
      </x:c>
      <x:c r="AC131" s="18" t="str">
        <x:v>independent_public</x:v>
      </x:c>
      <x:c r="AD131" s="18" t="str">
        <x:v>PARTIAL_NO_DATE</x:v>
      </x:c>
    </x:row>
    <x:row r="132">
      <x:c r="A132" s="18" t="str">
        <x:v>NYT-13-294e0eebc8c60270</x:v>
      </x:c>
      <x:c r="B132" s="18" t="str">
        <x:v>Q788903</x:v>
      </x:c>
      <x:c r="C132" s="18" t="str"/>
      <x:c r="D132" s="18" t="str"/>
      <x:c r="E132" s="18" t="str"/>
      <x:c r="F132" s="18" t="str"/>
      <x:c r="G132" s="18" t="str"/>
      <x:c r="H132" s="18" t="str">
        <x:v>Hungary</x:v>
      </x:c>
      <x:c r="I132" s="18" t="str">
        <x:v>Hungary</x:v>
      </x:c>
      <x:c r="J132" s="20" t="str"/>
      <x:c r="K132" s="18" t="str"/>
      <x:c r="L132" s="20" t="str">
        <x:v>Hungary</x:v>
      </x:c>
      <x:c r="M132" s="18" t="str">
        <x:v>Q788903</x:v>
      </x:c>
      <x:c r="N132" s="20" t="str">
        <x:v>Q28</x:v>
      </x:c>
      <x:c r="O132" s="18" t="str">
        <x:v>Chief Justice of the Hungary</x:v>
      </x:c>
      <x:c r="P132" s="18" t="str">
        <x:v>Q788903</x:v>
      </x:c>
      <x:c r="Q132" s="18" t="n">
        <x:v>39965</x:v>
      </x:c>
      <x:c r="R132" s="18" t="str">
        <x:v>COMPLETE_FINITE_SNAPSHOT</x:v>
      </x:c>
      <x:c r="S132" s="18" t="str">
        <x:v>Complete returned current head-of-state statements for sovereign-state universe</x:v>
      </x:c>
      <x:c r="T132" s="18" t="str"/>
      <x:c r="U132" s="18" t="str"/>
      <x:c r="V132" s="20" t="n">
        <x:v>252</x:v>
      </x:c>
      <x:c r="W132" s="19" t="str">
        <x:f>IFERROR(TODAY()-DATEVALUE(C132),"")</x:f>
      </x:c>
      <x:c r="X132" s="21" t="n">
        <x:f>ROUND(COUNTA(A132:K132)/11*100,0)</x:f>
        <x:v>100</x:v>
      </x:c>
      <x:c r="Y132" s="18" t="str">
        <x:v>Wikidata</x:v>
      </x:c>
      <x:c r="Z132" s="22" t="str">
        <x:v>http://www.wikidata.org/entity/Q788903</x:v>
      </x:c>
      <x:c r="AA132" s="18" t="str"/>
      <x:c r="AB132" s="18" t="n">
        <x:v>46275.416216736114</x:v>
      </x:c>
      <x:c r="AC132" s="18" t="str">
        <x:v>independent_public</x:v>
      </x:c>
      <x:c r="AD132" s="18" t="str">
        <x:v>PARTIAL_NO_DATE</x:v>
      </x:c>
    </x:row>
    <x:row r="133">
      <x:c r="A133" s="18" t="str">
        <x:v>NYT-13-da2c0d451b70f5d1</x:v>
      </x:c>
      <x:c r="B133" s="18" t="str">
        <x:v>Frank-Walter Steinmeier</x:v>
      </x:c>
      <x:c r="C133" s="18" t="str"/>
      <x:c r="D133" s="18" t="str"/>
      <x:c r="E133" s="18" t="str"/>
      <x:c r="F133" s="18" t="str"/>
      <x:c r="G133" s="18" t="str"/>
      <x:c r="H133" s="18" t="str">
        <x:v>Germany</x:v>
      </x:c>
      <x:c r="I133" s="18" t="str">
        <x:v>Germany</x:v>
      </x:c>
      <x:c r="J133" s="20" t="str"/>
      <x:c r="K133" s="18" t="str"/>
      <x:c r="L133" s="20" t="str">
        <x:v>Germany</x:v>
      </x:c>
      <x:c r="M133" s="18" t="str">
        <x:v>Frank-Walter Steinmeier</x:v>
      </x:c>
      <x:c r="N133" s="20" t="str">
        <x:v>Q183</x:v>
      </x:c>
      <x:c r="O133" s="18" t="str">
        <x:v>president of Germany</x:v>
      </x:c>
      <x:c r="P133" s="18" t="str">
        <x:v>Q76658</x:v>
      </x:c>
      <x:c r="Q133" s="18" t="n">
        <x:v>42813</x:v>
      </x:c>
      <x:c r="R133" s="18" t="str">
        <x:v>COMPLETE_FINITE_SNAPSHOT</x:v>
      </x:c>
      <x:c r="S133" s="18" t="str">
        <x:v>Complete returned current head-of-state statements for sovereign-state universe</x:v>
      </x:c>
      <x:c r="T133" s="18" t="str"/>
      <x:c r="U133" s="18" t="str"/>
      <x:c r="V133" s="20" t="n">
        <x:v>252</x:v>
      </x:c>
      <x:c r="W133" s="19" t="str">
        <x:f>IFERROR(TODAY()-DATEVALUE(C133),"")</x:f>
      </x:c>
      <x:c r="X133" s="21" t="n">
        <x:f>ROUND(COUNTA(A133:K133)/11*100,0)</x:f>
        <x:v>100</x:v>
      </x:c>
      <x:c r="Y133" s="18" t="str">
        <x:v>Wikidata</x:v>
      </x:c>
      <x:c r="Z133" s="22" t="str">
        <x:v>http://www.wikidata.org/entity/Q76658</x:v>
      </x:c>
      <x:c r="AA133" s="18" t="str"/>
      <x:c r="AB133" s="18" t="n">
        <x:v>46275.416216736114</x:v>
      </x:c>
      <x:c r="AC133" s="18" t="str">
        <x:v>independent_public</x:v>
      </x:c>
      <x:c r="AD133" s="18" t="str">
        <x:v>PARTIAL_NO_DATE</x:v>
      </x:c>
    </x:row>
    <x:row r="134">
      <x:c r="A134" s="18" t="str">
        <x:v>NYT-13-61681e57bde4fd5e</x:v>
      </x:c>
      <x:c r="B134" s="18" t="str">
        <x:v>William Alexander of the Netherlands</x:v>
      </x:c>
      <x:c r="C134" s="18" t="str"/>
      <x:c r="D134" s="18" t="str"/>
      <x:c r="E134" s="18" t="str"/>
      <x:c r="F134" s="18" t="str"/>
      <x:c r="G134" s="18" t="str"/>
      <x:c r="H134" s="18" t="str">
        <x:v>Kingdom of the Netherlands</x:v>
      </x:c>
      <x:c r="I134" s="18" t="str">
        <x:v>Kingdom of the Netherlands</x:v>
      </x:c>
      <x:c r="J134" s="20" t="str"/>
      <x:c r="K134" s="18" t="str"/>
      <x:c r="L134" s="20" t="str">
        <x:v>Kingdom of the Netherlands</x:v>
      </x:c>
      <x:c r="M134" s="18" t="str">
        <x:v>William Alexander of the Netherlands</x:v>
      </x:c>
      <x:c r="N134" s="20" t="str">
        <x:v>Q29999</x:v>
      </x:c>
      <x:c r="O134" s="18" t="str">
        <x:v>King of the Netherlands</x:v>
      </x:c>
      <x:c r="P134" s="18" t="str">
        <x:v>Q154952</x:v>
      </x:c>
      <x:c r="Q134" s="18" t="n">
        <x:v>41394</x:v>
      </x:c>
      <x:c r="R134" s="18" t="str">
        <x:v>COMPLETE_FINITE_SNAPSHOT</x:v>
      </x:c>
      <x:c r="S134" s="18" t="str">
        <x:v>Complete returned current head-of-state statements for sovereign-state universe</x:v>
      </x:c>
      <x:c r="T134" s="18" t="str"/>
      <x:c r="U134" s="18" t="str"/>
      <x:c r="V134" s="20" t="n">
        <x:v>252</x:v>
      </x:c>
      <x:c r="W134" s="19" t="str">
        <x:f>IFERROR(TODAY()-DATEVALUE(C134),"")</x:f>
      </x:c>
      <x:c r="X134" s="21" t="n">
        <x:f>ROUND(COUNTA(A134:K134)/11*100,0)</x:f>
        <x:v>100</x:v>
      </x:c>
      <x:c r="Y134" s="18" t="str">
        <x:v>Wikidata</x:v>
      </x:c>
      <x:c r="Z134" s="22" t="str">
        <x:v>http://www.wikidata.org/entity/Q154952</x:v>
      </x:c>
      <x:c r="AA134" s="18" t="str"/>
      <x:c r="AB134" s="18" t="n">
        <x:v>46275.416216736114</x:v>
      </x:c>
      <x:c r="AC134" s="18" t="str">
        <x:v>independent_public</x:v>
      </x:c>
      <x:c r="AD134" s="18" t="str">
        <x:v>PARTIAL_NO_DATE</x:v>
      </x:c>
    </x:row>
    <x:row r="135">
      <x:c r="A135" s="18" t="str">
        <x:v>NYT-13-6f1fe31136f2149a</x:v>
      </x:c>
      <x:c r="B135" s="18" t="str">
        <x:v>Felipe VI of Spain</x:v>
      </x:c>
      <x:c r="C135" s="18" t="str"/>
      <x:c r="D135" s="18" t="str"/>
      <x:c r="E135" s="18" t="str"/>
      <x:c r="F135" s="18" t="str"/>
      <x:c r="G135" s="18" t="str"/>
      <x:c r="H135" s="18" t="str">
        <x:v>Spain</x:v>
      </x:c>
      <x:c r="I135" s="18" t="str">
        <x:v>Spain</x:v>
      </x:c>
      <x:c r="J135" s="20" t="str"/>
      <x:c r="K135" s="18" t="str"/>
      <x:c r="L135" s="20" t="str">
        <x:v>Spain</x:v>
      </x:c>
      <x:c r="M135" s="18" t="str">
        <x:v>Felipe VI of Spain</x:v>
      </x:c>
      <x:c r="N135" s="20" t="str">
        <x:v>Q29</x:v>
      </x:c>
      <x:c r="O135" s="18" t="str">
        <x:v>commander-in-chief</x:v>
      </x:c>
      <x:c r="P135" s="18" t="str">
        <x:v>Q191045</x:v>
      </x:c>
      <x:c r="Q135" s="18" t="n">
        <x:v>41809</x:v>
      </x:c>
      <x:c r="R135" s="18" t="str">
        <x:v>COMPLETE_FINITE_SNAPSHOT</x:v>
      </x:c>
      <x:c r="S135" s="18" t="str">
        <x:v>Complete returned current head-of-state statements for sovereign-state universe</x:v>
      </x:c>
      <x:c r="T135" s="18" t="str"/>
      <x:c r="U135" s="18" t="str"/>
      <x:c r="V135" s="20" t="n">
        <x:v>252</x:v>
      </x:c>
      <x:c r="W135" s="19" t="str">
        <x:f>IFERROR(TODAY()-DATEVALUE(C135),"")</x:f>
      </x:c>
      <x:c r="X135" s="21" t="n">
        <x:f>ROUND(COUNTA(A135:K135)/11*100,0)</x:f>
        <x:v>100</x:v>
      </x:c>
      <x:c r="Y135" s="18" t="str">
        <x:v>Wikidata</x:v>
      </x:c>
      <x:c r="Z135" s="22" t="str">
        <x:v>http://www.wikidata.org/entity/Q191045</x:v>
      </x:c>
      <x:c r="AA135" s="18" t="str"/>
      <x:c r="AB135" s="18" t="n">
        <x:v>46275.416216736114</x:v>
      </x:c>
      <x:c r="AC135" s="18" t="str">
        <x:v>independent_public</x:v>
      </x:c>
      <x:c r="AD135" s="18" t="str">
        <x:v>PARTIAL_NO_DATE</x:v>
      </x:c>
    </x:row>
    <x:row r="136">
      <x:c r="A136" s="18" t="str">
        <x:v>NYT-13-72aec1a0e00353cf</x:v>
      </x:c>
      <x:c r="B136" s="18" t="str">
        <x:v>Yoweri Museveni</x:v>
      </x:c>
      <x:c r="C136" s="18" t="str"/>
      <x:c r="D136" s="18" t="str"/>
      <x:c r="E136" s="18" t="str"/>
      <x:c r="F136" s="18" t="str"/>
      <x:c r="G136" s="18" t="str"/>
      <x:c r="H136" s="18" t="str">
        <x:v>Uganda</x:v>
      </x:c>
      <x:c r="I136" s="18" t="str">
        <x:v>Uganda</x:v>
      </x:c>
      <x:c r="J136" s="20" t="str"/>
      <x:c r="K136" s="18" t="str"/>
      <x:c r="L136" s="20" t="str">
        <x:v>Uganda</x:v>
      </x:c>
      <x:c r="M136" s="18" t="str">
        <x:v>Yoweri Museveni</x:v>
      </x:c>
      <x:c r="N136" s="20" t="str">
        <x:v>Q1036</x:v>
      </x:c>
      <x:c r="O136" s="18" t="str">
        <x:v>Commonwealth Chair-in-Office</x:v>
      </x:c>
      <x:c r="P136" s="18" t="str">
        <x:v>Q57274</x:v>
      </x:c>
      <x:c r="Q136" s="18" t="n">
        <x:v>39409</x:v>
      </x:c>
      <x:c r="R136" s="18" t="str">
        <x:v>COMPLETE_FINITE_SNAPSHOT</x:v>
      </x:c>
      <x:c r="S136" s="18" t="str">
        <x:v>Complete returned current head-of-state statements for sovereign-state universe</x:v>
      </x:c>
      <x:c r="T136" s="18" t="str"/>
      <x:c r="U136" s="18" t="str"/>
      <x:c r="V136" s="20" t="n">
        <x:v>252</x:v>
      </x:c>
      <x:c r="W136" s="19" t="str">
        <x:f>IFERROR(TODAY()-DATEVALUE(C136),"")</x:f>
      </x:c>
      <x:c r="X136" s="21" t="n">
        <x:f>ROUND(COUNTA(A136:K136)/11*100,0)</x:f>
        <x:v>100</x:v>
      </x:c>
      <x:c r="Y136" s="18" t="str">
        <x:v>Wikidata</x:v>
      </x:c>
      <x:c r="Z136" s="22" t="str">
        <x:v>http://www.wikidata.org/entity/Q57274</x:v>
      </x:c>
      <x:c r="AA136" s="18" t="str"/>
      <x:c r="AB136" s="18" t="n">
        <x:v>46275.416216736114</x:v>
      </x:c>
      <x:c r="AC136" s="18" t="str">
        <x:v>independent_public</x:v>
      </x:c>
      <x:c r="AD136" s="18" t="str">
        <x:v>PARTIAL_NO_DATE</x:v>
      </x:c>
    </x:row>
    <x:row r="137">
      <x:c r="A137" s="18" t="str">
        <x:v>NYT-13-b361d49b2b28e24d</x:v>
      </x:c>
      <x:c r="B137" s="18" t="str">
        <x:v>Hamad II of Bahrain</x:v>
      </x:c>
      <x:c r="C137" s="18" t="str"/>
      <x:c r="D137" s="18" t="str"/>
      <x:c r="E137" s="18" t="str"/>
      <x:c r="F137" s="18" t="str"/>
      <x:c r="G137" s="18" t="str"/>
      <x:c r="H137" s="18" t="str">
        <x:v>Bahrain</x:v>
      </x:c>
      <x:c r="I137" s="18" t="str">
        <x:v>Bahrain</x:v>
      </x:c>
      <x:c r="J137" s="20" t="str"/>
      <x:c r="K137" s="18" t="str"/>
      <x:c r="L137" s="20" t="str">
        <x:v>Bahrain</x:v>
      </x:c>
      <x:c r="M137" s="18" t="str">
        <x:v>Hamad II of Bahrain</x:v>
      </x:c>
      <x:c r="N137" s="20" t="str">
        <x:v>Q398</x:v>
      </x:c>
      <x:c r="O137" s="18" t="str">
        <x:v>monarch of Bahrain</x:v>
      </x:c>
      <x:c r="P137" s="18" t="str">
        <x:v>Q57352</x:v>
      </x:c>
      <x:c r="Q137" s="18" t="n">
        <x:v>36225</x:v>
      </x:c>
      <x:c r="R137" s="18" t="str">
        <x:v>COMPLETE_FINITE_SNAPSHOT</x:v>
      </x:c>
      <x:c r="S137" s="18" t="str">
        <x:v>Complete returned current head-of-state statements for sovereign-state universe</x:v>
      </x:c>
      <x:c r="T137" s="18" t="str"/>
      <x:c r="U137" s="18" t="str"/>
      <x:c r="V137" s="20" t="n">
        <x:v>252</x:v>
      </x:c>
      <x:c r="W137" s="19" t="str">
        <x:f>IFERROR(TODAY()-DATEVALUE(C137),"")</x:f>
      </x:c>
      <x:c r="X137" s="21" t="n">
        <x:f>ROUND(COUNTA(A137:K137)/11*100,0)</x:f>
        <x:v>100</x:v>
      </x:c>
      <x:c r="Y137" s="18" t="str">
        <x:v>Wikidata</x:v>
      </x:c>
      <x:c r="Z137" s="22" t="str">
        <x:v>http://www.wikidata.org/entity/Q57352</x:v>
      </x:c>
      <x:c r="AA137" s="18" t="str"/>
      <x:c r="AB137" s="18" t="n">
        <x:v>46275.416216736114</x:v>
      </x:c>
      <x:c r="AC137" s="18" t="str">
        <x:v>independent_public</x:v>
      </x:c>
      <x:c r="AD137" s="18" t="str">
        <x:v>PARTIAL_NO_DATE</x:v>
      </x:c>
    </x:row>
    <x:row r="138">
      <x:c r="A138" s="18" t="str">
        <x:v>NYT-13-7f01346698a89e17</x:v>
      </x:c>
      <x:c r="B138" s="18" t="str">
        <x:v>Vajiralongkorn</x:v>
      </x:c>
      <x:c r="C138" s="18" t="str"/>
      <x:c r="D138" s="18" t="str"/>
      <x:c r="E138" s="18" t="str"/>
      <x:c r="F138" s="18" t="str"/>
      <x:c r="G138" s="18" t="str"/>
      <x:c r="H138" s="18" t="str">
        <x:v>Thailand</x:v>
      </x:c>
      <x:c r="I138" s="18" t="str">
        <x:v>Thailand</x:v>
      </x:c>
      <x:c r="J138" s="20" t="str"/>
      <x:c r="K138" s="18" t="str"/>
      <x:c r="L138" s="20" t="str">
        <x:v>Thailand</x:v>
      </x:c>
      <x:c r="M138" s="18" t="str">
        <x:v>Vajiralongkorn</x:v>
      </x:c>
      <x:c r="N138" s="20" t="str">
        <x:v>Q869</x:v>
      </x:c>
      <x:c r="O138" s="18" t="str">
        <x:v>Crown Prince of Thailand</x:v>
      </x:c>
      <x:c r="P138" s="18" t="str">
        <x:v>Q548733</x:v>
      </x:c>
      <x:c r="Q138" s="18" t="n">
        <x:v>26661</x:v>
      </x:c>
      <x:c r="R138" s="18" t="str">
        <x:v>COMPLETE_FINITE_SNAPSHOT</x:v>
      </x:c>
      <x:c r="S138" s="18" t="str">
        <x:v>Complete returned current head-of-state statements for sovereign-state universe</x:v>
      </x:c>
      <x:c r="T138" s="18" t="str"/>
      <x:c r="U138" s="18" t="str"/>
      <x:c r="V138" s="20" t="n">
        <x:v>252</x:v>
      </x:c>
      <x:c r="W138" s="19" t="str">
        <x:f>IFERROR(TODAY()-DATEVALUE(C138),"")</x:f>
      </x:c>
      <x:c r="X138" s="21" t="n">
        <x:f>ROUND(COUNTA(A138:K138)/11*100,0)</x:f>
        <x:v>100</x:v>
      </x:c>
      <x:c r="Y138" s="18" t="str">
        <x:v>Wikidata</x:v>
      </x:c>
      <x:c r="Z138" s="22" t="str">
        <x:v>http://www.wikidata.org/entity/Q548733</x:v>
      </x:c>
      <x:c r="AA138" s="18" t="str"/>
      <x:c r="AB138" s="18" t="n">
        <x:v>46275.416216736114</x:v>
      </x:c>
      <x:c r="AC138" s="18" t="str">
        <x:v>independent_public</x:v>
      </x:c>
      <x:c r="AD138" s="18" t="str">
        <x:v>PARTIAL_NO_DATE</x:v>
      </x:c>
    </x:row>
    <x:row r="139">
      <x:c r="A139" s="18" t="str">
        <x:v>NYT-13-a3aff17de8d65cda</x:v>
      </x:c>
      <x:c r="B139" s="18" t="str">
        <x:v>Alexander II of Russia</x:v>
      </x:c>
      <x:c r="C139" s="18" t="str"/>
      <x:c r="D139" s="18" t="str"/>
      <x:c r="E139" s="18" t="str"/>
      <x:c r="F139" s="18" t="str"/>
      <x:c r="G139" s="18" t="str"/>
      <x:c r="H139" s="18" t="str">
        <x:v>Russian Empire</x:v>
      </x:c>
      <x:c r="I139" s="18" t="str">
        <x:v>Russian Empire</x:v>
      </x:c>
      <x:c r="J139" s="20" t="str"/>
      <x:c r="K139" s="18" t="str"/>
      <x:c r="L139" s="20" t="str">
        <x:v>Russian Empire</x:v>
      </x:c>
      <x:c r="M139" s="18" t="str">
        <x:v>Alexander II of Russia</x:v>
      </x:c>
      <x:c r="N139" s="20" t="str">
        <x:v>Q34266</x:v>
      </x:c>
      <x:c r="O139" s="18" t="str">
        <x:v>Emperor of all the Russias</x:v>
      </x:c>
      <x:c r="P139" s="18" t="str">
        <x:v>Q83171</x:v>
      </x:c>
      <x:c r="Q139" s="18" t="n">
        <x:v>-16374</x:v>
      </x:c>
      <x:c r="R139" s="18" t="str">
        <x:v>COMPLETE_FINITE_SNAPSHOT</x:v>
      </x:c>
      <x:c r="S139" s="18" t="str">
        <x:v>Complete returned current head-of-state statements for sovereign-state universe</x:v>
      </x:c>
      <x:c r="T139" s="18" t="str"/>
      <x:c r="U139" s="18" t="str"/>
      <x:c r="V139" s="20" t="n">
        <x:v>252</x:v>
      </x:c>
      <x:c r="W139" s="19" t="str">
        <x:f>IFERROR(TODAY()-DATEVALUE(C139),"")</x:f>
      </x:c>
      <x:c r="X139" s="21" t="n">
        <x:f>ROUND(COUNTA(A139:K139)/11*100,0)</x:f>
        <x:v>100</x:v>
      </x:c>
      <x:c r="Y139" s="18" t="str">
        <x:v>Wikidata</x:v>
      </x:c>
      <x:c r="Z139" s="22" t="str">
        <x:v>http://www.wikidata.org/entity/Q83171</x:v>
      </x:c>
      <x:c r="AA139" s="18" t="str"/>
      <x:c r="AB139" s="18" t="n">
        <x:v>46275.416216736114</x:v>
      </x:c>
      <x:c r="AC139" s="18" t="str">
        <x:v>independent_public</x:v>
      </x:c>
      <x:c r="AD139" s="18" t="str">
        <x:v>PARTIAL_NO_DATE</x:v>
      </x:c>
    </x:row>
    <x:row r="140">
      <x:c r="A140" s="18" t="str">
        <x:v>NYT-13-898788058ef8f626</x:v>
      </x:c>
      <x:c r="B140" s="18" t="str">
        <x:v>Peter II of Russia</x:v>
      </x:c>
      <x:c r="C140" s="18" t="str"/>
      <x:c r="D140" s="18" t="str"/>
      <x:c r="E140" s="18" t="str"/>
      <x:c r="F140" s="18" t="str"/>
      <x:c r="G140" s="18" t="str"/>
      <x:c r="H140" s="18" t="str">
        <x:v>Russian Empire</x:v>
      </x:c>
      <x:c r="I140" s="18" t="str">
        <x:v>Russian Empire</x:v>
      </x:c>
      <x:c r="J140" s="20" t="str"/>
      <x:c r="K140" s="18" t="str"/>
      <x:c r="L140" s="20" t="str">
        <x:v>Russian Empire</x:v>
      </x:c>
      <x:c r="M140" s="18" t="str">
        <x:v>Peter II of Russia</x:v>
      </x:c>
      <x:c r="N140" s="20" t="str">
        <x:v>Q34266</x:v>
      </x:c>
      <x:c r="O140" s="18" t="str">
        <x:v>Emperor of all the Russias</x:v>
      </x:c>
      <x:c r="P140" s="18" t="str">
        <x:v>Q160227</x:v>
      </x:c>
      <x:c r="Q140" s="18" t="n">
        <x:v>-63049</x:v>
      </x:c>
      <x:c r="R140" s="18" t="str">
        <x:v>COMPLETE_FINITE_SNAPSHOT</x:v>
      </x:c>
      <x:c r="S140" s="18" t="str">
        <x:v>Complete returned current head-of-state statements for sovereign-state universe</x:v>
      </x:c>
      <x:c r="T140" s="18" t="str"/>
      <x:c r="U140" s="18" t="str"/>
      <x:c r="V140" s="20" t="n">
        <x:v>252</x:v>
      </x:c>
      <x:c r="W140" s="19" t="str">
        <x:f>IFERROR(TODAY()-DATEVALUE(C140),"")</x:f>
      </x:c>
      <x:c r="X140" s="21" t="n">
        <x:f>ROUND(COUNTA(A140:K140)/11*100,0)</x:f>
        <x:v>100</x:v>
      </x:c>
      <x:c r="Y140" s="18" t="str">
        <x:v>Wikidata</x:v>
      </x:c>
      <x:c r="Z140" s="22" t="str">
        <x:v>http://www.wikidata.org/entity/Q160227</x:v>
      </x:c>
      <x:c r="AA140" s="18" t="str"/>
      <x:c r="AB140" s="18" t="n">
        <x:v>46275.416216736114</x:v>
      </x:c>
      <x:c r="AC140" s="18" t="str">
        <x:v>independent_public</x:v>
      </x:c>
      <x:c r="AD140" s="18" t="str">
        <x:v>PARTIAL_NO_DATE</x:v>
      </x:c>
    </x:row>
    <x:row r="141">
      <x:c r="A141" s="18" t="str">
        <x:v>NYT-13-43466a68c33cffb6</x:v>
      </x:c>
      <x:c r="B141" s="18" t="str">
        <x:v>Nicholas I of Russia</x:v>
      </x:c>
      <x:c r="C141" s="18" t="str"/>
      <x:c r="D141" s="18" t="str"/>
      <x:c r="E141" s="18" t="str"/>
      <x:c r="F141" s="18" t="str"/>
      <x:c r="G141" s="18" t="str"/>
      <x:c r="H141" s="18" t="str">
        <x:v>Russian Empire</x:v>
      </x:c>
      <x:c r="I141" s="18" t="str">
        <x:v>Russian Empire</x:v>
      </x:c>
      <x:c r="J141" s="20" t="str"/>
      <x:c r="K141" s="18" t="str"/>
      <x:c r="L141" s="20" t="str">
        <x:v>Russian Empire</x:v>
      </x:c>
      <x:c r="M141" s="18" t="str">
        <x:v>Nicholas I of Russia</x:v>
      </x:c>
      <x:c r="N141" s="20" t="str">
        <x:v>Q34266</x:v>
      </x:c>
      <x:c r="O141" s="18" t="str">
        <x:v>Emperor of all the Russias</x:v>
      </x:c>
      <x:c r="P141" s="18" t="str">
        <x:v>Q130734</x:v>
      </x:c>
      <x:c r="Q141" s="18" t="n">
        <x:v>-27057</x:v>
      </x:c>
      <x:c r="R141" s="18" t="str">
        <x:v>COMPLETE_FINITE_SNAPSHOT</x:v>
      </x:c>
      <x:c r="S141" s="18" t="str">
        <x:v>Complete returned current head-of-state statements for sovereign-state universe</x:v>
      </x:c>
      <x:c r="T141" s="18" t="str"/>
      <x:c r="U141" s="18" t="str"/>
      <x:c r="V141" s="20" t="n">
        <x:v>252</x:v>
      </x:c>
      <x:c r="W141" s="19" t="str">
        <x:f>IFERROR(TODAY()-DATEVALUE(C141),"")</x:f>
      </x:c>
      <x:c r="X141" s="21" t="n">
        <x:f>ROUND(COUNTA(A141:K141)/11*100,0)</x:f>
        <x:v>100</x:v>
      </x:c>
      <x:c r="Y141" s="18" t="str">
        <x:v>Wikidata</x:v>
      </x:c>
      <x:c r="Z141" s="22" t="str">
        <x:v>http://www.wikidata.org/entity/Q130734</x:v>
      </x:c>
      <x:c r="AA141" s="18" t="str"/>
      <x:c r="AB141" s="18" t="n">
        <x:v>46275.416216736114</x:v>
      </x:c>
      <x:c r="AC141" s="18" t="str">
        <x:v>independent_public</x:v>
      </x:c>
      <x:c r="AD141" s="18" t="str">
        <x:v>PARTIAL_NO_DATE</x:v>
      </x:c>
    </x:row>
    <x:row r="142">
      <x:c r="A142" s="18" t="str">
        <x:v>NYT-13-29ce0c42ff0e96df</x:v>
      </x:c>
      <x:c r="B142" s="18" t="str">
        <x:v>Alexander III of Russia</x:v>
      </x:c>
      <x:c r="C142" s="18" t="str"/>
      <x:c r="D142" s="18" t="str"/>
      <x:c r="E142" s="18" t="str"/>
      <x:c r="F142" s="18" t="str"/>
      <x:c r="G142" s="18" t="str"/>
      <x:c r="H142" s="18" t="str">
        <x:v>Russian Empire</x:v>
      </x:c>
      <x:c r="I142" s="18" t="str">
        <x:v>Russian Empire</x:v>
      </x:c>
      <x:c r="J142" s="20" t="str"/>
      <x:c r="K142" s="18" t="str"/>
      <x:c r="L142" s="20" t="str">
        <x:v>Russian Empire</x:v>
      </x:c>
      <x:c r="M142" s="18" t="str">
        <x:v>Alexander III of Russia</x:v>
      </x:c>
      <x:c r="N142" s="20" t="str">
        <x:v>Q34266</x:v>
      </x:c>
      <x:c r="O142" s="18" t="str">
        <x:v>Emperor of all the Russias</x:v>
      </x:c>
      <x:c r="P142" s="18" t="str">
        <x:v>Q120180</x:v>
      </x:c>
      <x:c r="Q142" s="18" t="n">
        <x:v>-6866</x:v>
      </x:c>
      <x:c r="R142" s="18" t="str">
        <x:v>COMPLETE_FINITE_SNAPSHOT</x:v>
      </x:c>
      <x:c r="S142" s="18" t="str">
        <x:v>Complete returned current head-of-state statements for sovereign-state universe</x:v>
      </x:c>
      <x:c r="T142" s="18" t="str"/>
      <x:c r="U142" s="18" t="str"/>
      <x:c r="V142" s="20" t="n">
        <x:v>252</x:v>
      </x:c>
      <x:c r="W142" s="19" t="str">
        <x:f>IFERROR(TODAY()-DATEVALUE(C142),"")</x:f>
      </x:c>
      <x:c r="X142" s="21" t="n">
        <x:f>ROUND(COUNTA(A142:K142)/11*100,0)</x:f>
        <x:v>100</x:v>
      </x:c>
      <x:c r="Y142" s="18" t="str">
        <x:v>Wikidata</x:v>
      </x:c>
      <x:c r="Z142" s="22" t="str">
        <x:v>http://www.wikidata.org/entity/Q120180</x:v>
      </x:c>
      <x:c r="AA142" s="18" t="str"/>
      <x:c r="AB142" s="18" t="n">
        <x:v>46275.416216736114</x:v>
      </x:c>
      <x:c r="AC142" s="18" t="str">
        <x:v>independent_public</x:v>
      </x:c>
      <x:c r="AD142" s="18" t="str">
        <x:v>PARTIAL_NO_DATE</x:v>
      </x:c>
    </x:row>
    <x:row r="143">
      <x:c r="A143" s="18" t="str">
        <x:v>NYT-13-72798d32a6f5c9a9</x:v>
      </x:c>
      <x:c r="B143" s="18" t="str">
        <x:v>Elizabeth I of Russia</x:v>
      </x:c>
      <x:c r="C143" s="18" t="str"/>
      <x:c r="D143" s="18" t="str"/>
      <x:c r="E143" s="18" t="str"/>
      <x:c r="F143" s="18" t="str"/>
      <x:c r="G143" s="18" t="str"/>
      <x:c r="H143" s="18" t="str">
        <x:v>Russian Empire</x:v>
      </x:c>
      <x:c r="I143" s="18" t="str">
        <x:v>Russian Empire</x:v>
      </x:c>
      <x:c r="J143" s="20" t="str"/>
      <x:c r="K143" s="18" t="str"/>
      <x:c r="L143" s="20" t="str">
        <x:v>Russian Empire</x:v>
      </x:c>
      <x:c r="M143" s="18" t="str">
        <x:v>Elizabeth I of Russia</x:v>
      </x:c>
      <x:c r="N143" s="20" t="str">
        <x:v>Q34266</x:v>
      </x:c>
      <x:c r="O143" s="18" t="str">
        <x:v>Emperor of all the Russias</x:v>
      </x:c>
      <x:c r="P143" s="18" t="str">
        <x:v>Q130752</x:v>
      </x:c>
      <x:c r="Q143" s="18" t="n">
        <x:v>-57732</x:v>
      </x:c>
      <x:c r="R143" s="18" t="str">
        <x:v>COMPLETE_FINITE_SNAPSHOT</x:v>
      </x:c>
      <x:c r="S143" s="18" t="str">
        <x:v>Complete returned current head-of-state statements for sovereign-state universe</x:v>
      </x:c>
      <x:c r="T143" s="18" t="str"/>
      <x:c r="U143" s="18" t="str"/>
      <x:c r="V143" s="20" t="n">
        <x:v>252</x:v>
      </x:c>
      <x:c r="W143" s="19" t="str">
        <x:f>IFERROR(TODAY()-DATEVALUE(C143),"")</x:f>
      </x:c>
      <x:c r="X143" s="21" t="n">
        <x:f>ROUND(COUNTA(A143:K143)/11*100,0)</x:f>
        <x:v>100</x:v>
      </x:c>
      <x:c r="Y143" s="18" t="str">
        <x:v>Wikidata</x:v>
      </x:c>
      <x:c r="Z143" s="22" t="str">
        <x:v>http://www.wikidata.org/entity/Q130752</x:v>
      </x:c>
      <x:c r="AA143" s="18" t="str"/>
      <x:c r="AB143" s="18" t="n">
        <x:v>46275.416216736114</x:v>
      </x:c>
      <x:c r="AC143" s="18" t="str">
        <x:v>independent_public</x:v>
      </x:c>
      <x:c r="AD143" s="18" t="str">
        <x:v>PARTIAL_NO_DATE</x:v>
      </x:c>
    </x:row>
    <x:row r="144">
      <x:c r="A144" s="18" t="str">
        <x:v>NYT-13-11f46bbed40a07eb</x:v>
      </x:c>
      <x:c r="B144" s="18" t="str">
        <x:v>Assimi Goïta</x:v>
      </x:c>
      <x:c r="C144" s="18" t="str"/>
      <x:c r="D144" s="18" t="str"/>
      <x:c r="E144" s="18" t="str"/>
      <x:c r="F144" s="18" t="str"/>
      <x:c r="G144" s="18" t="str"/>
      <x:c r="H144" s="18" t="str">
        <x:v>Mali</x:v>
      </x:c>
      <x:c r="I144" s="18" t="str">
        <x:v>Mali</x:v>
      </x:c>
      <x:c r="J144" s="20" t="str"/>
      <x:c r="K144" s="18" t="str"/>
      <x:c r="L144" s="20" t="str">
        <x:v>Mali</x:v>
      </x:c>
      <x:c r="M144" s="18" t="str">
        <x:v>Assimi Goïta</x:v>
      </x:c>
      <x:c r="N144" s="20" t="str">
        <x:v>Q912</x:v>
      </x:c>
      <x:c r="O144" s="18" t="str">
        <x:v>President of Mali</x:v>
      </x:c>
      <x:c r="P144" s="18" t="str">
        <x:v>Q98497406</x:v>
      </x:c>
      <x:c r="Q144" s="18" t="n">
        <x:v>44340</x:v>
      </x:c>
      <x:c r="R144" s="18" t="str">
        <x:v>COMPLETE_FINITE_SNAPSHOT</x:v>
      </x:c>
      <x:c r="S144" s="18" t="str">
        <x:v>Complete returned current head-of-state statements for sovereign-state universe</x:v>
      </x:c>
      <x:c r="T144" s="18" t="str"/>
      <x:c r="U144" s="18" t="str"/>
      <x:c r="V144" s="20" t="n">
        <x:v>252</x:v>
      </x:c>
      <x:c r="W144" s="19" t="str">
        <x:f>IFERROR(TODAY()-DATEVALUE(C144),"")</x:f>
      </x:c>
      <x:c r="X144" s="21" t="n">
        <x:f>ROUND(COUNTA(A144:K144)/11*100,0)</x:f>
        <x:v>100</x:v>
      </x:c>
      <x:c r="Y144" s="18" t="str">
        <x:v>Wikidata</x:v>
      </x:c>
      <x:c r="Z144" s="22" t="str">
        <x:v>http://www.wikidata.org/entity/Q98497406</x:v>
      </x:c>
      <x:c r="AA144" s="18" t="str"/>
      <x:c r="AB144" s="18" t="n">
        <x:v>46275.416216736114</x:v>
      </x:c>
      <x:c r="AC144" s="18" t="str">
        <x:v>independent_public</x:v>
      </x:c>
      <x:c r="AD144" s="18" t="str">
        <x:v>PARTIAL_NO_DATE</x:v>
      </x:c>
    </x:row>
    <x:row r="145">
      <x:c r="A145" s="18" t="str">
        <x:v>NYT-13-8e8d65cd0b4166ce</x:v>
      </x:c>
      <x:c r="B145" s="18" t="str">
        <x:v>Ivan VI of Russia</x:v>
      </x:c>
      <x:c r="C145" s="18" t="str"/>
      <x:c r="D145" s="18" t="str"/>
      <x:c r="E145" s="18" t="str"/>
      <x:c r="F145" s="18" t="str"/>
      <x:c r="G145" s="18" t="str"/>
      <x:c r="H145" s="18" t="str">
        <x:v>Russian Empire</x:v>
      </x:c>
      <x:c r="I145" s="18" t="str">
        <x:v>Russian Empire</x:v>
      </x:c>
      <x:c r="J145" s="20" t="str"/>
      <x:c r="K145" s="18" t="str"/>
      <x:c r="L145" s="20" t="str">
        <x:v>Russian Empire</x:v>
      </x:c>
      <x:c r="M145" s="18" t="str">
        <x:v>Ivan VI of Russia</x:v>
      </x:c>
      <x:c r="N145" s="20" t="str">
        <x:v>Q34266</x:v>
      </x:c>
      <x:c r="O145" s="18" t="str">
        <x:v>Emperor of all the Russias</x:v>
      </x:c>
      <x:c r="P145" s="18" t="str">
        <x:v>Q151781</x:v>
      </x:c>
      <x:c r="Q145" s="18" t="n">
        <x:v>-58136</x:v>
      </x:c>
      <x:c r="R145" s="18" t="str">
        <x:v>COMPLETE_FINITE_SNAPSHOT</x:v>
      </x:c>
      <x:c r="S145" s="18" t="str">
        <x:v>Complete returned current head-of-state statements for sovereign-state universe</x:v>
      </x:c>
      <x:c r="T145" s="18" t="str"/>
      <x:c r="U145" s="18" t="str"/>
      <x:c r="V145" s="20" t="n">
        <x:v>252</x:v>
      </x:c>
      <x:c r="W145" s="19" t="str">
        <x:f>IFERROR(TODAY()-DATEVALUE(C145),"")</x:f>
      </x:c>
      <x:c r="X145" s="21" t="n">
        <x:f>ROUND(COUNTA(A145:K145)/11*100,0)</x:f>
        <x:v>100</x:v>
      </x:c>
      <x:c r="Y145" s="18" t="str">
        <x:v>Wikidata</x:v>
      </x:c>
      <x:c r="Z145" s="22" t="str">
        <x:v>http://www.wikidata.org/entity/Q151781</x:v>
      </x:c>
      <x:c r="AA145" s="18" t="str"/>
      <x:c r="AB145" s="18" t="n">
        <x:v>46275.416216736114</x:v>
      </x:c>
      <x:c r="AC145" s="18" t="str">
        <x:v>independent_public</x:v>
      </x:c>
      <x:c r="AD145" s="18" t="str">
        <x:v>PARTIAL_NO_DATE</x:v>
      </x:c>
    </x:row>
    <x:row r="146">
      <x:c r="A146" s="18" t="str">
        <x:v>NYT-13-7e0602e70e91d152</x:v>
      </x:c>
      <x:c r="B146" s="18" t="str">
        <x:v>Peter III of Russia</x:v>
      </x:c>
      <x:c r="C146" s="18" t="str"/>
      <x:c r="D146" s="18" t="str"/>
      <x:c r="E146" s="18" t="str"/>
      <x:c r="F146" s="18" t="str"/>
      <x:c r="G146" s="18" t="str"/>
      <x:c r="H146" s="18" t="str">
        <x:v>Russian Empire</x:v>
      </x:c>
      <x:c r="I146" s="18" t="str">
        <x:v>Russian Empire</x:v>
      </x:c>
      <x:c r="J146" s="20" t="str"/>
      <x:c r="K146" s="18" t="str"/>
      <x:c r="L146" s="20" t="str">
        <x:v>Russian Empire</x:v>
      </x:c>
      <x:c r="M146" s="18" t="str">
        <x:v>Peter III of Russia</x:v>
      </x:c>
      <x:c r="N146" s="20" t="str">
        <x:v>Q34266</x:v>
      </x:c>
      <x:c r="O146" s="18" t="str">
        <x:v>Emperor of all the Russias</x:v>
      </x:c>
      <x:c r="P146" s="18" t="str">
        <x:v>Q151789</x:v>
      </x:c>
      <x:c r="Q146" s="18" t="n">
        <x:v>-50397</x:v>
      </x:c>
      <x:c r="R146" s="18" t="str">
        <x:v>COMPLETE_FINITE_SNAPSHOT</x:v>
      </x:c>
      <x:c r="S146" s="18" t="str">
        <x:v>Complete returned current head-of-state statements for sovereign-state universe</x:v>
      </x:c>
      <x:c r="T146" s="18" t="str"/>
      <x:c r="U146" s="18" t="str"/>
      <x:c r="V146" s="20" t="n">
        <x:v>252</x:v>
      </x:c>
      <x:c r="W146" s="19" t="str">
        <x:f>IFERROR(TODAY()-DATEVALUE(C146),"")</x:f>
      </x:c>
      <x:c r="X146" s="21" t="n">
        <x:f>ROUND(COUNTA(A146:K146)/11*100,0)</x:f>
        <x:v>100</x:v>
      </x:c>
      <x:c r="Y146" s="18" t="str">
        <x:v>Wikidata</x:v>
      </x:c>
      <x:c r="Z146" s="22" t="str">
        <x:v>http://www.wikidata.org/entity/Q151789</x:v>
      </x:c>
      <x:c r="AA146" s="18" t="str"/>
      <x:c r="AB146" s="18" t="n">
        <x:v>46275.416216736114</x:v>
      </x:c>
      <x:c r="AC146" s="18" t="str">
        <x:v>independent_public</x:v>
      </x:c>
      <x:c r="AD146" s="18" t="str">
        <x:v>PARTIAL_NO_DATE</x:v>
      </x:c>
    </x:row>
    <x:row r="147">
      <x:c r="A147" s="18" t="str">
        <x:v>NYT-13-bb4e4719911a5c54</x:v>
      </x:c>
      <x:c r="B147" s="18" t="str">
        <x:v>Anna I of Russia</x:v>
      </x:c>
      <x:c r="C147" s="18" t="str"/>
      <x:c r="D147" s="18" t="str"/>
      <x:c r="E147" s="18" t="str"/>
      <x:c r="F147" s="18" t="str"/>
      <x:c r="G147" s="18" t="str"/>
      <x:c r="H147" s="18" t="str">
        <x:v>Russian Empire</x:v>
      </x:c>
      <x:c r="I147" s="18" t="str">
        <x:v>Russian Empire</x:v>
      </x:c>
      <x:c r="J147" s="20" t="str"/>
      <x:c r="K147" s="18" t="str"/>
      <x:c r="L147" s="20" t="str">
        <x:v>Russian Empire</x:v>
      </x:c>
      <x:c r="M147" s="18" t="str">
        <x:v>Anna I of Russia</x:v>
      </x:c>
      <x:c r="N147" s="20" t="str">
        <x:v>Q34266</x:v>
      </x:c>
      <x:c r="O147" s="18" t="str">
        <x:v>Emperor of all the Russias</x:v>
      </x:c>
      <x:c r="P147" s="18" t="str">
        <x:v>Q160165</x:v>
      </x:c>
      <x:c r="Q147" s="18" t="n">
        <x:v>-62043</x:v>
      </x:c>
      <x:c r="R147" s="18" t="str">
        <x:v>COMPLETE_FINITE_SNAPSHOT</x:v>
      </x:c>
      <x:c r="S147" s="18" t="str">
        <x:v>Complete returned current head-of-state statements for sovereign-state universe</x:v>
      </x:c>
      <x:c r="T147" s="18" t="str"/>
      <x:c r="U147" s="18" t="str"/>
      <x:c r="V147" s="20" t="n">
        <x:v>252</x:v>
      </x:c>
      <x:c r="W147" s="19" t="str">
        <x:f>IFERROR(TODAY()-DATEVALUE(C147),"")</x:f>
      </x:c>
      <x:c r="X147" s="21" t="n">
        <x:f>ROUND(COUNTA(A147:K147)/11*100,0)</x:f>
        <x:v>100</x:v>
      </x:c>
      <x:c r="Y147" s="18" t="str">
        <x:v>Wikidata</x:v>
      </x:c>
      <x:c r="Z147" s="22" t="str">
        <x:v>http://www.wikidata.org/entity/Q160165</x:v>
      </x:c>
      <x:c r="AA147" s="18" t="str"/>
      <x:c r="AB147" s="18" t="n">
        <x:v>46275.416216736114</x:v>
      </x:c>
      <x:c r="AC147" s="18" t="str">
        <x:v>independent_public</x:v>
      </x:c>
      <x:c r="AD147" s="18" t="str">
        <x:v>PARTIAL_NO_DATE</x:v>
      </x:c>
    </x:row>
    <x:row r="148">
      <x:c r="A148" s="18" t="str">
        <x:v>NYT-13-3cbbc1e9b00f577c</x:v>
      </x:c>
      <x:c r="B148" s="18" t="str">
        <x:v>Isaias Afwerki</x:v>
      </x:c>
      <x:c r="C148" s="18" t="str"/>
      <x:c r="D148" s="18" t="str"/>
      <x:c r="E148" s="18" t="str"/>
      <x:c r="F148" s="18" t="str"/>
      <x:c r="G148" s="18" t="str"/>
      <x:c r="H148" s="18" t="str">
        <x:v>Eritrea</x:v>
      </x:c>
      <x:c r="I148" s="18" t="str">
        <x:v>Eritrea</x:v>
      </x:c>
      <x:c r="J148" s="20" t="str"/>
      <x:c r="K148" s="18" t="str"/>
      <x:c r="L148" s="20" t="str">
        <x:v>Eritrea</x:v>
      </x:c>
      <x:c r="M148" s="18" t="str">
        <x:v>Isaias Afwerki</x:v>
      </x:c>
      <x:c r="N148" s="20" t="str">
        <x:v>Q986</x:v>
      </x:c>
      <x:c r="O148" s="18" t="str">
        <x:v>President of Eritrea</x:v>
      </x:c>
      <x:c r="P148" s="18" t="str">
        <x:v>Q57348</x:v>
      </x:c>
      <x:c r="Q148" s="18" t="n">
        <x:v>34108</x:v>
      </x:c>
      <x:c r="R148" s="18" t="str">
        <x:v>COMPLETE_FINITE_SNAPSHOT</x:v>
      </x:c>
      <x:c r="S148" s="18" t="str">
        <x:v>Complete returned current head-of-state statements for sovereign-state universe</x:v>
      </x:c>
      <x:c r="T148" s="18" t="str"/>
      <x:c r="U148" s="18" t="str"/>
      <x:c r="V148" s="20" t="n">
        <x:v>252</x:v>
      </x:c>
      <x:c r="W148" s="19" t="str">
        <x:f>IFERROR(TODAY()-DATEVALUE(C148),"")</x:f>
      </x:c>
      <x:c r="X148" s="21" t="n">
        <x:f>ROUND(COUNTA(A148:K148)/11*100,0)</x:f>
        <x:v>100</x:v>
      </x:c>
      <x:c r="Y148" s="18" t="str">
        <x:v>Wikidata</x:v>
      </x:c>
      <x:c r="Z148" s="22" t="str">
        <x:v>http://www.wikidata.org/entity/Q57348</x:v>
      </x:c>
      <x:c r="AA148" s="18" t="str"/>
      <x:c r="AB148" s="18" t="n">
        <x:v>46275.416216736114</x:v>
      </x:c>
      <x:c r="AC148" s="18" t="str">
        <x:v>independent_public</x:v>
      </x:c>
      <x:c r="AD148" s="18" t="str">
        <x:v>PARTIAL_NO_DATE</x:v>
      </x:c>
    </x:row>
    <x:row r="149">
      <x:c r="A149" s="18" t="str">
        <x:v>NYT-13-61a3b7787f4448da</x:v>
      </x:c>
      <x:c r="B149" s="18" t="str">
        <x:v>Philippe of Belgium</x:v>
      </x:c>
      <x:c r="C149" s="18" t="str"/>
      <x:c r="D149" s="18" t="str"/>
      <x:c r="E149" s="18" t="str"/>
      <x:c r="F149" s="18" t="str"/>
      <x:c r="G149" s="18" t="str"/>
      <x:c r="H149" s="18" t="str">
        <x:v>Belgium</x:v>
      </x:c>
      <x:c r="I149" s="18" t="str">
        <x:v>Belgium</x:v>
      </x:c>
      <x:c r="J149" s="20" t="str"/>
      <x:c r="K149" s="18" t="str"/>
      <x:c r="L149" s="20" t="str">
        <x:v>Belgium</x:v>
      </x:c>
      <x:c r="M149" s="18" t="str">
        <x:v>Philippe of Belgium</x:v>
      </x:c>
      <x:c r="N149" s="20" t="str">
        <x:v>Q31</x:v>
      </x:c>
      <x:c r="O149" s="18" t="str">
        <x:v>King of the Belgians</x:v>
      </x:c>
      <x:c r="P149" s="18" t="str">
        <x:v>Q155004</x:v>
      </x:c>
      <x:c r="Q149" s="18" t="n">
        <x:v>41476</x:v>
      </x:c>
      <x:c r="R149" s="18" t="str">
        <x:v>COMPLETE_FINITE_SNAPSHOT</x:v>
      </x:c>
      <x:c r="S149" s="18" t="str">
        <x:v>Complete returned current head-of-state statements for sovereign-state universe</x:v>
      </x:c>
      <x:c r="T149" s="18" t="str"/>
      <x:c r="U149" s="18" t="str"/>
      <x:c r="V149" s="20" t="n">
        <x:v>252</x:v>
      </x:c>
      <x:c r="W149" s="19" t="str">
        <x:f>IFERROR(TODAY()-DATEVALUE(C149),"")</x:f>
      </x:c>
      <x:c r="X149" s="21" t="n">
        <x:f>ROUND(COUNTA(A149:K149)/11*100,0)</x:f>
        <x:v>100</x:v>
      </x:c>
      <x:c r="Y149" s="18" t="str">
        <x:v>Wikidata</x:v>
      </x:c>
      <x:c r="Z149" s="22" t="str">
        <x:v>http://www.wikidata.org/entity/Q155004</x:v>
      </x:c>
      <x:c r="AA149" s="18" t="str"/>
      <x:c r="AB149" s="18" t="n">
        <x:v>46275.416216736114</x:v>
      </x:c>
      <x:c r="AC149" s="18" t="str">
        <x:v>independent_public</x:v>
      </x:c>
      <x:c r="AD149" s="18" t="str">
        <x:v>PARTIAL_NO_DATE</x:v>
      </x:c>
    </x:row>
    <x:row r="150">
      <x:c r="A150" s="18" t="str">
        <x:v>NYT-13-73a48068ab917190</x:v>
      </x:c>
      <x:c r="B150" s="18" t="str">
        <x:v>Azali Assoumani</x:v>
      </x:c>
      <x:c r="C150" s="18" t="str"/>
      <x:c r="D150" s="18" t="str"/>
      <x:c r="E150" s="18" t="str"/>
      <x:c r="F150" s="18" t="str"/>
      <x:c r="G150" s="18" t="str"/>
      <x:c r="H150" s="18" t="str">
        <x:v>Comoros</x:v>
      </x:c>
      <x:c r="I150" s="18" t="str">
        <x:v>Comoros</x:v>
      </x:c>
      <x:c r="J150" s="20" t="str"/>
      <x:c r="K150" s="18" t="str"/>
      <x:c r="L150" s="20" t="str">
        <x:v>Comoros</x:v>
      </x:c>
      <x:c r="M150" s="18" t="str">
        <x:v>Azali Assoumani</x:v>
      </x:c>
      <x:c r="N150" s="20" t="str">
        <x:v>Q970</x:v>
      </x:c>
      <x:c r="O150" s="18" t="str">
        <x:v>Chairperson of the African Union</x:v>
      </x:c>
      <x:c r="P150" s="18" t="str">
        <x:v>Q515602</x:v>
      </x:c>
      <x:c r="Q150" s="18" t="n">
        <x:v>44975</x:v>
      </x:c>
      <x:c r="R150" s="18" t="str">
        <x:v>COMPLETE_FINITE_SNAPSHOT</x:v>
      </x:c>
      <x:c r="S150" s="18" t="str">
        <x:v>Complete returned current head-of-state statements for sovereign-state universe</x:v>
      </x:c>
      <x:c r="T150" s="18" t="str"/>
      <x:c r="U150" s="18" t="str"/>
      <x:c r="V150" s="20" t="n">
        <x:v>252</x:v>
      </x:c>
      <x:c r="W150" s="19" t="str">
        <x:f>IFERROR(TODAY()-DATEVALUE(C150),"")</x:f>
      </x:c>
      <x:c r="X150" s="21" t="n">
        <x:f>ROUND(COUNTA(A150:K150)/11*100,0)</x:f>
        <x:v>100</x:v>
      </x:c>
      <x:c r="Y150" s="18" t="str">
        <x:v>Wikidata</x:v>
      </x:c>
      <x:c r="Z150" s="22" t="str">
        <x:v>http://www.wikidata.org/entity/Q515602</x:v>
      </x:c>
      <x:c r="AA150" s="18" t="str"/>
      <x:c r="AB150" s="18" t="n">
        <x:v>46275.416216736114</x:v>
      </x:c>
      <x:c r="AC150" s="18" t="str">
        <x:v>independent_public</x:v>
      </x:c>
      <x:c r="AD150" s="18" t="str">
        <x:v>PARTIAL_NO_DATE</x:v>
      </x:c>
    </x:row>
    <x:row r="151">
      <x:c r="A151" s="18" t="str">
        <x:v>NYT-13-3019487c4853bee3</x:v>
      </x:c>
      <x:c r="B151" s="18" t="str">
        <x:v>Paul Biya</x:v>
      </x:c>
      <x:c r="C151" s="18" t="str"/>
      <x:c r="D151" s="18" t="str"/>
      <x:c r="E151" s="18" t="str"/>
      <x:c r="F151" s="18" t="str"/>
      <x:c r="G151" s="18" t="str"/>
      <x:c r="H151" s="18" t="str">
        <x:v>Cameroon</x:v>
      </x:c>
      <x:c r="I151" s="18" t="str">
        <x:v>Cameroon</x:v>
      </x:c>
      <x:c r="J151" s="20" t="str"/>
      <x:c r="K151" s="18" t="str"/>
      <x:c r="L151" s="20" t="str">
        <x:v>Cameroon</x:v>
      </x:c>
      <x:c r="M151" s="18" t="str">
        <x:v>Paul Biya</x:v>
      </x:c>
      <x:c r="N151" s="20" t="str">
        <x:v>Q1009</x:v>
      </x:c>
      <x:c r="O151" s="18" t="str">
        <x:v>President of Cameroon</x:v>
      </x:c>
      <x:c r="P151" s="18" t="str">
        <x:v>Q57272</x:v>
      </x:c>
      <x:c r="Q151" s="18" t="n">
        <x:v>30261</x:v>
      </x:c>
      <x:c r="R151" s="18" t="str">
        <x:v>COMPLETE_FINITE_SNAPSHOT</x:v>
      </x:c>
      <x:c r="S151" s="18" t="str">
        <x:v>Complete returned current head-of-state statements for sovereign-state universe</x:v>
      </x:c>
      <x:c r="T151" s="18" t="str"/>
      <x:c r="U151" s="18" t="str"/>
      <x:c r="V151" s="20" t="n">
        <x:v>252</x:v>
      </x:c>
      <x:c r="W151" s="19" t="str">
        <x:f>IFERROR(TODAY()-DATEVALUE(C151),"")</x:f>
      </x:c>
      <x:c r="X151" s="21" t="n">
        <x:f>ROUND(COUNTA(A151:K151)/11*100,0)</x:f>
        <x:v>100</x:v>
      </x:c>
      <x:c r="Y151" s="18" t="str">
        <x:v>Wikidata</x:v>
      </x:c>
      <x:c r="Z151" s="22" t="str">
        <x:v>http://www.wikidata.org/entity/Q57272</x:v>
      </x:c>
      <x:c r="AA151" s="18" t="str"/>
      <x:c r="AB151" s="18" t="n">
        <x:v>46275.416216736114</x:v>
      </x:c>
      <x:c r="AC151" s="18" t="str">
        <x:v>independent_public</x:v>
      </x:c>
      <x:c r="AD151" s="18" t="str">
        <x:v>PARTIAL_NO_DATE</x:v>
      </x:c>
    </x:row>
    <x:row r="152">
      <x:c r="A152" s="18" t="str">
        <x:v>NYT-13-2d88c51a5a2ff120</x:v>
      </x:c>
      <x:c r="B152" s="18" t="str">
        <x:v>Mswati III</x:v>
      </x:c>
      <x:c r="C152" s="18" t="str"/>
      <x:c r="D152" s="18" t="str"/>
      <x:c r="E152" s="18" t="str"/>
      <x:c r="F152" s="18" t="str"/>
      <x:c r="G152" s="18" t="str"/>
      <x:c r="H152" s="18" t="str">
        <x:v>Eswatini</x:v>
      </x:c>
      <x:c r="I152" s="18" t="str">
        <x:v>Eswatini</x:v>
      </x:c>
      <x:c r="J152" s="20" t="str"/>
      <x:c r="K152" s="18" t="str"/>
      <x:c r="L152" s="20" t="str">
        <x:v>Eswatini</x:v>
      </x:c>
      <x:c r="M152" s="18" t="str">
        <x:v>Mswati III</x:v>
      </x:c>
      <x:c r="N152" s="20" t="str">
        <x:v>Q1050</x:v>
      </x:c>
      <x:c r="O152" s="18" t="str">
        <x:v>King of Swaziland</x:v>
      </x:c>
      <x:c r="P152" s="18" t="str">
        <x:v>Q57340</x:v>
      </x:c>
      <x:c r="Q152" s="18" t="n">
        <x:v>31527</x:v>
      </x:c>
      <x:c r="R152" s="18" t="str">
        <x:v>COMPLETE_FINITE_SNAPSHOT</x:v>
      </x:c>
      <x:c r="S152" s="18" t="str">
        <x:v>Complete returned current head-of-state statements for sovereign-state universe</x:v>
      </x:c>
      <x:c r="T152" s="18" t="str"/>
      <x:c r="U152" s="18" t="str"/>
      <x:c r="V152" s="20" t="n">
        <x:v>252</x:v>
      </x:c>
      <x:c r="W152" s="19" t="str">
        <x:f>IFERROR(TODAY()-DATEVALUE(C152),"")</x:f>
      </x:c>
      <x:c r="X152" s="21" t="n">
        <x:f>ROUND(COUNTA(A152:K152)/11*100,0)</x:f>
        <x:v>100</x:v>
      </x:c>
      <x:c r="Y152" s="18" t="str">
        <x:v>Wikidata</x:v>
      </x:c>
      <x:c r="Z152" s="22" t="str">
        <x:v>http://www.wikidata.org/entity/Q57340</x:v>
      </x:c>
      <x:c r="AA152" s="18" t="str"/>
      <x:c r="AB152" s="18" t="n">
        <x:v>46275.416216736114</x:v>
      </x:c>
      <x:c r="AC152" s="18" t="str">
        <x:v>independent_public</x:v>
      </x:c>
      <x:c r="AD152" s="18" t="str">
        <x:v>PARTIAL_NO_DATE</x:v>
      </x:c>
    </x:row>
    <x:row r="153">
      <x:c r="A153" s="18" t="str">
        <x:v>NYT-13-1c1405e63547906a</x:v>
      </x:c>
      <x:c r="B153" s="18" t="str">
        <x:v>Sandra Mason</x:v>
      </x:c>
      <x:c r="C153" s="18" t="str"/>
      <x:c r="D153" s="18" t="str"/>
      <x:c r="E153" s="18" t="str"/>
      <x:c r="F153" s="18" t="str"/>
      <x:c r="G153" s="18" t="str"/>
      <x:c r="H153" s="18" t="str">
        <x:v>Barbados</x:v>
      </x:c>
      <x:c r="I153" s="18" t="str">
        <x:v>Barbados</x:v>
      </x:c>
      <x:c r="J153" s="20" t="str"/>
      <x:c r="K153" s="18" t="str"/>
      <x:c r="L153" s="20" t="str">
        <x:v>Barbados</x:v>
      </x:c>
      <x:c r="M153" s="18" t="str">
        <x:v>Sandra Mason</x:v>
      </x:c>
      <x:c r="N153" s="20" t="str">
        <x:v>Q244</x:v>
      </x:c>
      <x:c r="O153" s="18" t="str">
        <x:v>President of Barbados</x:v>
      </x:c>
      <x:c r="P153" s="18" t="str">
        <x:v>Q9333540</x:v>
      </x:c>
      <x:c r="Q153" s="18" t="n">
        <x:v>44530</x:v>
      </x:c>
      <x:c r="R153" s="18" t="str">
        <x:v>COMPLETE_FINITE_SNAPSHOT</x:v>
      </x:c>
      <x:c r="S153" s="18" t="str">
        <x:v>Complete returned current head-of-state statements for sovereign-state universe</x:v>
      </x:c>
      <x:c r="T153" s="18" t="str"/>
      <x:c r="U153" s="18" t="str"/>
      <x:c r="V153" s="20" t="n">
        <x:v>252</x:v>
      </x:c>
      <x:c r="W153" s="19" t="str">
        <x:f>IFERROR(TODAY()-DATEVALUE(C153),"")</x:f>
      </x:c>
      <x:c r="X153" s="21" t="n">
        <x:f>ROUND(COUNTA(A153:K153)/11*100,0)</x:f>
        <x:v>100</x:v>
      </x:c>
      <x:c r="Y153" s="18" t="str">
        <x:v>Wikidata</x:v>
      </x:c>
      <x:c r="Z153" s="22" t="str">
        <x:v>http://www.wikidata.org/entity/Q9333540</x:v>
      </x:c>
      <x:c r="AA153" s="18" t="str"/>
      <x:c r="AB153" s="18" t="n">
        <x:v>46275.416216736114</x:v>
      </x:c>
      <x:c r="AC153" s="18" t="str">
        <x:v>independent_public</x:v>
      </x:c>
      <x:c r="AD153" s="18" t="str">
        <x:v>PARTIAL_NO_DATE</x:v>
      </x:c>
    </x:row>
    <x:row r="154">
      <x:c r="A154" s="18" t="str">
        <x:v>NYT-13-7eb13716e4c93a02</x:v>
      </x:c>
      <x:c r="B154" s="18" t="str">
        <x:v>Guillaume V, Grand Duke of Luxembourg</x:v>
      </x:c>
      <x:c r="C154" s="18" t="str"/>
      <x:c r="D154" s="18" t="str"/>
      <x:c r="E154" s="18" t="str"/>
      <x:c r="F154" s="18" t="str"/>
      <x:c r="G154" s="18" t="str"/>
      <x:c r="H154" s="18" t="str">
        <x:v>Luxembourg</x:v>
      </x:c>
      <x:c r="I154" s="18" t="str">
        <x:v>Luxembourg</x:v>
      </x:c>
      <x:c r="J154" s="20" t="str"/>
      <x:c r="K154" s="18" t="str"/>
      <x:c r="L154" s="20" t="str">
        <x:v>Luxembourg</x:v>
      </x:c>
      <x:c r="M154" s="18" t="str">
        <x:v>Guillaume V, Grand Duke of Luxembourg</x:v>
      </x:c>
      <x:c r="N154" s="20" t="str">
        <x:v>Q32</x:v>
      </x:c>
      <x:c r="O154" s="18" t="str">
        <x:v>Member of the Council of State</x:v>
      </x:c>
      <x:c r="P154" s="18" t="str">
        <x:v>Q161319</x:v>
      </x:c>
      <x:c r="Q154" s="18" t="n">
        <x:v>38513</x:v>
      </x:c>
      <x:c r="R154" s="18" t="str">
        <x:v>COMPLETE_FINITE_SNAPSHOT</x:v>
      </x:c>
      <x:c r="S154" s="18" t="str">
        <x:v>Complete returned current head-of-state statements for sovereign-state universe</x:v>
      </x:c>
      <x:c r="T154" s="18" t="str"/>
      <x:c r="U154" s="18" t="str"/>
      <x:c r="V154" s="20" t="n">
        <x:v>252</x:v>
      </x:c>
      <x:c r="W154" s="19" t="str">
        <x:f>IFERROR(TODAY()-DATEVALUE(C154),"")</x:f>
      </x:c>
      <x:c r="X154" s="21" t="n">
        <x:f>ROUND(COUNTA(A154:K154)/11*100,0)</x:f>
        <x:v>100</x:v>
      </x:c>
      <x:c r="Y154" s="18" t="str">
        <x:v>Wikidata</x:v>
      </x:c>
      <x:c r="Z154" s="22" t="str">
        <x:v>http://www.wikidata.org/entity/Q161319</x:v>
      </x:c>
      <x:c r="AA154" s="18" t="str"/>
      <x:c r="AB154" s="18" t="n">
        <x:v>46275.416216736114</x:v>
      </x:c>
      <x:c r="AC154" s="18" t="str">
        <x:v>independent_public</x:v>
      </x:c>
      <x:c r="AD154" s="18" t="str">
        <x:v>PARTIAL_NO_DATE</x:v>
      </x:c>
    </x:row>
    <x:row r="155">
      <x:c r="A155" s="18" t="str">
        <x:v>NYT-13-5d92c313070aa7cc</x:v>
      </x:c>
      <x:c r="B155" s="18" t="str">
        <x:v>Mohamed al-Menfi</x:v>
      </x:c>
      <x:c r="C155" s="18" t="str"/>
      <x:c r="D155" s="18" t="str"/>
      <x:c r="E155" s="18" t="str"/>
      <x:c r="F155" s="18" t="str"/>
      <x:c r="G155" s="18" t="str"/>
      <x:c r="H155" s="18" t="str">
        <x:v>Libya</x:v>
      </x:c>
      <x:c r="I155" s="18" t="str">
        <x:v>Libya</x:v>
      </x:c>
      <x:c r="J155" s="20" t="str"/>
      <x:c r="K155" s="18" t="str"/>
      <x:c r="L155" s="20" t="str">
        <x:v>Libya</x:v>
      </x:c>
      <x:c r="M155" s="18" t="str">
        <x:v>Mohamed al-Menfi</x:v>
      </x:c>
      <x:c r="N155" s="20" t="str">
        <x:v>Q1016</x:v>
      </x:c>
      <x:c r="O155" s="18" t="str">
        <x:v>Chairman of the Presidential Council</x:v>
      </x:c>
      <x:c r="P155" s="18" t="str">
        <x:v>Q105319610</x:v>
      </x:c>
      <x:c r="Q155" s="18" t="n">
        <x:v>44270</x:v>
      </x:c>
      <x:c r="R155" s="18" t="str">
        <x:v>COMPLETE_FINITE_SNAPSHOT</x:v>
      </x:c>
      <x:c r="S155" s="18" t="str">
        <x:v>Complete returned current head-of-state statements for sovereign-state universe</x:v>
      </x:c>
      <x:c r="T155" s="18" t="str"/>
      <x:c r="U155" s="18" t="str"/>
      <x:c r="V155" s="20" t="n">
        <x:v>252</x:v>
      </x:c>
      <x:c r="W155" s="19" t="str">
        <x:f>IFERROR(TODAY()-DATEVALUE(C155),"")</x:f>
      </x:c>
      <x:c r="X155" s="21" t="n">
        <x:f>ROUND(COUNTA(A155:K155)/11*100,0)</x:f>
        <x:v>100</x:v>
      </x:c>
      <x:c r="Y155" s="18" t="str">
        <x:v>Wikidata</x:v>
      </x:c>
      <x:c r="Z155" s="22" t="str">
        <x:v>http://www.wikidata.org/entity/Q105319610</x:v>
      </x:c>
      <x:c r="AA155" s="18" t="str"/>
      <x:c r="AB155" s="18" t="n">
        <x:v>46275.416216736114</x:v>
      </x:c>
      <x:c r="AC155" s="18" t="str">
        <x:v>independent_public</x:v>
      </x:c>
      <x:c r="AD155" s="18" t="str">
        <x:v>PARTIAL_NO_DATE</x:v>
      </x:c>
    </x:row>
    <x:row r="156">
      <x:c r="A156" s="18" t="str">
        <x:v>NYT-13-fef523a2d47deee1</x:v>
      </x:c>
      <x:c r="B156" s="18" t="str">
        <x:v>Haakon VIII</x:v>
      </x:c>
      <x:c r="C156" s="18" t="str"/>
      <x:c r="D156" s="18" t="str"/>
      <x:c r="E156" s="18" t="str"/>
      <x:c r="F156" s="18" t="str"/>
      <x:c r="G156" s="18" t="str"/>
      <x:c r="H156" s="18" t="str">
        <x:v>Norway</x:v>
      </x:c>
      <x:c r="I156" s="18" t="str">
        <x:v>Norway</x:v>
      </x:c>
      <x:c r="J156" s="20" t="str"/>
      <x:c r="K156" s="18" t="str"/>
      <x:c r="L156" s="20" t="str">
        <x:v>Norway</x:v>
      </x:c>
      <x:c r="M156" s="18" t="str">
        <x:v>Haakon VIII</x:v>
      </x:c>
      <x:c r="N156" s="20" t="str">
        <x:v>Q20</x:v>
      </x:c>
      <x:c r="O156" s="18" t="str">
        <x:v>crown prince</x:v>
      </x:c>
      <x:c r="P156" s="18" t="str">
        <x:v>Q165241</x:v>
      </x:c>
      <x:c r="Q156" s="18" t="n">
        <x:v>33255</x:v>
      </x:c>
      <x:c r="R156" s="18" t="str">
        <x:v>COMPLETE_FINITE_SNAPSHOT</x:v>
      </x:c>
      <x:c r="S156" s="18" t="str">
        <x:v>Complete returned current head-of-state statements for sovereign-state universe</x:v>
      </x:c>
      <x:c r="T156" s="18" t="str"/>
      <x:c r="U156" s="18" t="str"/>
      <x:c r="V156" s="20" t="n">
        <x:v>252</x:v>
      </x:c>
      <x:c r="W156" s="19" t="str">
        <x:f>IFERROR(TODAY()-DATEVALUE(C156),"")</x:f>
      </x:c>
      <x:c r="X156" s="21" t="n">
        <x:f>ROUND(COUNTA(A156:K156)/11*100,0)</x:f>
        <x:v>100</x:v>
      </x:c>
      <x:c r="Y156" s="18" t="str">
        <x:v>Wikidata</x:v>
      </x:c>
      <x:c r="Z156" s="22" t="str">
        <x:v>http://www.wikidata.org/entity/Q165241</x:v>
      </x:c>
      <x:c r="AA156" s="18" t="str"/>
      <x:c r="AB156" s="18" t="n">
        <x:v>46275.416216736114</x:v>
      </x:c>
      <x:c r="AC156" s="18" t="str">
        <x:v>independent_public</x:v>
      </x:c>
      <x:c r="AD156" s="18" t="str">
        <x:v>PARTIAL_NO_DATE</x:v>
      </x:c>
    </x:row>
    <x:row r="157">
      <x:c r="A157" s="18" t="str">
        <x:v>NYT-13-7c5faf24e344b43a</x:v>
      </x:c>
      <x:c r="B157" s="18" t="str">
        <x:v>Alexander Van der Bellen</x:v>
      </x:c>
      <x:c r="C157" s="18" t="str"/>
      <x:c r="D157" s="18" t="str"/>
      <x:c r="E157" s="18" t="str"/>
      <x:c r="F157" s="18" t="str"/>
      <x:c r="G157" s="18" t="str"/>
      <x:c r="H157" s="18" t="str">
        <x:v>Austria</x:v>
      </x:c>
      <x:c r="I157" s="18" t="str">
        <x:v>Austria</x:v>
      </x:c>
      <x:c r="J157" s="20" t="str"/>
      <x:c r="K157" s="18" t="str"/>
      <x:c r="L157" s="20" t="str">
        <x:v>Austria</x:v>
      </x:c>
      <x:c r="M157" s="18" t="str">
        <x:v>Alexander Van der Bellen</x:v>
      </x:c>
      <x:c r="N157" s="20" t="str">
        <x:v>Q40</x:v>
      </x:c>
      <x:c r="O157" s="18" t="str">
        <x:v>President of Austria</x:v>
      </x:c>
      <x:c r="P157" s="18" t="str">
        <x:v>Q78869</x:v>
      </x:c>
      <x:c r="Q157" s="18" t="n">
        <x:v>42761</x:v>
      </x:c>
      <x:c r="R157" s="18" t="str">
        <x:v>COMPLETE_FINITE_SNAPSHOT</x:v>
      </x:c>
      <x:c r="S157" s="18" t="str">
        <x:v>Complete returned current head-of-state statements for sovereign-state universe</x:v>
      </x:c>
      <x:c r="T157" s="18" t="str"/>
      <x:c r="U157" s="18" t="str"/>
      <x:c r="V157" s="20" t="n">
        <x:v>252</x:v>
      </x:c>
      <x:c r="W157" s="19" t="str">
        <x:f>IFERROR(TODAY()-DATEVALUE(C157),"")</x:f>
      </x:c>
      <x:c r="X157" s="21" t="n">
        <x:f>ROUND(COUNTA(A157:K157)/11*100,0)</x:f>
        <x:v>100</x:v>
      </x:c>
      <x:c r="Y157" s="18" t="str">
        <x:v>Wikidata</x:v>
      </x:c>
      <x:c r="Z157" s="22" t="str">
        <x:v>http://www.wikidata.org/entity/Q78869</x:v>
      </x:c>
      <x:c r="AA157" s="18" t="str"/>
      <x:c r="AB157" s="18" t="n">
        <x:v>46275.416216736114</x:v>
      </x:c>
      <x:c r="AC157" s="18" t="str">
        <x:v>independent_public</x:v>
      </x:c>
      <x:c r="AD157" s="18" t="str">
        <x:v>PARTIAL_NO_DATE</x:v>
      </x:c>
    </x:row>
    <x:row r="158">
      <x:c r="A158" s="18" t="str">
        <x:v>NYT-13-01ae814413bfc65c</x:v>
      </x:c>
      <x:c r="B158" s="18" t="str">
        <x:v>Hakainde Hichilema</x:v>
      </x:c>
      <x:c r="C158" s="18" t="str"/>
      <x:c r="D158" s="18" t="str"/>
      <x:c r="E158" s="18" t="str"/>
      <x:c r="F158" s="18" t="str"/>
      <x:c r="G158" s="18" t="str"/>
      <x:c r="H158" s="18" t="str">
        <x:v>Zambia</x:v>
      </x:c>
      <x:c r="I158" s="18" t="str">
        <x:v>Zambia</x:v>
      </x:c>
      <x:c r="J158" s="20" t="str"/>
      <x:c r="K158" s="18" t="str"/>
      <x:c r="L158" s="20" t="str">
        <x:v>Zambia</x:v>
      </x:c>
      <x:c r="M158" s="18" t="str">
        <x:v>Hakainde Hichilema</x:v>
      </x:c>
      <x:c r="N158" s="20" t="str">
        <x:v>Q953</x:v>
      </x:c>
      <x:c r="O158" s="18" t="str">
        <x:v>President of Zambia</x:v>
      </x:c>
      <x:c r="P158" s="18" t="str">
        <x:v>Q717185</x:v>
      </x:c>
      <x:c r="Q158" s="18" t="n">
        <x:v>44432</x:v>
      </x:c>
      <x:c r="R158" s="18" t="str">
        <x:v>COMPLETE_FINITE_SNAPSHOT</x:v>
      </x:c>
      <x:c r="S158" s="18" t="str">
        <x:v>Complete returned current head-of-state statements for sovereign-state universe</x:v>
      </x:c>
      <x:c r="T158" s="18" t="str"/>
      <x:c r="U158" s="18" t="str"/>
      <x:c r="V158" s="20" t="n">
        <x:v>252</x:v>
      </x:c>
      <x:c r="W158" s="19" t="str">
        <x:f>IFERROR(TODAY()-DATEVALUE(C158),"")</x:f>
      </x:c>
      <x:c r="X158" s="21" t="n">
        <x:f>ROUND(COUNTA(A158:K158)/11*100,0)</x:f>
        <x:v>100</x:v>
      </x:c>
      <x:c r="Y158" s="18" t="str">
        <x:v>Wikidata</x:v>
      </x:c>
      <x:c r="Z158" s="22" t="str">
        <x:v>http://www.wikidata.org/entity/Q717185</x:v>
      </x:c>
      <x:c r="AA158" s="18" t="str"/>
      <x:c r="AB158" s="18" t="n">
        <x:v>46275.416216736114</x:v>
      </x:c>
      <x:c r="AC158" s="18" t="str">
        <x:v>independent_public</x:v>
      </x:c>
      <x:c r="AD158" s="18" t="str">
        <x:v>PARTIAL_NO_DATE</x:v>
      </x:c>
    </x:row>
    <x:row r="159">
      <x:c r="A159" s="18" t="str">
        <x:v>NYT-13-52e1f7223fa0726f</x:v>
      </x:c>
      <x:c r="B159" s="18" t="str">
        <x:v>Norodom Sihamoni</x:v>
      </x:c>
      <x:c r="C159" s="18" t="str"/>
      <x:c r="D159" s="18" t="str"/>
      <x:c r="E159" s="18" t="str"/>
      <x:c r="F159" s="18" t="str"/>
      <x:c r="G159" s="18" t="str"/>
      <x:c r="H159" s="18" t="str">
        <x:v>Cambodia</x:v>
      </x:c>
      <x:c r="I159" s="18" t="str">
        <x:v>Cambodia</x:v>
      </x:c>
      <x:c r="J159" s="20" t="str"/>
      <x:c r="K159" s="18" t="str"/>
      <x:c r="L159" s="20" t="str">
        <x:v>Cambodia</x:v>
      </x:c>
      <x:c r="M159" s="18" t="str">
        <x:v>Norodom Sihamoni</x:v>
      </x:c>
      <x:c r="N159" s="20" t="str">
        <x:v>Q424</x:v>
      </x:c>
      <x:c r="O159" s="18" t="str">
        <x:v>King of Cambodia</x:v>
      </x:c>
      <x:c r="P159" s="18" t="str">
        <x:v>Q57319</x:v>
      </x:c>
      <x:c r="Q159" s="18" t="n">
        <x:v>38274</x:v>
      </x:c>
      <x:c r="R159" s="18" t="str">
        <x:v>COMPLETE_FINITE_SNAPSHOT</x:v>
      </x:c>
      <x:c r="S159" s="18" t="str">
        <x:v>Complete returned current head-of-state statements for sovereign-state universe</x:v>
      </x:c>
      <x:c r="T159" s="18" t="str"/>
      <x:c r="U159" s="18" t="str"/>
      <x:c r="V159" s="20" t="n">
        <x:v>252</x:v>
      </x:c>
      <x:c r="W159" s="19" t="str">
        <x:f>IFERROR(TODAY()-DATEVALUE(C159),"")</x:f>
      </x:c>
      <x:c r="X159" s="21" t="n">
        <x:f>ROUND(COUNTA(A159:K159)/11*100,0)</x:f>
        <x:v>100</x:v>
      </x:c>
      <x:c r="Y159" s="18" t="str">
        <x:v>Wikidata</x:v>
      </x:c>
      <x:c r="Z159" s="22" t="str">
        <x:v>http://www.wikidata.org/entity/Q57319</x:v>
      </x:c>
      <x:c r="AA159" s="18" t="str"/>
      <x:c r="AB159" s="18" t="n">
        <x:v>46275.416216736114</x:v>
      </x:c>
      <x:c r="AC159" s="18" t="str">
        <x:v>independent_public</x:v>
      </x:c>
      <x:c r="AD159" s="18" t="str">
        <x:v>PARTIAL_NO_DATE</x:v>
      </x:c>
    </x:row>
    <x:row r="160">
      <x:c r="A160" s="18" t="str">
        <x:v>NYT-13-bf7d9460dd9b211e</x:v>
      </x:c>
      <x:c r="B160" s="18" t="str">
        <x:v>Hassanal Bolkiah I of Brunei</x:v>
      </x:c>
      <x:c r="C160" s="18" t="str"/>
      <x:c r="D160" s="18" t="str"/>
      <x:c r="E160" s="18" t="str"/>
      <x:c r="F160" s="18" t="str"/>
      <x:c r="G160" s="18" t="str"/>
      <x:c r="H160" s="18" t="str">
        <x:v>Brunei</x:v>
      </x:c>
      <x:c r="I160" s="18" t="str">
        <x:v>Brunei</x:v>
      </x:c>
      <x:c r="J160" s="20" t="str"/>
      <x:c r="K160" s="18" t="str"/>
      <x:c r="L160" s="20" t="str">
        <x:v>Brunei</x:v>
      </x:c>
      <x:c r="M160" s="18" t="str">
        <x:v>Hassanal Bolkiah I of Brunei</x:v>
      </x:c>
      <x:c r="N160" s="20" t="str">
        <x:v>Q921</x:v>
      </x:c>
      <x:c r="O160" s="18" t="str">
        <x:v>Sultan of Brunei Darussalam</x:v>
      </x:c>
      <x:c r="P160" s="18" t="str">
        <x:v>Q57327</x:v>
      </x:c>
      <x:c r="Q160" s="18" t="n">
        <x:v>24750</x:v>
      </x:c>
      <x:c r="R160" s="18" t="str">
        <x:v>COMPLETE_FINITE_SNAPSHOT</x:v>
      </x:c>
      <x:c r="S160" s="18" t="str">
        <x:v>Complete returned current head-of-state statements for sovereign-state universe</x:v>
      </x:c>
      <x:c r="T160" s="18" t="str"/>
      <x:c r="U160" s="18" t="str"/>
      <x:c r="V160" s="20" t="n">
        <x:v>252</x:v>
      </x:c>
      <x:c r="W160" s="19" t="str">
        <x:f>IFERROR(TODAY()-DATEVALUE(C160),"")</x:f>
      </x:c>
      <x:c r="X160" s="21" t="n">
        <x:f>ROUND(COUNTA(A160:K160)/11*100,0)</x:f>
        <x:v>100</x:v>
      </x:c>
      <x:c r="Y160" s="18" t="str">
        <x:v>Wikidata</x:v>
      </x:c>
      <x:c r="Z160" s="22" t="str">
        <x:v>http://www.wikidata.org/entity/Q57327</x:v>
      </x:c>
      <x:c r="AA160" s="18" t="str"/>
      <x:c r="AB160" s="18" t="n">
        <x:v>46275.416216736114</x:v>
      </x:c>
      <x:c r="AC160" s="18" t="str">
        <x:v>independent_public</x:v>
      </x:c>
      <x:c r="AD160" s="18" t="str">
        <x:v>PARTIAL_NO_DATE</x:v>
      </x:c>
    </x:row>
    <x:row r="161">
      <x:c r="A161" s="18" t="str">
        <x:v>NYT-13-adeeb36a338daf5c</x:v>
      </x:c>
      <x:c r="B161" s="18" t="str">
        <x:v>Mikheil Kavelashvili</x:v>
      </x:c>
      <x:c r="C161" s="18" t="str"/>
      <x:c r="D161" s="18" t="str"/>
      <x:c r="E161" s="18" t="str"/>
      <x:c r="F161" s="18" t="str"/>
      <x:c r="G161" s="18" t="str"/>
      <x:c r="H161" s="18" t="str">
        <x:v>Georgia</x:v>
      </x:c>
      <x:c r="I161" s="18" t="str">
        <x:v>Georgia</x:v>
      </x:c>
      <x:c r="J161" s="20" t="str"/>
      <x:c r="K161" s="18" t="str"/>
      <x:c r="L161" s="20" t="str">
        <x:v>Georgia</x:v>
      </x:c>
      <x:c r="M161" s="18" t="str">
        <x:v>Mikheil Kavelashvili</x:v>
      </x:c>
      <x:c r="N161" s="20" t="str">
        <x:v>Q230</x:v>
      </x:c>
      <x:c r="O161" s="18" t="str">
        <x:v>President of Georgia</x:v>
      </x:c>
      <x:c r="P161" s="18" t="str">
        <x:v>Q711893</x:v>
      </x:c>
      <x:c r="Q161" s="18" t="n">
        <x:v>45655</x:v>
      </x:c>
      <x:c r="R161" s="18" t="str">
        <x:v>COMPLETE_FINITE_SNAPSHOT</x:v>
      </x:c>
      <x:c r="S161" s="18" t="str">
        <x:v>Complete returned current head-of-state statements for sovereign-state universe</x:v>
      </x:c>
      <x:c r="T161" s="18" t="str"/>
      <x:c r="U161" s="18" t="str"/>
      <x:c r="V161" s="20" t="n">
        <x:v>252</x:v>
      </x:c>
      <x:c r="W161" s="19" t="str">
        <x:f>IFERROR(TODAY()-DATEVALUE(C161),"")</x:f>
      </x:c>
      <x:c r="X161" s="21" t="n">
        <x:f>ROUND(COUNTA(A161:K161)/11*100,0)</x:f>
        <x:v>100</x:v>
      </x:c>
      <x:c r="Y161" s="18" t="str">
        <x:v>Wikidata</x:v>
      </x:c>
      <x:c r="Z161" s="22" t="str">
        <x:v>http://www.wikidata.org/entity/Q711893</x:v>
      </x:c>
      <x:c r="AA161" s="18" t="str"/>
      <x:c r="AB161" s="18" t="n">
        <x:v>46275.416216736114</x:v>
      </x:c>
      <x:c r="AC161" s="18" t="str">
        <x:v>independent_public</x:v>
      </x:c>
      <x:c r="AD161" s="18" t="str">
        <x:v>PARTIAL_NO_DATE</x:v>
      </x:c>
    </x:row>
    <x:row r="162">
      <x:c r="A162" s="18" t="str">
        <x:v>NYT-13-219ffea101432037</x:v>
      </x:c>
      <x:c r="B162" s="18" t="str">
        <x:v>Bongbong Marcos</x:v>
      </x:c>
      <x:c r="C162" s="18" t="str"/>
      <x:c r="D162" s="18" t="str"/>
      <x:c r="E162" s="18" t="str"/>
      <x:c r="F162" s="18" t="str"/>
      <x:c r="G162" s="18" t="str"/>
      <x:c r="H162" s="18" t="str">
        <x:v>Philippines</x:v>
      </x:c>
      <x:c r="I162" s="18" t="str">
        <x:v>Philippines</x:v>
      </x:c>
      <x:c r="J162" s="20" t="str"/>
      <x:c r="K162" s="18" t="str"/>
      <x:c r="L162" s="20" t="str">
        <x:v>Philippines</x:v>
      </x:c>
      <x:c r="M162" s="18" t="str">
        <x:v>Bongbong Marcos</x:v>
      </x:c>
      <x:c r="N162" s="20" t="str">
        <x:v>Q928</x:v>
      </x:c>
      <x:c r="O162" s="18" t="str">
        <x:v>member of the House of Representatives</x:v>
      </x:c>
      <x:c r="P162" s="18" t="str">
        <x:v>Q983324</x:v>
      </x:c>
      <x:c r="Q162" s="18" t="n">
        <x:v>33785</x:v>
      </x:c>
      <x:c r="R162" s="18" t="str">
        <x:v>COMPLETE_FINITE_SNAPSHOT</x:v>
      </x:c>
      <x:c r="S162" s="18" t="str">
        <x:v>Complete returned current head-of-state statements for sovereign-state universe</x:v>
      </x:c>
      <x:c r="T162" s="18" t="str"/>
      <x:c r="U162" s="18" t="str"/>
      <x:c r="V162" s="20" t="n">
        <x:v>252</x:v>
      </x:c>
      <x:c r="W162" s="19" t="str">
        <x:f>IFERROR(TODAY()-DATEVALUE(C162),"")</x:f>
      </x:c>
      <x:c r="X162" s="21" t="n">
        <x:f>ROUND(COUNTA(A162:K162)/11*100,0)</x:f>
        <x:v>100</x:v>
      </x:c>
      <x:c r="Y162" s="18" t="str">
        <x:v>Wikidata</x:v>
      </x:c>
      <x:c r="Z162" s="22" t="str">
        <x:v>http://www.wikidata.org/entity/Q983324</x:v>
      </x:c>
      <x:c r="AA162" s="18" t="str"/>
      <x:c r="AB162" s="18" t="n">
        <x:v>46275.416216736114</x:v>
      </x:c>
      <x:c r="AC162" s="18" t="str">
        <x:v>independent_public</x:v>
      </x:c>
      <x:c r="AD162" s="18" t="str">
        <x:v>PARTIAL_NO_DATE</x:v>
      </x:c>
    </x:row>
    <x:row r="163">
      <x:c r="A163" s="18" t="str">
        <x:v>NYT-13-a16945e53da21e28</x:v>
      </x:c>
      <x:c r="B163" s="18" t="str">
        <x:v>Peter Pellegrini</x:v>
      </x:c>
      <x:c r="C163" s="18" t="str"/>
      <x:c r="D163" s="18" t="str"/>
      <x:c r="E163" s="18" t="str"/>
      <x:c r="F163" s="18" t="str"/>
      <x:c r="G163" s="18" t="str"/>
      <x:c r="H163" s="18" t="str">
        <x:v>Slovakia</x:v>
      </x:c>
      <x:c r="I163" s="18" t="str">
        <x:v>Slovakia</x:v>
      </x:c>
      <x:c r="J163" s="20" t="str"/>
      <x:c r="K163" s="18" t="str"/>
      <x:c r="L163" s="20" t="str">
        <x:v>Slovakia</x:v>
      </x:c>
      <x:c r="M163" s="18" t="str">
        <x:v>Peter Pellegrini</x:v>
      </x:c>
      <x:c r="N163" s="20" t="str">
        <x:v>Q214</x:v>
      </x:c>
      <x:c r="O163" s="18" t="str">
        <x:v>President of Slovakia</x:v>
      </x:c>
      <x:c r="P163" s="18" t="str">
        <x:v>Q17330556</x:v>
      </x:c>
      <x:c r="Q163" s="18" t="n">
        <x:v>45458</x:v>
      </x:c>
      <x:c r="R163" s="18" t="str">
        <x:v>COMPLETE_FINITE_SNAPSHOT</x:v>
      </x:c>
      <x:c r="S163" s="18" t="str">
        <x:v>Complete returned current head-of-state statements for sovereign-state universe</x:v>
      </x:c>
      <x:c r="T163" s="18" t="str"/>
      <x:c r="U163" s="18" t="str"/>
      <x:c r="V163" s="20" t="n">
        <x:v>252</x:v>
      </x:c>
      <x:c r="W163" s="19" t="str">
        <x:f>IFERROR(TODAY()-DATEVALUE(C163),"")</x:f>
      </x:c>
      <x:c r="X163" s="21" t="n">
        <x:f>ROUND(COUNTA(A163:K163)/11*100,0)</x:f>
        <x:v>100</x:v>
      </x:c>
      <x:c r="Y163" s="18" t="str">
        <x:v>Wikidata</x:v>
      </x:c>
      <x:c r="Z163" s="22" t="str">
        <x:v>http://www.wikidata.org/entity/Q17330556</x:v>
      </x:c>
      <x:c r="AA163" s="18" t="str"/>
      <x:c r="AB163" s="18" t="n">
        <x:v>46275.416216736114</x:v>
      </x:c>
      <x:c r="AC163" s="18" t="str">
        <x:v>independent_public</x:v>
      </x:c>
      <x:c r="AD163" s="18" t="str">
        <x:v>PARTIAL_NO_DATE</x:v>
      </x:c>
    </x:row>
    <x:row r="164">
      <x:c r="A164" s="18" t="str">
        <x:v>NYT-13-7afbc8fe25a1e45f</x:v>
      </x:c>
      <x:c r="B164" s="18" t="str">
        <x:v>Igor Ashurbeyli</x:v>
      </x:c>
      <x:c r="C164" s="18" t="str"/>
      <x:c r="D164" s="18" t="str"/>
      <x:c r="E164" s="18" t="str"/>
      <x:c r="F164" s="18" t="str"/>
      <x:c r="G164" s="18" t="str"/>
      <x:c r="H164" s="18" t="str">
        <x:v>Asgardia</x:v>
      </x:c>
      <x:c r="I164" s="18" t="str">
        <x:v>Asgardia</x:v>
      </x:c>
      <x:c r="J164" s="20" t="str"/>
      <x:c r="K164" s="18" t="str"/>
      <x:c r="L164" s="20" t="str">
        <x:v>Asgardia</x:v>
      </x:c>
      <x:c r="M164" s="18" t="str">
        <x:v>Igor Ashurbeyli</x:v>
      </x:c>
      <x:c r="N164" s="20" t="str">
        <x:v>Q27304761</x:v>
      </x:c>
      <x:c r="O164" s="18" t="str">
        <x:v>Head of Nation</x:v>
      </x:c>
      <x:c r="P164" s="18" t="str">
        <x:v>Q4073575</x:v>
      </x:c>
      <x:c r="Q164" s="18" t="n">
        <x:v>43276</x:v>
      </x:c>
      <x:c r="R164" s="18" t="str">
        <x:v>COMPLETE_FINITE_SNAPSHOT</x:v>
      </x:c>
      <x:c r="S164" s="18" t="str">
        <x:v>Complete returned current head-of-state statements for sovereign-state universe</x:v>
      </x:c>
      <x:c r="T164" s="18" t="str"/>
      <x:c r="U164" s="18" t="str"/>
      <x:c r="V164" s="20" t="n">
        <x:v>252</x:v>
      </x:c>
      <x:c r="W164" s="19" t="str">
        <x:f>IFERROR(TODAY()-DATEVALUE(C164),"")</x:f>
      </x:c>
      <x:c r="X164" s="21" t="n">
        <x:f>ROUND(COUNTA(A164:K164)/11*100,0)</x:f>
        <x:v>100</x:v>
      </x:c>
      <x:c r="Y164" s="18" t="str">
        <x:v>Wikidata</x:v>
      </x:c>
      <x:c r="Z164" s="22" t="str">
        <x:v>http://www.wikidata.org/entity/Q4073575</x:v>
      </x:c>
      <x:c r="AA164" s="18" t="str"/>
      <x:c r="AB164" s="18" t="n">
        <x:v>46275.416216736114</x:v>
      </x:c>
      <x:c r="AC164" s="18" t="str">
        <x:v>independent_public</x:v>
      </x:c>
      <x:c r="AD164" s="18" t="str">
        <x:v>PARTIAL_NO_DATE</x:v>
      </x:c>
    </x:row>
    <x:row r="165">
      <x:c r="A165" s="18" t="str">
        <x:v>NYT-13-5b3b0365318d7f53</x:v>
      </x:c>
      <x:c r="B165" s="18" t="str">
        <x:v>José Mário Vaz</x:v>
      </x:c>
      <x:c r="C165" s="18" t="str"/>
      <x:c r="D165" s="18" t="str"/>
      <x:c r="E165" s="18" t="str"/>
      <x:c r="F165" s="18" t="str"/>
      <x:c r="G165" s="18" t="str"/>
      <x:c r="H165" s="18" t="str">
        <x:v>Guinea-Bissau</x:v>
      </x:c>
      <x:c r="I165" s="18" t="str">
        <x:v>Guinea-Bissau</x:v>
      </x:c>
      <x:c r="J165" s="20" t="str"/>
      <x:c r="K165" s="18" t="str"/>
      <x:c r="L165" s="20" t="str">
        <x:v>Guinea-Bissau</x:v>
      </x:c>
      <x:c r="M165" s="18" t="str">
        <x:v>José Mário Vaz</x:v>
      </x:c>
      <x:c r="N165" s="20" t="str">
        <x:v>Q1007</x:v>
      </x:c>
      <x:c r="O165" s="18" t="str">
        <x:v>President of Guinea-Bissau</x:v>
      </x:c>
      <x:c r="P165" s="18" t="str">
        <x:v>Q16908893</x:v>
      </x:c>
      <x:c r="Q165" s="18" t="n">
        <x:v>41813</x:v>
      </x:c>
      <x:c r="R165" s="18" t="str">
        <x:v>COMPLETE_FINITE_SNAPSHOT</x:v>
      </x:c>
      <x:c r="S165" s="18" t="str">
        <x:v>Complete returned current head-of-state statements for sovereign-state universe</x:v>
      </x:c>
      <x:c r="T165" s="18" t="str"/>
      <x:c r="U165" s="18" t="str"/>
      <x:c r="V165" s="20" t="n">
        <x:v>252</x:v>
      </x:c>
      <x:c r="W165" s="19" t="str">
        <x:f>IFERROR(TODAY()-DATEVALUE(C165),"")</x:f>
      </x:c>
      <x:c r="X165" s="21" t="n">
        <x:f>ROUND(COUNTA(A165:K165)/11*100,0)</x:f>
        <x:v>100</x:v>
      </x:c>
      <x:c r="Y165" s="18" t="str">
        <x:v>Wikidata</x:v>
      </x:c>
      <x:c r="Z165" s="22" t="str">
        <x:v>http://www.wikidata.org/entity/Q16908893</x:v>
      </x:c>
      <x:c r="AA165" s="18" t="str"/>
      <x:c r="AB165" s="18" t="n">
        <x:v>46275.416216736114</x:v>
      </x:c>
      <x:c r="AC165" s="18" t="str">
        <x:v>independent_public</x:v>
      </x:c>
      <x:c r="AD165" s="18" t="str">
        <x:v>PARTIAL_NO_DATE</x:v>
      </x:c>
    </x:row>
    <x:row r="166">
      <x:c r="A166" s="18" t="str">
        <x:v>NYT-13-1f9bd867bc078720</x:v>
      </x:c>
      <x:c r="B166" s="18" t="str">
        <x:v>Lai Ching-te</x:v>
      </x:c>
      <x:c r="C166" s="18" t="str"/>
      <x:c r="D166" s="18" t="str"/>
      <x:c r="E166" s="18" t="str"/>
      <x:c r="F166" s="18" t="str"/>
      <x:c r="G166" s="18" t="str"/>
      <x:c r="H166" s="18" t="str">
        <x:v>Taiwan</x:v>
      </x:c>
      <x:c r="I166" s="18" t="str">
        <x:v>Taiwan</x:v>
      </x:c>
      <x:c r="J166" s="20" t="str"/>
      <x:c r="K166" s="18" t="str"/>
      <x:c r="L166" s="20" t="str">
        <x:v>Taiwan</x:v>
      </x:c>
      <x:c r="M166" s="18" t="str">
        <x:v>Lai Ching-te</x:v>
      </x:c>
      <x:c r="N166" s="20" t="str">
        <x:v>Q865</x:v>
      </x:c>
      <x:c r="O166" s="18" t="str">
        <x:v>Premier of the Republic of China</x:v>
      </x:c>
      <x:c r="P166" s="18" t="str">
        <x:v>Q3847080</x:v>
      </x:c>
      <x:c r="Q166" s="18" t="n">
        <x:v>42986</x:v>
      </x:c>
      <x:c r="R166" s="18" t="str">
        <x:v>COMPLETE_FINITE_SNAPSHOT</x:v>
      </x:c>
      <x:c r="S166" s="18" t="str">
        <x:v>Complete returned current head-of-state statements for sovereign-state universe</x:v>
      </x:c>
      <x:c r="T166" s="18" t="str"/>
      <x:c r="U166" s="18" t="str"/>
      <x:c r="V166" s="20" t="n">
        <x:v>252</x:v>
      </x:c>
      <x:c r="W166" s="19" t="str">
        <x:f>IFERROR(TODAY()-DATEVALUE(C166),"")</x:f>
      </x:c>
      <x:c r="X166" s="21" t="n">
        <x:f>ROUND(COUNTA(A166:K166)/11*100,0)</x:f>
        <x:v>100</x:v>
      </x:c>
      <x:c r="Y166" s="18" t="str">
        <x:v>Wikidata</x:v>
      </x:c>
      <x:c r="Z166" s="22" t="str">
        <x:v>http://www.wikidata.org/entity/Q3847080</x:v>
      </x:c>
      <x:c r="AA166" s="18" t="str"/>
      <x:c r="AB166" s="18" t="n">
        <x:v>46275.416216736114</x:v>
      </x:c>
      <x:c r="AC166" s="18" t="str">
        <x:v>independent_public</x:v>
      </x:c>
      <x:c r="AD166" s="18" t="str">
        <x:v>PARTIAL_NO_DATE</x:v>
      </x:c>
    </x:row>
    <x:row r="167">
      <x:c r="A167" s="18" t="str">
        <x:v>NYT-13-a9c4d1a2c6fd2a80</x:v>
      </x:c>
      <x:c r="B167" s="18" t="str">
        <x:v>Qasym-Zhomart Toqaev</x:v>
      </x:c>
      <x:c r="C167" s="18" t="str"/>
      <x:c r="D167" s="18" t="str"/>
      <x:c r="E167" s="18" t="str"/>
      <x:c r="F167" s="18" t="str"/>
      <x:c r="G167" s="18" t="str"/>
      <x:c r="H167" s="18" t="str">
        <x:v>Kazakhstan</x:v>
      </x:c>
      <x:c r="I167" s="18" t="str">
        <x:v>Kazakhstan</x:v>
      </x:c>
      <x:c r="J167" s="20" t="str"/>
      <x:c r="K167" s="18" t="str"/>
      <x:c r="L167" s="20" t="str">
        <x:v>Kazakhstan</x:v>
      </x:c>
      <x:c r="M167" s="18" t="str">
        <x:v>Qasym-Zhomart Toqaev</x:v>
      </x:c>
      <x:c r="N167" s="20" t="str">
        <x:v>Q232</x:v>
      </x:c>
      <x:c r="O167" s="18" t="str">
        <x:v>Chair of the Senate of Kazakhstan</x:v>
      </x:c>
      <x:c r="P167" s="18" t="str">
        <x:v>Q200881</x:v>
      </x:c>
      <x:c r="Q167" s="18" t="n">
        <x:v>39093</x:v>
      </x:c>
      <x:c r="R167" s="18" t="str">
        <x:v>COMPLETE_FINITE_SNAPSHOT</x:v>
      </x:c>
      <x:c r="S167" s="18" t="str">
        <x:v>Complete returned current head-of-state statements for sovereign-state universe</x:v>
      </x:c>
      <x:c r="T167" s="18" t="str"/>
      <x:c r="U167" s="18" t="str"/>
      <x:c r="V167" s="20" t="n">
        <x:v>252</x:v>
      </x:c>
      <x:c r="W167" s="19" t="str">
        <x:f>IFERROR(TODAY()-DATEVALUE(C167),"")</x:f>
      </x:c>
      <x:c r="X167" s="21" t="n">
        <x:f>ROUND(COUNTA(A167:K167)/11*100,0)</x:f>
        <x:v>100</x:v>
      </x:c>
      <x:c r="Y167" s="18" t="str">
        <x:v>Wikidata</x:v>
      </x:c>
      <x:c r="Z167" s="22" t="str">
        <x:v>http://www.wikidata.org/entity/Q200881</x:v>
      </x:c>
      <x:c r="AA167" s="18" t="str"/>
      <x:c r="AB167" s="18" t="n">
        <x:v>46275.416216736114</x:v>
      </x:c>
      <x:c r="AC167" s="18" t="str">
        <x:v>independent_public</x:v>
      </x:c>
      <x:c r="AD167" s="18" t="str">
        <x:v>PARTIAL_NO_DATE</x:v>
      </x:c>
    </x:row>
    <x:row r="168">
      <x:c r="A168" s="18" t="str">
        <x:v>NYT-13-4964ef0ef4e05170</x:v>
      </x:c>
      <x:c r="B168" s="18" t="str">
        <x:v>Anura Kurankan Dissanayake</x:v>
      </x:c>
      <x:c r="C168" s="18" t="str"/>
      <x:c r="D168" s="18" t="str"/>
      <x:c r="E168" s="18" t="str"/>
      <x:c r="F168" s="18" t="str"/>
      <x:c r="G168" s="18" t="str"/>
      <x:c r="H168" s="18" t="str">
        <x:v>Sri Lanka</x:v>
      </x:c>
      <x:c r="I168" s="18" t="str">
        <x:v>Sri Lanka</x:v>
      </x:c>
      <x:c r="J168" s="20" t="str"/>
      <x:c r="K168" s="18" t="str"/>
      <x:c r="L168" s="20" t="str">
        <x:v>Sri Lanka</x:v>
      </x:c>
      <x:c r="M168" s="18" t="str">
        <x:v>Anura Kurankan Dissanayake</x:v>
      </x:c>
      <x:c r="N168" s="20" t="str">
        <x:v>Q854</x:v>
      </x:c>
      <x:c r="O168" s="18" t="str">
        <x:v>Member of the Parliament of Sri Lanka</x:v>
      </x:c>
      <x:c r="P168" s="18" t="str">
        <x:v>Q4777855</x:v>
      </x:c>
      <x:c r="Q168" s="18" t="n">
        <x:v>36817</x:v>
      </x:c>
      <x:c r="R168" s="18" t="str">
        <x:v>COMPLETE_FINITE_SNAPSHOT</x:v>
      </x:c>
      <x:c r="S168" s="18" t="str">
        <x:v>Complete returned current head-of-state statements for sovereign-state universe</x:v>
      </x:c>
      <x:c r="T168" s="18" t="str"/>
      <x:c r="U168" s="18" t="str"/>
      <x:c r="V168" s="20" t="n">
        <x:v>252</x:v>
      </x:c>
      <x:c r="W168" s="19" t="str">
        <x:f>IFERROR(TODAY()-DATEVALUE(C168),"")</x:f>
      </x:c>
      <x:c r="X168" s="21" t="n">
        <x:f>ROUND(COUNTA(A168:K168)/11*100,0)</x:f>
        <x:v>100</x:v>
      </x:c>
      <x:c r="Y168" s="18" t="str">
        <x:v>Wikidata</x:v>
      </x:c>
      <x:c r="Z168" s="22" t="str">
        <x:v>http://www.wikidata.org/entity/Q4777855</x:v>
      </x:c>
      <x:c r="AA168" s="18" t="str"/>
      <x:c r="AB168" s="18" t="n">
        <x:v>46275.416216736114</x:v>
      </x:c>
      <x:c r="AC168" s="18" t="str">
        <x:v>independent_public</x:v>
      </x:c>
      <x:c r="AD168" s="18" t="str">
        <x:v>PARTIAL_NO_DATE</x:v>
      </x:c>
    </x:row>
    <x:row r="169">
      <x:c r="A169" s="18" t="str">
        <x:v>NYT-13-e07cffb68ba64408</x:v>
      </x:c>
      <x:c r="B169" s="18" t="str">
        <x:v>Sergio Mattarella</x:v>
      </x:c>
      <x:c r="C169" s="18" t="str"/>
      <x:c r="D169" s="18" t="str"/>
      <x:c r="E169" s="18" t="str"/>
      <x:c r="F169" s="18" t="str"/>
      <x:c r="G169" s="18" t="str"/>
      <x:c r="H169" s="18" t="str">
        <x:v>Italy</x:v>
      </x:c>
      <x:c r="I169" s="18" t="str">
        <x:v>Italy</x:v>
      </x:c>
      <x:c r="J169" s="20" t="str"/>
      <x:c r="K169" s="18" t="str"/>
      <x:c r="L169" s="20" t="str">
        <x:v>Italy</x:v>
      </x:c>
      <x:c r="M169" s="18" t="str">
        <x:v>Sergio Mattarella</x:v>
      </x:c>
      <x:c r="N169" s="20" t="str">
        <x:v>Q38</x:v>
      </x:c>
      <x:c r="O169" s="18" t="str">
        <x:v>member of the Chamber of Deputies of the Italian Republic</x:v>
      </x:c>
      <x:c r="P169" s="18" t="str">
        <x:v>Q3956186</x:v>
      </x:c>
      <x:c r="Q169" s="18" t="n">
        <x:v>30504</x:v>
      </x:c>
      <x:c r="R169" s="18" t="str">
        <x:v>COMPLETE_FINITE_SNAPSHOT</x:v>
      </x:c>
      <x:c r="S169" s="18" t="str">
        <x:v>Complete returned current head-of-state statements for sovereign-state universe</x:v>
      </x:c>
      <x:c r="T169" s="18" t="str"/>
      <x:c r="U169" s="18" t="str"/>
      <x:c r="V169" s="20" t="n">
        <x:v>252</x:v>
      </x:c>
      <x:c r="W169" s="19" t="str">
        <x:f>IFERROR(TODAY()-DATEVALUE(C169),"")</x:f>
      </x:c>
      <x:c r="X169" s="21" t="n">
        <x:f>ROUND(COUNTA(A169:K169)/11*100,0)</x:f>
        <x:v>100</x:v>
      </x:c>
      <x:c r="Y169" s="18" t="str">
        <x:v>Wikidata</x:v>
      </x:c>
      <x:c r="Z169" s="22" t="str">
        <x:v>http://www.wikidata.org/entity/Q3956186</x:v>
      </x:c>
      <x:c r="AA169" s="18" t="str"/>
      <x:c r="AB169" s="18" t="n">
        <x:v>46275.416216736114</x:v>
      </x:c>
      <x:c r="AC169" s="18" t="str">
        <x:v>independent_public</x:v>
      </x:c>
      <x:c r="AD169" s="18" t="str">
        <x:v>PARTIAL_NO_DATE</x:v>
      </x:c>
    </x:row>
    <x:row r="170">
      <x:c r="A170" s="18" t="str">
        <x:v>NYT-13-7b87f56d426050c7</x:v>
      </x:c>
      <x:c r="B170" s="18" t="str">
        <x:v>Željka Cvijanović</x:v>
      </x:c>
      <x:c r="C170" s="18" t="str"/>
      <x:c r="D170" s="18" t="str"/>
      <x:c r="E170" s="18" t="str"/>
      <x:c r="F170" s="18" t="str"/>
      <x:c r="G170" s="18" t="str"/>
      <x:c r="H170" s="18" t="str">
        <x:v>Bosnia and Herzegovina</x:v>
      </x:c>
      <x:c r="I170" s="18" t="str">
        <x:v>Bosnia and Herzegovina</x:v>
      </x:c>
      <x:c r="J170" s="20" t="str"/>
      <x:c r="K170" s="18" t="str"/>
      <x:c r="L170" s="20" t="str">
        <x:v>Bosnia and Herzegovina</x:v>
      </x:c>
      <x:c r="M170" s="18" t="str">
        <x:v>Željka Cvijanović</x:v>
      </x:c>
      <x:c r="N170" s="20" t="str">
        <x:v>Q225</x:v>
      </x:c>
      <x:c r="O170" s="18" t="str">
        <x:v>Serb member of the Presidency of Bosnia and Herzegovina</x:v>
      </x:c>
      <x:c r="P170" s="18" t="str">
        <x:v>Q5528031</x:v>
      </x:c>
      <x:c r="Q170" s="18" t="n">
        <x:v>44881</x:v>
      </x:c>
      <x:c r="R170" s="18" t="str">
        <x:v>COMPLETE_FINITE_SNAPSHOT</x:v>
      </x:c>
      <x:c r="S170" s="18" t="str">
        <x:v>Complete returned current head-of-state statements for sovereign-state universe</x:v>
      </x:c>
      <x:c r="T170" s="18" t="str"/>
      <x:c r="U170" s="18" t="str"/>
      <x:c r="V170" s="20" t="n">
        <x:v>252</x:v>
      </x:c>
      <x:c r="W170" s="19" t="str">
        <x:f>IFERROR(TODAY()-DATEVALUE(C170),"")</x:f>
      </x:c>
      <x:c r="X170" s="21" t="n">
        <x:f>ROUND(COUNTA(A170:K170)/11*100,0)</x:f>
        <x:v>100</x:v>
      </x:c>
      <x:c r="Y170" s="18" t="str">
        <x:v>Wikidata</x:v>
      </x:c>
      <x:c r="Z170" s="22" t="str">
        <x:v>http://www.wikidata.org/entity/Q5528031</x:v>
      </x:c>
      <x:c r="AA170" s="18" t="str"/>
      <x:c r="AB170" s="18" t="n">
        <x:v>46275.416216736114</x:v>
      </x:c>
      <x:c r="AC170" s="18" t="str">
        <x:v>independent_public</x:v>
      </x:c>
      <x:c r="AD170" s="18" t="str">
        <x:v>PARTIAL_NO_DATE</x:v>
      </x:c>
    </x:row>
    <x:row r="171">
      <x:c r="A171" s="18" t="str">
        <x:v>NYT-13-5603829486eb53fd</x:v>
      </x:c>
      <x:c r="B171" s="18" t="str">
        <x:v>Tupou VI of Tonga</x:v>
      </x:c>
      <x:c r="C171" s="18" t="str"/>
      <x:c r="D171" s="18" t="str"/>
      <x:c r="E171" s="18" t="str"/>
      <x:c r="F171" s="18" t="str"/>
      <x:c r="G171" s="18" t="str"/>
      <x:c r="H171" s="18" t="str">
        <x:v>Tonga</x:v>
      </x:c>
      <x:c r="I171" s="18" t="str">
        <x:v>Tonga</x:v>
      </x:c>
      <x:c r="J171" s="20" t="str"/>
      <x:c r="K171" s="18" t="str"/>
      <x:c r="L171" s="20" t="str">
        <x:v>Tonga</x:v>
      </x:c>
      <x:c r="M171" s="18" t="str">
        <x:v>Tupou VI of Tonga</x:v>
      </x:c>
      <x:c r="N171" s="20" t="str">
        <x:v>Q678</x:v>
      </x:c>
      <x:c r="O171" s="18" t="str">
        <x:v>ambassador of Tonga to Japan</x:v>
      </x:c>
      <x:c r="P171" s="18" t="str">
        <x:v>Q208497</x:v>
      </x:c>
      <x:c r="Q171" s="18" t="n">
        <x:v>40179</x:v>
      </x:c>
      <x:c r="R171" s="18" t="str">
        <x:v>COMPLETE_FINITE_SNAPSHOT</x:v>
      </x:c>
      <x:c r="S171" s="18" t="str">
        <x:v>Complete returned current head-of-state statements for sovereign-state universe</x:v>
      </x:c>
      <x:c r="T171" s="18" t="str"/>
      <x:c r="U171" s="18" t="str"/>
      <x:c r="V171" s="20" t="n">
        <x:v>252</x:v>
      </x:c>
      <x:c r="W171" s="19" t="str">
        <x:f>IFERROR(TODAY()-DATEVALUE(C171),"")</x:f>
      </x:c>
      <x:c r="X171" s="21" t="n">
        <x:f>ROUND(COUNTA(A171:K171)/11*100,0)</x:f>
        <x:v>100</x:v>
      </x:c>
      <x:c r="Y171" s="18" t="str">
        <x:v>Wikidata</x:v>
      </x:c>
      <x:c r="Z171" s="22" t="str">
        <x:v>http://www.wikidata.org/entity/Q208497</x:v>
      </x:c>
      <x:c r="AA171" s="18" t="str"/>
      <x:c r="AB171" s="18" t="n">
        <x:v>46275.416216736114</x:v>
      </x:c>
      <x:c r="AC171" s="18" t="str">
        <x:v>independent_public</x:v>
      </x:c>
      <x:c r="AD171" s="18" t="str">
        <x:v>PARTIAL_NO_DATE</x:v>
      </x:c>
    </x:row>
    <x:row r="172">
      <x:c r="A172" s="18" t="str">
        <x:v>NYT-13-30e04d90242c1204</x:v>
      </x:c>
      <x:c r="B172" s="18" t="str">
        <x:v>Paul Kagame</x:v>
      </x:c>
      <x:c r="C172" s="18" t="str"/>
      <x:c r="D172" s="18" t="str"/>
      <x:c r="E172" s="18" t="str"/>
      <x:c r="F172" s="18" t="str"/>
      <x:c r="G172" s="18" t="str"/>
      <x:c r="H172" s="18" t="str">
        <x:v>Rwanda</x:v>
      </x:c>
      <x:c r="I172" s="18" t="str">
        <x:v>Rwanda</x:v>
      </x:c>
      <x:c r="J172" s="20" t="str"/>
      <x:c r="K172" s="18" t="str"/>
      <x:c r="L172" s="20" t="str">
        <x:v>Rwanda</x:v>
      </x:c>
      <x:c r="M172" s="18" t="str">
        <x:v>Paul Kagame</x:v>
      </x:c>
      <x:c r="N172" s="20" t="str">
        <x:v>Q1037</x:v>
      </x:c>
      <x:c r="O172" s="18" t="str">
        <x:v>Q19057726</x:v>
      </x:c>
      <x:c r="P172" s="18" t="str">
        <x:v>Q1231345</x:v>
      </x:c>
      <x:c r="Q172" s="18" t="n">
        <x:v>36638</x:v>
      </x:c>
      <x:c r="R172" s="18" t="str">
        <x:v>COMPLETE_FINITE_SNAPSHOT</x:v>
      </x:c>
      <x:c r="S172" s="18" t="str">
        <x:v>Complete returned current head-of-state statements for sovereign-state universe</x:v>
      </x:c>
      <x:c r="T172" s="18" t="str"/>
      <x:c r="U172" s="18" t="str"/>
      <x:c r="V172" s="20" t="n">
        <x:v>252</x:v>
      </x:c>
      <x:c r="W172" s="19" t="str">
        <x:f>IFERROR(TODAY()-DATEVALUE(C172),"")</x:f>
      </x:c>
      <x:c r="X172" s="21" t="n">
        <x:f>ROUND(COUNTA(A172:K172)/11*100,0)</x:f>
        <x:v>100</x:v>
      </x:c>
      <x:c r="Y172" s="18" t="str">
        <x:v>Wikidata</x:v>
      </x:c>
      <x:c r="Z172" s="22" t="str">
        <x:v>http://www.wikidata.org/entity/Q1231345</x:v>
      </x:c>
      <x:c r="AA172" s="18" t="str"/>
      <x:c r="AB172" s="18" t="n">
        <x:v>46275.416216736114</x:v>
      </x:c>
      <x:c r="AC172" s="18" t="str">
        <x:v>independent_public</x:v>
      </x:c>
      <x:c r="AD172" s="18" t="str">
        <x:v>PARTIAL_NO_DATE</x:v>
      </x:c>
    </x:row>
    <x:row r="173">
      <x:c r="A173" s="18" t="str">
        <x:v>NYT-13-8c10f2177e553228</x:v>
      </x:c>
      <x:c r="B173" s="18" t="str">
        <x:v>Cyril Ramaphosa</x:v>
      </x:c>
      <x:c r="C173" s="18" t="str"/>
      <x:c r="D173" s="18" t="str"/>
      <x:c r="E173" s="18" t="str"/>
      <x:c r="F173" s="18" t="str"/>
      <x:c r="G173" s="18" t="str"/>
      <x:c r="H173" s="18" t="str">
        <x:v>South Africa</x:v>
      </x:c>
      <x:c r="I173" s="18" t="str">
        <x:v>South Africa</x:v>
      </x:c>
      <x:c r="J173" s="20" t="str"/>
      <x:c r="K173" s="18" t="str"/>
      <x:c r="L173" s="20" t="str">
        <x:v>South Africa</x:v>
      </x:c>
      <x:c r="M173" s="18" t="str">
        <x:v>Cyril Ramaphosa</x:v>
      </x:c>
      <x:c r="N173" s="20" t="str">
        <x:v>Q258</x:v>
      </x:c>
      <x:c r="O173" s="18" t="str">
        <x:v>Chairperson of the African Union</x:v>
      </x:c>
      <x:c r="P173" s="18" t="str">
        <x:v>Q1148669</x:v>
      </x:c>
      <x:c r="Q173" s="18" t="n">
        <x:v>43871</x:v>
      </x:c>
      <x:c r="R173" s="18" t="str">
        <x:v>COMPLETE_FINITE_SNAPSHOT</x:v>
      </x:c>
      <x:c r="S173" s="18" t="str">
        <x:v>Complete returned current head-of-state statements for sovereign-state universe</x:v>
      </x:c>
      <x:c r="T173" s="18" t="str"/>
      <x:c r="U173" s="18" t="str"/>
      <x:c r="V173" s="20" t="n">
        <x:v>252</x:v>
      </x:c>
      <x:c r="W173" s="19" t="str">
        <x:f>IFERROR(TODAY()-DATEVALUE(C173),"")</x:f>
      </x:c>
      <x:c r="X173" s="21" t="n">
        <x:f>ROUND(COUNTA(A173:K173)/11*100,0)</x:f>
        <x:v>100</x:v>
      </x:c>
      <x:c r="Y173" s="18" t="str">
        <x:v>Wikidata</x:v>
      </x:c>
      <x:c r="Z173" s="22" t="str">
        <x:v>http://www.wikidata.org/entity/Q1148669</x:v>
      </x:c>
      <x:c r="AA173" s="18" t="str"/>
      <x:c r="AB173" s="18" t="n">
        <x:v>46275.416216736114</x:v>
      </x:c>
      <x:c r="AC173" s="18" t="str">
        <x:v>independent_public</x:v>
      </x:c>
      <x:c r="AD173" s="18" t="str">
        <x:v>PARTIAL_NO_DATE</x:v>
      </x:c>
    </x:row>
    <x:row r="174">
      <x:c r="A174" s="18" t="str">
        <x:v>NYT-13-b8b65df50e663d7b</x:v>
      </x:c>
      <x:c r="B174" s="18" t="str">
        <x:v>Karol Nawrocki</x:v>
      </x:c>
      <x:c r="C174" s="18" t="str"/>
      <x:c r="D174" s="18" t="str"/>
      <x:c r="E174" s="18" t="str"/>
      <x:c r="F174" s="18" t="str"/>
      <x:c r="G174" s="18" t="str"/>
      <x:c r="H174" s="18" t="str">
        <x:v>Poland</x:v>
      </x:c>
      <x:c r="I174" s="18" t="str">
        <x:v>Poland</x:v>
      </x:c>
      <x:c r="J174" s="20" t="str"/>
      <x:c r="K174" s="18" t="str"/>
      <x:c r="L174" s="20" t="str">
        <x:v>Poland</x:v>
      </x:c>
      <x:c r="M174" s="18" t="str">
        <x:v>Karol Nawrocki</x:v>
      </x:c>
      <x:c r="N174" s="20" t="str">
        <x:v>Q36</x:v>
      </x:c>
      <x:c r="O174" s="18" t="str">
        <x:v>museum director</x:v>
      </x:c>
      <x:c r="P174" s="18" t="str">
        <x:v>Q17704749</x:v>
      </x:c>
      <x:c r="Q174" s="18" t="n">
        <x:v>43027</x:v>
      </x:c>
      <x:c r="R174" s="18" t="str">
        <x:v>COMPLETE_FINITE_SNAPSHOT</x:v>
      </x:c>
      <x:c r="S174" s="18" t="str">
        <x:v>Complete returned current head-of-state statements for sovereign-state universe</x:v>
      </x:c>
      <x:c r="T174" s="18" t="str"/>
      <x:c r="U174" s="18" t="str"/>
      <x:c r="V174" s="20" t="n">
        <x:v>252</x:v>
      </x:c>
      <x:c r="W174" s="19" t="str">
        <x:f>IFERROR(TODAY()-DATEVALUE(C174),"")</x:f>
      </x:c>
      <x:c r="X174" s="21" t="n">
        <x:f>ROUND(COUNTA(A174:K174)/11*100,0)</x:f>
        <x:v>100</x:v>
      </x:c>
      <x:c r="Y174" s="18" t="str">
        <x:v>Wikidata</x:v>
      </x:c>
      <x:c r="Z174" s="22" t="str">
        <x:v>http://www.wikidata.org/entity/Q17704749</x:v>
      </x:c>
      <x:c r="AA174" s="18" t="str"/>
      <x:c r="AB174" s="18" t="n">
        <x:v>46275.416216736114</x:v>
      </x:c>
      <x:c r="AC174" s="18" t="str">
        <x:v>independent_public</x:v>
      </x:c>
      <x:c r="AD174" s="18" t="str">
        <x:v>PARTIAL_NO_DATE</x:v>
      </x:c>
    </x:row>
    <x:row r="175">
      <x:c r="A175" s="18" t="str">
        <x:v>NYT-13-48817772787bb721</x:v>
      </x:c>
      <x:c r="B175" s="18" t="str">
        <x:v>Tharman Shanmugaratnam</x:v>
      </x:c>
      <x:c r="C175" s="18" t="str"/>
      <x:c r="D175" s="18" t="str"/>
      <x:c r="E175" s="18" t="str"/>
      <x:c r="F175" s="18" t="str"/>
      <x:c r="G175" s="18" t="str"/>
      <x:c r="H175" s="18" t="str">
        <x:v>Singapore</x:v>
      </x:c>
      <x:c r="I175" s="18" t="str">
        <x:v>Singapore</x:v>
      </x:c>
      <x:c r="J175" s="20" t="str"/>
      <x:c r="K175" s="18" t="str"/>
      <x:c r="L175" s="20" t="str">
        <x:v>Singapore</x:v>
      </x:c>
      <x:c r="M175" s="18" t="str">
        <x:v>Tharman Shanmugaratnam</x:v>
      </x:c>
      <x:c r="N175" s="20" t="str">
        <x:v>Q334</x:v>
      </x:c>
      <x:c r="O175" s="18" t="str">
        <x:v>President of Singapore</x:v>
      </x:c>
      <x:c r="P175" s="18" t="str">
        <x:v>Q983752</x:v>
      </x:c>
      <x:c r="Q175" s="18" t="n">
        <x:v>45183</x:v>
      </x:c>
      <x:c r="R175" s="18" t="str">
        <x:v>COMPLETE_FINITE_SNAPSHOT</x:v>
      </x:c>
      <x:c r="S175" s="18" t="str">
        <x:v>Complete returned current head-of-state statements for sovereign-state universe</x:v>
      </x:c>
      <x:c r="T175" s="18" t="str"/>
      <x:c r="U175" s="18" t="str"/>
      <x:c r="V175" s="20" t="n">
        <x:v>252</x:v>
      </x:c>
      <x:c r="W175" s="19" t="str">
        <x:f>IFERROR(TODAY()-DATEVALUE(C175),"")</x:f>
      </x:c>
      <x:c r="X175" s="21" t="n">
        <x:f>ROUND(COUNTA(A175:K175)/11*100,0)</x:f>
        <x:v>100</x:v>
      </x:c>
      <x:c r="Y175" s="18" t="str">
        <x:v>Wikidata</x:v>
      </x:c>
      <x:c r="Z175" s="22" t="str">
        <x:v>http://www.wikidata.org/entity/Q983752</x:v>
      </x:c>
      <x:c r="AA175" s="18" t="str"/>
      <x:c r="AB175" s="18" t="n">
        <x:v>46275.416216736114</x:v>
      </x:c>
      <x:c r="AC175" s="18" t="str">
        <x:v>independent_public</x:v>
      </x:c>
      <x:c r="AD175" s="18" t="str">
        <x:v>PARTIAL_NO_DATE</x:v>
      </x:c>
    </x:row>
    <x:row r="176">
      <x:c r="A176" s="18" t="str">
        <x:v>NYT-13-26873e3d3d785a3d</x:v>
      </x:c>
      <x:c r="B176" s="18" t="str">
        <x:v>Mohammed Bin Zayed Al Nahyan</x:v>
      </x:c>
      <x:c r="C176" s="18" t="str"/>
      <x:c r="D176" s="18" t="str"/>
      <x:c r="E176" s="18" t="str"/>
      <x:c r="F176" s="18" t="str"/>
      <x:c r="G176" s="18" t="str"/>
      <x:c r="H176" s="18" t="str">
        <x:v>United Arab Emirates</x:v>
      </x:c>
      <x:c r="I176" s="18" t="str">
        <x:v>United Arab Emirates</x:v>
      </x:c>
      <x:c r="J176" s="20" t="str"/>
      <x:c r="K176" s="18" t="str"/>
      <x:c r="L176" s="20" t="str">
        <x:v>United Arab Emirates</x:v>
      </x:c>
      <x:c r="M176" s="18" t="str">
        <x:v>Mohammed Bin Zayed Al Nahyan</x:v>
      </x:c>
      <x:c r="N176" s="20" t="str">
        <x:v>Q878</x:v>
      </x:c>
      <x:c r="O176" s="18" t="str">
        <x:v>President of the United Arab Emirates</x:v>
      </x:c>
      <x:c r="P176" s="18" t="str">
        <x:v>Q1951896</x:v>
      </x:c>
      <x:c r="Q176" s="18" t="n">
        <x:v>44695</x:v>
      </x:c>
      <x:c r="R176" s="18" t="str">
        <x:v>COMPLETE_FINITE_SNAPSHOT</x:v>
      </x:c>
      <x:c r="S176" s="18" t="str">
        <x:v>Complete returned current head-of-state statements for sovereign-state universe</x:v>
      </x:c>
      <x:c r="T176" s="18" t="str"/>
      <x:c r="U176" s="18" t="str"/>
      <x:c r="V176" s="20" t="n">
        <x:v>252</x:v>
      </x:c>
      <x:c r="W176" s="19" t="str">
        <x:f>IFERROR(TODAY()-DATEVALUE(C176),"")</x:f>
      </x:c>
      <x:c r="X176" s="21" t="n">
        <x:f>ROUND(COUNTA(A176:K176)/11*100,0)</x:f>
        <x:v>100</x:v>
      </x:c>
      <x:c r="Y176" s="18" t="str">
        <x:v>Wikidata</x:v>
      </x:c>
      <x:c r="Z176" s="22" t="str">
        <x:v>http://www.wikidata.org/entity/Q1951896</x:v>
      </x:c>
      <x:c r="AA176" s="18" t="str"/>
      <x:c r="AB176" s="18" t="n">
        <x:v>46275.416216736114</x:v>
      </x:c>
      <x:c r="AC176" s="18" t="str">
        <x:v>independent_public</x:v>
      </x:c>
      <x:c r="AD176" s="18" t="str">
        <x:v>PARTIAL_NO_DATE</x:v>
      </x:c>
    </x:row>
    <x:row r="177">
      <x:c r="A177" s="18" t="str">
        <x:v>NYT-13-d100e5e2f374242e</x:v>
      </x:c>
      <x:c r="B177" s="18" t="str">
        <x:v>Petr Pavel</x:v>
      </x:c>
      <x:c r="C177" s="18" t="str"/>
      <x:c r="D177" s="18" t="str"/>
      <x:c r="E177" s="18" t="str"/>
      <x:c r="F177" s="18" t="str"/>
      <x:c r="G177" s="18" t="str"/>
      <x:c r="H177" s="18" t="str">
        <x:v>Czech Republic</x:v>
      </x:c>
      <x:c r="I177" s="18" t="str">
        <x:v>Czech Republic</x:v>
      </x:c>
      <x:c r="J177" s="20" t="str"/>
      <x:c r="K177" s="18" t="str"/>
      <x:c r="L177" s="20" t="str">
        <x:v>Czech Republic</x:v>
      </x:c>
      <x:c r="M177" s="18" t="str">
        <x:v>Petr Pavel</x:v>
      </x:c>
      <x:c r="N177" s="20" t="str">
        <x:v>Q213</x:v>
      </x:c>
      <x:c r="O177" s="18" t="str">
        <x:v>Chief of the General Staff of the Army of the Czech Republic</x:v>
      </x:c>
      <x:c r="P177" s="18" t="str">
        <x:v>Q2080040</x:v>
      </x:c>
      <x:c r="Q177" s="18" t="n">
        <x:v>41091</x:v>
      </x:c>
      <x:c r="R177" s="18" t="str">
        <x:v>COMPLETE_FINITE_SNAPSHOT</x:v>
      </x:c>
      <x:c r="S177" s="18" t="str">
        <x:v>Complete returned current head-of-state statements for sovereign-state universe</x:v>
      </x:c>
      <x:c r="T177" s="18" t="str"/>
      <x:c r="U177" s="18" t="str"/>
      <x:c r="V177" s="20" t="n">
        <x:v>252</x:v>
      </x:c>
      <x:c r="W177" s="19" t="str">
        <x:f>IFERROR(TODAY()-DATEVALUE(C177),"")</x:f>
      </x:c>
      <x:c r="X177" s="21" t="n">
        <x:f>ROUND(COUNTA(A177:K177)/11*100,0)</x:f>
        <x:v>100</x:v>
      </x:c>
      <x:c r="Y177" s="18" t="str">
        <x:v>Wikidata</x:v>
      </x:c>
      <x:c r="Z177" s="22" t="str">
        <x:v>http://www.wikidata.org/entity/Q2080040</x:v>
      </x:c>
      <x:c r="AA177" s="18" t="str"/>
      <x:c r="AB177" s="18" t="n">
        <x:v>46275.416216736114</x:v>
      </x:c>
      <x:c r="AC177" s="18" t="str">
        <x:v>independent_public</x:v>
      </x:c>
      <x:c r="AD177" s="18" t="str">
        <x:v>PARTIAL_NO_DATE</x:v>
      </x:c>
    </x:row>
    <x:row r="178">
      <x:c r="A178" s="18" t="str">
        <x:v>NYT-13-e4c10c9303bfb73b</x:v>
      </x:c>
      <x:c r="B178" s="18" t="str">
        <x:v>Catherine Connolly</x:v>
      </x:c>
      <x:c r="C178" s="18" t="str"/>
      <x:c r="D178" s="18" t="str"/>
      <x:c r="E178" s="18" t="str"/>
      <x:c r="F178" s="18" t="str"/>
      <x:c r="G178" s="18" t="str"/>
      <x:c r="H178" s="18" t="str">
        <x:v>Ireland</x:v>
      </x:c>
      <x:c r="I178" s="18" t="str">
        <x:v>Ireland</x:v>
      </x:c>
      <x:c r="J178" s="20" t="str"/>
      <x:c r="K178" s="18" t="str"/>
      <x:c r="L178" s="20" t="str">
        <x:v>Ireland</x:v>
      </x:c>
      <x:c r="M178" s="18" t="str">
        <x:v>Catherine Connolly</x:v>
      </x:c>
      <x:c r="N178" s="20" t="str">
        <x:v>Q27</x:v>
      </x:c>
      <x:c r="O178" s="18" t="str">
        <x:v>Leas-Cheann Comhairle</x:v>
      </x:c>
      <x:c r="P178" s="18" t="str">
        <x:v>Q5052598</x:v>
      </x:c>
      <x:c r="Q178" s="18" t="n">
        <x:v>44035</x:v>
      </x:c>
      <x:c r="R178" s="18" t="str">
        <x:v>COMPLETE_FINITE_SNAPSHOT</x:v>
      </x:c>
      <x:c r="S178" s="18" t="str">
        <x:v>Complete returned current head-of-state statements for sovereign-state universe</x:v>
      </x:c>
      <x:c r="T178" s="18" t="str"/>
      <x:c r="U178" s="18" t="str"/>
      <x:c r="V178" s="20" t="n">
        <x:v>252</x:v>
      </x:c>
      <x:c r="W178" s="19" t="str">
        <x:f>IFERROR(TODAY()-DATEVALUE(C178),"")</x:f>
      </x:c>
      <x:c r="X178" s="21" t="n">
        <x:f>ROUND(COUNTA(A178:K178)/11*100,0)</x:f>
        <x:v>100</x:v>
      </x:c>
      <x:c r="Y178" s="18" t="str">
        <x:v>Wikidata</x:v>
      </x:c>
      <x:c r="Z178" s="22" t="str">
        <x:v>http://www.wikidata.org/entity/Q5052598</x:v>
      </x:c>
      <x:c r="AA178" s="18" t="str"/>
      <x:c r="AB178" s="18" t="n">
        <x:v>46275.416216736114</x:v>
      </x:c>
      <x:c r="AC178" s="18" t="str">
        <x:v>independent_public</x:v>
      </x:c>
      <x:c r="AD178" s="18" t="str">
        <x:v>PARTIAL_NO_DATE</x:v>
      </x:c>
    </x:row>
    <x:row r="179">
      <x:c r="A179" s="18" t="str">
        <x:v>NYT-13-7c801708cb898766</x:v>
      </x:c>
      <x:c r="B179" s="18" t="str">
        <x:v>Frederik X of Denmark</x:v>
      </x:c>
      <x:c r="C179" s="18" t="str"/>
      <x:c r="D179" s="18" t="str"/>
      <x:c r="E179" s="18" t="str"/>
      <x:c r="F179" s="18" t="str"/>
      <x:c r="G179" s="18" t="str"/>
      <x:c r="H179" s="18" t="str">
        <x:v>Denmark</x:v>
      </x:c>
      <x:c r="I179" s="18" t="str">
        <x:v>Denmark</x:v>
      </x:c>
      <x:c r="J179" s="20" t="str"/>
      <x:c r="K179" s="18" t="str"/>
      <x:c r="L179" s="20" t="str">
        <x:v>Denmark</x:v>
      </x:c>
      <x:c r="M179" s="18" t="str">
        <x:v>Frederik X of Denmark</x:v>
      </x:c>
      <x:c r="N179" s="20" t="str">
        <x:v>Q35</x:v>
      </x:c>
      <x:c r="O179" s="18" t="str">
        <x:v>monarch of Denmark</x:v>
      </x:c>
      <x:c r="P179" s="18" t="str">
        <x:v>Q1004037</x:v>
      </x:c>
      <x:c r="Q179" s="18" t="n">
        <x:v>45305</x:v>
      </x:c>
      <x:c r="R179" s="18" t="str">
        <x:v>COMPLETE_FINITE_SNAPSHOT</x:v>
      </x:c>
      <x:c r="S179" s="18" t="str">
        <x:v>Complete returned current head-of-state statements for sovereign-state universe</x:v>
      </x:c>
      <x:c r="T179" s="18" t="str"/>
      <x:c r="U179" s="18" t="str"/>
      <x:c r="V179" s="20" t="n">
        <x:v>252</x:v>
      </x:c>
      <x:c r="W179" s="19" t="str">
        <x:f>IFERROR(TODAY()-DATEVALUE(C179),"")</x:f>
      </x:c>
      <x:c r="X179" s="21" t="n">
        <x:f>ROUND(COUNTA(A179:K179)/11*100,0)</x:f>
        <x:v>100</x:v>
      </x:c>
      <x:c r="Y179" s="18" t="str">
        <x:v>Wikidata</x:v>
      </x:c>
      <x:c r="Z179" s="22" t="str">
        <x:v>http://www.wikidata.org/entity/Q1004037</x:v>
      </x:c>
      <x:c r="AA179" s="18" t="str"/>
      <x:c r="AB179" s="18" t="n">
        <x:v>46275.416216736114</x:v>
      </x:c>
      <x:c r="AC179" s="18" t="str">
        <x:v>independent_public</x:v>
      </x:c>
      <x:c r="AD179" s="18" t="str">
        <x:v>PARTIAL_NO_DATE</x:v>
      </x:c>
    </x:row>
    <x:row r="180">
      <x:c r="A180" s="18" t="str">
        <x:v>NYT-13-04cf4d40d1d62ce2</x:v>
      </x:c>
      <x:c r="B180" s="18" t="str">
        <x:v>Nayib Bukele</x:v>
      </x:c>
      <x:c r="C180" s="18" t="str"/>
      <x:c r="D180" s="18" t="str"/>
      <x:c r="E180" s="18" t="str"/>
      <x:c r="F180" s="18" t="str"/>
      <x:c r="G180" s="18" t="str"/>
      <x:c r="H180" s="18" t="str">
        <x:v>El Salvador</x:v>
      </x:c>
      <x:c r="I180" s="18" t="str">
        <x:v>El Salvador</x:v>
      </x:c>
      <x:c r="J180" s="20" t="str"/>
      <x:c r="K180" s="18" t="str"/>
      <x:c r="L180" s="20" t="str">
        <x:v>El Salvador</x:v>
      </x:c>
      <x:c r="M180" s="18" t="str">
        <x:v>Nayib Bukele</x:v>
      </x:c>
      <x:c r="N180" s="20" t="str">
        <x:v>Q792</x:v>
      </x:c>
      <x:c r="O180" s="18" t="str">
        <x:v>Mayor of San Salvador</x:v>
      </x:c>
      <x:c r="P180" s="18" t="str">
        <x:v>Q17712353</x:v>
      </x:c>
      <x:c r="Q180" s="18" t="n">
        <x:v>42125</x:v>
      </x:c>
      <x:c r="R180" s="18" t="str">
        <x:v>COMPLETE_FINITE_SNAPSHOT</x:v>
      </x:c>
      <x:c r="S180" s="18" t="str">
        <x:v>Complete returned current head-of-state statements for sovereign-state universe</x:v>
      </x:c>
      <x:c r="T180" s="18" t="str"/>
      <x:c r="U180" s="18" t="str"/>
      <x:c r="V180" s="20" t="n">
        <x:v>252</x:v>
      </x:c>
      <x:c r="W180" s="19" t="str">
        <x:f>IFERROR(TODAY()-DATEVALUE(C180),"")</x:f>
      </x:c>
      <x:c r="X180" s="21" t="n">
        <x:f>ROUND(COUNTA(A180:K180)/11*100,0)</x:f>
        <x:v>100</x:v>
      </x:c>
      <x:c r="Y180" s="18" t="str">
        <x:v>Wikidata</x:v>
      </x:c>
      <x:c r="Z180" s="22" t="str">
        <x:v>http://www.wikidata.org/entity/Q17712353</x:v>
      </x:c>
      <x:c r="AA180" s="18" t="str"/>
      <x:c r="AB180" s="18" t="n">
        <x:v>46275.416216736114</x:v>
      </x:c>
      <x:c r="AC180" s="18" t="str">
        <x:v>independent_public</x:v>
      </x:c>
      <x:c r="AD180" s="18" t="str">
        <x:v>PARTIAL_NO_DATE</x:v>
      </x:c>
    </x:row>
    <x:row r="181">
      <x:c r="A181" s="18" t="str">
        <x:v>NYT-13-702f0e5e78863e7a</x:v>
      </x:c>
      <x:c r="B181" s="18" t="str">
        <x:v>Isaac Herzog</x:v>
      </x:c>
      <x:c r="C181" s="18" t="str"/>
      <x:c r="D181" s="18" t="str"/>
      <x:c r="E181" s="18" t="str"/>
      <x:c r="F181" s="18" t="str"/>
      <x:c r="G181" s="18" t="str"/>
      <x:c r="H181" s="18" t="str">
        <x:v>Israel</x:v>
      </x:c>
      <x:c r="I181" s="18" t="str">
        <x:v>Israel</x:v>
      </x:c>
      <x:c r="J181" s="20" t="str"/>
      <x:c r="K181" s="18" t="str"/>
      <x:c r="L181" s="20" t="str">
        <x:v>Israel</x:v>
      </x:c>
      <x:c r="M181" s="18" t="str">
        <x:v>Isaac Herzog</x:v>
      </x:c>
      <x:c r="N181" s="20" t="str">
        <x:v>Q801</x:v>
      </x:c>
      <x:c r="O181" s="18" t="str">
        <x:v>President of Israel</x:v>
      </x:c>
      <x:c r="P181" s="18" t="str">
        <x:v>Q983258</x:v>
      </x:c>
      <x:c r="Q181" s="18" t="n">
        <x:v>44349</x:v>
      </x:c>
      <x:c r="R181" s="18" t="str">
        <x:v>COMPLETE_FINITE_SNAPSHOT</x:v>
      </x:c>
      <x:c r="S181" s="18" t="str">
        <x:v>Complete returned current head-of-state statements for sovereign-state universe</x:v>
      </x:c>
      <x:c r="T181" s="18" t="str"/>
      <x:c r="U181" s="18" t="str"/>
      <x:c r="V181" s="20" t="n">
        <x:v>252</x:v>
      </x:c>
      <x:c r="W181" s="19" t="str">
        <x:f>IFERROR(TODAY()-DATEVALUE(C181),"")</x:f>
      </x:c>
      <x:c r="X181" s="21" t="n">
        <x:f>ROUND(COUNTA(A181:K181)/11*100,0)</x:f>
        <x:v>100</x:v>
      </x:c>
      <x:c r="Y181" s="18" t="str">
        <x:v>Wikidata</x:v>
      </x:c>
      <x:c r="Z181" s="22" t="str">
        <x:v>http://www.wikidata.org/entity/Q983258</x:v>
      </x:c>
      <x:c r="AA181" s="18" t="str"/>
      <x:c r="AB181" s="18" t="n">
        <x:v>46275.416216736114</x:v>
      </x:c>
      <x:c r="AC181" s="18" t="str">
        <x:v>independent_public</x:v>
      </x:c>
      <x:c r="AD181" s="18" t="str">
        <x:v>PARTIAL_NO_DATE</x:v>
      </x:c>
    </x:row>
    <x:row r="182">
      <x:c r="A182" s="18" t="str">
        <x:v>NYT-13-473146ba6de4b9dd</x:v>
      </x:c>
      <x:c r="B182" s="18" t="str">
        <x:v>Volodymyr Zelenskyy</x:v>
      </x:c>
      <x:c r="C182" s="18" t="str"/>
      <x:c r="D182" s="18" t="str"/>
      <x:c r="E182" s="18" t="str"/>
      <x:c r="F182" s="18" t="str"/>
      <x:c r="G182" s="18" t="str"/>
      <x:c r="H182" s="18" t="str">
        <x:v>Ukraine</x:v>
      </x:c>
      <x:c r="I182" s="18" t="str">
        <x:v>Ukraine</x:v>
      </x:c>
      <x:c r="J182" s="20" t="str"/>
      <x:c r="K182" s="18" t="str"/>
      <x:c r="L182" s="20" t="str">
        <x:v>Ukraine</x:v>
      </x:c>
      <x:c r="M182" s="18" t="str">
        <x:v>Volodymyr Zelenskyy</x:v>
      </x:c>
      <x:c r="N182" s="20" t="str">
        <x:v>Q212</x:v>
      </x:c>
      <x:c r="O182" s="18" t="str">
        <x:v>Supreme Commander of the Armed Forces of Ukraine</x:v>
      </x:c>
      <x:c r="P182" s="18" t="str">
        <x:v>Q3874799</x:v>
      </x:c>
      <x:c r="Q182" s="18" t="n">
        <x:v>43605</x:v>
      </x:c>
      <x:c r="R182" s="18" t="str">
        <x:v>COMPLETE_FINITE_SNAPSHOT</x:v>
      </x:c>
      <x:c r="S182" s="18" t="str">
        <x:v>Complete returned current head-of-state statements for sovereign-state universe</x:v>
      </x:c>
      <x:c r="T182" s="18" t="str"/>
      <x:c r="U182" s="18" t="str"/>
      <x:c r="V182" s="20" t="n">
        <x:v>252</x:v>
      </x:c>
      <x:c r="W182" s="19" t="str">
        <x:f>IFERROR(TODAY()-DATEVALUE(C182),"")</x:f>
      </x:c>
      <x:c r="X182" s="21" t="n">
        <x:f>ROUND(COUNTA(A182:K182)/11*100,0)</x:f>
        <x:v>100</x:v>
      </x:c>
      <x:c r="Y182" s="18" t="str">
        <x:v>Wikidata</x:v>
      </x:c>
      <x:c r="Z182" s="22" t="str">
        <x:v>http://www.wikidata.org/entity/Q3874799</x:v>
      </x:c>
      <x:c r="AA182" s="18" t="str"/>
      <x:c r="AB182" s="18" t="n">
        <x:v>46275.416216736114</x:v>
      </x:c>
      <x:c r="AC182" s="18" t="str">
        <x:v>independent_public</x:v>
      </x:c>
      <x:c r="AD182" s="18" t="str">
        <x:v>PARTIAL_NO_DATE</x:v>
      </x:c>
    </x:row>
    <x:row r="183">
      <x:c r="A183" s="18" t="str">
        <x:v>NYT-13-17d41b1305567f6c</x:v>
      </x:c>
      <x:c r="B183" s="18" t="str">
        <x:v>Tamim bin Hamad Al Thani</x:v>
      </x:c>
      <x:c r="C183" s="18" t="str"/>
      <x:c r="D183" s="18" t="str"/>
      <x:c r="E183" s="18" t="str"/>
      <x:c r="F183" s="18" t="str"/>
      <x:c r="G183" s="18" t="str"/>
      <x:c r="H183" s="18" t="str">
        <x:v>Qatar</x:v>
      </x:c>
      <x:c r="I183" s="18" t="str">
        <x:v>Qatar</x:v>
      </x:c>
      <x:c r="J183" s="20" t="str"/>
      <x:c r="K183" s="18" t="str"/>
      <x:c r="L183" s="20" t="str">
        <x:v>Qatar</x:v>
      </x:c>
      <x:c r="M183" s="18" t="str">
        <x:v>Tamim bin Hamad Al Thani</x:v>
      </x:c>
      <x:c r="N183" s="20" t="str">
        <x:v>Q846</x:v>
      </x:c>
      <x:c r="O183" s="18" t="str">
        <x:v>Emir of the State of Qatar</x:v>
      </x:c>
      <x:c r="P183" s="18" t="str">
        <x:v>Q1855372</x:v>
      </x:c>
      <x:c r="Q183" s="18" t="n">
        <x:v>41450</x:v>
      </x:c>
      <x:c r="R183" s="18" t="str">
        <x:v>COMPLETE_FINITE_SNAPSHOT</x:v>
      </x:c>
      <x:c r="S183" s="18" t="str">
        <x:v>Complete returned current head-of-state statements for sovereign-state universe</x:v>
      </x:c>
      <x:c r="T183" s="18" t="str"/>
      <x:c r="U183" s="18" t="str"/>
      <x:c r="V183" s="20" t="n">
        <x:v>252</x:v>
      </x:c>
      <x:c r="W183" s="19" t="str">
        <x:f>IFERROR(TODAY()-DATEVALUE(C183),"")</x:f>
      </x:c>
      <x:c r="X183" s="21" t="n">
        <x:f>ROUND(COUNTA(A183:K183)/11*100,0)</x:f>
        <x:v>100</x:v>
      </x:c>
      <x:c r="Y183" s="18" t="str">
        <x:v>Wikidata</x:v>
      </x:c>
      <x:c r="Z183" s="22" t="str">
        <x:v>http://www.wikidata.org/entity/Q1855372</x:v>
      </x:c>
      <x:c r="AA183" s="18" t="str"/>
      <x:c r="AB183" s="18" t="n">
        <x:v>46275.416216736114</x:v>
      </x:c>
      <x:c r="AC183" s="18" t="str">
        <x:v>independent_public</x:v>
      </x:c>
      <x:c r="AD183" s="18" t="str">
        <x:v>PARTIAL_NO_DATE</x:v>
      </x:c>
    </x:row>
    <x:row r="184">
      <x:c r="A184" s="18" t="str">
        <x:v>NYT-13-9e60796dffcb6b42</x:v>
      </x:c>
      <x:c r="B184" s="18" t="str">
        <x:v>Frederik X of Denmark</x:v>
      </x:c>
      <x:c r="C184" s="18" t="str"/>
      <x:c r="D184" s="18" t="str"/>
      <x:c r="E184" s="18" t="str"/>
      <x:c r="F184" s="18" t="str"/>
      <x:c r="G184" s="18" t="str"/>
      <x:c r="H184" s="18" t="str">
        <x:v>Kingdom of Denmark</x:v>
      </x:c>
      <x:c r="I184" s="18" t="str">
        <x:v>Kingdom of Denmark</x:v>
      </x:c>
      <x:c r="J184" s="20" t="str"/>
      <x:c r="K184" s="18" t="str"/>
      <x:c r="L184" s="20" t="str">
        <x:v>Kingdom of Denmark</x:v>
      </x:c>
      <x:c r="M184" s="18" t="str">
        <x:v>Frederik X of Denmark</x:v>
      </x:c>
      <x:c r="N184" s="20" t="str">
        <x:v>Q756617</x:v>
      </x:c>
      <x:c r="O184" s="18" t="str">
        <x:v>monarch of Denmark</x:v>
      </x:c>
      <x:c r="P184" s="18" t="str">
        <x:v>Q1004037</x:v>
      </x:c>
      <x:c r="Q184" s="18" t="n">
        <x:v>45305</x:v>
      </x:c>
      <x:c r="R184" s="18" t="str">
        <x:v>COMPLETE_FINITE_SNAPSHOT</x:v>
      </x:c>
      <x:c r="S184" s="18" t="str">
        <x:v>Complete returned current head-of-state statements for sovereign-state universe</x:v>
      </x:c>
      <x:c r="T184" s="18" t="str"/>
      <x:c r="U184" s="18" t="str"/>
      <x:c r="V184" s="20" t="n">
        <x:v>252</x:v>
      </x:c>
      <x:c r="W184" s="19" t="str">
        <x:f>IFERROR(TODAY()-DATEVALUE(C184),"")</x:f>
      </x:c>
      <x:c r="X184" s="21" t="n">
        <x:f>ROUND(COUNTA(A184:K184)/11*100,0)</x:f>
        <x:v>100</x:v>
      </x:c>
      <x:c r="Y184" s="18" t="str">
        <x:v>Wikidata</x:v>
      </x:c>
      <x:c r="Z184" s="22" t="str">
        <x:v>http://www.wikidata.org/entity/Q1004037</x:v>
      </x:c>
      <x:c r="AA184" s="18" t="str"/>
      <x:c r="AB184" s="18" t="n">
        <x:v>46275.416216736114</x:v>
      </x:c>
      <x:c r="AC184" s="18" t="str">
        <x:v>independent_public</x:v>
      </x:c>
      <x:c r="AD184" s="18" t="str">
        <x:v>PARTIAL_NO_DATE</x:v>
      </x:c>
    </x:row>
    <x:row r="185">
      <x:c r="A185" s="18" t="str">
        <x:v>NYT-13-05bf4df00004b011</x:v>
      </x:c>
      <x:c r="B185" s="18" t="str">
        <x:v>Ibrahim Iskandar of Johor</x:v>
      </x:c>
      <x:c r="C185" s="18" t="str"/>
      <x:c r="D185" s="18" t="str"/>
      <x:c r="E185" s="18" t="str"/>
      <x:c r="F185" s="18" t="str"/>
      <x:c r="G185" s="18" t="str"/>
      <x:c r="H185" s="18" t="str">
        <x:v>Malaysia</x:v>
      </x:c>
      <x:c r="I185" s="18" t="str">
        <x:v>Malaysia</x:v>
      </x:c>
      <x:c r="J185" s="20" t="str"/>
      <x:c r="K185" s="18" t="str"/>
      <x:c r="L185" s="20" t="str">
        <x:v>Malaysia</x:v>
      </x:c>
      <x:c r="M185" s="18" t="str">
        <x:v>Ibrahim Iskandar of Johor</x:v>
      </x:c>
      <x:c r="N185" s="20" t="str">
        <x:v>Q833</x:v>
      </x:c>
      <x:c r="O185" s="18" t="str">
        <x:v>Regent of Johor</x:v>
      </x:c>
      <x:c r="P185" s="18" t="str">
        <x:v>Q2657043</x:v>
      </x:c>
      <x:c r="Q185" s="18" t="n">
        <x:v>30797</x:v>
      </x:c>
      <x:c r="R185" s="18" t="str">
        <x:v>COMPLETE_FINITE_SNAPSHOT</x:v>
      </x:c>
      <x:c r="S185" s="18" t="str">
        <x:v>Complete returned current head-of-state statements for sovereign-state universe</x:v>
      </x:c>
      <x:c r="T185" s="18" t="str"/>
      <x:c r="U185" s="18" t="str"/>
      <x:c r="V185" s="20" t="n">
        <x:v>252</x:v>
      </x:c>
      <x:c r="W185" s="19" t="str">
        <x:f>IFERROR(TODAY()-DATEVALUE(C185),"")</x:f>
      </x:c>
      <x:c r="X185" s="21" t="n">
        <x:f>ROUND(COUNTA(A185:K185)/11*100,0)</x:f>
        <x:v>100</x:v>
      </x:c>
      <x:c r="Y185" s="18" t="str">
        <x:v>Wikidata</x:v>
      </x:c>
      <x:c r="Z185" s="22" t="str">
        <x:v>http://www.wikidata.org/entity/Q2657043</x:v>
      </x:c>
      <x:c r="AA185" s="18" t="str"/>
      <x:c r="AB185" s="18" t="n">
        <x:v>46275.416216736114</x:v>
      </x:c>
      <x:c r="AC185" s="18" t="str">
        <x:v>independent_public</x:v>
      </x:c>
      <x:c r="AD185" s="18" t="str">
        <x:v>PARTIAL_NO_DATE</x:v>
      </x:c>
    </x:row>
    <x:row r="186">
      <x:c r="A186" s="18" t="str">
        <x:v>NYT-13-208e2019fd2e56a6</x:v>
      </x:c>
      <x:c r="B186" s="18" t="str">
        <x:v>Joseph Boakai</x:v>
      </x:c>
      <x:c r="C186" s="18" t="str"/>
      <x:c r="D186" s="18" t="str"/>
      <x:c r="E186" s="18" t="str"/>
      <x:c r="F186" s="18" t="str"/>
      <x:c r="G186" s="18" t="str"/>
      <x:c r="H186" s="18" t="str">
        <x:v>Liberia</x:v>
      </x:c>
      <x:c r="I186" s="18" t="str">
        <x:v>Liberia</x:v>
      </x:c>
      <x:c r="J186" s="20" t="str"/>
      <x:c r="K186" s="18" t="str"/>
      <x:c r="L186" s="20" t="str">
        <x:v>Liberia</x:v>
      </x:c>
      <x:c r="M186" s="18" t="str">
        <x:v>Joseph Boakai</x:v>
      </x:c>
      <x:c r="N186" s="20" t="str">
        <x:v>Q1014</x:v>
      </x:c>
      <x:c r="O186" s="18" t="str">
        <x:v>Vice President of Liberia</x:v>
      </x:c>
      <x:c r="P186" s="18" t="str">
        <x:v>Q2630483</x:v>
      </x:c>
      <x:c r="Q186" s="18" t="n">
        <x:v>38733</x:v>
      </x:c>
      <x:c r="R186" s="18" t="str">
        <x:v>COMPLETE_FINITE_SNAPSHOT</x:v>
      </x:c>
      <x:c r="S186" s="18" t="str">
        <x:v>Complete returned current head-of-state statements for sovereign-state universe</x:v>
      </x:c>
      <x:c r="T186" s="18" t="str"/>
      <x:c r="U186" s="18" t="str"/>
      <x:c r="V186" s="20" t="n">
        <x:v>252</x:v>
      </x:c>
      <x:c r="W186" s="19" t="str">
        <x:f>IFERROR(TODAY()-DATEVALUE(C186),"")</x:f>
      </x:c>
      <x:c r="X186" s="21" t="n">
        <x:f>ROUND(COUNTA(A186:K186)/11*100,0)</x:f>
        <x:v>100</x:v>
      </x:c>
      <x:c r="Y186" s="18" t="str">
        <x:v>Wikidata</x:v>
      </x:c>
      <x:c r="Z186" s="22" t="str">
        <x:v>http://www.wikidata.org/entity/Q2630483</x:v>
      </x:c>
      <x:c r="AA186" s="18" t="str"/>
      <x:c r="AB186" s="18" t="n">
        <x:v>46275.416216736114</x:v>
      </x:c>
      <x:c r="AC186" s="18" t="str">
        <x:v>independent_public</x:v>
      </x:c>
      <x:c r="AD186" s="18" t="str">
        <x:v>PARTIAL_NO_DATE</x:v>
      </x:c>
    </x:row>
    <x:row r="187">
      <x:c r="A187" s="18" t="str">
        <x:v>NYT-13-a9be1bd4125ab797</x:v>
      </x:c>
      <x:c r="B187" s="18" t="str">
        <x:v>Droupadi Murmu</x:v>
      </x:c>
      <x:c r="C187" s="18" t="str"/>
      <x:c r="D187" s="18" t="str"/>
      <x:c r="E187" s="18" t="str"/>
      <x:c r="F187" s="18" t="str"/>
      <x:c r="G187" s="18" t="str"/>
      <x:c r="H187" s="18" t="str">
        <x:v>India</x:v>
      </x:c>
      <x:c r="I187" s="18" t="str">
        <x:v>India</x:v>
      </x:c>
      <x:c r="J187" s="20" t="str"/>
      <x:c r="K187" s="18" t="str"/>
      <x:c r="L187" s="20" t="str">
        <x:v>India</x:v>
      </x:c>
      <x:c r="M187" s="18" t="str">
        <x:v>Droupadi Murmu</x:v>
      </x:c>
      <x:c r="N187" s="20" t="str">
        <x:v>Q668</x:v>
      </x:c>
      <x:c r="O187" s="18" t="str">
        <x:v>President of India</x:v>
      </x:c>
      <x:c r="P187" s="18" t="str">
        <x:v>Q19901232</x:v>
      </x:c>
      <x:c r="Q187" s="18" t="n">
        <x:v>44767</x:v>
      </x:c>
      <x:c r="R187" s="18" t="str">
        <x:v>COMPLETE_FINITE_SNAPSHOT</x:v>
      </x:c>
      <x:c r="S187" s="18" t="str">
        <x:v>Complete returned current head-of-state statements for sovereign-state universe</x:v>
      </x:c>
      <x:c r="T187" s="18" t="str"/>
      <x:c r="U187" s="18" t="str"/>
      <x:c r="V187" s="20" t="n">
        <x:v>252</x:v>
      </x:c>
      <x:c r="W187" s="19" t="str">
        <x:f>IFERROR(TODAY()-DATEVALUE(C187),"")</x:f>
      </x:c>
      <x:c r="X187" s="21" t="n">
        <x:f>ROUND(COUNTA(A187:K187)/11*100,0)</x:f>
        <x:v>100</x:v>
      </x:c>
      <x:c r="Y187" s="18" t="str">
        <x:v>Wikidata</x:v>
      </x:c>
      <x:c r="Z187" s="22" t="str">
        <x:v>http://www.wikidata.org/entity/Q19901232</x:v>
      </x:c>
      <x:c r="AA187" s="18" t="str"/>
      <x:c r="AB187" s="18" t="n">
        <x:v>46275.416216736114</x:v>
      </x:c>
      <x:c r="AC187" s="18" t="str">
        <x:v>independent_public</x:v>
      </x:c>
      <x:c r="AD187" s="18" t="str">
        <x:v>PARTIAL_NO_DATE</x:v>
      </x:c>
    </x:row>
    <x:row r="188">
      <x:c r="A188" s="18" t="str">
        <x:v>NYT-13-1f9d1c4c5328bc55</x:v>
      </x:c>
      <x:c r="B188" s="18" t="str">
        <x:v>Sadyr Japarov</x:v>
      </x:c>
      <x:c r="C188" s="18" t="str"/>
      <x:c r="D188" s="18" t="str"/>
      <x:c r="E188" s="18" t="str"/>
      <x:c r="F188" s="18" t="str"/>
      <x:c r="G188" s="18" t="str"/>
      <x:c r="H188" s="18" t="str">
        <x:v>Kyrgyzstan</x:v>
      </x:c>
      <x:c r="I188" s="18" t="str">
        <x:v>Kyrgyzstan</x:v>
      </x:c>
      <x:c r="J188" s="20" t="str"/>
      <x:c r="K188" s="18" t="str"/>
      <x:c r="L188" s="20" t="str">
        <x:v>Kyrgyzstan</x:v>
      </x:c>
      <x:c r="M188" s="18" t="str">
        <x:v>Sadyr Japarov</x:v>
      </x:c>
      <x:c r="N188" s="20" t="str">
        <x:v>Q813</x:v>
      </x:c>
      <x:c r="O188" s="18" t="str">
        <x:v>President of Kyrgyzstan</x:v>
      </x:c>
      <x:c r="P188" s="18" t="str">
        <x:v>Q25597826</x:v>
      </x:c>
      <x:c r="Q188" s="18" t="n">
        <x:v>44119</x:v>
      </x:c>
      <x:c r="R188" s="18" t="str">
        <x:v>COMPLETE_FINITE_SNAPSHOT</x:v>
      </x:c>
      <x:c r="S188" s="18" t="str">
        <x:v>Complete returned current head-of-state statements for sovereign-state universe</x:v>
      </x:c>
      <x:c r="T188" s="18" t="str"/>
      <x:c r="U188" s="18" t="str"/>
      <x:c r="V188" s="20" t="n">
        <x:v>252</x:v>
      </x:c>
      <x:c r="W188" s="19" t="str">
        <x:f>IFERROR(TODAY()-DATEVALUE(C188),"")</x:f>
      </x:c>
      <x:c r="X188" s="21" t="n">
        <x:f>ROUND(COUNTA(A188:K188)/11*100,0)</x:f>
        <x:v>100</x:v>
      </x:c>
      <x:c r="Y188" s="18" t="str">
        <x:v>Wikidata</x:v>
      </x:c>
      <x:c r="Z188" s="22" t="str">
        <x:v>http://www.wikidata.org/entity/Q25597826</x:v>
      </x:c>
      <x:c r="AA188" s="18" t="str"/>
      <x:c r="AB188" s="18" t="n">
        <x:v>46275.416216736114</x:v>
      </x:c>
      <x:c r="AC188" s="18" t="str">
        <x:v>independent_public</x:v>
      </x:c>
      <x:c r="AD188" s="18" t="str">
        <x:v>PARTIAL_NO_DATE</x:v>
      </x:c>
    </x:row>
    <x:row r="189">
      <x:c r="A189" s="18" t="str">
        <x:v>NYT-13-163e980cce1a71cb</x:v>
      </x:c>
      <x:c r="B189" s="18" t="str">
        <x:v>Julius Maada Bio</x:v>
      </x:c>
      <x:c r="C189" s="18" t="str"/>
      <x:c r="D189" s="18" t="str"/>
      <x:c r="E189" s="18" t="str"/>
      <x:c r="F189" s="18" t="str"/>
      <x:c r="G189" s="18" t="str"/>
      <x:c r="H189" s="18" t="str">
        <x:v>Sierra Leone</x:v>
      </x:c>
      <x:c r="I189" s="18" t="str">
        <x:v>Sierra Leone</x:v>
      </x:c>
      <x:c r="J189" s="20" t="str"/>
      <x:c r="K189" s="18" t="str"/>
      <x:c r="L189" s="20" t="str">
        <x:v>Sierra Leone</x:v>
      </x:c>
      <x:c r="M189" s="18" t="str">
        <x:v>Julius Maada Bio</x:v>
      </x:c>
      <x:c r="N189" s="20" t="str">
        <x:v>Q1044</x:v>
      </x:c>
      <x:c r="O189" s="18" t="str">
        <x:v>Chief of the Defence Staff (Sierra Leone)</x:v>
      </x:c>
      <x:c r="P189" s="18" t="str">
        <x:v>Q283829</x:v>
      </x:c>
      <x:c r="Q189" s="18" t="n">
        <x:v>34759</x:v>
      </x:c>
      <x:c r="R189" s="18" t="str">
        <x:v>COMPLETE_FINITE_SNAPSHOT</x:v>
      </x:c>
      <x:c r="S189" s="18" t="str">
        <x:v>Complete returned current head-of-state statements for sovereign-state universe</x:v>
      </x:c>
      <x:c r="T189" s="18" t="str"/>
      <x:c r="U189" s="18" t="str"/>
      <x:c r="V189" s="20" t="n">
        <x:v>252</x:v>
      </x:c>
      <x:c r="W189" s="19" t="str">
        <x:f>IFERROR(TODAY()-DATEVALUE(C189),"")</x:f>
      </x:c>
      <x:c r="X189" s="21" t="n">
        <x:f>ROUND(COUNTA(A189:K189)/11*100,0)</x:f>
        <x:v>100</x:v>
      </x:c>
      <x:c r="Y189" s="18" t="str">
        <x:v>Wikidata</x:v>
      </x:c>
      <x:c r="Z189" s="22" t="str">
        <x:v>http://www.wikidata.org/entity/Q283829</x:v>
      </x:c>
      <x:c r="AA189" s="18" t="str"/>
      <x:c r="AB189" s="18" t="n">
        <x:v>46275.416216736114</x:v>
      </x:c>
      <x:c r="AC189" s="18" t="str">
        <x:v>independent_public</x:v>
      </x:c>
      <x:c r="AD189" s="18" t="str">
        <x:v>PARTIAL_NO_DATE</x:v>
      </x:c>
    </x:row>
    <x:row r="190">
      <x:c r="A190" s="18" t="str">
        <x:v>NYT-13-7bc590827026b21b</x:v>
      </x:c>
      <x:c r="B190" s="18" t="str">
        <x:v>Keiko Fujimori</x:v>
      </x:c>
      <x:c r="C190" s="18" t="str"/>
      <x:c r="D190" s="18" t="str"/>
      <x:c r="E190" s="18" t="str"/>
      <x:c r="F190" s="18" t="str"/>
      <x:c r="G190" s="18" t="str"/>
      <x:c r="H190" s="18" t="str">
        <x:v>Peru</x:v>
      </x:c>
      <x:c r="I190" s="18" t="str">
        <x:v>Peru</x:v>
      </x:c>
      <x:c r="J190" s="20" t="str"/>
      <x:c r="K190" s="18" t="str"/>
      <x:c r="L190" s="20" t="str">
        <x:v>Peru</x:v>
      </x:c>
      <x:c r="M190" s="18" t="str">
        <x:v>Keiko Fujimori</x:v>
      </x:c>
      <x:c r="N190" s="20" t="str">
        <x:v>Q419</x:v>
      </x:c>
      <x:c r="O190" s="18" t="str">
        <x:v>President of Peru</x:v>
      </x:c>
      <x:c r="P190" s="18" t="str">
        <x:v>Q235137</x:v>
      </x:c>
      <x:c r="Q190" s="18" t="n">
        <x:v>46231</x:v>
      </x:c>
      <x:c r="R190" s="18" t="str">
        <x:v>COMPLETE_FINITE_SNAPSHOT</x:v>
      </x:c>
      <x:c r="S190" s="18" t="str">
        <x:v>Complete returned current head-of-state statements for sovereign-state universe</x:v>
      </x:c>
      <x:c r="T190" s="18" t="str"/>
      <x:c r="U190" s="18" t="str"/>
      <x:c r="V190" s="20" t="n">
        <x:v>252</x:v>
      </x:c>
      <x:c r="W190" s="19" t="str">
        <x:f>IFERROR(TODAY()-DATEVALUE(C190),"")</x:f>
      </x:c>
      <x:c r="X190" s="21" t="n">
        <x:f>ROUND(COUNTA(A190:K190)/11*100,0)</x:f>
        <x:v>100</x:v>
      </x:c>
      <x:c r="Y190" s="18" t="str">
        <x:v>Wikidata</x:v>
      </x:c>
      <x:c r="Z190" s="22" t="str">
        <x:v>http://www.wikidata.org/entity/Q235137</x:v>
      </x:c>
      <x:c r="AA190" s="18" t="str"/>
      <x:c r="AB190" s="18" t="n">
        <x:v>46275.416216736114</x:v>
      </x:c>
      <x:c r="AC190" s="18" t="str">
        <x:v>independent_public</x:v>
      </x:c>
      <x:c r="AD190" s="18" t="str">
        <x:v>PARTIAL_NO_DATE</x:v>
      </x:c>
    </x:row>
    <x:row r="191">
      <x:c r="A191" s="18" t="str">
        <x:v>NYT-13-c1c19cf7c4c82ad6</x:v>
      </x:c>
      <x:c r="B191" s="18" t="str">
        <x:v>Santiago Peña Palacios</x:v>
      </x:c>
      <x:c r="C191" s="18" t="str"/>
      <x:c r="D191" s="18" t="str"/>
      <x:c r="E191" s="18" t="str"/>
      <x:c r="F191" s="18" t="str"/>
      <x:c r="G191" s="18" t="str"/>
      <x:c r="H191" s="18" t="str">
        <x:v>Paraguay</x:v>
      </x:c>
      <x:c r="I191" s="18" t="str">
        <x:v>Paraguay</x:v>
      </x:c>
      <x:c r="J191" s="20" t="str"/>
      <x:c r="K191" s="18" t="str"/>
      <x:c r="L191" s="20" t="str">
        <x:v>Paraguay</x:v>
      </x:c>
      <x:c r="M191" s="18" t="str">
        <x:v>Santiago Peña Palacios</x:v>
      </x:c>
      <x:c r="N191" s="20" t="str">
        <x:v>Q733</x:v>
      </x:c>
      <x:c r="O191" s="18" t="str">
        <x:v>Minister of Finance</x:v>
      </x:c>
      <x:c r="P191" s="18" t="str">
        <x:v>Q22695687</x:v>
      </x:c>
      <x:c r="Q191" s="18" t="n">
        <x:v>42005</x:v>
      </x:c>
      <x:c r="R191" s="18" t="str">
        <x:v>COMPLETE_FINITE_SNAPSHOT</x:v>
      </x:c>
      <x:c r="S191" s="18" t="str">
        <x:v>Complete returned current head-of-state statements for sovereign-state universe</x:v>
      </x:c>
      <x:c r="T191" s="18" t="str"/>
      <x:c r="U191" s="18" t="str"/>
      <x:c r="V191" s="20" t="n">
        <x:v>252</x:v>
      </x:c>
      <x:c r="W191" s="19" t="str">
        <x:f>IFERROR(TODAY()-DATEVALUE(C191),"")</x:f>
      </x:c>
      <x:c r="X191" s="21" t="n">
        <x:f>ROUND(COUNTA(A191:K191)/11*100,0)</x:f>
        <x:v>100</x:v>
      </x:c>
      <x:c r="Y191" s="18" t="str">
        <x:v>Wikidata</x:v>
      </x:c>
      <x:c r="Z191" s="22" t="str">
        <x:v>http://www.wikidata.org/entity/Q22695687</x:v>
      </x:c>
      <x:c r="AA191" s="18" t="str"/>
      <x:c r="AB191" s="18" t="n">
        <x:v>46275.416216736114</x:v>
      </x:c>
      <x:c r="AC191" s="18" t="str">
        <x:v>independent_public</x:v>
      </x:c>
      <x:c r="AD191" s="18" t="str">
        <x:v>PARTIAL_NO_DATE</x:v>
      </x:c>
    </x:row>
    <x:row r="192">
      <x:c r="A192" s="18" t="str">
        <x:v>NYT-13-db597f330e13d7f6</x:v>
      </x:c>
      <x:c r="B192" s="18" t="str">
        <x:v>Bola Tinubu</x:v>
      </x:c>
      <x:c r="C192" s="18" t="str"/>
      <x:c r="D192" s="18" t="str"/>
      <x:c r="E192" s="18" t="str"/>
      <x:c r="F192" s="18" t="str"/>
      <x:c r="G192" s="18" t="str"/>
      <x:c r="H192" s="18" t="str">
        <x:v>Nigeria</x:v>
      </x:c>
      <x:c r="I192" s="18" t="str">
        <x:v>Nigeria</x:v>
      </x:c>
      <x:c r="J192" s="20" t="str"/>
      <x:c r="K192" s="18" t="str"/>
      <x:c r="L192" s="20" t="str">
        <x:v>Nigeria</x:v>
      </x:c>
      <x:c r="M192" s="18" t="str">
        <x:v>Bola Tinubu</x:v>
      </x:c>
      <x:c r="N192" s="20" t="str">
        <x:v>Q1033</x:v>
      </x:c>
      <x:c r="O192" s="18" t="str">
        <x:v>senator</x:v>
      </x:c>
      <x:c r="P192" s="18" t="str">
        <x:v>Q3510872</x:v>
      </x:c>
      <x:c r="Q192" s="18" t="n">
        <x:v>33943</x:v>
      </x:c>
      <x:c r="R192" s="18" t="str">
        <x:v>COMPLETE_FINITE_SNAPSHOT</x:v>
      </x:c>
      <x:c r="S192" s="18" t="str">
        <x:v>Complete returned current head-of-state statements for sovereign-state universe</x:v>
      </x:c>
      <x:c r="T192" s="18" t="str"/>
      <x:c r="U192" s="18" t="str"/>
      <x:c r="V192" s="20" t="n">
        <x:v>252</x:v>
      </x:c>
      <x:c r="W192" s="19" t="str">
        <x:f>IFERROR(TODAY()-DATEVALUE(C192),"")</x:f>
      </x:c>
      <x:c r="X192" s="21" t="n">
        <x:f>ROUND(COUNTA(A192:K192)/11*100,0)</x:f>
        <x:v>100</x:v>
      </x:c>
      <x:c r="Y192" s="18" t="str">
        <x:v>Wikidata</x:v>
      </x:c>
      <x:c r="Z192" s="22" t="str">
        <x:v>http://www.wikidata.org/entity/Q3510872</x:v>
      </x:c>
      <x:c r="AA192" s="18" t="str"/>
      <x:c r="AB192" s="18" t="n">
        <x:v>46275.416216736114</x:v>
      </x:c>
      <x:c r="AC192" s="18" t="str">
        <x:v>independent_public</x:v>
      </x:c>
      <x:c r="AD192" s="18" t="str">
        <x:v>PARTIAL_NO_DATE</x:v>
      </x:c>
    </x:row>
    <x:row r="193">
      <x:c r="A193" s="18" t="str">
        <x:v>NYT-13-cb9c7bbeef06f462</x:v>
      </x:c>
      <x:c r="B193" s="18" t="str">
        <x:v>Vahagn Khachatryan</x:v>
      </x:c>
      <x:c r="C193" s="18" t="str"/>
      <x:c r="D193" s="18" t="str"/>
      <x:c r="E193" s="18" t="str"/>
      <x:c r="F193" s="18" t="str"/>
      <x:c r="G193" s="18" t="str"/>
      <x:c r="H193" s="18" t="str">
        <x:v>Armenia</x:v>
      </x:c>
      <x:c r="I193" s="18" t="str">
        <x:v>Armenia</x:v>
      </x:c>
      <x:c r="J193" s="20" t="str"/>
      <x:c r="K193" s="18" t="str"/>
      <x:c r="L193" s="20" t="str">
        <x:v>Armenia</x:v>
      </x:c>
      <x:c r="M193" s="18" t="str">
        <x:v>Vahagn Khachatryan</x:v>
      </x:c>
      <x:c r="N193" s="20" t="str">
        <x:v>Q399</x:v>
      </x:c>
      <x:c r="O193" s="18" t="str">
        <x:v>member of the National Assembly of Armenia</x:v>
      </x:c>
      <x:c r="P193" s="18" t="str">
        <x:v>Q3553274</x:v>
      </x:c>
      <x:c r="Q193" s="18" t="n">
        <x:v>34700</x:v>
      </x:c>
      <x:c r="R193" s="18" t="str">
        <x:v>COMPLETE_FINITE_SNAPSHOT</x:v>
      </x:c>
      <x:c r="S193" s="18" t="str">
        <x:v>Complete returned current head-of-state statements for sovereign-state universe</x:v>
      </x:c>
      <x:c r="T193" s="18" t="str"/>
      <x:c r="U193" s="18" t="str"/>
      <x:c r="V193" s="20" t="n">
        <x:v>252</x:v>
      </x:c>
      <x:c r="W193" s="19" t="str">
        <x:f>IFERROR(TODAY()-DATEVALUE(C193),"")</x:f>
      </x:c>
      <x:c r="X193" s="21" t="n">
        <x:f>ROUND(COUNTA(A193:K193)/11*100,0)</x:f>
        <x:v>100</x:v>
      </x:c>
      <x:c r="Y193" s="18" t="str">
        <x:v>Wikidata</x:v>
      </x:c>
      <x:c r="Z193" s="22" t="str">
        <x:v>http://www.wikidata.org/entity/Q3553274</x:v>
      </x:c>
      <x:c r="AA193" s="18" t="str"/>
      <x:c r="AB193" s="18" t="n">
        <x:v>46275.416216736114</x:v>
      </x:c>
      <x:c r="AC193" s="18" t="str">
        <x:v>independent_public</x:v>
      </x:c>
      <x:c r="AD193" s="18" t="str">
        <x:v>PARTIAL_NO_DATE</x:v>
      </x:c>
    </x:row>
    <x:row r="194">
      <x:c r="A194" s="18" t="str">
        <x:v>NYT-13-ae96036c15cb0574</x:v>
      </x:c>
      <x:c r="B194" s="18" t="str">
        <x:v>Hibatullah Akhundzada</x:v>
      </x:c>
      <x:c r="C194" s="18" t="str"/>
      <x:c r="D194" s="18" t="str"/>
      <x:c r="E194" s="18" t="str"/>
      <x:c r="F194" s="18" t="str"/>
      <x:c r="G194" s="18" t="str"/>
      <x:c r="H194" s="18" t="str">
        <x:v>Afghanistan</x:v>
      </x:c>
      <x:c r="I194" s="18" t="str">
        <x:v>Afghanistan</x:v>
      </x:c>
      <x:c r="J194" s="20" t="str"/>
      <x:c r="K194" s="18" t="str"/>
      <x:c r="L194" s="20" t="str">
        <x:v>Afghanistan</x:v>
      </x:c>
      <x:c r="M194" s="18" t="str">
        <x:v>Hibatullah Akhundzada</x:v>
      </x:c>
      <x:c r="N194" s="20" t="str">
        <x:v>Q889</x:v>
      </x:c>
      <x:c r="O194" s="18" t="str">
        <x:v>Supreme Leader of Afghanistan</x:v>
      </x:c>
      <x:c r="P194" s="18" t="str">
        <x:v>Q24237654</x:v>
      </x:c>
      <x:c r="Q194" s="18" t="n">
        <x:v>44423</x:v>
      </x:c>
      <x:c r="R194" s="18" t="str">
        <x:v>COMPLETE_FINITE_SNAPSHOT</x:v>
      </x:c>
      <x:c r="S194" s="18" t="str">
        <x:v>Complete returned current head-of-state statements for sovereign-state universe</x:v>
      </x:c>
      <x:c r="T194" s="18" t="str"/>
      <x:c r="U194" s="18" t="str"/>
      <x:c r="V194" s="20" t="n">
        <x:v>252</x:v>
      </x:c>
      <x:c r="W194" s="19" t="str">
        <x:f>IFERROR(TODAY()-DATEVALUE(C194),"")</x:f>
      </x:c>
      <x:c r="X194" s="21" t="n">
        <x:f>ROUND(COUNTA(A194:K194)/11*100,0)</x:f>
        <x:v>100</x:v>
      </x:c>
      <x:c r="Y194" s="18" t="str">
        <x:v>Wikidata</x:v>
      </x:c>
      <x:c r="Z194" s="22" t="str">
        <x:v>http://www.wikidata.org/entity/Q24237654</x:v>
      </x:c>
      <x:c r="AA194" s="18" t="str"/>
      <x:c r="AB194" s="18" t="n">
        <x:v>46275.416216736114</x:v>
      </x:c>
      <x:c r="AC194" s="18" t="str">
        <x:v>independent_public</x:v>
      </x:c>
      <x:c r="AD194" s="18" t="str">
        <x:v>PARTIAL_NO_DATE</x:v>
      </x:c>
    </x:row>
    <x:row r="195">
      <x:c r="A195" s="18" t="str">
        <x:v>NYT-13-8867d2648c5f5b0a</x:v>
      </x:c>
      <x:c r="B195" s="18" t="str">
        <x:v>Duma Boko</x:v>
      </x:c>
      <x:c r="C195" s="18" t="str"/>
      <x:c r="D195" s="18" t="str"/>
      <x:c r="E195" s="18" t="str"/>
      <x:c r="F195" s="18" t="str"/>
      <x:c r="G195" s="18" t="str"/>
      <x:c r="H195" s="18" t="str">
        <x:v>Botswana</x:v>
      </x:c>
      <x:c r="I195" s="18" t="str">
        <x:v>Botswana</x:v>
      </x:c>
      <x:c r="J195" s="20" t="str"/>
      <x:c r="K195" s="18" t="str"/>
      <x:c r="L195" s="20" t="str">
        <x:v>Botswana</x:v>
      </x:c>
      <x:c r="M195" s="18" t="str">
        <x:v>Duma Boko</x:v>
      </x:c>
      <x:c r="N195" s="20" t="str">
        <x:v>Q963</x:v>
      </x:c>
      <x:c r="O195" s="18" t="str">
        <x:v>President of Botswana</x:v>
      </x:c>
      <x:c r="P195" s="18" t="str">
        <x:v>Q18618881</x:v>
      </x:c>
      <x:c r="Q195" s="18" t="n">
        <x:v>45597</x:v>
      </x:c>
      <x:c r="R195" s="18" t="str">
        <x:v>COMPLETE_FINITE_SNAPSHOT</x:v>
      </x:c>
      <x:c r="S195" s="18" t="str">
        <x:v>Complete returned current head-of-state statements for sovereign-state universe</x:v>
      </x:c>
      <x:c r="T195" s="18" t="str"/>
      <x:c r="U195" s="18" t="str"/>
      <x:c r="V195" s="20" t="n">
        <x:v>252</x:v>
      </x:c>
      <x:c r="W195" s="19" t="str">
        <x:f>IFERROR(TODAY()-DATEVALUE(C195),"")</x:f>
      </x:c>
      <x:c r="X195" s="21" t="n">
        <x:f>ROUND(COUNTA(A195:K195)/11*100,0)</x:f>
        <x:v>100</x:v>
      </x:c>
      <x:c r="Y195" s="18" t="str">
        <x:v>Wikidata</x:v>
      </x:c>
      <x:c r="Z195" s="22" t="str">
        <x:v>http://www.wikidata.org/entity/Q18618881</x:v>
      </x:c>
      <x:c r="AA195" s="18" t="str"/>
      <x:c r="AB195" s="18" t="n">
        <x:v>46275.416216736114</x:v>
      </x:c>
      <x:c r="AC195" s="18" t="str">
        <x:v>independent_public</x:v>
      </x:c>
      <x:c r="AD195" s="18" t="str">
        <x:v>PARTIAL_NO_DATE</x:v>
      </x:c>
    </x:row>
    <x:row r="196">
      <x:c r="A196" s="18" t="str">
        <x:v>NYT-13-9ee24b3a9e7e790d</x:v>
      </x:c>
      <x:c r="B196" s="18" t="str">
        <x:v>Romuald Wadagni</x:v>
      </x:c>
      <x:c r="C196" s="18" t="str"/>
      <x:c r="D196" s="18" t="str"/>
      <x:c r="E196" s="18" t="str"/>
      <x:c r="F196" s="18" t="str"/>
      <x:c r="G196" s="18" t="str"/>
      <x:c r="H196" s="18" t="str">
        <x:v>Benin</x:v>
      </x:c>
      <x:c r="I196" s="18" t="str">
        <x:v>Benin</x:v>
      </x:c>
      <x:c r="J196" s="20" t="str"/>
      <x:c r="K196" s="18" t="str"/>
      <x:c r="L196" s="20" t="str">
        <x:v>Benin</x:v>
      </x:c>
      <x:c r="M196" s="18" t="str">
        <x:v>Romuald Wadagni</x:v>
      </x:c>
      <x:c r="N196" s="20" t="str">
        <x:v>Q962</x:v>
      </x:c>
      <x:c r="O196" s="18" t="str">
        <x:v>Ministry of Economy and Finance</x:v>
      </x:c>
      <x:c r="P196" s="18" t="str">
        <x:v>Q24951128</x:v>
      </x:c>
      <x:c r="Q196" s="18" t="n">
        <x:v>42467</x:v>
      </x:c>
      <x:c r="R196" s="18" t="str">
        <x:v>COMPLETE_FINITE_SNAPSHOT</x:v>
      </x:c>
      <x:c r="S196" s="18" t="str">
        <x:v>Complete returned current head-of-state statements for sovereign-state universe</x:v>
      </x:c>
      <x:c r="T196" s="18" t="str"/>
      <x:c r="U196" s="18" t="str"/>
      <x:c r="V196" s="20" t="n">
        <x:v>252</x:v>
      </x:c>
      <x:c r="W196" s="19" t="str">
        <x:f>IFERROR(TODAY()-DATEVALUE(C196),"")</x:f>
      </x:c>
      <x:c r="X196" s="21" t="n">
        <x:f>ROUND(COUNTA(A196:K196)/11*100,0)</x:f>
        <x:v>100</x:v>
      </x:c>
      <x:c r="Y196" s="18" t="str">
        <x:v>Wikidata</x:v>
      </x:c>
      <x:c r="Z196" s="22" t="str">
        <x:v>http://www.wikidata.org/entity/Q24951128</x:v>
      </x:c>
      <x:c r="AA196" s="18" t="str"/>
      <x:c r="AB196" s="18" t="n">
        <x:v>46275.416216736114</x:v>
      </x:c>
      <x:c r="AC196" s="18" t="str">
        <x:v>independent_public</x:v>
      </x:c>
      <x:c r="AD196" s="18" t="str">
        <x:v>PARTIAL_NO_DATE</x:v>
      </x:c>
    </x:row>
    <x:row r="197">
      <x:c r="A197" s="18" t="str">
        <x:v>NYT-13-64238e78387b7051</x:v>
      </x:c>
      <x:c r="B197" s="18" t="str">
        <x:v>Mojtaba Khamenei</x:v>
      </x:c>
      <x:c r="C197" s="18" t="str"/>
      <x:c r="D197" s="18" t="str"/>
      <x:c r="E197" s="18" t="str"/>
      <x:c r="F197" s="18" t="str"/>
      <x:c r="G197" s="18" t="str"/>
      <x:c r="H197" s="18" t="str">
        <x:v>Iran</x:v>
      </x:c>
      <x:c r="I197" s="18" t="str">
        <x:v>Iran</x:v>
      </x:c>
      <x:c r="J197" s="20" t="str"/>
      <x:c r="K197" s="18" t="str"/>
      <x:c r="L197" s="20" t="str">
        <x:v>Iran</x:v>
      </x:c>
      <x:c r="M197" s="18" t="str">
        <x:v>Mojtaba Khamenei</x:v>
      </x:c>
      <x:c r="N197" s="20" t="str">
        <x:v>Q794</x:v>
      </x:c>
      <x:c r="O197" s="18" t="str">
        <x:v>Commander-in-Chief of the Iranian Armed Forces</x:v>
      </x:c>
      <x:c r="P197" s="18" t="str">
        <x:v>Q2919350</x:v>
      </x:c>
      <x:c r="Q197" s="18" t="n">
        <x:v>46089</x:v>
      </x:c>
      <x:c r="R197" s="18" t="str">
        <x:v>COMPLETE_FINITE_SNAPSHOT</x:v>
      </x:c>
      <x:c r="S197" s="18" t="str">
        <x:v>Complete returned current head-of-state statements for sovereign-state universe</x:v>
      </x:c>
      <x:c r="T197" s="18" t="str"/>
      <x:c r="U197" s="18" t="str"/>
      <x:c r="V197" s="20" t="n">
        <x:v>252</x:v>
      </x:c>
      <x:c r="W197" s="19" t="str">
        <x:f>IFERROR(TODAY()-DATEVALUE(C197),"")</x:f>
      </x:c>
      <x:c r="X197" s="21" t="n">
        <x:f>ROUND(COUNTA(A197:K197)/11*100,0)</x:f>
        <x:v>100</x:v>
      </x:c>
      <x:c r="Y197" s="18" t="str">
        <x:v>Wikidata</x:v>
      </x:c>
      <x:c r="Z197" s="22" t="str">
        <x:v>http://www.wikidata.org/entity/Q2919350</x:v>
      </x:c>
      <x:c r="AA197" s="18" t="str"/>
      <x:c r="AB197" s="18" t="n">
        <x:v>46275.416216736114</x:v>
      </x:c>
      <x:c r="AC197" s="18" t="str">
        <x:v>independent_public</x:v>
      </x:c>
      <x:c r="AD197" s="18" t="str">
        <x:v>PARTIAL_NO_DATE</x:v>
      </x:c>
    </x:row>
    <x:row r="198">
      <x:c r="A198" s="18" t="str">
        <x:v>NYT-13-563df8b0b714b5f7</x:v>
      </x:c>
      <x:c r="B198" s="18" t="str">
        <x:v>Taneti Maamau</x:v>
      </x:c>
      <x:c r="C198" s="18" t="str"/>
      <x:c r="D198" s="18" t="str"/>
      <x:c r="E198" s="18" t="str"/>
      <x:c r="F198" s="18" t="str"/>
      <x:c r="G198" s="18" t="str"/>
      <x:c r="H198" s="18" t="str">
        <x:v>Kiribati</x:v>
      </x:c>
      <x:c r="I198" s="18" t="str">
        <x:v>Kiribati</x:v>
      </x:c>
      <x:c r="J198" s="20" t="str"/>
      <x:c r="K198" s="18" t="str"/>
      <x:c r="L198" s="20" t="str">
        <x:v>Kiribati</x:v>
      </x:c>
      <x:c r="M198" s="18" t="str">
        <x:v>Taneti Maamau</x:v>
      </x:c>
      <x:c r="N198" s="20" t="str">
        <x:v>Q710</x:v>
      </x:c>
      <x:c r="O198" s="18" t="str">
        <x:v>Minister for Office of te Beretitenti</x:v>
      </x:c>
      <x:c r="P198" s="18" t="str">
        <x:v>Q23034482</x:v>
      </x:c>
      <x:c r="Q198" s="18" t="n">
        <x:v>44014</x:v>
      </x:c>
      <x:c r="R198" s="18" t="str">
        <x:v>COMPLETE_FINITE_SNAPSHOT</x:v>
      </x:c>
      <x:c r="S198" s="18" t="str">
        <x:v>Complete returned current head-of-state statements for sovereign-state universe</x:v>
      </x:c>
      <x:c r="T198" s="18" t="str"/>
      <x:c r="U198" s="18" t="str"/>
      <x:c r="V198" s="20" t="n">
        <x:v>252</x:v>
      </x:c>
      <x:c r="W198" s="19" t="str">
        <x:f>IFERROR(TODAY()-DATEVALUE(C198),"")</x:f>
      </x:c>
      <x:c r="X198" s="21" t="n">
        <x:f>ROUND(COUNTA(A198:K198)/11*100,0)</x:f>
        <x:v>100</x:v>
      </x:c>
      <x:c r="Y198" s="18" t="str">
        <x:v>Wikidata</x:v>
      </x:c>
      <x:c r="Z198" s="22" t="str">
        <x:v>http://www.wikidata.org/entity/Q23034482</x:v>
      </x:c>
      <x:c r="AA198" s="18" t="str"/>
      <x:c r="AB198" s="18" t="n">
        <x:v>46275.416216736114</x:v>
      </x:c>
      <x:c r="AC198" s="18" t="str">
        <x:v>independent_public</x:v>
      </x:c>
      <x:c r="AD198" s="18" t="str">
        <x:v>PARTIAL_NO_DATE</x:v>
      </x:c>
    </x:row>
    <x:row r="199">
      <x:c r="A199" s="18" t="str">
        <x:v>NYT-13-ddb4593a179cd8d3</x:v>
      </x:c>
      <x:c r="B199" s="18" t="str">
        <x:v>Edgars Rinkēvičs</x:v>
      </x:c>
      <x:c r="C199" s="18" t="str"/>
      <x:c r="D199" s="18" t="str"/>
      <x:c r="E199" s="18" t="str"/>
      <x:c r="F199" s="18" t="str"/>
      <x:c r="G199" s="18" t="str"/>
      <x:c r="H199" s="18" t="str">
        <x:v>Latvia</x:v>
      </x:c>
      <x:c r="I199" s="18" t="str">
        <x:v>Latvia</x:v>
      </x:c>
      <x:c r="J199" s="20" t="str"/>
      <x:c r="K199" s="18" t="str"/>
      <x:c r="L199" s="20" t="str">
        <x:v>Latvia</x:v>
      </x:c>
      <x:c r="M199" s="18" t="str">
        <x:v>Edgars Rinkēvičs</x:v>
      </x:c>
      <x:c r="N199" s="20" t="str">
        <x:v>Q211</x:v>
      </x:c>
      <x:c r="O199" s="18" t="str">
        <x:v>President of Latvia</x:v>
      </x:c>
      <x:c r="P199" s="18" t="str">
        <x:v>Q3047551</x:v>
      </x:c>
      <x:c r="Q199" s="18" t="n">
        <x:v>45115</x:v>
      </x:c>
      <x:c r="R199" s="18" t="str">
        <x:v>COMPLETE_FINITE_SNAPSHOT</x:v>
      </x:c>
      <x:c r="S199" s="18" t="str">
        <x:v>Complete returned current head-of-state statements for sovereign-state universe</x:v>
      </x:c>
      <x:c r="T199" s="18" t="str"/>
      <x:c r="U199" s="18" t="str"/>
      <x:c r="V199" s="20" t="n">
        <x:v>252</x:v>
      </x:c>
      <x:c r="W199" s="19" t="str">
        <x:f>IFERROR(TODAY()-DATEVALUE(C199),"")</x:f>
      </x:c>
      <x:c r="X199" s="21" t="n">
        <x:f>ROUND(COUNTA(A199:K199)/11*100,0)</x:f>
        <x:v>100</x:v>
      </x:c>
      <x:c r="Y199" s="18" t="str">
        <x:v>Wikidata</x:v>
      </x:c>
      <x:c r="Z199" s="22" t="str">
        <x:v>http://www.wikidata.org/entity/Q3047551</x:v>
      </x:c>
      <x:c r="AA199" s="18" t="str"/>
      <x:c r="AB199" s="18" t="n">
        <x:v>46275.416216736114</x:v>
      </x:c>
      <x:c r="AC199" s="18" t="str">
        <x:v>independent_public</x:v>
      </x:c>
      <x:c r="AD199" s="18" t="str">
        <x:v>PARTIAL_NO_DATE</x:v>
      </x:c>
    </x:row>
    <x:row r="200">
      <x:c r="A200" s="18" t="str">
        <x:v>NYT-13-56606197bbf4be5c</x:v>
      </x:c>
      <x:c r="B200" s="18" t="str">
        <x:v>Abdelmadjid Tebboune</x:v>
      </x:c>
      <x:c r="C200" s="18" t="str"/>
      <x:c r="D200" s="18" t="str"/>
      <x:c r="E200" s="18" t="str"/>
      <x:c r="F200" s="18" t="str"/>
      <x:c r="G200" s="18" t="str"/>
      <x:c r="H200" s="18" t="str">
        <x:v>Algeria</x:v>
      </x:c>
      <x:c r="I200" s="18" t="str">
        <x:v>Algeria</x:v>
      </x:c>
      <x:c r="J200" s="20" t="str"/>
      <x:c r="K200" s="18" t="str"/>
      <x:c r="L200" s="20" t="str">
        <x:v>Algeria</x:v>
      </x:c>
      <x:c r="M200" s="18" t="str">
        <x:v>Abdelmadjid Tebboune</x:v>
      </x:c>
      <x:c r="N200" s="20" t="str">
        <x:v>Q262</x:v>
      </x:c>
      <x:c r="O200" s="18" t="str">
        <x:v>Minister of National Defence of Algeria</x:v>
      </x:c>
      <x:c r="P200" s="18" t="str">
        <x:v>Q2821166</x:v>
      </x:c>
      <x:c r="Q200" s="18" t="n">
        <x:v>43818</x:v>
      </x:c>
      <x:c r="R200" s="18" t="str">
        <x:v>COMPLETE_FINITE_SNAPSHOT</x:v>
      </x:c>
      <x:c r="S200" s="18" t="str">
        <x:v>Complete returned current head-of-state statements for sovereign-state universe</x:v>
      </x:c>
      <x:c r="T200" s="18" t="str"/>
      <x:c r="U200" s="18" t="str"/>
      <x:c r="V200" s="20" t="n">
        <x:v>252</x:v>
      </x:c>
      <x:c r="W200" s="19" t="str">
        <x:f>IFERROR(TODAY()-DATEVALUE(C200),"")</x:f>
      </x:c>
      <x:c r="X200" s="21" t="n">
        <x:f>ROUND(COUNTA(A200:K200)/11*100,0)</x:f>
        <x:v>100</x:v>
      </x:c>
      <x:c r="Y200" s="18" t="str">
        <x:v>Wikidata</x:v>
      </x:c>
      <x:c r="Z200" s="22" t="str">
        <x:v>http://www.wikidata.org/entity/Q2821166</x:v>
      </x:c>
      <x:c r="AA200" s="18" t="str"/>
      <x:c r="AB200" s="18" t="n">
        <x:v>46275.416216736114</x:v>
      </x:c>
      <x:c r="AC200" s="18" t="str">
        <x:v>independent_public</x:v>
      </x:c>
      <x:c r="AD200" s="18" t="str">
        <x:v>PARTIAL_NO_DATE</x:v>
      </x:c>
    </x:row>
    <x:row r="201">
      <x:c r="A201" s="18" t="str">
        <x:v>NYT-13-ab247d7ff9feb8b1</x:v>
      </x:c>
      <x:c r="B201" s="18" t="str">
        <x:v>Khurelsukh Ukhnaa</x:v>
      </x:c>
      <x:c r="C201" s="18" t="str"/>
      <x:c r="D201" s="18" t="str"/>
      <x:c r="E201" s="18" t="str"/>
      <x:c r="F201" s="18" t="str"/>
      <x:c r="G201" s="18" t="str"/>
      <x:c r="H201" s="18" t="str">
        <x:v>Mongolia</x:v>
      </x:c>
      <x:c r="I201" s="18" t="str">
        <x:v>Mongolia</x:v>
      </x:c>
      <x:c r="J201" s="20" t="str"/>
      <x:c r="K201" s="18" t="str"/>
      <x:c r="L201" s="20" t="str">
        <x:v>Mongolia</x:v>
      </x:c>
      <x:c r="M201" s="18" t="str">
        <x:v>Khurelsukh Ukhnaa</x:v>
      </x:c>
      <x:c r="N201" s="20" t="str">
        <x:v>Q711</x:v>
      </x:c>
      <x:c r="O201" s="18" t="str">
        <x:v>Prime Minister of Mongolia</x:v>
      </x:c>
      <x:c r="P201" s="18" t="str">
        <x:v>Q27058418</x:v>
      </x:c>
      <x:c r="Q201" s="18" t="n">
        <x:v>43012</x:v>
      </x:c>
      <x:c r="R201" s="18" t="str">
        <x:v>COMPLETE_FINITE_SNAPSHOT</x:v>
      </x:c>
      <x:c r="S201" s="18" t="str">
        <x:v>Complete returned current head-of-state statements for sovereign-state universe</x:v>
      </x:c>
      <x:c r="T201" s="18" t="str"/>
      <x:c r="U201" s="18" t="str"/>
      <x:c r="V201" s="20" t="n">
        <x:v>252</x:v>
      </x:c>
      <x:c r="W201" s="19" t="str">
        <x:f>IFERROR(TODAY()-DATEVALUE(C201),"")</x:f>
      </x:c>
      <x:c r="X201" s="21" t="n">
        <x:f>ROUND(COUNTA(A201:K201)/11*100,0)</x:f>
        <x:v>100</x:v>
      </x:c>
      <x:c r="Y201" s="18" t="str">
        <x:v>Wikidata</x:v>
      </x:c>
      <x:c r="Z201" s="22" t="str">
        <x:v>http://www.wikidata.org/entity/Q27058418</x:v>
      </x:c>
      <x:c r="AA201" s="18" t="str"/>
      <x:c r="AB201" s="18" t="n">
        <x:v>46275.416216736114</x:v>
      </x:c>
      <x:c r="AC201" s="18" t="str">
        <x:v>independent_public</x:v>
      </x:c>
      <x:c r="AD201" s="18" t="str">
        <x:v>PARTIAL_NO_DATE</x:v>
      </x:c>
    </x:row>
    <x:row r="202">
      <x:c r="A202" s="18" t="str">
        <x:v>NYT-13-128fd3dde6fd2165</x:v>
      </x:c>
      <x:c r="B202" s="18" t="str">
        <x:v>Surangel Whipps Jr.</x:v>
      </x:c>
      <x:c r="C202" s="18" t="str"/>
      <x:c r="D202" s="18" t="str"/>
      <x:c r="E202" s="18" t="str"/>
      <x:c r="F202" s="18" t="str"/>
      <x:c r="G202" s="18" t="str"/>
      <x:c r="H202" s="18" t="str">
        <x:v>Palau</x:v>
      </x:c>
      <x:c r="I202" s="18" t="str">
        <x:v>Palau</x:v>
      </x:c>
      <x:c r="J202" s="20" t="str"/>
      <x:c r="K202" s="18" t="str"/>
      <x:c r="L202" s="20" t="str">
        <x:v>Palau</x:v>
      </x:c>
      <x:c r="M202" s="18" t="str">
        <x:v>Surangel Whipps Jr.</x:v>
      </x:c>
      <x:c r="N202" s="20" t="str">
        <x:v>Q695</x:v>
      </x:c>
      <x:c r="O202" s="18" t="str">
        <x:v>President of Palau</x:v>
      </x:c>
      <x:c r="P202" s="18" t="str">
        <x:v>Q26703072</x:v>
      </x:c>
      <x:c r="Q202" s="18" t="n">
        <x:v>44217</x:v>
      </x:c>
      <x:c r="R202" s="18" t="str">
        <x:v>COMPLETE_FINITE_SNAPSHOT</x:v>
      </x:c>
      <x:c r="S202" s="18" t="str">
        <x:v>Complete returned current head-of-state statements for sovereign-state universe</x:v>
      </x:c>
      <x:c r="T202" s="18" t="str"/>
      <x:c r="U202" s="18" t="str"/>
      <x:c r="V202" s="20" t="n">
        <x:v>252</x:v>
      </x:c>
      <x:c r="W202" s="19" t="str">
        <x:f>IFERROR(TODAY()-DATEVALUE(C202),"")</x:f>
      </x:c>
      <x:c r="X202" s="21" t="n">
        <x:f>ROUND(COUNTA(A202:K202)/11*100,0)</x:f>
        <x:v>100</x:v>
      </x:c>
      <x:c r="Y202" s="18" t="str">
        <x:v>Wikidata</x:v>
      </x:c>
      <x:c r="Z202" s="22" t="str">
        <x:v>http://www.wikidata.org/entity/Q26703072</x:v>
      </x:c>
      <x:c r="AA202" s="18" t="str"/>
      <x:c r="AB202" s="18" t="n">
        <x:v>46275.416216736114</x:v>
      </x:c>
      <x:c r="AC202" s="18" t="str">
        <x:v>independent_public</x:v>
      </x:c>
      <x:c r="AD202" s="18" t="str">
        <x:v>PARTIAL_NO_DATE</x:v>
      </x:c>
    </x:row>
    <x:row r="203">
      <x:c r="A203" s="18" t="str">
        <x:v>NYT-13-9bb317ede72c4cb1</x:v>
      </x:c>
      <x:c r="B203" s="18" t="str">
        <x:v>António José Seguro</x:v>
      </x:c>
      <x:c r="C203" s="18" t="str"/>
      <x:c r="D203" s="18" t="str"/>
      <x:c r="E203" s="18" t="str"/>
      <x:c r="F203" s="18" t="str"/>
      <x:c r="G203" s="18" t="str"/>
      <x:c r="H203" s="18" t="str">
        <x:v>Portugal</x:v>
      </x:c>
      <x:c r="I203" s="18" t="str">
        <x:v>Portugal</x:v>
      </x:c>
      <x:c r="J203" s="20" t="str"/>
      <x:c r="K203" s="18" t="str"/>
      <x:c r="L203" s="20" t="str">
        <x:v>Portugal</x:v>
      </x:c>
      <x:c r="M203" s="18" t="str">
        <x:v>António José Seguro</x:v>
      </x:c>
      <x:c r="N203" s="20" t="str">
        <x:v>Q45</x:v>
      </x:c>
      <x:c r="O203" s="18" t="str">
        <x:v>President of Portugal</x:v>
      </x:c>
      <x:c r="P203" s="18" t="str">
        <x:v>Q1580316</x:v>
      </x:c>
      <x:c r="Q203" s="18" t="n">
        <x:v>46090</x:v>
      </x:c>
      <x:c r="R203" s="18" t="str">
        <x:v>COMPLETE_FINITE_SNAPSHOT</x:v>
      </x:c>
      <x:c r="S203" s="18" t="str">
        <x:v>Complete returned current head-of-state statements for sovereign-state universe</x:v>
      </x:c>
      <x:c r="T203" s="18" t="str"/>
      <x:c r="U203" s="18" t="str"/>
      <x:c r="V203" s="20" t="n">
        <x:v>252</x:v>
      </x:c>
      <x:c r="W203" s="19" t="str">
        <x:f>IFERROR(TODAY()-DATEVALUE(C203),"")</x:f>
      </x:c>
      <x:c r="X203" s="21" t="n">
        <x:f>ROUND(COUNTA(A203:K203)/11*100,0)</x:f>
        <x:v>100</x:v>
      </x:c>
      <x:c r="Y203" s="18" t="str">
        <x:v>Wikidata</x:v>
      </x:c>
      <x:c r="Z203" s="22" t="str">
        <x:v>http://www.wikidata.org/entity/Q1580316</x:v>
      </x:c>
      <x:c r="AA203" s="18" t="str"/>
      <x:c r="AB203" s="18" t="n">
        <x:v>46275.416216736114</x:v>
      </x:c>
      <x:c r="AC203" s="18" t="str">
        <x:v>independent_public</x:v>
      </x:c>
      <x:c r="AD203" s="18" t="str">
        <x:v>PARTIAL_NO_DATE</x:v>
      </x:c>
    </x:row>
    <x:row r="204">
      <x:c r="A204" s="18" t="str">
        <x:v>NYT-13-b0f5c4e734717963</x:v>
      </x:c>
      <x:c r="B204" s="18" t="str">
        <x:v>Niels Vermeersch</x:v>
      </x:c>
      <x:c r="C204" s="18" t="str"/>
      <x:c r="D204" s="18" t="str"/>
      <x:c r="E204" s="18" t="str"/>
      <x:c r="F204" s="18" t="str"/>
      <x:c r="G204" s="18" t="str"/>
      <x:c r="H204" s="18" t="str">
        <x:v>Grand Duchy of Flandrensis</x:v>
      </x:c>
      <x:c r="I204" s="18" t="str">
        <x:v>Grand Duchy of Flandrensis</x:v>
      </x:c>
      <x:c r="J204" s="20" t="str"/>
      <x:c r="K204" s="18" t="str"/>
      <x:c r="L204" s="20" t="str">
        <x:v>Grand Duchy of Flandrensis</x:v>
      </x:c>
      <x:c r="M204" s="18" t="str">
        <x:v>Niels Vermeersch</x:v>
      </x:c>
      <x:c r="N204" s="20" t="str">
        <x:v>Q551798</x:v>
      </x:c>
      <x:c r="O204" s="18" t="str">
        <x:v>Grand Duke</x:v>
      </x:c>
      <x:c r="P204" s="18" t="str">
        <x:v>Q19861344</x:v>
      </x:c>
      <x:c r="Q204" s="18" t="n">
        <x:v>39695</x:v>
      </x:c>
      <x:c r="R204" s="18" t="str">
        <x:v>COMPLETE_FINITE_SNAPSHOT</x:v>
      </x:c>
      <x:c r="S204" s="18" t="str">
        <x:v>Complete returned current head-of-state statements for sovereign-state universe</x:v>
      </x:c>
      <x:c r="T204" s="18" t="str"/>
      <x:c r="U204" s="18" t="str"/>
      <x:c r="V204" s="20" t="n">
        <x:v>252</x:v>
      </x:c>
      <x:c r="W204" s="19" t="str">
        <x:f>IFERROR(TODAY()-DATEVALUE(C204),"")</x:f>
      </x:c>
      <x:c r="X204" s="21" t="n">
        <x:f>ROUND(COUNTA(A204:K204)/11*100,0)</x:f>
        <x:v>100</x:v>
      </x:c>
      <x:c r="Y204" s="18" t="str">
        <x:v>Wikidata</x:v>
      </x:c>
      <x:c r="Z204" s="22" t="str">
        <x:v>http://www.wikidata.org/entity/Q19861344</x:v>
      </x:c>
      <x:c r="AA204" s="18" t="str"/>
      <x:c r="AB204" s="18" t="n">
        <x:v>46275.416216736114</x:v>
      </x:c>
      <x:c r="AC204" s="18" t="str">
        <x:v>independent_public</x:v>
      </x:c>
      <x:c r="AD204" s="18" t="str">
        <x:v>PARTIAL_NO_DATE</x:v>
      </x:c>
    </x:row>
    <x:row r="205">
      <x:c r="A205" s="18" t="str">
        <x:v>NYT-13-194564e592347225</x:v>
      </x:c>
      <x:c r="B205" s="18" t="str">
        <x:v>Naruhito</x:v>
      </x:c>
      <x:c r="C205" s="18" t="str"/>
      <x:c r="D205" s="18" t="str"/>
      <x:c r="E205" s="18" t="str"/>
      <x:c r="F205" s="18" t="str"/>
      <x:c r="G205" s="18" t="str"/>
      <x:c r="H205" s="18" t="str">
        <x:v>Japan</x:v>
      </x:c>
      <x:c r="I205" s="18" t="str">
        <x:v>Japan</x:v>
      </x:c>
      <x:c r="J205" s="20" t="str"/>
      <x:c r="K205" s="18" t="str"/>
      <x:c r="L205" s="20" t="str">
        <x:v>Japan</x:v>
      </x:c>
      <x:c r="M205" s="18" t="str">
        <x:v>Naruhito</x:v>
      </x:c>
      <x:c r="N205" s="20" t="str">
        <x:v>Q17</x:v>
      </x:c>
      <x:c r="O205" s="18" t="str">
        <x:v>Emperor of Japan</x:v>
      </x:c>
      <x:c r="P205" s="18" t="str">
        <x:v>Q217096</x:v>
      </x:c>
      <x:c r="Q205" s="18" t="n">
        <x:v>43586</x:v>
      </x:c>
      <x:c r="R205" s="18" t="str">
        <x:v>COMPLETE_FINITE_SNAPSHOT</x:v>
      </x:c>
      <x:c r="S205" s="18" t="str">
        <x:v>Complete returned current head-of-state statements for sovereign-state universe</x:v>
      </x:c>
      <x:c r="T205" s="18" t="str"/>
      <x:c r="U205" s="18" t="str"/>
      <x:c r="V205" s="20" t="n">
        <x:v>252</x:v>
      </x:c>
      <x:c r="W205" s="19" t="str">
        <x:f>IFERROR(TODAY()-DATEVALUE(C205),"")</x:f>
      </x:c>
      <x:c r="X205" s="21" t="n">
        <x:f>ROUND(COUNTA(A205:K205)/11*100,0)</x:f>
        <x:v>100</x:v>
      </x:c>
      <x:c r="Y205" s="18" t="str">
        <x:v>Wikidata</x:v>
      </x:c>
      <x:c r="Z205" s="22" t="str">
        <x:v>http://www.wikidata.org/entity/Q217096</x:v>
      </x:c>
      <x:c r="AA205" s="18" t="str"/>
      <x:c r="AB205" s="18" t="n">
        <x:v>46275.416216736114</x:v>
      </x:c>
      <x:c r="AC205" s="18" t="str">
        <x:v>independent_public</x:v>
      </x:c>
      <x:c r="AD205" s="18" t="str">
        <x:v>PARTIAL_NO_DATE</x:v>
      </x:c>
    </x:row>
    <x:row r="206">
      <x:c r="A206" s="18" t="str">
        <x:v>NYT-13-b81aaeb12e343ad4</x:v>
      </x:c>
      <x:c r="B206" s="18" t="str">
        <x:v>Konstantinos Tasoulas</x:v>
      </x:c>
      <x:c r="C206" s="18" t="str"/>
      <x:c r="D206" s="18" t="str"/>
      <x:c r="E206" s="18" t="str"/>
      <x:c r="F206" s="18" t="str"/>
      <x:c r="G206" s="18" t="str"/>
      <x:c r="H206" s="18" t="str">
        <x:v>Greece</x:v>
      </x:c>
      <x:c r="I206" s="18" t="str">
        <x:v>Greece</x:v>
      </x:c>
      <x:c r="J206" s="20" t="str"/>
      <x:c r="K206" s="18" t="str"/>
      <x:c r="L206" s="20" t="str">
        <x:v>Greece</x:v>
      </x:c>
      <x:c r="M206" s="18" t="str">
        <x:v>Konstantinos Tasoulas</x:v>
      </x:c>
      <x:c r="N206" s="20" t="str">
        <x:v>Q41</x:v>
      </x:c>
      <x:c r="O206" s="18" t="str">
        <x:v>President of Greece</x:v>
      </x:c>
      <x:c r="P206" s="18" t="str">
        <x:v>Q20995518</x:v>
      </x:c>
      <x:c r="Q206" s="18" t="n">
        <x:v>45729</x:v>
      </x:c>
      <x:c r="R206" s="18" t="str">
        <x:v>COMPLETE_FINITE_SNAPSHOT</x:v>
      </x:c>
      <x:c r="S206" s="18" t="str">
        <x:v>Complete returned current head-of-state statements for sovereign-state universe</x:v>
      </x:c>
      <x:c r="T206" s="18" t="str"/>
      <x:c r="U206" s="18" t="str"/>
      <x:c r="V206" s="20" t="n">
        <x:v>252</x:v>
      </x:c>
      <x:c r="W206" s="19" t="str">
        <x:f>IFERROR(TODAY()-DATEVALUE(C206),"")</x:f>
      </x:c>
      <x:c r="X206" s="21" t="n">
        <x:f>ROUND(COUNTA(A206:K206)/11*100,0)</x:f>
        <x:v>100</x:v>
      </x:c>
      <x:c r="Y206" s="18" t="str">
        <x:v>Wikidata</x:v>
      </x:c>
      <x:c r="Z206" s="22" t="str">
        <x:v>http://www.wikidata.org/entity/Q20995518</x:v>
      </x:c>
      <x:c r="AA206" s="18" t="str"/>
      <x:c r="AB206" s="18" t="n">
        <x:v>46275.416216736114</x:v>
      </x:c>
      <x:c r="AC206" s="18" t="str">
        <x:v>independent_public</x:v>
      </x:c>
      <x:c r="AD206" s="18" t="str">
        <x:v>PARTIAL_NO_DATE</x:v>
      </x:c>
    </x:row>
    <x:row r="207">
      <x:c r="A207" s="18" t="str">
        <x:v>NYT-13-dc4f1a1be4575dac</x:v>
      </x:c>
      <x:c r="B207" s="18" t="str">
        <x:v>Yamandú Orsi</x:v>
      </x:c>
      <x:c r="C207" s="18" t="str"/>
      <x:c r="D207" s="18" t="str"/>
      <x:c r="E207" s="18" t="str"/>
      <x:c r="F207" s="18" t="str"/>
      <x:c r="G207" s="18" t="str"/>
      <x:c r="H207" s="18" t="str">
        <x:v>Uruguay</x:v>
      </x:c>
      <x:c r="I207" s="18" t="str">
        <x:v>Uruguay</x:v>
      </x:c>
      <x:c r="J207" s="20" t="str"/>
      <x:c r="K207" s="18" t="str"/>
      <x:c r="L207" s="20" t="str">
        <x:v>Uruguay</x:v>
      </x:c>
      <x:c r="M207" s="18" t="str">
        <x:v>Yamandú Orsi</x:v>
      </x:c>
      <x:c r="N207" s="20" t="str">
        <x:v>Q77</x:v>
      </x:c>
      <x:c r="O207" s="18" t="str">
        <x:v>President of Uruguay</x:v>
      </x:c>
      <x:c r="P207" s="18" t="str">
        <x:v>Q19946921</x:v>
      </x:c>
      <x:c r="Q207" s="18" t="n">
        <x:v>45717</x:v>
      </x:c>
      <x:c r="R207" s="18" t="str">
        <x:v>COMPLETE_FINITE_SNAPSHOT</x:v>
      </x:c>
      <x:c r="S207" s="18" t="str">
        <x:v>Complete returned current head-of-state statements for sovereign-state universe</x:v>
      </x:c>
      <x:c r="T207" s="18" t="str"/>
      <x:c r="U207" s="18" t="str"/>
      <x:c r="V207" s="20" t="n">
        <x:v>252</x:v>
      </x:c>
      <x:c r="W207" s="19" t="str">
        <x:f>IFERROR(TODAY()-DATEVALUE(C207),"")</x:f>
      </x:c>
      <x:c r="X207" s="21" t="n">
        <x:f>ROUND(COUNTA(A207:K207)/11*100,0)</x:f>
        <x:v>100</x:v>
      </x:c>
      <x:c r="Y207" s="18" t="str">
        <x:v>Wikidata</x:v>
      </x:c>
      <x:c r="Z207" s="22" t="str">
        <x:v>http://www.wikidata.org/entity/Q19946921</x:v>
      </x:c>
      <x:c r="AA207" s="18" t="str"/>
      <x:c r="AB207" s="18" t="n">
        <x:v>46275.416216736114</x:v>
      </x:c>
      <x:c r="AC207" s="18" t="str">
        <x:v>independent_public</x:v>
      </x:c>
      <x:c r="AD207" s="18" t="str">
        <x:v>PARTIAL_NO_DATE</x:v>
      </x:c>
    </x:row>
    <x:row r="208">
      <x:c r="A208" s="18" t="str">
        <x:v>NYT-13-c3a918abf43e53b1</x:v>
      </x:c>
      <x:c r="B208" s="18" t="str">
        <x:v>Hilda Heine</x:v>
      </x:c>
      <x:c r="C208" s="18" t="str"/>
      <x:c r="D208" s="18" t="str"/>
      <x:c r="E208" s="18" t="str"/>
      <x:c r="F208" s="18" t="str"/>
      <x:c r="G208" s="18" t="str"/>
      <x:c r="H208" s="18" t="str">
        <x:v>Marshall Islands</x:v>
      </x:c>
      <x:c r="I208" s="18" t="str">
        <x:v>Marshall Islands</x:v>
      </x:c>
      <x:c r="J208" s="20" t="str"/>
      <x:c r="K208" s="18" t="str"/>
      <x:c r="L208" s="20" t="str">
        <x:v>Marshall Islands</x:v>
      </x:c>
      <x:c r="M208" s="18" t="str">
        <x:v>Hilda Heine</x:v>
      </x:c>
      <x:c r="N208" s="20" t="str">
        <x:v>Q709</x:v>
      </x:c>
      <x:c r="O208" s="18" t="str">
        <x:v>President of the Marshall Islands</x:v>
      </x:c>
      <x:c r="P208" s="18" t="str">
        <x:v>Q20090884</x:v>
      </x:c>
      <x:c r="Q208" s="18" t="n">
        <x:v>42397</x:v>
      </x:c>
      <x:c r="R208" s="18" t="str">
        <x:v>COMPLETE_FINITE_SNAPSHOT</x:v>
      </x:c>
      <x:c r="S208" s="18" t="str">
        <x:v>Complete returned current head-of-state statements for sovereign-state universe</x:v>
      </x:c>
      <x:c r="T208" s="18" t="str"/>
      <x:c r="U208" s="18" t="str"/>
      <x:c r="V208" s="20" t="n">
        <x:v>252</x:v>
      </x:c>
      <x:c r="W208" s="19" t="str">
        <x:f>IFERROR(TODAY()-DATEVALUE(C208),"")</x:f>
      </x:c>
      <x:c r="X208" s="21" t="n">
        <x:f>ROUND(COUNTA(A208:K208)/11*100,0)</x:f>
        <x:v>100</x:v>
      </x:c>
      <x:c r="Y208" s="18" t="str">
        <x:v>Wikidata</x:v>
      </x:c>
      <x:c r="Z208" s="22" t="str">
        <x:v>http://www.wikidata.org/entity/Q20090884</x:v>
      </x:c>
      <x:c r="AA208" s="18" t="str"/>
      <x:c r="AB208" s="18" t="n">
        <x:v>46275.416216736114</x:v>
      </x:c>
      <x:c r="AC208" s="18" t="str">
        <x:v>independent_public</x:v>
      </x:c>
      <x:c r="AD208" s="18" t="str">
        <x:v>PARTIAL_NO_DATE</x:v>
      </x:c>
    </x:row>
    <x:row r="209">
      <x:c r="A209" s="18" t="str">
        <x:v>NYT-13-609176b2fd3fad01</x:v>
      </x:c>
      <x:c r="B209" s="18" t="str">
        <x:v>Myint Swe</x:v>
      </x:c>
      <x:c r="C209" s="18" t="str"/>
      <x:c r="D209" s="18" t="str"/>
      <x:c r="E209" s="18" t="str"/>
      <x:c r="F209" s="18" t="str"/>
      <x:c r="G209" s="18" t="str"/>
      <x:c r="H209" s="18" t="str">
        <x:v>Myanmar</x:v>
      </x:c>
      <x:c r="I209" s="18" t="str">
        <x:v>Myanmar</x:v>
      </x:c>
      <x:c r="J209" s="20" t="str"/>
      <x:c r="K209" s="18" t="str"/>
      <x:c r="L209" s="20" t="str">
        <x:v>Myanmar</x:v>
      </x:c>
      <x:c r="M209" s="18" t="str">
        <x:v>Myint Swe</x:v>
      </x:c>
      <x:c r="N209" s="20" t="str">
        <x:v>Q836</x:v>
      </x:c>
      <x:c r="O209" s="18" t="str">
        <x:v>President of Myanmar</x:v>
      </x:c>
      <x:c r="P209" s="18" t="str">
        <x:v>Q3331362</x:v>
      </x:c>
      <x:c r="Q209" s="18" t="n">
        <x:v>43180</x:v>
      </x:c>
      <x:c r="R209" s="18" t="str">
        <x:v>COMPLETE_FINITE_SNAPSHOT</x:v>
      </x:c>
      <x:c r="S209" s="18" t="str">
        <x:v>Complete returned current head-of-state statements for sovereign-state universe</x:v>
      </x:c>
      <x:c r="T209" s="18" t="str"/>
      <x:c r="U209" s="18" t="str"/>
      <x:c r="V209" s="20" t="n">
        <x:v>252</x:v>
      </x:c>
      <x:c r="W209" s="19" t="str">
        <x:f>IFERROR(TODAY()-DATEVALUE(C209),"")</x:f>
      </x:c>
      <x:c r="X209" s="21" t="n">
        <x:f>ROUND(COUNTA(A209:K209)/11*100,0)</x:f>
        <x:v>100</x:v>
      </x:c>
      <x:c r="Y209" s="18" t="str">
        <x:v>Wikidata</x:v>
      </x:c>
      <x:c r="Z209" s="22" t="str">
        <x:v>http://www.wikidata.org/entity/Q3331362</x:v>
      </x:c>
      <x:c r="AA209" s="18" t="str"/>
      <x:c r="AB209" s="18" t="n">
        <x:v>46275.416216736114</x:v>
      </x:c>
      <x:c r="AC209" s="18" t="str">
        <x:v>independent_public</x:v>
      </x:c>
      <x:c r="AD209" s="18" t="str">
        <x:v>PARTIAL_NO_DATE</x:v>
      </x:c>
    </x:row>
    <x:row r="210">
      <x:c r="A210" s="18" t="str">
        <x:v>NYT-13-99db73cb42f9922b</x:v>
      </x:c>
      <x:c r="B210" s="18" t="str">
        <x:v>Q3052772</x:v>
      </x:c>
      <x:c r="C210" s="18" t="str"/>
      <x:c r="D210" s="18" t="str"/>
      <x:c r="E210" s="18" t="str"/>
      <x:c r="F210" s="18" t="str"/>
      <x:c r="G210" s="18" t="str"/>
      <x:c r="H210" s="18" t="str">
        <x:v>France</x:v>
      </x:c>
      <x:c r="I210" s="18" t="str">
        <x:v>France</x:v>
      </x:c>
      <x:c r="J210" s="20" t="str"/>
      <x:c r="K210" s="18" t="str"/>
      <x:c r="L210" s="20" t="str">
        <x:v>France</x:v>
      </x:c>
      <x:c r="M210" s="18" t="str">
        <x:v>Q3052772</x:v>
      </x:c>
      <x:c r="N210" s="20" t="str">
        <x:v>Q142</x:v>
      </x:c>
      <x:c r="O210" s="18" t="str">
        <x:v>President of the French Republic</x:v>
      </x:c>
      <x:c r="P210" s="18" t="str">
        <x:v>Q3052772</x:v>
      </x:c>
      <x:c r="Q210" s="18" t="n">
        <x:v>42869</x:v>
      </x:c>
      <x:c r="R210" s="18" t="str">
        <x:v>COMPLETE_FINITE_SNAPSHOT</x:v>
      </x:c>
      <x:c r="S210" s="18" t="str">
        <x:v>Complete returned current head-of-state statements for sovereign-state universe</x:v>
      </x:c>
      <x:c r="T210" s="18" t="str"/>
      <x:c r="U210" s="18" t="str"/>
      <x:c r="V210" s="20" t="n">
        <x:v>252</x:v>
      </x:c>
      <x:c r="W210" s="19" t="str">
        <x:f>IFERROR(TODAY()-DATEVALUE(C210),"")</x:f>
      </x:c>
      <x:c r="X210" s="21" t="n">
        <x:f>ROUND(COUNTA(A210:K210)/11*100,0)</x:f>
        <x:v>100</x:v>
      </x:c>
      <x:c r="Y210" s="18" t="str">
        <x:v>Wikidata</x:v>
      </x:c>
      <x:c r="Z210" s="22" t="str">
        <x:v>http://www.wikidata.org/entity/Q3052772</x:v>
      </x:c>
      <x:c r="AA210" s="18" t="str"/>
      <x:c r="AB210" s="18" t="n">
        <x:v>46275.416216736114</x:v>
      </x:c>
      <x:c r="AC210" s="18" t="str">
        <x:v>independent_public</x:v>
      </x:c>
      <x:c r="AD210" s="18" t="str">
        <x:v>PARTIAL_NO_DATE</x:v>
      </x:c>
    </x:row>
    <x:row r="211">
      <x:c r="A211" s="18" t="str">
        <x:v>NYT-13-24e409fc223cdfb6</x:v>
      </x:c>
      <x:c r="B211" s="18" t="str">
        <x:v>Aleksandar Vučić</x:v>
      </x:c>
      <x:c r="C211" s="18" t="str"/>
      <x:c r="D211" s="18" t="str"/>
      <x:c r="E211" s="18" t="str"/>
      <x:c r="F211" s="18" t="str"/>
      <x:c r="G211" s="18" t="str"/>
      <x:c r="H211" s="18" t="str">
        <x:v>Serbia</x:v>
      </x:c>
      <x:c r="I211" s="18" t="str">
        <x:v>Serbia</x:v>
      </x:c>
      <x:c r="J211" s="20" t="str"/>
      <x:c r="K211" s="18" t="str"/>
      <x:c r="L211" s="20" t="str">
        <x:v>Serbia</x:v>
      </x:c>
      <x:c r="M211" s="18" t="str">
        <x:v>Aleksandar Vučić</x:v>
      </x:c>
      <x:c r="N211" s="20" t="str">
        <x:v>Q403</x:v>
      </x:c>
      <x:c r="O211" s="18" t="str">
        <x:v>President of Serbia</x:v>
      </x:c>
      <x:c r="P211" s="18" t="str">
        <x:v>Q222031</x:v>
      </x:c>
      <x:c r="Q211" s="18" t="n">
        <x:v>42886</x:v>
      </x:c>
      <x:c r="R211" s="18" t="str">
        <x:v>COMPLETE_FINITE_SNAPSHOT</x:v>
      </x:c>
      <x:c r="S211" s="18" t="str">
        <x:v>Complete returned current head-of-state statements for sovereign-state universe</x:v>
      </x:c>
      <x:c r="T211" s="18" t="str"/>
      <x:c r="U211" s="18" t="str"/>
      <x:c r="V211" s="20" t="n">
        <x:v>252</x:v>
      </x:c>
      <x:c r="W211" s="19" t="str">
        <x:f>IFERROR(TODAY()-DATEVALUE(C211),"")</x:f>
      </x:c>
      <x:c r="X211" s="21" t="n">
        <x:f>ROUND(COUNTA(A211:K211)/11*100,0)</x:f>
        <x:v>100</x:v>
      </x:c>
      <x:c r="Y211" s="18" t="str">
        <x:v>Wikidata</x:v>
      </x:c>
      <x:c r="Z211" s="22" t="str">
        <x:v>http://www.wikidata.org/entity/Q222031</x:v>
      </x:c>
      <x:c r="AA211" s="18" t="str"/>
      <x:c r="AB211" s="18" t="n">
        <x:v>46275.416216736114</x:v>
      </x:c>
      <x:c r="AC211" s="18" t="str">
        <x:v>independent_public</x:v>
      </x:c>
      <x:c r="AD211" s="18" t="str">
        <x:v>PARTIAL_NO_DATE</x:v>
      </x:c>
    </x:row>
    <x:row r="212">
      <x:c r="A212" s="18" t="str">
        <x:v>NYT-13-67bbbe70f53eb069</x:v>
      </x:c>
      <x:c r="B212" s="18" t="str">
        <x:v>Ram Chandra Poudel</x:v>
      </x:c>
      <x:c r="C212" s="18" t="str"/>
      <x:c r="D212" s="18" t="str"/>
      <x:c r="E212" s="18" t="str"/>
      <x:c r="F212" s="18" t="str"/>
      <x:c r="G212" s="18" t="str"/>
      <x:c r="H212" s="18" t="str">
        <x:v>Nepal</x:v>
      </x:c>
      <x:c r="I212" s="18" t="str">
        <x:v>Nepal</x:v>
      </x:c>
      <x:c r="J212" s="20" t="str"/>
      <x:c r="K212" s="18" t="str"/>
      <x:c r="L212" s="20" t="str">
        <x:v>Nepal</x:v>
      </x:c>
      <x:c r="M212" s="18" t="str">
        <x:v>Ram Chandra Poudel</x:v>
      </x:c>
      <x:c r="N212" s="20" t="str">
        <x:v>Q837</x:v>
      </x:c>
      <x:c r="O212" s="18" t="str">
        <x:v>President of Nepal</x:v>
      </x:c>
      <x:c r="P212" s="18" t="str">
        <x:v>Q3183124</x:v>
      </x:c>
      <x:c r="Q212" s="18" t="n">
        <x:v>44998</x:v>
      </x:c>
      <x:c r="R212" s="18" t="str">
        <x:v>COMPLETE_FINITE_SNAPSHOT</x:v>
      </x:c>
      <x:c r="S212" s="18" t="str">
        <x:v>Complete returned current head-of-state statements for sovereign-state universe</x:v>
      </x:c>
      <x:c r="T212" s="18" t="str"/>
      <x:c r="U212" s="18" t="str"/>
      <x:c r="V212" s="20" t="n">
        <x:v>252</x:v>
      </x:c>
      <x:c r="W212" s="19" t="str">
        <x:f>IFERROR(TODAY()-DATEVALUE(C212),"")</x:f>
      </x:c>
      <x:c r="X212" s="21" t="n">
        <x:f>ROUND(COUNTA(A212:K212)/11*100,0)</x:f>
        <x:v>100</x:v>
      </x:c>
      <x:c r="Y212" s="18" t="str">
        <x:v>Wikidata</x:v>
      </x:c>
      <x:c r="Z212" s="22" t="str">
        <x:v>http://www.wikidata.org/entity/Q3183124</x:v>
      </x:c>
      <x:c r="AA212" s="18" t="str"/>
      <x:c r="AB212" s="18" t="n">
        <x:v>46275.416216736114</x:v>
      </x:c>
      <x:c r="AC212" s="18" t="str">
        <x:v>independent_public</x:v>
      </x:c>
      <x:c r="AD212" s="18" t="str">
        <x:v>PARTIAL_NO_DATE</x:v>
      </x:c>
    </x:row>
    <x:row r="213">
      <x:c r="A213" s="18" t="str">
        <x:v>NYT-13-13573169b00558aa</x:v>
      </x:c>
      <x:c r="B213" s="18" t="str">
        <x:v>Halla Tómasdóttir</x:v>
      </x:c>
      <x:c r="C213" s="18" t="str"/>
      <x:c r="D213" s="18" t="str"/>
      <x:c r="E213" s="18" t="str"/>
      <x:c r="F213" s="18" t="str"/>
      <x:c r="G213" s="18" t="str"/>
      <x:c r="H213" s="18" t="str">
        <x:v>Iceland</x:v>
      </x:c>
      <x:c r="I213" s="18" t="str">
        <x:v>Iceland</x:v>
      </x:c>
      <x:c r="J213" s="20" t="str"/>
      <x:c r="K213" s="18" t="str"/>
      <x:c r="L213" s="20" t="str">
        <x:v>Iceland</x:v>
      </x:c>
      <x:c r="M213" s="18" t="str">
        <x:v>Halla Tómasdóttir</x:v>
      </x:c>
      <x:c r="N213" s="20" t="str">
        <x:v>Q189</x:v>
      </x:c>
      <x:c r="O213" s="18" t="str">
        <x:v>President of Iceland</x:v>
      </x:c>
      <x:c r="P213" s="18" t="str">
        <x:v>Q24494577</x:v>
      </x:c>
      <x:c r="Q213" s="18" t="n">
        <x:v>45505</x:v>
      </x:c>
      <x:c r="R213" s="18" t="str">
        <x:v>COMPLETE_FINITE_SNAPSHOT</x:v>
      </x:c>
      <x:c r="S213" s="18" t="str">
        <x:v>Complete returned current head-of-state statements for sovereign-state universe</x:v>
      </x:c>
      <x:c r="T213" s="18" t="str"/>
      <x:c r="U213" s="18" t="str"/>
      <x:c r="V213" s="20" t="n">
        <x:v>252</x:v>
      </x:c>
      <x:c r="W213" s="19" t="str">
        <x:f>IFERROR(TODAY()-DATEVALUE(C213),"")</x:f>
      </x:c>
      <x:c r="X213" s="21" t="n">
        <x:f>ROUND(COUNTA(A213:K213)/11*100,0)</x:f>
        <x:v>100</x:v>
      </x:c>
      <x:c r="Y213" s="18" t="str">
        <x:v>Wikidata</x:v>
      </x:c>
      <x:c r="Z213" s="22" t="str">
        <x:v>http://www.wikidata.org/entity/Q24494577</x:v>
      </x:c>
      <x:c r="AA213" s="18" t="str"/>
      <x:c r="AB213" s="18" t="n">
        <x:v>46275.416216736114</x:v>
      </x:c>
      <x:c r="AC213" s="18" t="str">
        <x:v>independent_public</x:v>
      </x:c>
      <x:c r="AD213" s="18" t="str">
        <x:v>PARTIAL_NO_DATE</x:v>
      </x:c>
    </x:row>
    <x:row r="214">
      <x:c r="A214" s="18" t="str">
        <x:v>NYT-13-b2d117023dfbedaf</x:v>
      </x:c>
      <x:c r="B214" s="18" t="str">
        <x:v>Vít Jedlička</x:v>
      </x:c>
      <x:c r="C214" s="18" t="str"/>
      <x:c r="D214" s="18" t="str"/>
      <x:c r="E214" s="18" t="str"/>
      <x:c r="F214" s="18" t="str"/>
      <x:c r="G214" s="18" t="str"/>
      <x:c r="H214" s="18" t="str">
        <x:v>Liberland</x:v>
      </x:c>
      <x:c r="I214" s="18" t="str">
        <x:v>Liberland</x:v>
      </x:c>
      <x:c r="J214" s="20" t="str"/>
      <x:c r="K214" s="18" t="str"/>
      <x:c r="L214" s="20" t="str">
        <x:v>Liberland</x:v>
      </x:c>
      <x:c r="M214" s="18" t="str">
        <x:v>Vít Jedlička</x:v>
      </x:c>
      <x:c r="N214" s="20" t="str">
        <x:v>Q19801186</x:v>
      </x:c>
      <x:c r="O214" s="18" t="str">
        <x:v>Head of state</x:v>
      </x:c>
      <x:c r="P214" s="18" t="str">
        <x:v>Q19810371</x:v>
      </x:c>
      <x:c r="Q214" s="18" t="str"/>
      <x:c r="R214" s="18" t="str">
        <x:v>COMPLETE_FINITE_SNAPSHOT</x:v>
      </x:c>
      <x:c r="S214" s="18" t="str">
        <x:v>Complete returned current head-of-state statements for sovereign-state universe</x:v>
      </x:c>
      <x:c r="T214" s="18" t="str"/>
      <x:c r="U214" s="18" t="str"/>
      <x:c r="V214" s="20" t="n">
        <x:v>252</x:v>
      </x:c>
      <x:c r="W214" s="19" t="str">
        <x:f>IFERROR(TODAY()-DATEVALUE(C214),"")</x:f>
      </x:c>
      <x:c r="X214" s="21" t="n">
        <x:f>ROUND(COUNTA(A214:K214)/11*100,0)</x:f>
        <x:v>100</x:v>
      </x:c>
      <x:c r="Y214" s="18" t="str">
        <x:v>Wikidata</x:v>
      </x:c>
      <x:c r="Z214" s="22" t="str">
        <x:v>http://www.wikidata.org/entity/Q19810371</x:v>
      </x:c>
      <x:c r="AA214" s="18" t="str"/>
      <x:c r="AB214" s="18" t="n">
        <x:v>46275.416216736114</x:v>
      </x:c>
      <x:c r="AC214" s="18" t="str">
        <x:v>independent_public</x:v>
      </x:c>
      <x:c r="AD214" s="18" t="str">
        <x:v>PARTIAL_NO_DATE</x:v>
      </x:c>
    </x:row>
    <x:row r="215">
      <x:c r="A215" s="18" t="str">
        <x:v>NYT-13-c4ff70ab71f7a3b8</x:v>
      </x:c>
      <x:c r="B215" s="18" t="str">
        <x:v>Daniel Jackson</x:v>
      </x:c>
      <x:c r="C215" s="18" t="str"/>
      <x:c r="D215" s="18" t="str"/>
      <x:c r="E215" s="18" t="str"/>
      <x:c r="F215" s="18" t="str"/>
      <x:c r="G215" s="18" t="str"/>
      <x:c r="H215" s="18" t="str">
        <x:v>Verdis</x:v>
      </x:c>
      <x:c r="I215" s="18" t="str">
        <x:v>Verdis</x:v>
      </x:c>
      <x:c r="J215" s="20" t="str"/>
      <x:c r="K215" s="18" t="str"/>
      <x:c r="L215" s="20" t="str">
        <x:v>Verdis</x:v>
      </x:c>
      <x:c r="M215" s="18" t="str">
        <x:v>Daniel Jackson</x:v>
      </x:c>
      <x:c r="N215" s="20" t="str">
        <x:v>Q73330139</x:v>
      </x:c>
      <x:c r="O215" s="18" t="str">
        <x:v>president</x:v>
      </x:c>
      <x:c r="P215" s="18" t="str">
        <x:v>Q106157103</x:v>
      </x:c>
      <x:c r="Q215" s="18" t="str"/>
      <x:c r="R215" s="18" t="str">
        <x:v>COMPLETE_FINITE_SNAPSHOT</x:v>
      </x:c>
      <x:c r="S215" s="18" t="str">
        <x:v>Complete returned current head-of-state statements for sovereign-state universe</x:v>
      </x:c>
      <x:c r="T215" s="18" t="str"/>
      <x:c r="U215" s="18" t="str"/>
      <x:c r="V215" s="20" t="n">
        <x:v>252</x:v>
      </x:c>
      <x:c r="W215" s="19" t="str">
        <x:f>IFERROR(TODAY()-DATEVALUE(C215),"")</x:f>
      </x:c>
      <x:c r="X215" s="21" t="n">
        <x:f>ROUND(COUNTA(A215:K215)/11*100,0)</x:f>
        <x:v>100</x:v>
      </x:c>
      <x:c r="Y215" s="18" t="str">
        <x:v>Wikidata</x:v>
      </x:c>
      <x:c r="Z215" s="22" t="str">
        <x:v>http://www.wikidata.org/entity/Q106157103</x:v>
      </x:c>
      <x:c r="AA215" s="18" t="str"/>
      <x:c r="AB215" s="18" t="n">
        <x:v>46275.416216736114</x:v>
      </x:c>
      <x:c r="AC215" s="18" t="str">
        <x:v>independent_public</x:v>
      </x:c>
      <x:c r="AD215" s="18" t="str">
        <x:v>PARTIAL_NO_DATE</x:v>
      </x:c>
    </x:row>
    <x:row r="216">
      <x:c r="A216" s="18" t="str">
        <x:v>NYT-13-8515a4419d39ddb7</x:v>
      </x:c>
      <x:c r="B216" s="18" t="str">
        <x:v>Bektashi Dedebabate</x:v>
      </x:c>
      <x:c r="C216" s="18" t="str"/>
      <x:c r="D216" s="18" t="str"/>
      <x:c r="E216" s="18" t="str"/>
      <x:c r="F216" s="18" t="str"/>
      <x:c r="G216" s="18" t="str"/>
      <x:c r="H216" s="18" t="str">
        <x:v>Sovereign State of the Bektashi Order</x:v>
      </x:c>
      <x:c r="I216" s="18" t="str">
        <x:v>Sovereign State of the Bektashi Order</x:v>
      </x:c>
      <x:c r="J216" s="20" t="str"/>
      <x:c r="K216" s="18" t="str"/>
      <x:c r="L216" s="20" t="str">
        <x:v>Sovereign State of the Bektashi Order</x:v>
      </x:c>
      <x:c r="M216" s="18" t="str">
        <x:v>Bektashi Dedebabate</x:v>
      </x:c>
      <x:c r="N216" s="20" t="str">
        <x:v>Q130340667</x:v>
      </x:c>
      <x:c r="O216" s="18" t="str">
        <x:v>Head of state</x:v>
      </x:c>
      <x:c r="P216" s="18" t="str">
        <x:v>Q108314606</x:v>
      </x:c>
      <x:c r="Q216" s="18" t="str"/>
      <x:c r="R216" s="18" t="str">
        <x:v>COMPLETE_FINITE_SNAPSHOT</x:v>
      </x:c>
      <x:c r="S216" s="18" t="str">
        <x:v>Complete returned current head-of-state statements for sovereign-state universe</x:v>
      </x:c>
      <x:c r="T216" s="18" t="str"/>
      <x:c r="U216" s="18" t="str"/>
      <x:c r="V216" s="20" t="n">
        <x:v>252</x:v>
      </x:c>
      <x:c r="W216" s="19" t="str">
        <x:f>IFERROR(TODAY()-DATEVALUE(C216),"")</x:f>
      </x:c>
      <x:c r="X216" s="21" t="n">
        <x:f>ROUND(COUNTA(A216:K216)/11*100,0)</x:f>
        <x:v>100</x:v>
      </x:c>
      <x:c r="Y216" s="18" t="str">
        <x:v>Wikidata</x:v>
      </x:c>
      <x:c r="Z216" s="22" t="str">
        <x:v>http://www.wikidata.org/entity/Q108314606</x:v>
      </x:c>
      <x:c r="AA216" s="18" t="str"/>
      <x:c r="AB216" s="18" t="n">
        <x:v>46275.416216736114</x:v>
      </x:c>
      <x:c r="AC216" s="18" t="str">
        <x:v>independent_public</x:v>
      </x:c>
      <x:c r="AD216" s="18" t="str">
        <x:v>PARTIAL_NO_DATE</x:v>
      </x:c>
    </x:row>
    <x:row r="217">
      <x:c r="A217" s="18" t="str">
        <x:v>NYT-13-2d4c1350cc88af6d</x:v>
      </x:c>
      <x:c r="B217" s="18" t="str">
        <x:v>Italo Righi</x:v>
      </x:c>
      <x:c r="C217" s="18" t="str"/>
      <x:c r="D217" s="18" t="str"/>
      <x:c r="E217" s="18" t="str"/>
      <x:c r="F217" s="18" t="str"/>
      <x:c r="G217" s="18" t="str"/>
      <x:c r="H217" s="18" t="str">
        <x:v>San Marino</x:v>
      </x:c>
      <x:c r="I217" s="18" t="str">
        <x:v>San Marino</x:v>
      </x:c>
      <x:c r="J217" s="20" t="str"/>
      <x:c r="K217" s="18" t="str"/>
      <x:c r="L217" s="20" t="str">
        <x:v>San Marino</x:v>
      </x:c>
      <x:c r="M217" s="18" t="str">
        <x:v>Italo Righi</x:v>
      </x:c>
      <x:c r="N217" s="20" t="str">
        <x:v>Q238</x:v>
      </x:c>
      <x:c r="O217" s="18" t="str">
        <x:v>member of the Grand and General Council of San Marino</x:v>
      </x:c>
      <x:c r="P217" s="18" t="str">
        <x:v>Q1353628</x:v>
      </x:c>
      <x:c r="Q217" s="18" t="str"/>
      <x:c r="R217" s="18" t="str">
        <x:v>COMPLETE_FINITE_SNAPSHOT</x:v>
      </x:c>
      <x:c r="S217" s="18" t="str">
        <x:v>Complete returned current head-of-state statements for sovereign-state universe</x:v>
      </x:c>
      <x:c r="T217" s="18" t="str"/>
      <x:c r="U217" s="18" t="str"/>
      <x:c r="V217" s="20" t="n">
        <x:v>252</x:v>
      </x:c>
      <x:c r="W217" s="19" t="str">
        <x:f>IFERROR(TODAY()-DATEVALUE(C217),"")</x:f>
      </x:c>
      <x:c r="X217" s="21" t="n">
        <x:f>ROUND(COUNTA(A217:K217)/11*100,0)</x:f>
        <x:v>100</x:v>
      </x:c>
      <x:c r="Y217" s="18" t="str">
        <x:v>Wikidata</x:v>
      </x:c>
      <x:c r="Z217" s="22" t="str">
        <x:v>http://www.wikidata.org/entity/Q1353628</x:v>
      </x:c>
      <x:c r="AA217" s="18" t="str"/>
      <x:c r="AB217" s="18" t="n">
        <x:v>46275.416216736114</x:v>
      </x:c>
      <x:c r="AC217" s="18" t="str">
        <x:v>independent_public</x:v>
      </x:c>
      <x:c r="AD217" s="18" t="str">
        <x:v>PARTIAL_NO_DATE</x:v>
      </x:c>
    </x:row>
    <x:row r="218">
      <x:c r="A218" s="18" t="str">
        <x:v>NYT-13-93db25e30cb59b1e</x:v>
      </x:c>
      <x:c r="B218" s="18" t="str">
        <x:v>Jonathan Austen</x:v>
      </x:c>
      <x:c r="C218" s="18" t="str"/>
      <x:c r="D218" s="18" t="str"/>
      <x:c r="E218" s="18" t="str"/>
      <x:c r="F218" s="18" t="str"/>
      <x:c r="G218" s="18" t="str"/>
      <x:c r="H218" s="18" t="str">
        <x:v>Austenasia</x:v>
      </x:c>
      <x:c r="I218" s="18" t="str">
        <x:v>Austenasia</x:v>
      </x:c>
      <x:c r="J218" s="20" t="str"/>
      <x:c r="K218" s="18" t="str"/>
      <x:c r="L218" s="20" t="str">
        <x:v>Austenasia</x:v>
      </x:c>
      <x:c r="M218" s="18" t="str">
        <x:v>Jonathan Austen</x:v>
      </x:c>
      <x:c r="N218" s="20" t="str">
        <x:v>Q4822871</x:v>
      </x:c>
      <x:c r="O218" s="18" t="str">
        <x:v>Head of state</x:v>
      </x:c>
      <x:c r="P218" s="18" t="str">
        <x:v>Q99521435</x:v>
      </x:c>
      <x:c r="Q218" s="18" t="str"/>
      <x:c r="R218" s="18" t="str">
        <x:v>COMPLETE_FINITE_SNAPSHOT</x:v>
      </x:c>
      <x:c r="S218" s="18" t="str">
        <x:v>Complete returned current head-of-state statements for sovereign-state universe</x:v>
      </x:c>
      <x:c r="T218" s="18" t="str"/>
      <x:c r="U218" s="18" t="str"/>
      <x:c r="V218" s="20" t="n">
        <x:v>252</x:v>
      </x:c>
      <x:c r="W218" s="19" t="str">
        <x:f>IFERROR(TODAY()-DATEVALUE(C218),"")</x:f>
      </x:c>
      <x:c r="X218" s="21" t="n">
        <x:f>ROUND(COUNTA(A218:K218)/11*100,0)</x:f>
        <x:v>100</x:v>
      </x:c>
      <x:c r="Y218" s="18" t="str">
        <x:v>Wikidata</x:v>
      </x:c>
      <x:c r="Z218" s="22" t="str">
        <x:v>http://www.wikidata.org/entity/Q99521435</x:v>
      </x:c>
      <x:c r="AA218" s="18" t="str"/>
      <x:c r="AB218" s="18" t="n">
        <x:v>46275.416216736114</x:v>
      </x:c>
      <x:c r="AC218" s="18" t="str">
        <x:v>independent_public</x:v>
      </x:c>
      <x:c r="AD218" s="18" t="str">
        <x:v>PARTIAL_NO_DATE</x:v>
      </x:c>
    </x:row>
    <x:row r="219">
      <x:c r="A219" s="18" t="str">
        <x:v>NYT-13-743f9d12562cfe53</x:v>
      </x:c>
      <x:c r="B219" s="18" t="str">
        <x:v>Transitional Presidential Council</x:v>
      </x:c>
      <x:c r="C219" s="18" t="str"/>
      <x:c r="D219" s="18" t="str"/>
      <x:c r="E219" s="18" t="str"/>
      <x:c r="F219" s="18" t="str"/>
      <x:c r="G219" s="18" t="str"/>
      <x:c r="H219" s="18" t="str">
        <x:v>Haiti</x:v>
      </x:c>
      <x:c r="I219" s="18" t="str">
        <x:v>Haiti</x:v>
      </x:c>
      <x:c r="J219" s="20" t="str"/>
      <x:c r="K219" s="18" t="str"/>
      <x:c r="L219" s="20" t="str">
        <x:v>Haiti</x:v>
      </x:c>
      <x:c r="M219" s="18" t="str">
        <x:v>Transitional Presidential Council</x:v>
      </x:c>
      <x:c r="N219" s="20" t="str">
        <x:v>Q790</x:v>
      </x:c>
      <x:c r="O219" s="18" t="str">
        <x:v>Head of state</x:v>
      </x:c>
      <x:c r="P219" s="18" t="str">
        <x:v>Q124846311</x:v>
      </x:c>
      <x:c r="Q219" s="18" t="str"/>
      <x:c r="R219" s="18" t="str">
        <x:v>COMPLETE_FINITE_SNAPSHOT</x:v>
      </x:c>
      <x:c r="S219" s="18" t="str">
        <x:v>Complete returned current head-of-state statements for sovereign-state universe</x:v>
      </x:c>
      <x:c r="T219" s="18" t="str"/>
      <x:c r="U219" s="18" t="str"/>
      <x:c r="V219" s="20" t="n">
        <x:v>252</x:v>
      </x:c>
      <x:c r="W219" s="19" t="str">
        <x:f>IFERROR(TODAY()-DATEVALUE(C219),"")</x:f>
      </x:c>
      <x:c r="X219" s="21" t="n">
        <x:f>ROUND(COUNTA(A219:K219)/11*100,0)</x:f>
        <x:v>100</x:v>
      </x:c>
      <x:c r="Y219" s="18" t="str">
        <x:v>Wikidata</x:v>
      </x:c>
      <x:c r="Z219" s="22" t="str">
        <x:v>http://www.wikidata.org/entity/Q124846311</x:v>
      </x:c>
      <x:c r="AA219" s="18" t="str"/>
      <x:c r="AB219" s="18" t="n">
        <x:v>46275.416216736114</x:v>
      </x:c>
      <x:c r="AC219" s="18" t="str">
        <x:v>independent_public</x:v>
      </x:c>
      <x:c r="AD219" s="18" t="str">
        <x:v>PARTIAL_NO_DATE</x:v>
      </x:c>
    </x:row>
    <x:row r="220">
      <x:c r="A220" s="18" t="str">
        <x:v>NYT-13-cb746dffad9db01e</x:v>
      </x:c>
      <x:c r="B220" s="18" t="str">
        <x:v>Prabowo Subianto</x:v>
      </x:c>
      <x:c r="C220" s="18" t="str"/>
      <x:c r="D220" s="18" t="str"/>
      <x:c r="E220" s="18" t="str"/>
      <x:c r="F220" s="18" t="str"/>
      <x:c r="G220" s="18" t="str"/>
      <x:c r="H220" s="18" t="str">
        <x:v>Indonesia</x:v>
      </x:c>
      <x:c r="I220" s="18" t="str">
        <x:v>Indonesia</x:v>
      </x:c>
      <x:c r="J220" s="20" t="str"/>
      <x:c r="K220" s="18" t="str"/>
      <x:c r="L220" s="20" t="str">
        <x:v>Indonesia</x:v>
      </x:c>
      <x:c r="M220" s="18" t="str">
        <x:v>Prabowo Subianto</x:v>
      </x:c>
      <x:c r="N220" s="20" t="str">
        <x:v>Q252</x:v>
      </x:c>
      <x:c r="O220" s="18" t="str">
        <x:v>Commander of Group 3 Kopassus</x:v>
      </x:c>
      <x:c r="P220" s="18" t="str">
        <x:v>Q2107268</x:v>
      </x:c>
      <x:c r="Q220" s="18" t="str"/>
      <x:c r="R220" s="18" t="str">
        <x:v>COMPLETE_FINITE_SNAPSHOT</x:v>
      </x:c>
      <x:c r="S220" s="18" t="str">
        <x:v>Complete returned current head-of-state statements for sovereign-state universe</x:v>
      </x:c>
      <x:c r="T220" s="18" t="str"/>
      <x:c r="U220" s="18" t="str"/>
      <x:c r="V220" s="20" t="n">
        <x:v>252</x:v>
      </x:c>
      <x:c r="W220" s="19" t="str">
        <x:f>IFERROR(TODAY()-DATEVALUE(C220),"")</x:f>
      </x:c>
      <x:c r="X220" s="21" t="n">
        <x:f>ROUND(COUNTA(A220:K220)/11*100,0)</x:f>
        <x:v>100</x:v>
      </x:c>
      <x:c r="Y220" s="18" t="str">
        <x:v>Wikidata</x:v>
      </x:c>
      <x:c r="Z220" s="22" t="str">
        <x:v>http://www.wikidata.org/entity/Q2107268</x:v>
      </x:c>
      <x:c r="AA220" s="18" t="str"/>
      <x:c r="AB220" s="18" t="n">
        <x:v>46275.416216736114</x:v>
      </x:c>
      <x:c r="AC220" s="18" t="str">
        <x:v>independent_public</x:v>
      </x:c>
      <x:c r="AD220" s="18" t="str">
        <x:v>PARTIAL_NO_DATE</x:v>
      </x:c>
    </x:row>
    <x:row r="221">
      <x:c r="A221" s="18" t="str">
        <x:v>NYT-13-f260497dd8e60284</x:v>
      </x:c>
      <x:c r="B221" s="18" t="str">
        <x:v>Prince Karl Emich of Leiningen</x:v>
      </x:c>
      <x:c r="C221" s="18" t="str"/>
      <x:c r="D221" s="18" t="str"/>
      <x:c r="E221" s="18" t="str"/>
      <x:c r="F221" s="18" t="str"/>
      <x:c r="G221" s="18" t="str"/>
      <x:c r="H221" s="18" t="str">
        <x:v>Romanov Empire</x:v>
      </x:c>
      <x:c r="I221" s="18" t="str">
        <x:v>Romanov Empire</x:v>
      </x:c>
      <x:c r="J221" s="20" t="str"/>
      <x:c r="K221" s="18" t="str"/>
      <x:c r="L221" s="20" t="str">
        <x:v>Romanov Empire</x:v>
      </x:c>
      <x:c r="M221" s="18" t="str">
        <x:v>Prince Karl Emich of Leiningen</x:v>
      </x:c>
      <x:c r="N221" s="20" t="str">
        <x:v>Q7382038</x:v>
      </x:c>
      <x:c r="O221" s="18" t="str">
        <x:v>Head of state</x:v>
      </x:c>
      <x:c r="P221" s="18" t="str">
        <x:v>Q7244117</x:v>
      </x:c>
      <x:c r="Q221" s="18" t="str"/>
      <x:c r="R221" s="18" t="str">
        <x:v>COMPLETE_FINITE_SNAPSHOT</x:v>
      </x:c>
      <x:c r="S221" s="18" t="str">
        <x:v>Complete returned current head-of-state statements for sovereign-state universe</x:v>
      </x:c>
      <x:c r="T221" s="18" t="str"/>
      <x:c r="U221" s="18" t="str"/>
      <x:c r="V221" s="20" t="n">
        <x:v>252</x:v>
      </x:c>
      <x:c r="W221" s="19" t="str">
        <x:f>IFERROR(TODAY()-DATEVALUE(C221),"")</x:f>
      </x:c>
      <x:c r="X221" s="21" t="n">
        <x:f>ROUND(COUNTA(A221:K221)/11*100,0)</x:f>
        <x:v>100</x:v>
      </x:c>
      <x:c r="Y221" s="18" t="str">
        <x:v>Wikidata</x:v>
      </x:c>
      <x:c r="Z221" s="22" t="str">
        <x:v>http://www.wikidata.org/entity/Q7244117</x:v>
      </x:c>
      <x:c r="AA221" s="18" t="str"/>
      <x:c r="AB221" s="18" t="n">
        <x:v>46275.416216736114</x:v>
      </x:c>
      <x:c r="AC221" s="18" t="str">
        <x:v>independent_public</x:v>
      </x:c>
      <x:c r="AD221" s="18" t="str">
        <x:v>PARTIAL_NO_DATE</x:v>
      </x:c>
    </x:row>
    <x:row r="222">
      <x:c r="A222" s="18" t="str">
        <x:v>NYT-13-484db1b379c33e86</x:v>
      </x:c>
      <x:c r="B222" s="18" t="str">
        <x:v>Mohammad Shahabuddin</x:v>
      </x:c>
      <x:c r="C222" s="18" t="str"/>
      <x:c r="D222" s="18" t="str"/>
      <x:c r="E222" s="18" t="str"/>
      <x:c r="F222" s="18" t="str"/>
      <x:c r="G222" s="18" t="str"/>
      <x:c r="H222" s="18" t="str">
        <x:v>Bangladesh</x:v>
      </x:c>
      <x:c r="I222" s="18" t="str">
        <x:v>Bangladesh</x:v>
      </x:c>
      <x:c r="J222" s="20" t="str"/>
      <x:c r="K222" s="18" t="str"/>
      <x:c r="L222" s="20" t="str">
        <x:v>Bangladesh</x:v>
      </x:c>
      <x:c r="M222" s="18" t="str">
        <x:v>Mohammad Shahabuddin</x:v>
      </x:c>
      <x:c r="N222" s="20" t="str">
        <x:v>Q902</x:v>
      </x:c>
      <x:c r="O222" s="18" t="str">
        <x:v>commissioner</x:v>
      </x:c>
      <x:c r="P222" s="18" t="str">
        <x:v>Q116763154</x:v>
      </x:c>
      <x:c r="Q222" s="18" t="str"/>
      <x:c r="R222" s="18" t="str">
        <x:v>COMPLETE_FINITE_SNAPSHOT</x:v>
      </x:c>
      <x:c r="S222" s="18" t="str">
        <x:v>Complete returned current head-of-state statements for sovereign-state universe</x:v>
      </x:c>
      <x:c r="T222" s="18" t="str"/>
      <x:c r="U222" s="18" t="str"/>
      <x:c r="V222" s="20" t="n">
        <x:v>252</x:v>
      </x:c>
      <x:c r="W222" s="19" t="str">
        <x:f>IFERROR(TODAY()-DATEVALUE(C222),"")</x:f>
      </x:c>
      <x:c r="X222" s="21" t="n">
        <x:f>ROUND(COUNTA(A222:K222)/11*100,0)</x:f>
        <x:v>100</x:v>
      </x:c>
      <x:c r="Y222" s="18" t="str">
        <x:v>Wikidata</x:v>
      </x:c>
      <x:c r="Z222" s="22" t="str">
        <x:v>http://www.wikidata.org/entity/Q116763154</x:v>
      </x:c>
      <x:c r="AA222" s="18" t="str"/>
      <x:c r="AB222" s="18" t="n">
        <x:v>46275.416216736114</x:v>
      </x:c>
      <x:c r="AC222" s="18" t="str">
        <x:v>independent_public</x:v>
      </x:c>
      <x:c r="AD222" s="18" t="str">
        <x:v>PARTIAL_NO_DATE</x:v>
      </x:c>
    </x:row>
    <x:row r="223">
      <x:c r="A223" s="18" t="str">
        <x:v>NYT-13-ff680c1a603368a5</x:v>
      </x:c>
      <x:c r="B223" s="18" t="str">
        <x:v>Felipe</x:v>
      </x:c>
      <x:c r="C223" s="18" t="str"/>
      <x:c r="D223" s="18" t="str"/>
      <x:c r="E223" s="18" t="str"/>
      <x:c r="F223" s="18" t="str"/>
      <x:c r="G223" s="18" t="str"/>
      <x:c r="H223" s="18" t="str">
        <x:v>Tilandia Kingdom</x:v>
      </x:c>
      <x:c r="I223" s="18" t="str">
        <x:v>Tilandia Kingdom</x:v>
      </x:c>
      <x:c r="J223" s="20" t="str"/>
      <x:c r="K223" s="18" t="str"/>
      <x:c r="L223" s="20" t="str">
        <x:v>Tilandia Kingdom</x:v>
      </x:c>
      <x:c r="M223" s="18" t="str">
        <x:v>Felipe</x:v>
      </x:c>
      <x:c r="N223" s="20" t="str">
        <x:v>Q130337131</x:v>
      </x:c>
      <x:c r="O223" s="18" t="str">
        <x:v>Head of state</x:v>
      </x:c>
      <x:c r="P223" s="18" t="str">
        <x:v>Q15727141</x:v>
      </x:c>
      <x:c r="Q223" s="18" t="str"/>
      <x:c r="R223" s="18" t="str">
        <x:v>COMPLETE_FINITE_SNAPSHOT</x:v>
      </x:c>
      <x:c r="S223" s="18" t="str">
        <x:v>Complete returned current head-of-state statements for sovereign-state universe</x:v>
      </x:c>
      <x:c r="T223" s="18" t="str"/>
      <x:c r="U223" s="18" t="str"/>
      <x:c r="V223" s="20" t="n">
        <x:v>252</x:v>
      </x:c>
      <x:c r="W223" s="19" t="str">
        <x:f>IFERROR(TODAY()-DATEVALUE(C223),"")</x:f>
      </x:c>
      <x:c r="X223" s="21" t="n">
        <x:f>ROUND(COUNTA(A223:K223)/11*100,0)</x:f>
        <x:v>100</x:v>
      </x:c>
      <x:c r="Y223" s="18" t="str">
        <x:v>Wikidata</x:v>
      </x:c>
      <x:c r="Z223" s="22" t="str">
        <x:v>http://www.wikidata.org/entity/Q15727141</x:v>
      </x:c>
      <x:c r="AA223" s="18" t="str"/>
      <x:c r="AB223" s="18" t="n">
        <x:v>46275.416216736114</x:v>
      </x:c>
      <x:c r="AC223" s="18" t="str">
        <x:v>independent_public</x:v>
      </x:c>
      <x:c r="AD223" s="18" t="str">
        <x:v>PARTIAL_NO_DATE</x:v>
      </x:c>
    </x:row>
    <x:row r="224">
      <x:c r="A224" s="18" t="str">
        <x:v>NYT-13-5e1390310a57e94a</x:v>
      </x:c>
      <x:c r="B224" s="18" t="str">
        <x:v>Michael Randrianirina</x:v>
      </x:c>
      <x:c r="C224" s="18" t="str"/>
      <x:c r="D224" s="18" t="str"/>
      <x:c r="E224" s="18" t="str"/>
      <x:c r="F224" s="18" t="str"/>
      <x:c r="G224" s="18" t="str"/>
      <x:c r="H224" s="18" t="str">
        <x:v>Madagascar</x:v>
      </x:c>
      <x:c r="I224" s="18" t="str">
        <x:v>Madagascar</x:v>
      </x:c>
      <x:c r="J224" s="20" t="str"/>
      <x:c r="K224" s="18" t="str"/>
      <x:c r="L224" s="20" t="str">
        <x:v>Madagascar</x:v>
      </x:c>
      <x:c r="M224" s="18" t="str">
        <x:v>Michael Randrianirina</x:v>
      </x:c>
      <x:c r="N224" s="20" t="str">
        <x:v>Q1019</x:v>
      </x:c>
      <x:c r="O224" s="18" t="str">
        <x:v>commanding officer</x:v>
      </x:c>
      <x:c r="P224" s="18" t="str">
        <x:v>Q136500275</x:v>
      </x:c>
      <x:c r="Q224" s="18" t="str"/>
      <x:c r="R224" s="18" t="str">
        <x:v>COMPLETE_FINITE_SNAPSHOT</x:v>
      </x:c>
      <x:c r="S224" s="18" t="str">
        <x:v>Complete returned current head-of-state statements for sovereign-state universe</x:v>
      </x:c>
      <x:c r="T224" s="18" t="str"/>
      <x:c r="U224" s="18" t="str"/>
      <x:c r="V224" s="20" t="n">
        <x:v>252</x:v>
      </x:c>
      <x:c r="W224" s="19" t="str">
        <x:f>IFERROR(TODAY()-DATEVALUE(C224),"")</x:f>
      </x:c>
      <x:c r="X224" s="21" t="n">
        <x:f>ROUND(COUNTA(A224:K224)/11*100,0)</x:f>
        <x:v>100</x:v>
      </x:c>
      <x:c r="Y224" s="18" t="str">
        <x:v>Wikidata</x:v>
      </x:c>
      <x:c r="Z224" s="22" t="str">
        <x:v>http://www.wikidata.org/entity/Q136500275</x:v>
      </x:c>
      <x:c r="AA224" s="18" t="str"/>
      <x:c r="AB224" s="18" t="n">
        <x:v>46275.416216736114</x:v>
      </x:c>
      <x:c r="AC224" s="18" t="str">
        <x:v>independent_public</x:v>
      </x:c>
      <x:c r="AD224" s="18" t="str">
        <x:v>PARTIAL_NO_DATE</x:v>
      </x:c>
    </x:row>
    <x:row r="225">
      <x:c r="A225" s="18" t="str">
        <x:v>NYT-13-9a23905b81532580</x:v>
      </x:c>
      <x:c r="B225" s="18" t="str">
        <x:v>Georgette Bertin-Pourchet</x:v>
      </x:c>
      <x:c r="C225" s="18" t="str"/>
      <x:c r="D225" s="18" t="str"/>
      <x:c r="E225" s="18" t="str"/>
      <x:c r="F225" s="18" t="str"/>
      <x:c r="G225" s="18" t="str"/>
      <x:c r="H225" s="18" t="str">
        <x:v>Republic of Saugeais</x:v>
      </x:c>
      <x:c r="I225" s="18" t="str">
        <x:v>Republic of Saugeais</x:v>
      </x:c>
      <x:c r="J225" s="20" t="str"/>
      <x:c r="K225" s="18" t="str"/>
      <x:c r="L225" s="20" t="str">
        <x:v>Republic of Saugeais</x:v>
      </x:c>
      <x:c r="M225" s="18" t="str">
        <x:v>Georgette Bertin-Pourchet</x:v>
      </x:c>
      <x:c r="N225" s="20" t="str">
        <x:v>Q112558</x:v>
      </x:c>
      <x:c r="O225" s="18" t="str">
        <x:v>Head of state</x:v>
      </x:c>
      <x:c r="P225" s="18" t="str">
        <x:v>Q19831185</x:v>
      </x:c>
      <x:c r="Q225" s="18" t="str"/>
      <x:c r="R225" s="18" t="str">
        <x:v>COMPLETE_FINITE_SNAPSHOT</x:v>
      </x:c>
      <x:c r="S225" s="18" t="str">
        <x:v>Complete returned current head-of-state statements for sovereign-state universe</x:v>
      </x:c>
      <x:c r="T225" s="18" t="str"/>
      <x:c r="U225" s="18" t="str"/>
      <x:c r="V225" s="20" t="n">
        <x:v>252</x:v>
      </x:c>
      <x:c r="W225" s="19" t="str">
        <x:f>IFERROR(TODAY()-DATEVALUE(C225),"")</x:f>
      </x:c>
      <x:c r="X225" s="21" t="n">
        <x:f>ROUND(COUNTA(A225:K225)/11*100,0)</x:f>
        <x:v>100</x:v>
      </x:c>
      <x:c r="Y225" s="18" t="str">
        <x:v>Wikidata</x:v>
      </x:c>
      <x:c r="Z225" s="22" t="str">
        <x:v>http://www.wikidata.org/entity/Q19831185</x:v>
      </x:c>
      <x:c r="AA225" s="18" t="str"/>
      <x:c r="AB225" s="18" t="n">
        <x:v>46275.416216736114</x:v>
      </x:c>
      <x:c r="AC225" s="18" t="str">
        <x:v>independent_public</x:v>
      </x:c>
      <x:c r="AD225" s="18" t="str">
        <x:v>PARTIAL_NO_DATE</x:v>
      </x:c>
    </x:row>
    <x:row r="226">
      <x:c r="A226" s="18" t="str">
        <x:v>NYT-13-5b14cb16096ece4e</x:v>
      </x:c>
      <x:c r="B226" s="18" t="str">
        <x:v>Bassirou Diomaye Faye</x:v>
      </x:c>
      <x:c r="C226" s="18" t="str"/>
      <x:c r="D226" s="18" t="str"/>
      <x:c r="E226" s="18" t="str"/>
      <x:c r="F226" s="18" t="str"/>
      <x:c r="G226" s="18" t="str"/>
      <x:c r="H226" s="18" t="str">
        <x:v>Senegal</x:v>
      </x:c>
      <x:c r="I226" s="18" t="str">
        <x:v>Senegal</x:v>
      </x:c>
      <x:c r="J226" s="20" t="str"/>
      <x:c r="K226" s="18" t="str"/>
      <x:c r="L226" s="20" t="str">
        <x:v>Senegal</x:v>
      </x:c>
      <x:c r="M226" s="18" t="str">
        <x:v>Bassirou Diomaye Faye</x:v>
      </x:c>
      <x:c r="N226" s="20" t="str">
        <x:v>Q1041</x:v>
      </x:c>
      <x:c r="O226" s="18" t="str">
        <x:v>president</x:v>
      </x:c>
      <x:c r="P226" s="18" t="str">
        <x:v>Q124382437</x:v>
      </x:c>
      <x:c r="Q226" s="18" t="str"/>
      <x:c r="R226" s="18" t="str">
        <x:v>COMPLETE_FINITE_SNAPSHOT</x:v>
      </x:c>
      <x:c r="S226" s="18" t="str">
        <x:v>Complete returned current head-of-state statements for sovereign-state universe</x:v>
      </x:c>
      <x:c r="T226" s="18" t="str"/>
      <x:c r="U226" s="18" t="str"/>
      <x:c r="V226" s="20" t="n">
        <x:v>252</x:v>
      </x:c>
      <x:c r="W226" s="19" t="str">
        <x:f>IFERROR(TODAY()-DATEVALUE(C226),"")</x:f>
      </x:c>
      <x:c r="X226" s="21" t="n">
        <x:f>ROUND(COUNTA(A226:K226)/11*100,0)</x:f>
        <x:v>100</x:v>
      </x:c>
      <x:c r="Y226" s="18" t="str">
        <x:v>Wikidata</x:v>
      </x:c>
      <x:c r="Z226" s="22" t="str">
        <x:v>http://www.wikidata.org/entity/Q124382437</x:v>
      </x:c>
      <x:c r="AA226" s="18" t="str"/>
      <x:c r="AB226" s="18" t="n">
        <x:v>46275.416216736114</x:v>
      </x:c>
      <x:c r="AC226" s="18" t="str">
        <x:v>independent_public</x:v>
      </x:c>
      <x:c r="AD226" s="18" t="str">
        <x:v>PARTIAL_NO_DATE</x:v>
      </x:c>
    </x:row>
    <x:row r="227">
      <x:c r="A227" s="18" t="str">
        <x:v>NYT-13-65cb8b0f01372f58</x:v>
      </x:c>
      <x:c r="B227" s="18" t="str">
        <x:v>list of Portuguese monarchs</x:v>
      </x:c>
      <x:c r="C227" s="18" t="str"/>
      <x:c r="D227" s="18" t="str"/>
      <x:c r="E227" s="18" t="str"/>
      <x:c r="F227" s="18" t="str"/>
      <x:c r="G227" s="18" t="str"/>
      <x:c r="H227" s="18" t="str">
        <x:v>Kingdom of Portugal</x:v>
      </x:c>
      <x:c r="I227" s="18" t="str">
        <x:v>Kingdom of Portugal</x:v>
      </x:c>
      <x:c r="J227" s="20" t="str"/>
      <x:c r="K227" s="18" t="str"/>
      <x:c r="L227" s="20" t="str">
        <x:v>Kingdom of Portugal</x:v>
      </x:c>
      <x:c r="M227" s="18" t="str">
        <x:v>list of Portuguese monarchs</x:v>
      </x:c>
      <x:c r="N227" s="20" t="str">
        <x:v>Q45670</x:v>
      </x:c>
      <x:c r="O227" s="18" t="str">
        <x:v>Head of state</x:v>
      </x:c>
      <x:c r="P227" s="18" t="str">
        <x:v>Q183426</x:v>
      </x:c>
      <x:c r="Q227" s="18" t="str"/>
      <x:c r="R227" s="18" t="str">
        <x:v>COMPLETE_FINITE_SNAPSHOT</x:v>
      </x:c>
      <x:c r="S227" s="18" t="str">
        <x:v>Complete returned current head-of-state statements for sovereign-state universe</x:v>
      </x:c>
      <x:c r="T227" s="18" t="str"/>
      <x:c r="U227" s="18" t="str"/>
      <x:c r="V227" s="20" t="n">
        <x:v>252</x:v>
      </x:c>
      <x:c r="W227" s="19" t="str">
        <x:f>IFERROR(TODAY()-DATEVALUE(C227),"")</x:f>
      </x:c>
      <x:c r="X227" s="21" t="n">
        <x:f>ROUND(COUNTA(A227:K227)/11*100,0)</x:f>
        <x:v>100</x:v>
      </x:c>
      <x:c r="Y227" s="18" t="str">
        <x:v>Wikidata</x:v>
      </x:c>
      <x:c r="Z227" s="22" t="str">
        <x:v>http://www.wikidata.org/entity/Q183426</x:v>
      </x:c>
      <x:c r="AA227" s="18" t="str"/>
      <x:c r="AB227" s="18" t="n">
        <x:v>46275.416216736114</x:v>
      </x:c>
      <x:c r="AC227" s="18" t="str">
        <x:v>independent_public</x:v>
      </x:c>
      <x:c r="AD227" s="18" t="str">
        <x:v>PARTIAL_NO_DATE</x:v>
      </x:c>
    </x:row>
    <x:row r="228">
      <x:c r="A228" s="18" t="str">
        <x:v>NYT-13-d1af87356ac0c8b2</x:v>
      </x:c>
      <x:c r="B228" s="18" t="str">
        <x:v>Paul Delprat</x:v>
      </x:c>
      <x:c r="C228" s="18" t="str"/>
      <x:c r="D228" s="18" t="str"/>
      <x:c r="E228" s="18" t="str"/>
      <x:c r="F228" s="18" t="str"/>
      <x:c r="G228" s="18" t="str"/>
      <x:c r="H228" s="18" t="str">
        <x:v>Principality of Wy</x:v>
      </x:c>
      <x:c r="I228" s="18" t="str">
        <x:v>Principality of Wy</x:v>
      </x:c>
      <x:c r="J228" s="20" t="str"/>
      <x:c r="K228" s="18" t="str"/>
      <x:c r="L228" s="20" t="str">
        <x:v>Principality of Wy</x:v>
      </x:c>
      <x:c r="M228" s="18" t="str">
        <x:v>Paul Delprat</x:v>
      </x:c>
      <x:c r="N228" s="20" t="str">
        <x:v>Q1083009</x:v>
      </x:c>
      <x:c r="O228" s="18" t="str">
        <x:v>Head of state</x:v>
      </x:c>
      <x:c r="P228" s="18" t="str">
        <x:v>Q16105901</x:v>
      </x:c>
      <x:c r="Q228" s="18" t="str"/>
      <x:c r="R228" s="18" t="str">
        <x:v>COMPLETE_FINITE_SNAPSHOT</x:v>
      </x:c>
      <x:c r="S228" s="18" t="str">
        <x:v>Complete returned current head-of-state statements for sovereign-state universe</x:v>
      </x:c>
      <x:c r="T228" s="18" t="str"/>
      <x:c r="U228" s="18" t="str"/>
      <x:c r="V228" s="20" t="n">
        <x:v>252</x:v>
      </x:c>
      <x:c r="W228" s="19" t="str">
        <x:f>IFERROR(TODAY()-DATEVALUE(C228),"")</x:f>
      </x:c>
      <x:c r="X228" s="21" t="n">
        <x:f>ROUND(COUNTA(A228:K228)/11*100,0)</x:f>
        <x:v>100</x:v>
      </x:c>
      <x:c r="Y228" s="18" t="str">
        <x:v>Wikidata</x:v>
      </x:c>
      <x:c r="Z228" s="22" t="str">
        <x:v>http://www.wikidata.org/entity/Q16105901</x:v>
      </x:c>
      <x:c r="AA228" s="18" t="str"/>
      <x:c r="AB228" s="18" t="n">
        <x:v>46275.416216736114</x:v>
      </x:c>
      <x:c r="AC228" s="18" t="str">
        <x:v>independent_public</x:v>
      </x:c>
      <x:c r="AD228" s="18" t="str">
        <x:v>PARTIAL_NO_DATE</x:v>
      </x:c>
    </x:row>
    <x:row r="229">
      <x:c r="A229" s="18" t="str">
        <x:v>NYT-13-0f895d69147d7b5b</x:v>
      </x:c>
      <x:c r="B229" s="18" t="str">
        <x:v>Luigi Salvini</x:v>
      </x:c>
      <x:c r="C229" s="18" t="str"/>
      <x:c r="D229" s="18" t="str"/>
      <x:c r="E229" s="18" t="str"/>
      <x:c r="F229" s="18" t="str"/>
      <x:c r="G229" s="18" t="str"/>
      <x:c r="H229" s="18" t="str">
        <x:v>Republic of Bosgattia</x:v>
      </x:c>
      <x:c r="I229" s="18" t="str">
        <x:v>Republic of Bosgattia</x:v>
      </x:c>
      <x:c r="J229" s="20" t="str"/>
      <x:c r="K229" s="18" t="str"/>
      <x:c r="L229" s="20" t="str">
        <x:v>Republic of Bosgattia</x:v>
      </x:c>
      <x:c r="M229" s="18" t="str">
        <x:v>Luigi Salvini</x:v>
      </x:c>
      <x:c r="N229" s="20" t="str">
        <x:v>Q24392646</x:v>
      </x:c>
      <x:c r="O229" s="18" t="str">
        <x:v>Head of state</x:v>
      </x:c>
      <x:c r="P229" s="18" t="str">
        <x:v>Q16574336</x:v>
      </x:c>
      <x:c r="Q229" s="18" t="str"/>
      <x:c r="R229" s="18" t="str">
        <x:v>COMPLETE_FINITE_SNAPSHOT</x:v>
      </x:c>
      <x:c r="S229" s="18" t="str">
        <x:v>Complete returned current head-of-state statements for sovereign-state universe</x:v>
      </x:c>
      <x:c r="T229" s="18" t="str"/>
      <x:c r="U229" s="18" t="str"/>
      <x:c r="V229" s="20" t="n">
        <x:v>252</x:v>
      </x:c>
      <x:c r="W229" s="19" t="str">
        <x:f>IFERROR(TODAY()-DATEVALUE(C229),"")</x:f>
      </x:c>
      <x:c r="X229" s="21" t="n">
        <x:f>ROUND(COUNTA(A229:K229)/11*100,0)</x:f>
        <x:v>100</x:v>
      </x:c>
      <x:c r="Y229" s="18" t="str">
        <x:v>Wikidata</x:v>
      </x:c>
      <x:c r="Z229" s="22" t="str">
        <x:v>http://www.wikidata.org/entity/Q16574336</x:v>
      </x:c>
      <x:c r="AA229" s="18" t="str"/>
      <x:c r="AB229" s="18" t="n">
        <x:v>46275.416216736114</x:v>
      </x:c>
      <x:c r="AC229" s="18" t="str">
        <x:v>independent_public</x:v>
      </x:c>
      <x:c r="AD229" s="18" t="str">
        <x:v>PARTIAL_NO_DATE</x:v>
      </x:c>
    </x:row>
    <x:row r="230">
      <x:c r="A230" s="18" t="str">
        <x:v>NYT-13-da4d3451cca5caa3</x:v>
      </x:c>
      <x:c r="B230" s="18" t="str">
        <x:v>José Raúl Mulino</x:v>
      </x:c>
      <x:c r="C230" s="18" t="str"/>
      <x:c r="D230" s="18" t="str"/>
      <x:c r="E230" s="18" t="str"/>
      <x:c r="F230" s="18" t="str"/>
      <x:c r="G230" s="18" t="str"/>
      <x:c r="H230" s="18" t="str">
        <x:v>Panama</x:v>
      </x:c>
      <x:c r="I230" s="18" t="str">
        <x:v>Panama</x:v>
      </x:c>
      <x:c r="J230" s="20" t="str"/>
      <x:c r="K230" s="18" t="str"/>
      <x:c r="L230" s="20" t="str">
        <x:v>Panama</x:v>
      </x:c>
      <x:c r="M230" s="18" t="str">
        <x:v>José Raúl Mulino</x:v>
      </x:c>
      <x:c r="N230" s="20" t="str">
        <x:v>Q804</x:v>
      </x:c>
      <x:c r="O230" s="18" t="str">
        <x:v>president</x:v>
      </x:c>
      <x:c r="P230" s="18" t="str">
        <x:v>Q108454869</x:v>
      </x:c>
      <x:c r="Q230" s="18" t="str"/>
      <x:c r="R230" s="18" t="str">
        <x:v>COMPLETE_FINITE_SNAPSHOT</x:v>
      </x:c>
      <x:c r="S230" s="18" t="str">
        <x:v>Complete returned current head-of-state statements for sovereign-state universe</x:v>
      </x:c>
      <x:c r="T230" s="18" t="str"/>
      <x:c r="U230" s="18" t="str"/>
      <x:c r="V230" s="20" t="n">
        <x:v>252</x:v>
      </x:c>
      <x:c r="W230" s="19" t="str">
        <x:f>IFERROR(TODAY()-DATEVALUE(C230),"")</x:f>
      </x:c>
      <x:c r="X230" s="21" t="n">
        <x:f>ROUND(COUNTA(A230:K230)/11*100,0)</x:f>
        <x:v>100</x:v>
      </x:c>
      <x:c r="Y230" s="18" t="str">
        <x:v>Wikidata</x:v>
      </x:c>
      <x:c r="Z230" s="22" t="str">
        <x:v>http://www.wikidata.org/entity/Q108454869</x:v>
      </x:c>
      <x:c r="AA230" s="18" t="str"/>
      <x:c r="AB230" s="18" t="n">
        <x:v>46275.416216736114</x:v>
      </x:c>
      <x:c r="AC230" s="18" t="str">
        <x:v>independent_public</x:v>
      </x:c>
      <x:c r="AD230" s="18" t="str">
        <x:v>PARTIAL_NO_DATE</x:v>
      </x:c>
    </x:row>
    <x:row r="231">
      <x:c r="A231" s="18" t="str">
        <x:v>NYT-13-8c09777e62bfcc2c</x:v>
      </x:c>
      <x:c r="B231" s="18" t="str">
        <x:v>Swiss Federal Council</x:v>
      </x:c>
      <x:c r="C231" s="18" t="str"/>
      <x:c r="D231" s="18" t="str"/>
      <x:c r="E231" s="18" t="str"/>
      <x:c r="F231" s="18" t="str"/>
      <x:c r="G231" s="18" t="str"/>
      <x:c r="H231" s="18" t="str">
        <x:v>Switzerland</x:v>
      </x:c>
      <x:c r="I231" s="18" t="str">
        <x:v>Switzerland</x:v>
      </x:c>
      <x:c r="J231" s="20" t="str"/>
      <x:c r="K231" s="18" t="str"/>
      <x:c r="L231" s="20" t="str">
        <x:v>Switzerland</x:v>
      </x:c>
      <x:c r="M231" s="18" t="str">
        <x:v>Swiss Federal Council</x:v>
      </x:c>
      <x:c r="N231" s="20" t="str">
        <x:v>Q39</x:v>
      </x:c>
      <x:c r="O231" s="18" t="str">
        <x:v>Head of state</x:v>
      </x:c>
      <x:c r="P231" s="18" t="str">
        <x:v>Q30917</x:v>
      </x:c>
      <x:c r="Q231" s="18" t="str"/>
      <x:c r="R231" s="18" t="str">
        <x:v>COMPLETE_FINITE_SNAPSHOT</x:v>
      </x:c>
      <x:c r="S231" s="18" t="str">
        <x:v>Complete returned current head-of-state statements for sovereign-state universe</x:v>
      </x:c>
      <x:c r="T231" s="18" t="str"/>
      <x:c r="U231" s="18" t="str"/>
      <x:c r="V231" s="20" t="n">
        <x:v>252</x:v>
      </x:c>
      <x:c r="W231" s="19" t="str">
        <x:f>IFERROR(TODAY()-DATEVALUE(C231),"")</x:f>
      </x:c>
      <x:c r="X231" s="21" t="n">
        <x:f>ROUND(COUNTA(A231:K231)/11*100,0)</x:f>
        <x:v>100</x:v>
      </x:c>
      <x:c r="Y231" s="18" t="str">
        <x:v>Wikidata</x:v>
      </x:c>
      <x:c r="Z231" s="22" t="str">
        <x:v>http://www.wikidata.org/entity/Q30917</x:v>
      </x:c>
      <x:c r="AA231" s="18" t="str"/>
      <x:c r="AB231" s="18" t="n">
        <x:v>46275.416216736114</x:v>
      </x:c>
      <x:c r="AC231" s="18" t="str">
        <x:v>independent_public</x:v>
      </x:c>
      <x:c r="AD231" s="18" t="str">
        <x:v>PARTIAL_NO_DATE</x:v>
      </x:c>
    </x:row>
    <x:row r="232">
      <x:c r="A232" s="18" t="str">
        <x:v>NYT-13-6feb592b85fadfb1</x:v>
      </x:c>
      <x:c r="B232" s="18" t="str">
        <x:v>Carlo I Bertoleoni</x:v>
      </x:c>
      <x:c r="C232" s="18" t="str"/>
      <x:c r="D232" s="18" t="str"/>
      <x:c r="E232" s="18" t="str"/>
      <x:c r="F232" s="18" t="str"/>
      <x:c r="G232" s="18" t="str"/>
      <x:c r="H232" s="18" t="str">
        <x:v>Kingdom of Tavolara</x:v>
      </x:c>
      <x:c r="I232" s="18" t="str">
        <x:v>Kingdom of Tavolara</x:v>
      </x:c>
      <x:c r="J232" s="20" t="str"/>
      <x:c r="K232" s="18" t="str"/>
      <x:c r="L232" s="20" t="str">
        <x:v>Kingdom of Tavolara</x:v>
      </x:c>
      <x:c r="M232" s="18" t="str">
        <x:v>Carlo I Bertoleoni</x:v>
      </x:c>
      <x:c r="N232" s="20" t="str">
        <x:v>Q947153</x:v>
      </x:c>
      <x:c r="O232" s="18" t="str">
        <x:v>Head of state</x:v>
      </x:c>
      <x:c r="P232" s="18" t="str">
        <x:v>Q19831439</x:v>
      </x:c>
      <x:c r="Q232" s="18" t="str"/>
      <x:c r="R232" s="18" t="str">
        <x:v>COMPLETE_FINITE_SNAPSHOT</x:v>
      </x:c>
      <x:c r="S232" s="18" t="str">
        <x:v>Complete returned current head-of-state statements for sovereign-state universe</x:v>
      </x:c>
      <x:c r="T232" s="18" t="str"/>
      <x:c r="U232" s="18" t="str"/>
      <x:c r="V232" s="20" t="n">
        <x:v>252</x:v>
      </x:c>
      <x:c r="W232" s="19" t="str">
        <x:f>IFERROR(TODAY()-DATEVALUE(C232),"")</x:f>
      </x:c>
      <x:c r="X232" s="21" t="n">
        <x:f>ROUND(COUNTA(A232:K232)/11*100,0)</x:f>
        <x:v>100</x:v>
      </x:c>
      <x:c r="Y232" s="18" t="str">
        <x:v>Wikidata</x:v>
      </x:c>
      <x:c r="Z232" s="22" t="str">
        <x:v>http://www.wikidata.org/entity/Q19831439</x:v>
      </x:c>
      <x:c r="AA232" s="18" t="str"/>
      <x:c r="AB232" s="18" t="n">
        <x:v>46275.416216736114</x:v>
      </x:c>
      <x:c r="AC232" s="18" t="str">
        <x:v>independent_public</x:v>
      </x:c>
      <x:c r="AD232" s="18" t="str">
        <x:v>PARTIAL_NO_DATE</x:v>
      </x:c>
    </x:row>
    <x:row r="233">
      <x:c r="A233" s="18" t="str">
        <x:v>NYT-13-c8f9ed7697f2db6e</x:v>
      </x:c>
      <x:c r="B233" s="18" t="str">
        <x:v>Carlo II Bertoleoni</x:v>
      </x:c>
      <x:c r="C233" s="18" t="str"/>
      <x:c r="D233" s="18" t="str"/>
      <x:c r="E233" s="18" t="str"/>
      <x:c r="F233" s="18" t="str"/>
      <x:c r="G233" s="18" t="str"/>
      <x:c r="H233" s="18" t="str">
        <x:v>Kingdom of Tavolara</x:v>
      </x:c>
      <x:c r="I233" s="18" t="str">
        <x:v>Kingdom of Tavolara</x:v>
      </x:c>
      <x:c r="J233" s="20" t="str"/>
      <x:c r="K233" s="18" t="str"/>
      <x:c r="L233" s="20" t="str">
        <x:v>Kingdom of Tavolara</x:v>
      </x:c>
      <x:c r="M233" s="18" t="str">
        <x:v>Carlo II Bertoleoni</x:v>
      </x:c>
      <x:c r="N233" s="20" t="str">
        <x:v>Q947153</x:v>
      </x:c>
      <x:c r="O233" s="18" t="str">
        <x:v>Head of state</x:v>
      </x:c>
      <x:c r="P233" s="18" t="str">
        <x:v>Q19831452</x:v>
      </x:c>
      <x:c r="Q233" s="18" t="str"/>
      <x:c r="R233" s="18" t="str">
        <x:v>COMPLETE_FINITE_SNAPSHOT</x:v>
      </x:c>
      <x:c r="S233" s="18" t="str">
        <x:v>Complete returned current head-of-state statements for sovereign-state universe</x:v>
      </x:c>
      <x:c r="T233" s="18" t="str"/>
      <x:c r="U233" s="18" t="str"/>
      <x:c r="V233" s="20" t="n">
        <x:v>252</x:v>
      </x:c>
      <x:c r="W233" s="19" t="str">
        <x:f>IFERROR(TODAY()-DATEVALUE(C233),"")</x:f>
      </x:c>
      <x:c r="X233" s="21" t="n">
        <x:f>ROUND(COUNTA(A233:K233)/11*100,0)</x:f>
        <x:v>100</x:v>
      </x:c>
      <x:c r="Y233" s="18" t="str">
        <x:v>Wikidata</x:v>
      </x:c>
      <x:c r="Z233" s="22" t="str">
        <x:v>http://www.wikidata.org/entity/Q19831452</x:v>
      </x:c>
      <x:c r="AA233" s="18" t="str"/>
      <x:c r="AB233" s="18" t="n">
        <x:v>46275.416216736114</x:v>
      </x:c>
      <x:c r="AC233" s="18" t="str">
        <x:v>independent_public</x:v>
      </x:c>
      <x:c r="AD233" s="18" t="str">
        <x:v>PARTIAL_NO_DATE</x:v>
      </x:c>
    </x:row>
    <x:row r="234">
      <x:c r="A234" s="18" t="str">
        <x:v>NYT-13-5ffc11863192c77e</x:v>
      </x:c>
      <x:c r="B234" s="18" t="str">
        <x:v>Giuseppe Bertoleoni</x:v>
      </x:c>
      <x:c r="C234" s="18" t="str"/>
      <x:c r="D234" s="18" t="str"/>
      <x:c r="E234" s="18" t="str"/>
      <x:c r="F234" s="18" t="str"/>
      <x:c r="G234" s="18" t="str"/>
      <x:c r="H234" s="18" t="str">
        <x:v>Kingdom of Tavolara</x:v>
      </x:c>
      <x:c r="I234" s="18" t="str">
        <x:v>Kingdom of Tavolara</x:v>
      </x:c>
      <x:c r="J234" s="20" t="str"/>
      <x:c r="K234" s="18" t="str"/>
      <x:c r="L234" s="20" t="str">
        <x:v>Kingdom of Tavolara</x:v>
      </x:c>
      <x:c r="M234" s="18" t="str">
        <x:v>Giuseppe Bertoleoni</x:v>
      </x:c>
      <x:c r="N234" s="20" t="str">
        <x:v>Q947153</x:v>
      </x:c>
      <x:c r="O234" s="18" t="str">
        <x:v>Head of state</x:v>
      </x:c>
      <x:c r="P234" s="18" t="str">
        <x:v>Q19831432</x:v>
      </x:c>
      <x:c r="Q234" s="18" t="str"/>
      <x:c r="R234" s="18" t="str">
        <x:v>COMPLETE_FINITE_SNAPSHOT</x:v>
      </x:c>
      <x:c r="S234" s="18" t="str">
        <x:v>Complete returned current head-of-state statements for sovereign-state universe</x:v>
      </x:c>
      <x:c r="T234" s="18" t="str"/>
      <x:c r="U234" s="18" t="str"/>
      <x:c r="V234" s="20" t="n">
        <x:v>252</x:v>
      </x:c>
      <x:c r="W234" s="19" t="str">
        <x:f>IFERROR(TODAY()-DATEVALUE(C234),"")</x:f>
      </x:c>
      <x:c r="X234" s="21" t="n">
        <x:f>ROUND(COUNTA(A234:K234)/11*100,0)</x:f>
        <x:v>100</x:v>
      </x:c>
      <x:c r="Y234" s="18" t="str">
        <x:v>Wikidata</x:v>
      </x:c>
      <x:c r="Z234" s="22" t="str">
        <x:v>http://www.wikidata.org/entity/Q19831432</x:v>
      </x:c>
      <x:c r="AA234" s="18" t="str"/>
      <x:c r="AB234" s="18" t="n">
        <x:v>46275.416216736114</x:v>
      </x:c>
      <x:c r="AC234" s="18" t="str">
        <x:v>independent_public</x:v>
      </x:c>
      <x:c r="AD234" s="18" t="str">
        <x:v>PARTIAL_NO_DATE</x:v>
      </x:c>
    </x:row>
    <x:row r="235">
      <x:c r="A235" s="18" t="str">
        <x:v>NYT-13-88685ee3d3d8fc05</x:v>
      </x:c>
      <x:c r="B235" s="18" t="str">
        <x:v>Mariangela Bertoleoni</x:v>
      </x:c>
      <x:c r="C235" s="18" t="str"/>
      <x:c r="D235" s="18" t="str"/>
      <x:c r="E235" s="18" t="str"/>
      <x:c r="F235" s="18" t="str"/>
      <x:c r="G235" s="18" t="str"/>
      <x:c r="H235" s="18" t="str">
        <x:v>Kingdom of Tavolara</x:v>
      </x:c>
      <x:c r="I235" s="18" t="str">
        <x:v>Kingdom of Tavolara</x:v>
      </x:c>
      <x:c r="J235" s="20" t="str"/>
      <x:c r="K235" s="18" t="str"/>
      <x:c r="L235" s="20" t="str">
        <x:v>Kingdom of Tavolara</x:v>
      </x:c>
      <x:c r="M235" s="18" t="str">
        <x:v>Mariangela Bertoleoni</x:v>
      </x:c>
      <x:c r="N235" s="20" t="str">
        <x:v>Q947153</x:v>
      </x:c>
      <x:c r="O235" s="18" t="str">
        <x:v>Head of state</x:v>
      </x:c>
      <x:c r="P235" s="18" t="str">
        <x:v>Q19831445</x:v>
      </x:c>
      <x:c r="Q235" s="18" t="str"/>
      <x:c r="R235" s="18" t="str">
        <x:v>COMPLETE_FINITE_SNAPSHOT</x:v>
      </x:c>
      <x:c r="S235" s="18" t="str">
        <x:v>Complete returned current head-of-state statements for sovereign-state universe</x:v>
      </x:c>
      <x:c r="T235" s="18" t="str"/>
      <x:c r="U235" s="18" t="str"/>
      <x:c r="V235" s="20" t="n">
        <x:v>252</x:v>
      </x:c>
      <x:c r="W235" s="19" t="str">
        <x:f>IFERROR(TODAY()-DATEVALUE(C235),"")</x:f>
      </x:c>
      <x:c r="X235" s="21" t="n">
        <x:f>ROUND(COUNTA(A235:K235)/11*100,0)</x:f>
        <x:v>100</x:v>
      </x:c>
      <x:c r="Y235" s="18" t="str">
        <x:v>Wikidata</x:v>
      </x:c>
      <x:c r="Z235" s="22" t="str">
        <x:v>http://www.wikidata.org/entity/Q19831445</x:v>
      </x:c>
      <x:c r="AA235" s="18" t="str"/>
      <x:c r="AB235" s="18" t="n">
        <x:v>46275.416216736114</x:v>
      </x:c>
      <x:c r="AC235" s="18" t="str">
        <x:v>independent_public</x:v>
      </x:c>
      <x:c r="AD235" s="18" t="str">
        <x:v>PARTIAL_NO_DATE</x:v>
      </x:c>
    </x:row>
    <x:row r="236">
      <x:c r="A236" s="18" t="str">
        <x:v>NYT-13-736cad6bc0939107</x:v>
      </x:c>
      <x:c r="B236" s="18" t="str">
        <x:v>Paolo I Bertoleoni</x:v>
      </x:c>
      <x:c r="C236" s="18" t="str"/>
      <x:c r="D236" s="18" t="str"/>
      <x:c r="E236" s="18" t="str"/>
      <x:c r="F236" s="18" t="str"/>
      <x:c r="G236" s="18" t="str"/>
      <x:c r="H236" s="18" t="str">
        <x:v>Kingdom of Tavolara</x:v>
      </x:c>
      <x:c r="I236" s="18" t="str">
        <x:v>Kingdom of Tavolara</x:v>
      </x:c>
      <x:c r="J236" s="20" t="str"/>
      <x:c r="K236" s="18" t="str"/>
      <x:c r="L236" s="20" t="str">
        <x:v>Kingdom of Tavolara</x:v>
      </x:c>
      <x:c r="M236" s="18" t="str">
        <x:v>Paolo I Bertoleoni</x:v>
      </x:c>
      <x:c r="N236" s="20" t="str">
        <x:v>Q947153</x:v>
      </x:c>
      <x:c r="O236" s="18" t="str">
        <x:v>Head of state</x:v>
      </x:c>
      <x:c r="P236" s="18" t="str">
        <x:v>Q19831437</x:v>
      </x:c>
      <x:c r="Q236" s="18" t="str"/>
      <x:c r="R236" s="18" t="str">
        <x:v>COMPLETE_FINITE_SNAPSHOT</x:v>
      </x:c>
      <x:c r="S236" s="18" t="str">
        <x:v>Complete returned current head-of-state statements for sovereign-state universe</x:v>
      </x:c>
      <x:c r="T236" s="18" t="str"/>
      <x:c r="U236" s="18" t="str"/>
      <x:c r="V236" s="20" t="n">
        <x:v>252</x:v>
      </x:c>
      <x:c r="W236" s="19" t="str">
        <x:f>IFERROR(TODAY()-DATEVALUE(C236),"")</x:f>
      </x:c>
      <x:c r="X236" s="21" t="n">
        <x:f>ROUND(COUNTA(A236:K236)/11*100,0)</x:f>
        <x:v>100</x:v>
      </x:c>
      <x:c r="Y236" s="18" t="str">
        <x:v>Wikidata</x:v>
      </x:c>
      <x:c r="Z236" s="22" t="str">
        <x:v>http://www.wikidata.org/entity/Q19831437</x:v>
      </x:c>
      <x:c r="AA236" s="18" t="str"/>
      <x:c r="AB236" s="18" t="n">
        <x:v>46275.416216736114</x:v>
      </x:c>
      <x:c r="AC236" s="18" t="str">
        <x:v>independent_public</x:v>
      </x:c>
      <x:c r="AD236" s="18" t="str">
        <x:v>PARTIAL_NO_DATE</x:v>
      </x:c>
    </x:row>
    <x:row r="237">
      <x:c r="A237" s="18" t="str">
        <x:v>NYT-13-2e36fe44a898d8b2</x:v>
      </x:c>
      <x:c r="B237" s="18" t="str">
        <x:v>Paolo II Bertoleoni</x:v>
      </x:c>
      <x:c r="C237" s="18" t="str"/>
      <x:c r="D237" s="18" t="str"/>
      <x:c r="E237" s="18" t="str"/>
      <x:c r="F237" s="18" t="str"/>
      <x:c r="G237" s="18" t="str"/>
      <x:c r="H237" s="18" t="str">
        <x:v>Kingdom of Tavolara</x:v>
      </x:c>
      <x:c r="I237" s="18" t="str">
        <x:v>Kingdom of Tavolara</x:v>
      </x:c>
      <x:c r="J237" s="20" t="str"/>
      <x:c r="K237" s="18" t="str"/>
      <x:c r="L237" s="20" t="str">
        <x:v>Kingdom of Tavolara</x:v>
      </x:c>
      <x:c r="M237" s="18" t="str">
        <x:v>Paolo II Bertoleoni</x:v>
      </x:c>
      <x:c r="N237" s="20" t="str">
        <x:v>Q947153</x:v>
      </x:c>
      <x:c r="O237" s="18" t="str">
        <x:v>Head of state</x:v>
      </x:c>
      <x:c r="P237" s="18" t="str">
        <x:v>Q19831449</x:v>
      </x:c>
      <x:c r="Q237" s="18" t="str"/>
      <x:c r="R237" s="18" t="str">
        <x:v>COMPLETE_FINITE_SNAPSHOT</x:v>
      </x:c>
      <x:c r="S237" s="18" t="str">
        <x:v>Complete returned current head-of-state statements for sovereign-state universe</x:v>
      </x:c>
      <x:c r="T237" s="18" t="str"/>
      <x:c r="U237" s="18" t="str"/>
      <x:c r="V237" s="20" t="n">
        <x:v>252</x:v>
      </x:c>
      <x:c r="W237" s="19" t="str">
        <x:f>IFERROR(TODAY()-DATEVALUE(C237),"")</x:f>
      </x:c>
      <x:c r="X237" s="21" t="n">
        <x:f>ROUND(COUNTA(A237:K237)/11*100,0)</x:f>
        <x:v>100</x:v>
      </x:c>
      <x:c r="Y237" s="18" t="str">
        <x:v>Wikidata</x:v>
      </x:c>
      <x:c r="Z237" s="22" t="str">
        <x:v>http://www.wikidata.org/entity/Q19831449</x:v>
      </x:c>
      <x:c r="AA237" s="18" t="str"/>
      <x:c r="AB237" s="18" t="n">
        <x:v>46275.416216736114</x:v>
      </x:c>
      <x:c r="AC237" s="18" t="str">
        <x:v>independent_public</x:v>
      </x:c>
      <x:c r="AD237" s="18" t="str">
        <x:v>PARTIAL_NO_DATE</x:v>
      </x:c>
    </x:row>
    <x:row r="238">
      <x:c r="A238" s="18" t="str">
        <x:v>NYT-13-e9f57100c137f298</x:v>
      </x:c>
      <x:c r="B238" s="18" t="str">
        <x:v>Tonino Bertoleoni</x:v>
      </x:c>
      <x:c r="C238" s="18" t="str"/>
      <x:c r="D238" s="18" t="str"/>
      <x:c r="E238" s="18" t="str"/>
      <x:c r="F238" s="18" t="str"/>
      <x:c r="G238" s="18" t="str"/>
      <x:c r="H238" s="18" t="str">
        <x:v>Kingdom of Tavolara</x:v>
      </x:c>
      <x:c r="I238" s="18" t="str">
        <x:v>Kingdom of Tavolara</x:v>
      </x:c>
      <x:c r="J238" s="20" t="str"/>
      <x:c r="K238" s="18" t="str"/>
      <x:c r="L238" s="20" t="str">
        <x:v>Kingdom of Tavolara</x:v>
      </x:c>
      <x:c r="M238" s="18" t="str">
        <x:v>Tonino Bertoleoni</x:v>
      </x:c>
      <x:c r="N238" s="20" t="str">
        <x:v>Q947153</x:v>
      </x:c>
      <x:c r="O238" s="18" t="str">
        <x:v>Head of state</x:v>
      </x:c>
      <x:c r="P238" s="18" t="str">
        <x:v>Q19831457</x:v>
      </x:c>
      <x:c r="Q238" s="18" t="str"/>
      <x:c r="R238" s="18" t="str">
        <x:v>COMPLETE_FINITE_SNAPSHOT</x:v>
      </x:c>
      <x:c r="S238" s="18" t="str">
        <x:v>Complete returned current head-of-state statements for sovereign-state universe</x:v>
      </x:c>
      <x:c r="T238" s="18" t="str"/>
      <x:c r="U238" s="18" t="str"/>
      <x:c r="V238" s="20" t="n">
        <x:v>252</x:v>
      </x:c>
      <x:c r="W238" s="19" t="str">
        <x:f>IFERROR(TODAY()-DATEVALUE(C238),"")</x:f>
      </x:c>
      <x:c r="X238" s="21" t="n">
        <x:f>ROUND(COUNTA(A238:K238)/11*100,0)</x:f>
        <x:v>100</x:v>
      </x:c>
      <x:c r="Y238" s="18" t="str">
        <x:v>Wikidata</x:v>
      </x:c>
      <x:c r="Z238" s="22" t="str">
        <x:v>http://www.wikidata.org/entity/Q19831457</x:v>
      </x:c>
      <x:c r="AA238" s="18" t="str"/>
      <x:c r="AB238" s="18" t="n">
        <x:v>46275.416216736114</x:v>
      </x:c>
      <x:c r="AC238" s="18" t="str">
        <x:v>independent_public</x:v>
      </x:c>
      <x:c r="AD238" s="18" t="str">
        <x:v>PARTIAL_NO_DATE</x:v>
      </x:c>
    </x:row>
    <x:row r="239">
      <x:c r="A239" s="18" t="str">
        <x:v>NYT-13-fbd00ba580fd00fd</x:v>
      </x:c>
      <x:c r="B239" s="18" t="str">
        <x:v>John Woolley</x:v>
      </x:c>
      <x:c r="C239" s="18" t="str"/>
      <x:c r="D239" s="18" t="str"/>
      <x:c r="E239" s="18" t="str"/>
      <x:c r="F239" s="18" t="str"/>
      <x:c r="G239" s="18" t="str"/>
      <x:c r="H239" s="18" t="str">
        <x:v>Talossa</x:v>
      </x:c>
      <x:c r="I239" s="18" t="str">
        <x:v>Talossa</x:v>
      </x:c>
      <x:c r="J239" s="20" t="str"/>
      <x:c r="K239" s="18" t="str"/>
      <x:c r="L239" s="20" t="str">
        <x:v>Talossa</x:v>
      </x:c>
      <x:c r="M239" s="18" t="str">
        <x:v>John Woolley</x:v>
      </x:c>
      <x:c r="N239" s="20" t="str">
        <x:v>Q2353425</x:v>
      </x:c>
      <x:c r="O239" s="18" t="str">
        <x:v>Head of state</x:v>
      </x:c>
      <x:c r="P239" s="18" t="str">
        <x:v>Q19464383</x:v>
      </x:c>
      <x:c r="Q239" s="18" t="str"/>
      <x:c r="R239" s="18" t="str">
        <x:v>COMPLETE_FINITE_SNAPSHOT</x:v>
      </x:c>
      <x:c r="S239" s="18" t="str">
        <x:v>Complete returned current head-of-state statements for sovereign-state universe</x:v>
      </x:c>
      <x:c r="T239" s="18" t="str"/>
      <x:c r="U239" s="18" t="str"/>
      <x:c r="V239" s="20" t="n">
        <x:v>252</x:v>
      </x:c>
      <x:c r="W239" s="19" t="str">
        <x:f>IFERROR(TODAY()-DATEVALUE(C239),"")</x:f>
      </x:c>
      <x:c r="X239" s="21" t="n">
        <x:f>ROUND(COUNTA(A239:K239)/11*100,0)</x:f>
        <x:v>100</x:v>
      </x:c>
      <x:c r="Y239" s="18" t="str">
        <x:v>Wikidata</x:v>
      </x:c>
      <x:c r="Z239" s="22" t="str">
        <x:v>http://www.wikidata.org/entity/Q19464383</x:v>
      </x:c>
      <x:c r="AA239" s="18" t="str"/>
      <x:c r="AB239" s="18" t="n">
        <x:v>46275.416216736114</x:v>
      </x:c>
      <x:c r="AC239" s="18" t="str">
        <x:v>independent_public</x:v>
      </x:c>
      <x:c r="AD239" s="18" t="str">
        <x:v>PARTIAL_NO_DATE</x:v>
      </x:c>
    </x:row>
    <x:row r="240">
      <x:c r="A240" s="18" t="str">
        <x:v>NYT-13-59a39c9df20b4d0a</x:v>
      </x:c>
      <x:c r="B240" s="18" t="str">
        <x:v>Brice Clotaire Oligui Nguema</x:v>
      </x:c>
      <x:c r="C240" s="18" t="str"/>
      <x:c r="D240" s="18" t="str"/>
      <x:c r="E240" s="18" t="str"/>
      <x:c r="F240" s="18" t="str"/>
      <x:c r="G240" s="18" t="str"/>
      <x:c r="H240" s="18" t="str">
        <x:v>Gabon</x:v>
      </x:c>
      <x:c r="I240" s="18" t="str">
        <x:v>Gabon</x:v>
      </x:c>
      <x:c r="J240" s="20" t="str"/>
      <x:c r="K240" s="18" t="str"/>
      <x:c r="L240" s="20" t="str">
        <x:v>Gabon</x:v>
      </x:c>
      <x:c r="M240" s="18" t="str">
        <x:v>Brice Clotaire Oligui Nguema</x:v>
      </x:c>
      <x:c r="N240" s="20" t="str">
        <x:v>Q1000</x:v>
      </x:c>
      <x:c r="O240" s="18" t="str">
        <x:v>President of Gabon</x:v>
      </x:c>
      <x:c r="P240" s="18" t="str">
        <x:v>Q122067521</x:v>
      </x:c>
      <x:c r="Q240" s="18" t="n">
        <x:v>45168</x:v>
      </x:c>
      <x:c r="R240" s="18" t="str">
        <x:v>COMPLETE_FINITE_SNAPSHOT</x:v>
      </x:c>
      <x:c r="S240" s="18" t="str">
        <x:v>Complete returned current head-of-state statements for sovereign-state universe</x:v>
      </x:c>
      <x:c r="T240" s="18" t="str"/>
      <x:c r="U240" s="18" t="str"/>
      <x:c r="V240" s="20" t="n">
        <x:v>252</x:v>
      </x:c>
      <x:c r="W240" s="19" t="str">
        <x:f>IFERROR(TODAY()-DATEVALUE(C240),"")</x:f>
      </x:c>
      <x:c r="X240" s="21" t="n">
        <x:f>ROUND(COUNTA(A240:K240)/11*100,0)</x:f>
        <x:v>100</x:v>
      </x:c>
      <x:c r="Y240" s="18" t="str">
        <x:v>Wikidata</x:v>
      </x:c>
      <x:c r="Z240" s="22" t="str">
        <x:v>http://www.wikidata.org/entity/Q122067521</x:v>
      </x:c>
      <x:c r="AA240" s="18" t="str"/>
      <x:c r="AB240" s="18" t="n">
        <x:v>46275.416216736114</x:v>
      </x:c>
      <x:c r="AC240" s="18" t="str">
        <x:v>independent_public</x:v>
      </x:c>
      <x:c r="AD240" s="18" t="str">
        <x:v>PARTIAL_NO_DATE</x:v>
      </x:c>
    </x:row>
    <x:row r="241">
      <x:c r="A241" s="18" t="str">
        <x:v>NYT-13-63df3cc95980325c</x:v>
      </x:c>
      <x:c r="B241" s="18" t="str">
        <x:v>Daniel Noboa</x:v>
      </x:c>
      <x:c r="C241" s="18" t="str"/>
      <x:c r="D241" s="18" t="str"/>
      <x:c r="E241" s="18" t="str"/>
      <x:c r="F241" s="18" t="str"/>
      <x:c r="G241" s="18" t="str"/>
      <x:c r="H241" s="18" t="str">
        <x:v>Ecuador</x:v>
      </x:c>
      <x:c r="I241" s="18" t="str">
        <x:v>Ecuador</x:v>
      </x:c>
      <x:c r="J241" s="20" t="str"/>
      <x:c r="K241" s="18" t="str"/>
      <x:c r="L241" s="20" t="str">
        <x:v>Ecuador</x:v>
      </x:c>
      <x:c r="M241" s="18" t="str">
        <x:v>Daniel Noboa</x:v>
      </x:c>
      <x:c r="N241" s="20" t="str">
        <x:v>Q736</x:v>
      </x:c>
      <x:c r="O241" s="18" t="str">
        <x:v>President of Ecuador</x:v>
      </x:c>
      <x:c r="P241" s="18" t="str">
        <x:v>Q112075625</x:v>
      </x:c>
      <x:c r="Q241" s="18" t="n">
        <x:v>45253</x:v>
      </x:c>
      <x:c r="R241" s="18" t="str">
        <x:v>COMPLETE_FINITE_SNAPSHOT</x:v>
      </x:c>
      <x:c r="S241" s="18" t="str">
        <x:v>Complete returned current head-of-state statements for sovereign-state universe</x:v>
      </x:c>
      <x:c r="T241" s="18" t="str"/>
      <x:c r="U241" s="18" t="str"/>
      <x:c r="V241" s="20" t="n">
        <x:v>252</x:v>
      </x:c>
      <x:c r="W241" s="19" t="str">
        <x:f>IFERROR(TODAY()-DATEVALUE(C241),"")</x:f>
      </x:c>
      <x:c r="X241" s="21" t="n">
        <x:f>ROUND(COUNTA(A241:K241)/11*100,0)</x:f>
        <x:v>100</x:v>
      </x:c>
      <x:c r="Y241" s="18" t="str">
        <x:v>Wikidata</x:v>
      </x:c>
      <x:c r="Z241" s="22" t="str">
        <x:v>http://www.wikidata.org/entity/Q112075625</x:v>
      </x:c>
      <x:c r="AA241" s="18" t="str"/>
      <x:c r="AB241" s="18" t="n">
        <x:v>46275.416216736114</x:v>
      </x:c>
      <x:c r="AC241" s="18" t="str">
        <x:v>independent_public</x:v>
      </x:c>
      <x:c r="AD241" s="18" t="str">
        <x:v>PARTIAL_NO_DATE</x:v>
      </x:c>
    </x:row>
    <x:row r="242">
      <x:c r="A242" s="18" t="str">
        <x:v>NYT-13-ffba606c67058105</x:v>
      </x:c>
      <x:c r="B242" s="18" t="str">
        <x:v>Dharam Gokhool</x:v>
      </x:c>
      <x:c r="C242" s="18" t="str"/>
      <x:c r="D242" s="18" t="str"/>
      <x:c r="E242" s="18" t="str"/>
      <x:c r="F242" s="18" t="str"/>
      <x:c r="G242" s="18" t="str"/>
      <x:c r="H242" s="18" t="str">
        <x:v>Mauritius</x:v>
      </x:c>
      <x:c r="I242" s="18" t="str">
        <x:v>Mauritius</x:v>
      </x:c>
      <x:c r="J242" s="20" t="str"/>
      <x:c r="K242" s="18" t="str"/>
      <x:c r="L242" s="20" t="str">
        <x:v>Mauritius</x:v>
      </x:c>
      <x:c r="M242" s="18" t="str">
        <x:v>Dharam Gokhool</x:v>
      </x:c>
      <x:c r="N242" s="20" t="str">
        <x:v>Q1027</x:v>
      </x:c>
      <x:c r="O242" s="18" t="str">
        <x:v>President of Mauritius</x:v>
      </x:c>
      <x:c r="P242" s="18" t="str">
        <x:v>Q131403499</x:v>
      </x:c>
      <x:c r="Q242" s="18" t="n">
        <x:v>45633</x:v>
      </x:c>
      <x:c r="R242" s="18" t="str">
        <x:v>COMPLETE_FINITE_SNAPSHOT</x:v>
      </x:c>
      <x:c r="S242" s="18" t="str">
        <x:v>Complete returned current head-of-state statements for sovereign-state universe</x:v>
      </x:c>
      <x:c r="T242" s="18" t="str"/>
      <x:c r="U242" s="18" t="str"/>
      <x:c r="V242" s="20" t="n">
        <x:v>252</x:v>
      </x:c>
      <x:c r="W242" s="19" t="str">
        <x:f>IFERROR(TODAY()-DATEVALUE(C242),"")</x:f>
      </x:c>
      <x:c r="X242" s="21" t="n">
        <x:f>ROUND(COUNTA(A242:K242)/11*100,0)</x:f>
        <x:v>100</x:v>
      </x:c>
      <x:c r="Y242" s="18" t="str">
        <x:v>Wikidata</x:v>
      </x:c>
      <x:c r="Z242" s="22" t="str">
        <x:v>http://www.wikidata.org/entity/Q131403499</x:v>
      </x:c>
      <x:c r="AA242" s="18" t="str"/>
      <x:c r="AB242" s="18" t="n">
        <x:v>46275.416216736114</x:v>
      </x:c>
      <x:c r="AC242" s="18" t="str">
        <x:v>independent_public</x:v>
      </x:c>
      <x:c r="AD242" s="18" t="str">
        <x:v>PARTIAL_NO_DATE</x:v>
      </x:c>
    </x:row>
    <x:row r="243">
      <x:c r="A243" s="18" t="str">
        <x:v>NYT-13-ff86030d6eb8fa4c</x:v>
      </x:c>
      <x:c r="B243" s="18" t="str">
        <x:v>Rodrigo Paz</x:v>
      </x:c>
      <x:c r="C243" s="18" t="str"/>
      <x:c r="D243" s="18" t="str"/>
      <x:c r="E243" s="18" t="str"/>
      <x:c r="F243" s="18" t="str"/>
      <x:c r="G243" s="18" t="str"/>
      <x:c r="H243" s="18" t="str">
        <x:v>Bolivia</x:v>
      </x:c>
      <x:c r="I243" s="18" t="str">
        <x:v>Bolivia</x:v>
      </x:c>
      <x:c r="J243" s="20" t="str"/>
      <x:c r="K243" s="18" t="str"/>
      <x:c r="L243" s="20" t="str">
        <x:v>Bolivia</x:v>
      </x:c>
      <x:c r="M243" s="18" t="str">
        <x:v>Rodrigo Paz</x:v>
      </x:c>
      <x:c r="N243" s="20" t="str">
        <x:v>Q750</x:v>
      </x:c>
      <x:c r="O243" s="18" t="str">
        <x:v>president of Bolivia</x:v>
      </x:c>
      <x:c r="P243" s="18" t="str">
        <x:v>Q110520817</x:v>
      </x:c>
      <x:c r="Q243" s="18" t="n">
        <x:v>45969</x:v>
      </x:c>
      <x:c r="R243" s="18" t="str">
        <x:v>COMPLETE_FINITE_SNAPSHOT</x:v>
      </x:c>
      <x:c r="S243" s="18" t="str">
        <x:v>Complete returned current head-of-state statements for sovereign-state universe</x:v>
      </x:c>
      <x:c r="T243" s="18" t="str"/>
      <x:c r="U243" s="18" t="str"/>
      <x:c r="V243" s="20" t="n">
        <x:v>252</x:v>
      </x:c>
      <x:c r="W243" s="19" t="str">
        <x:f>IFERROR(TODAY()-DATEVALUE(C243),"")</x:f>
      </x:c>
      <x:c r="X243" s="21" t="n">
        <x:f>ROUND(COUNTA(A243:K243)/11*100,0)</x:f>
        <x:v>100</x:v>
      </x:c>
      <x:c r="Y243" s="18" t="str">
        <x:v>Wikidata</x:v>
      </x:c>
      <x:c r="Z243" s="22" t="str">
        <x:v>http://www.wikidata.org/entity/Q110520817</x:v>
      </x:c>
      <x:c r="AA243" s="18" t="str"/>
      <x:c r="AB243" s="18" t="n">
        <x:v>46275.416216736114</x:v>
      </x:c>
      <x:c r="AC243" s="18" t="str">
        <x:v>independent_public</x:v>
      </x:c>
      <x:c r="AD243" s="18" t="str">
        <x:v>PARTIAL_NO_DATE</x:v>
      </x:c>
    </x:row>
    <x:row r="244">
      <x:c r="A244" s="18" t="str">
        <x:v>NYT-13-ecf281b746159493</x:v>
      </x:c>
      <x:c r="B244" s="18" t="str">
        <x:v>Mohamed Muizzu</x:v>
      </x:c>
      <x:c r="C244" s="18" t="str"/>
      <x:c r="D244" s="18" t="str"/>
      <x:c r="E244" s="18" t="str"/>
      <x:c r="F244" s="18" t="str"/>
      <x:c r="G244" s="18" t="str"/>
      <x:c r="H244" s="18" t="str">
        <x:v>Maldives</x:v>
      </x:c>
      <x:c r="I244" s="18" t="str">
        <x:v>Maldives</x:v>
      </x:c>
      <x:c r="J244" s="20" t="str"/>
      <x:c r="K244" s="18" t="str"/>
      <x:c r="L244" s="20" t="str">
        <x:v>Maldives</x:v>
      </x:c>
      <x:c r="M244" s="18" t="str">
        <x:v>Mohamed Muizzu</x:v>
      </x:c>
      <x:c r="N244" s="20" t="str">
        <x:v>Q826</x:v>
      </x:c>
      <x:c r="O244" s="18" t="str">
        <x:v>vice president</x:v>
      </x:c>
      <x:c r="P244" s="18" t="str">
        <x:v>Q116293030</x:v>
      </x:c>
      <x:c r="Q244" s="18" t="n">
        <x:v>43466</x:v>
      </x:c>
      <x:c r="R244" s="18" t="str">
        <x:v>COMPLETE_FINITE_SNAPSHOT</x:v>
      </x:c>
      <x:c r="S244" s="18" t="str">
        <x:v>Complete returned current head-of-state statements for sovereign-state universe</x:v>
      </x:c>
      <x:c r="T244" s="18" t="str"/>
      <x:c r="U244" s="18" t="str"/>
      <x:c r="V244" s="20" t="n">
        <x:v>252</x:v>
      </x:c>
      <x:c r="W244" s="19" t="str">
        <x:f>IFERROR(TODAY()-DATEVALUE(C244),"")</x:f>
      </x:c>
      <x:c r="X244" s="21" t="n">
        <x:f>ROUND(COUNTA(A244:K244)/11*100,0)</x:f>
        <x:v>100</x:v>
      </x:c>
      <x:c r="Y244" s="18" t="str">
        <x:v>Wikidata</x:v>
      </x:c>
      <x:c r="Z244" s="22" t="str">
        <x:v>http://www.wikidata.org/entity/Q116293030</x:v>
      </x:c>
      <x:c r="AA244" s="18" t="str"/>
      <x:c r="AB244" s="18" t="n">
        <x:v>46275.416216736114</x:v>
      </x:c>
      <x:c r="AC244" s="18" t="str">
        <x:v>independent_public</x:v>
      </x:c>
      <x:c r="AD244" s="18" t="str">
        <x:v>PARTIAL_NO_DATE</x:v>
      </x:c>
    </x:row>
    <x:row r="245">
      <x:c r="A245" s="18" t="str">
        <x:v>NYT-13-29fd13bf440175d9</x:v>
      </x:c>
      <x:c r="B245" s="18" t="str">
        <x:v>Muhammad ben Suleiman</x:v>
      </x:c>
      <x:c r="C245" s="18" t="str"/>
      <x:c r="D245" s="18" t="str"/>
      <x:c r="E245" s="18" t="str"/>
      <x:c r="F245" s="18" t="str"/>
      <x:c r="G245" s="18" t="str"/>
      <x:c r="H245" s="18" t="str">
        <x:v>Taifa of Calatayud</x:v>
      </x:c>
      <x:c r="I245" s="18" t="str">
        <x:v>Taifa of Calatayud</x:v>
      </x:c>
      <x:c r="J245" s="20" t="str"/>
      <x:c r="K245" s="18" t="str"/>
      <x:c r="L245" s="20" t="str">
        <x:v>Taifa of Calatayud</x:v>
      </x:c>
      <x:c r="M245" s="18" t="str">
        <x:v>Muhammad ben Suleiman</x:v>
      </x:c>
      <x:c r="N245" s="20" t="str">
        <x:v>Q2671329</x:v>
      </x:c>
      <x:c r="O245" s="18" t="str">
        <x:v>emir of Qàlat al-Ayyub</x:v>
      </x:c>
      <x:c r="P245" s="18" t="str">
        <x:v>Q115556894</x:v>
      </x:c>
      <x:c r="Q245" s="18" t="n">
        <x:v>-311915</x:v>
      </x:c>
      <x:c r="R245" s="18" t="str">
        <x:v>COMPLETE_FINITE_SNAPSHOT</x:v>
      </x:c>
      <x:c r="S245" s="18" t="str">
        <x:v>Complete returned current head-of-state statements for sovereign-state universe</x:v>
      </x:c>
      <x:c r="T245" s="18" t="str"/>
      <x:c r="U245" s="18" t="str"/>
      <x:c r="V245" s="20" t="n">
        <x:v>252</x:v>
      </x:c>
      <x:c r="W245" s="19" t="str">
        <x:f>IFERROR(TODAY()-DATEVALUE(C245),"")</x:f>
      </x:c>
      <x:c r="X245" s="21" t="n">
        <x:f>ROUND(COUNTA(A245:K245)/11*100,0)</x:f>
        <x:v>100</x:v>
      </x:c>
      <x:c r="Y245" s="18" t="str">
        <x:v>Wikidata</x:v>
      </x:c>
      <x:c r="Z245" s="22" t="str">
        <x:v>http://www.wikidata.org/entity/Q115556894</x:v>
      </x:c>
      <x:c r="AA245" s="18" t="str"/>
      <x:c r="AB245" s="18" t="n">
        <x:v>46275.416216736114</x:v>
      </x:c>
      <x:c r="AC245" s="18" t="str">
        <x:v>independent_public</x:v>
      </x:c>
      <x:c r="AD245" s="18" t="str">
        <x:v>PARTIAL_NO_DATE</x:v>
      </x:c>
    </x:row>
    <x:row r="246">
      <x:c r="A246" s="18" t="str">
        <x:v>NYT-13-53668f70152abb33</x:v>
      </x:c>
      <x:c r="B246" s="18" t="str">
        <x:v>Laura Fernández Delgado</x:v>
      </x:c>
      <x:c r="C246" s="18" t="str"/>
      <x:c r="D246" s="18" t="str"/>
      <x:c r="E246" s="18" t="str"/>
      <x:c r="F246" s="18" t="str"/>
      <x:c r="G246" s="18" t="str"/>
      <x:c r="H246" s="18" t="str">
        <x:v>Costa Rica</x:v>
      </x:c>
      <x:c r="I246" s="18" t="str">
        <x:v>Costa Rica</x:v>
      </x:c>
      <x:c r="J246" s="20" t="str"/>
      <x:c r="K246" s="18" t="str"/>
      <x:c r="L246" s="20" t="str">
        <x:v>Costa Rica</x:v>
      </x:c>
      <x:c r="M246" s="18" t="str">
        <x:v>Laura Fernández Delgado</x:v>
      </x:c>
      <x:c r="N246" s="20" t="str">
        <x:v>Q800</x:v>
      </x:c>
      <x:c r="O246" s="18" t="str">
        <x:v>President of Costa Rica</x:v>
      </x:c>
      <x:c r="P246" s="18" t="str">
        <x:v>Q114705150</x:v>
      </x:c>
      <x:c r="Q246" s="18" t="n">
        <x:v>46150</x:v>
      </x:c>
      <x:c r="R246" s="18" t="str">
        <x:v>COMPLETE_FINITE_SNAPSHOT</x:v>
      </x:c>
      <x:c r="S246" s="18" t="str">
        <x:v>Complete returned current head-of-state statements for sovereign-state universe</x:v>
      </x:c>
      <x:c r="T246" s="18" t="str"/>
      <x:c r="U246" s="18" t="str"/>
      <x:c r="V246" s="20" t="n">
        <x:v>252</x:v>
      </x:c>
      <x:c r="W246" s="19" t="str">
        <x:f>IFERROR(TODAY()-DATEVALUE(C246),"")</x:f>
      </x:c>
      <x:c r="X246" s="21" t="n">
        <x:f>ROUND(COUNTA(A246:K246)/11*100,0)</x:f>
        <x:v>100</x:v>
      </x:c>
      <x:c r="Y246" s="18" t="str">
        <x:v>Wikidata</x:v>
      </x:c>
      <x:c r="Z246" s="22" t="str">
        <x:v>http://www.wikidata.org/entity/Q114705150</x:v>
      </x:c>
      <x:c r="AA246" s="18" t="str"/>
      <x:c r="AB246" s="18" t="n">
        <x:v>46275.416216736114</x:v>
      </x:c>
      <x:c r="AC246" s="18" t="str">
        <x:v>independent_public</x:v>
      </x:c>
      <x:c r="AD246" s="18" t="str">
        <x:v>PARTIAL_NO_DATE</x:v>
      </x:c>
    </x:row>
    <x:row r="247">
      <x:c r="A247" s="18" t="str">
        <x:v>NYT-13-6d337b03a20025b2</x:v>
      </x:c>
      <x:c r="B247" s="18" t="str">
        <x:v>Ibrahim Traoré</x:v>
      </x:c>
      <x:c r="C247" s="18" t="str"/>
      <x:c r="D247" s="18" t="str"/>
      <x:c r="E247" s="18" t="str"/>
      <x:c r="F247" s="18" t="str"/>
      <x:c r="G247" s="18" t="str"/>
      <x:c r="H247" s="18" t="str">
        <x:v>Burkina Faso</x:v>
      </x:c>
      <x:c r="I247" s="18" t="str">
        <x:v>Burkina Faso</x:v>
      </x:c>
      <x:c r="J247" s="20" t="str"/>
      <x:c r="K247" s="18" t="str"/>
      <x:c r="L247" s="20" t="str">
        <x:v>Burkina Faso</x:v>
      </x:c>
      <x:c r="M247" s="18" t="str">
        <x:v>Ibrahim Traoré</x:v>
      </x:c>
      <x:c r="N247" s="20" t="str">
        <x:v>Q965</x:v>
      </x:c>
      <x:c r="O247" s="18" t="str">
        <x:v>President of Burkina Faso</x:v>
      </x:c>
      <x:c r="P247" s="18" t="str">
        <x:v>Q114341246</x:v>
      </x:c>
      <x:c r="Q247" s="18" t="n">
        <x:v>44834</x:v>
      </x:c>
      <x:c r="R247" s="18" t="str">
        <x:v>COMPLETE_FINITE_SNAPSHOT</x:v>
      </x:c>
      <x:c r="S247" s="18" t="str">
        <x:v>Complete returned current head-of-state statements for sovereign-state universe</x:v>
      </x:c>
      <x:c r="T247" s="18" t="str"/>
      <x:c r="U247" s="18" t="str"/>
      <x:c r="V247" s="20" t="n">
        <x:v>252</x:v>
      </x:c>
      <x:c r="W247" s="19" t="str">
        <x:f>IFERROR(TODAY()-DATEVALUE(C247),"")</x:f>
      </x:c>
      <x:c r="X247" s="21" t="n">
        <x:f>ROUND(COUNTA(A247:K247)/11*100,0)</x:f>
        <x:v>100</x:v>
      </x:c>
      <x:c r="Y247" s="18" t="str">
        <x:v>Wikidata</x:v>
      </x:c>
      <x:c r="Z247" s="22" t="str">
        <x:v>http://www.wikidata.org/entity/Q114341246</x:v>
      </x:c>
      <x:c r="AA247" s="18" t="str"/>
      <x:c r="AB247" s="18" t="n">
        <x:v>46275.416216736114</x:v>
      </x:c>
      <x:c r="AC247" s="18" t="str">
        <x:v>independent_public</x:v>
      </x:c>
      <x:c r="AD247" s="18" t="str">
        <x:v>PARTIAL_NO_DATE</x:v>
      </x:c>
    </x:row>
    <x:row r="248">
      <x:c r="A248" s="18" t="str">
        <x:v>NYT-13-e24a0d2bbf983188</x:v>
      </x:c>
      <x:c r="B248" s="18" t="str">
        <x:v>Randy Williams</x:v>
      </x:c>
      <x:c r="C248" s="18" t="str"/>
      <x:c r="D248" s="18" t="str"/>
      <x:c r="E248" s="18" t="str"/>
      <x:c r="F248" s="18" t="str"/>
      <x:c r="G248" s="18" t="str"/>
      <x:c r="H248" s="18" t="str">
        <x:v>Slowjamastan</x:v>
      </x:c>
      <x:c r="I248" s="18" t="str">
        <x:v>Slowjamastan</x:v>
      </x:c>
      <x:c r="J248" s="20" t="str"/>
      <x:c r="K248" s="18" t="str"/>
      <x:c r="L248" s="20" t="str">
        <x:v>Slowjamastan</x:v>
      </x:c>
      <x:c r="M248" s="18" t="str">
        <x:v>Randy Williams</x:v>
      </x:c>
      <x:c r="N248" s="20" t="str">
        <x:v>Q119661998</x:v>
      </x:c>
      <x:c r="O248" s="18" t="str">
        <x:v>sultan</x:v>
      </x:c>
      <x:c r="P248" s="18" t="str">
        <x:v>Q121031365</x:v>
      </x:c>
      <x:c r="Q248" s="18" t="n">
        <x:v>44531</x:v>
      </x:c>
      <x:c r="R248" s="18" t="str">
        <x:v>COMPLETE_FINITE_SNAPSHOT</x:v>
      </x:c>
      <x:c r="S248" s="18" t="str">
        <x:v>Complete returned current head-of-state statements for sovereign-state universe</x:v>
      </x:c>
      <x:c r="T248" s="18" t="str"/>
      <x:c r="U248" s="18" t="str"/>
      <x:c r="V248" s="20" t="n">
        <x:v>252</x:v>
      </x:c>
      <x:c r="W248" s="19" t="str">
        <x:f>IFERROR(TODAY()-DATEVALUE(C248),"")</x:f>
      </x:c>
      <x:c r="X248" s="21" t="n">
        <x:f>ROUND(COUNTA(A248:K248)/11*100,0)</x:f>
        <x:v>100</x:v>
      </x:c>
      <x:c r="Y248" s="18" t="str">
        <x:v>Wikidata</x:v>
      </x:c>
      <x:c r="Z248" s="22" t="str">
        <x:v>http://www.wikidata.org/entity/Q121031365</x:v>
      </x:c>
      <x:c r="AA248" s="18" t="str"/>
      <x:c r="AB248" s="18" t="n">
        <x:v>46275.416216736114</x:v>
      </x:c>
      <x:c r="AC248" s="18" t="str">
        <x:v>independent_public</x:v>
      </x:c>
      <x:c r="AD248" s="18" t="str">
        <x:v>PARTIAL_NO_DATE</x:v>
      </x:c>
    </x:row>
    <x:row r="249">
      <x:c r="A249" s="18" t="str">
        <x:v>NYT-13-1744591e47ad354d</x:v>
      </x:c>
      <x:c r="B249" s="18" t="str">
        <x:v>Nikenike Vurobaravu</x:v>
      </x:c>
      <x:c r="C249" s="18" t="str"/>
      <x:c r="D249" s="18" t="str"/>
      <x:c r="E249" s="18" t="str"/>
      <x:c r="F249" s="18" t="str"/>
      <x:c r="G249" s="18" t="str"/>
      <x:c r="H249" s="18" t="str">
        <x:v>Vanuatu</x:v>
      </x:c>
      <x:c r="I249" s="18" t="str">
        <x:v>Vanuatu</x:v>
      </x:c>
      <x:c r="J249" s="20" t="str"/>
      <x:c r="K249" s="18" t="str"/>
      <x:c r="L249" s="20" t="str">
        <x:v>Vanuatu</x:v>
      </x:c>
      <x:c r="M249" s="18" t="str">
        <x:v>Nikenike Vurobaravu</x:v>
      </x:c>
      <x:c r="N249" s="20" t="str">
        <x:v>Q686</x:v>
      </x:c>
      <x:c r="O249" s="18" t="str">
        <x:v>President of Vanuatu</x:v>
      </x:c>
      <x:c r="P249" s="18" t="str">
        <x:v>Q113239716</x:v>
      </x:c>
      <x:c r="Q249" s="18" t="n">
        <x:v>44765</x:v>
      </x:c>
      <x:c r="R249" s="18" t="str">
        <x:v>COMPLETE_FINITE_SNAPSHOT</x:v>
      </x:c>
      <x:c r="S249" s="18" t="str">
        <x:v>Complete returned current head-of-state statements for sovereign-state universe</x:v>
      </x:c>
      <x:c r="T249" s="18" t="str"/>
      <x:c r="U249" s="18" t="str"/>
      <x:c r="V249" s="20" t="n">
        <x:v>252</x:v>
      </x:c>
      <x:c r="W249" s="19" t="str">
        <x:f>IFERROR(TODAY()-DATEVALUE(C249),"")</x:f>
      </x:c>
      <x:c r="X249" s="21" t="n">
        <x:f>ROUND(COUNTA(A249:K249)/11*100,0)</x:f>
        <x:v>100</x:v>
      </x:c>
      <x:c r="Y249" s="18" t="str">
        <x:v>Wikidata</x:v>
      </x:c>
      <x:c r="Z249" s="22" t="str">
        <x:v>http://www.wikidata.org/entity/Q113239716</x:v>
      </x:c>
      <x:c r="AA249" s="18" t="str"/>
      <x:c r="AB249" s="18" t="n">
        <x:v>46275.416216736114</x:v>
      </x:c>
      <x:c r="AC249" s="18" t="str">
        <x:v>independent_public</x:v>
      </x:c>
      <x:c r="AD249" s="18" t="str">
        <x:v>PARTIAL_NO_DATE</x:v>
      </x:c>
    </x:row>
    <x:row r="250">
      <x:c r="A250" s="18" t="str">
        <x:v>NYT-13-e81fd4adf013f2bc</x:v>
      </x:c>
      <x:c r="B250" s="18" t="str">
        <x:v>Q3052772</x:v>
      </x:c>
      <x:c r="C250" s="18" t="str"/>
      <x:c r="D250" s="18" t="str"/>
      <x:c r="E250" s="18" t="str"/>
      <x:c r="F250" s="18" t="str"/>
      <x:c r="G250" s="18" t="str"/>
      <x:c r="H250" s="18" t="str">
        <x:v>Andorra</x:v>
      </x:c>
      <x:c r="I250" s="18" t="str">
        <x:v>Andorra</x:v>
      </x:c>
      <x:c r="J250" s="20" t="str"/>
      <x:c r="K250" s="18" t="str"/>
      <x:c r="L250" s="20" t="str">
        <x:v>Andorra</x:v>
      </x:c>
      <x:c r="M250" s="18" t="str">
        <x:v>Q3052772</x:v>
      </x:c>
      <x:c r="N250" s="20" t="str">
        <x:v>Q228</x:v>
      </x:c>
      <x:c r="O250" s="18" t="str">
        <x:v>President of the French Republic</x:v>
      </x:c>
      <x:c r="P250" s="18" t="str">
        <x:v>Q3052772</x:v>
      </x:c>
      <x:c r="Q250" s="18" t="n">
        <x:v>42869</x:v>
      </x:c>
      <x:c r="R250" s="18" t="str">
        <x:v>COMPLETE_FINITE_SNAPSHOT</x:v>
      </x:c>
      <x:c r="S250" s="18" t="str">
        <x:v>Complete returned current head-of-state statements for sovereign-state universe</x:v>
      </x:c>
      <x:c r="T250" s="18" t="str"/>
      <x:c r="U250" s="18" t="str"/>
      <x:c r="V250" s="20" t="n">
        <x:v>252</x:v>
      </x:c>
      <x:c r="W250" s="19" t="str">
        <x:f>IFERROR(TODAY()-DATEVALUE(C250),"")</x:f>
      </x:c>
      <x:c r="X250" s="21" t="n">
        <x:f>ROUND(COUNTA(A250:K250)/11*100,0)</x:f>
        <x:v>100</x:v>
      </x:c>
      <x:c r="Y250" s="18" t="str">
        <x:v>Wikidata</x:v>
      </x:c>
      <x:c r="Z250" s="22" t="str">
        <x:v>http://www.wikidata.org/entity/Q3052772</x:v>
      </x:c>
      <x:c r="AA250" s="18" t="str"/>
      <x:c r="AB250" s="18" t="n">
        <x:v>46275.416216736114</x:v>
      </x:c>
      <x:c r="AC250" s="18" t="str">
        <x:v>independent_public</x:v>
      </x:c>
      <x:c r="AD250" s="18" t="str">
        <x:v>PARTIAL_NO_DATE</x:v>
      </x:c>
    </x:row>
    <x:row r="251">
      <x:c r="A251" s="18" t="str">
        <x:v>NYT-13-29e348e63cac7c60</x:v>
      </x:c>
      <x:c r="B251" s="18" t="str">
        <x:v>Carolyn Shelby</x:v>
      </x:c>
      <x:c r="C251" s="18" t="str"/>
      <x:c r="D251" s="18" t="str"/>
      <x:c r="E251" s="18" t="str"/>
      <x:c r="F251" s="18" t="str"/>
      <x:c r="G251" s="18" t="str"/>
      <x:c r="H251" s="18" t="str">
        <x:v>Ladonia</x:v>
      </x:c>
      <x:c r="I251" s="18" t="str">
        <x:v>Ladonia</x:v>
      </x:c>
      <x:c r="J251" s="20" t="str"/>
      <x:c r="K251" s="18" t="str"/>
      <x:c r="L251" s="20" t="str">
        <x:v>Ladonia</x:v>
      </x:c>
      <x:c r="M251" s="18" t="str">
        <x:v>Carolyn Shelby</x:v>
      </x:c>
      <x:c r="N251" s="20" t="str">
        <x:v>Q968430</x:v>
      </x:c>
      <x:c r="O251" s="18" t="str">
        <x:v>head of state</x:v>
      </x:c>
      <x:c r="P251" s="18" t="str">
        <x:v>Q114515341</x:v>
      </x:c>
      <x:c r="Q251" s="18" t="n">
        <x:v>40696</x:v>
      </x:c>
      <x:c r="R251" s="18" t="str">
        <x:v>COMPLETE_FINITE_SNAPSHOT</x:v>
      </x:c>
      <x:c r="S251" s="18" t="str">
        <x:v>Complete returned current head-of-state statements for sovereign-state universe</x:v>
      </x:c>
      <x:c r="T251" s="18" t="str"/>
      <x:c r="U251" s="18" t="str"/>
      <x:c r="V251" s="20" t="n">
        <x:v>252</x:v>
      </x:c>
      <x:c r="W251" s="19" t="str">
        <x:f>IFERROR(TODAY()-DATEVALUE(C251),"")</x:f>
      </x:c>
      <x:c r="X251" s="21" t="n">
        <x:f>ROUND(COUNTA(A251:K251)/11*100,0)</x:f>
        <x:v>100</x:v>
      </x:c>
      <x:c r="Y251" s="18" t="str">
        <x:v>Wikidata</x:v>
      </x:c>
      <x:c r="Z251" s="22" t="str">
        <x:v>http://www.wikidata.org/entity/Q114515341</x:v>
      </x:c>
      <x:c r="AA251" s="18" t="str"/>
      <x:c r="AB251" s="18" t="n">
        <x:v>46275.416216736114</x:v>
      </x:c>
      <x:c r="AC251" s="18" t="str">
        <x:v>independent_public</x:v>
      </x:c>
      <x:c r="AD251" s="18" t="str">
        <x:v>PARTIAL_NO_DATE</x:v>
      </x:c>
    </x:row>
    <x:row r="252">
      <x:c r="A252" s="18" t="str">
        <x:v>NYT-13-b7237e2ce2840875</x:v>
      </x:c>
      <x:c r="B252" s="18" t="str">
        <x:v>Wiliame Katonivere</x:v>
      </x:c>
      <x:c r="C252" s="18" t="str"/>
      <x:c r="D252" s="18" t="str"/>
      <x:c r="E252" s="18" t="str"/>
      <x:c r="F252" s="18" t="str"/>
      <x:c r="G252" s="18" t="str"/>
      <x:c r="H252" s="18" t="str">
        <x:v>Fiji</x:v>
      </x:c>
      <x:c r="I252" s="18" t="str">
        <x:v>Fiji</x:v>
      </x:c>
      <x:c r="J252" s="20" t="str"/>
      <x:c r="K252" s="18" t="str"/>
      <x:c r="L252" s="20" t="str">
        <x:v>Fiji</x:v>
      </x:c>
      <x:c r="M252" s="18" t="str">
        <x:v>Wiliame Katonivere</x:v>
      </x:c>
      <x:c r="N252" s="20" t="str">
        <x:v>Q712</x:v>
      </x:c>
      <x:c r="O252" s="18" t="str">
        <x:v>President of Fiji</x:v>
      </x:c>
      <x:c r="P252" s="18" t="str">
        <x:v>Q109012733</x:v>
      </x:c>
      <x:c r="Q252" s="18" t="n">
        <x:v>44512</x:v>
      </x:c>
      <x:c r="R252" s="18" t="str">
        <x:v>COMPLETE_FINITE_SNAPSHOT</x:v>
      </x:c>
      <x:c r="S252" s="18" t="str">
        <x:v>Complete returned current head-of-state statements for sovereign-state universe</x:v>
      </x:c>
      <x:c r="T252" s="18" t="str"/>
      <x:c r="U252" s="18" t="str"/>
      <x:c r="V252" s="20" t="n">
        <x:v>252</x:v>
      </x:c>
      <x:c r="W252" s="19" t="str">
        <x:f>IFERROR(TODAY()-DATEVALUE(C252),"")</x:f>
      </x:c>
      <x:c r="X252" s="21" t="n">
        <x:f>ROUND(COUNTA(A252:K252)/11*100,0)</x:f>
        <x:v>100</x:v>
      </x:c>
      <x:c r="Y252" s="18" t="str">
        <x:v>Wikidata</x:v>
      </x:c>
      <x:c r="Z252" s="22" t="str">
        <x:v>http://www.wikidata.org/entity/Q109012733</x:v>
      </x:c>
      <x:c r="AA252" s="18" t="str"/>
      <x:c r="AB252" s="18" t="n">
        <x:v>46275.416216736114</x:v>
      </x:c>
      <x:c r="AC252" s="18" t="str">
        <x:v>independent_public</x:v>
      </x:c>
      <x:c r="AD252" s="18" t="str">
        <x:v>PARTIAL_NO_DATE</x:v>
      </x:c>
    </x:row>
    <x:row r="253">
      <x:c r="A253" s="18" t="str">
        <x:v>NYT-13-0831ae3f1f2851e3</x:v>
      </x:c>
      <x:c r="B253" s="18" t="str">
        <x:v>Taye Atske Selassie</x:v>
      </x:c>
      <x:c r="C253" s="18" t="str"/>
      <x:c r="D253" s="18" t="str"/>
      <x:c r="E253" s="18" t="str"/>
      <x:c r="F253" s="18" t="str"/>
      <x:c r="G253" s="18" t="str"/>
      <x:c r="H253" s="18" t="str">
        <x:v>Ethiopia</x:v>
      </x:c>
      <x:c r="I253" s="18" t="str">
        <x:v>Ethiopia</x:v>
      </x:c>
      <x:c r="J253" s="20" t="str"/>
      <x:c r="K253" s="18" t="str"/>
      <x:c r="L253" s="20" t="str">
        <x:v>Ethiopia</x:v>
      </x:c>
      <x:c r="M253" s="18" t="str">
        <x:v>Taye Atske Selassie</x:v>
      </x:c>
      <x:c r="N253" s="20" t="str">
        <x:v>Q115</x:v>
      </x:c>
      <x:c r="O253" s="18" t="str">
        <x:v>foreign minister</x:v>
      </x:c>
      <x:c r="P253" s="18" t="str">
        <x:v>Q124831090</x:v>
      </x:c>
      <x:c r="Q253" s="18" t="n">
        <x:v>45330</x:v>
      </x:c>
      <x:c r="R253" s="18" t="str">
        <x:v>COMPLETE_FINITE_SNAPSHOT</x:v>
      </x:c>
      <x:c r="S253" s="18" t="str">
        <x:v>Complete returned current head-of-state statements for sovereign-state universe</x:v>
      </x:c>
      <x:c r="T253" s="18" t="str"/>
      <x:c r="U253" s="18" t="str"/>
      <x:c r="V253" s="20" t="n">
        <x:v>252</x:v>
      </x:c>
      <x:c r="W253" s="19" t="str">
        <x:f>IFERROR(TODAY()-DATEVALUE(C253),"")</x:f>
      </x:c>
      <x:c r="X253" s="21" t="n">
        <x:f>ROUND(COUNTA(A253:K253)/11*100,0)</x:f>
        <x:v>100</x:v>
      </x:c>
      <x:c r="Y253" s="18" t="str">
        <x:v>Wikidata</x:v>
      </x:c>
      <x:c r="Z253" s="22" t="str">
        <x:v>http://www.wikidata.org/entity/Q124831090</x:v>
      </x:c>
      <x:c r="AA253" s="18" t="str"/>
      <x:c r="AB253" s="18" t="n">
        <x:v>46275.416216736114</x:v>
      </x:c>
      <x:c r="AC253" s="18" t="str">
        <x:v>independent_public</x:v>
      </x:c>
      <x:c r="AD253" s="18" t="str">
        <x:v>PARTIAL_NO_DATE</x:v>
      </x:c>
    </x:row>
    <x:row r="254">
      <x:c r="A254" s="18" t="str">
        <x:v>NYT-13-6ddf26ea25113907</x:v>
      </x:c>
      <x:c r="B254" s="18" t="str">
        <x:v>Miguel Díaz-Canel</x:v>
      </x:c>
      <x:c r="C254" s="18" t="str"/>
      <x:c r="D254" s="18" t="str"/>
      <x:c r="E254" s="18" t="str"/>
      <x:c r="F254" s="18" t="str"/>
      <x:c r="G254" s="18" t="str"/>
      <x:c r="H254" s="18" t="str">
        <x:v>Cuba</x:v>
      </x:c>
      <x:c r="I254" s="18" t="str">
        <x:v>Cuba</x:v>
      </x:c>
      <x:c r="J254" s="20" t="str"/>
      <x:c r="K254" s="18" t="str"/>
      <x:c r="L254" s="20" t="str">
        <x:v>Cuba</x:v>
      </x:c>
      <x:c r="M254" s="18" t="str">
        <x:v>Miguel Díaz-Canel</x:v>
      </x:c>
      <x:c r="N254" s="20" t="str">
        <x:v>Q241</x:v>
      </x:c>
      <x:c r="O254" s="18" t="str">
        <x:v>First Secretary of the Communist Party of Cuba</x:v>
      </x:c>
      <x:c r="P254" s="18" t="str">
        <x:v>Q1932603</x:v>
      </x:c>
      <x:c r="Q254" s="18" t="n">
        <x:v>44305</x:v>
      </x:c>
      <x:c r="R254" s="18" t="str">
        <x:v>COMPLETE_FINITE_SNAPSHOT</x:v>
      </x:c>
      <x:c r="S254" s="18" t="str">
        <x:v>Complete returned current head-of-state statements for sovereign-state universe</x:v>
      </x:c>
      <x:c r="T254" s="18" t="str"/>
      <x:c r="U254" s="18" t="str"/>
      <x:c r="V254" s="20" t="n">
        <x:v>252</x:v>
      </x:c>
      <x:c r="W254" s="19" t="str">
        <x:f>IFERROR(TODAY()-DATEVALUE(C254),"")</x:f>
      </x:c>
      <x:c r="X254" s="21" t="n">
        <x:f>ROUND(COUNTA(A254:K254)/11*100,0)</x:f>
        <x:v>100</x:v>
      </x:c>
      <x:c r="Y254" s="18" t="str">
        <x:v>Wikidata</x:v>
      </x:c>
      <x:c r="Z254" s="22" t="str">
        <x:v>http://www.wikidata.org/entity/Q1932603</x:v>
      </x:c>
      <x:c r="AA254" s="18" t="str"/>
      <x:c r="AB254" s="18" t="n">
        <x:v>46275.416216736114</x:v>
      </x:c>
      <x:c r="AC254" s="18" t="str">
        <x:v>independent_public</x:v>
      </x:c>
      <x:c r="AD254" s="18" t="str">
        <x:v>PARTIAL_NO_DATE</x:v>
      </x:c>
    </x:row>
    <x:row r="255">
      <x:c r="A255" s="18" t="str">
        <x:v>NYT-13-6088eb0ebf460dff</x:v>
      </x:c>
      <x:c r="B255" s="18" t="str">
        <x:v>Mamady Doumbouya</x:v>
      </x:c>
      <x:c r="C255" s="18" t="str"/>
      <x:c r="D255" s="18" t="str"/>
      <x:c r="E255" s="18" t="str"/>
      <x:c r="F255" s="18" t="str"/>
      <x:c r="G255" s="18" t="str"/>
      <x:c r="H255" s="18" t="str">
        <x:v>Guinea</x:v>
      </x:c>
      <x:c r="I255" s="18" t="str">
        <x:v>Guinea</x:v>
      </x:c>
      <x:c r="J255" s="20" t="str"/>
      <x:c r="K255" s="18" t="str"/>
      <x:c r="L255" s="20" t="str">
        <x:v>Guinea</x:v>
      </x:c>
      <x:c r="M255" s="18" t="str">
        <x:v>Mamady Doumbouya</x:v>
      </x:c>
      <x:c r="N255" s="20" t="str">
        <x:v>Q1006</x:v>
      </x:c>
      <x:c r="O255" s="18" t="str">
        <x:v>President of Guinea</x:v>
      </x:c>
      <x:c r="P255" s="18" t="str">
        <x:v>Q108418519</x:v>
      </x:c>
      <x:c r="Q255" s="18" t="n">
        <x:v>44470</x:v>
      </x:c>
      <x:c r="R255" s="18" t="str">
        <x:v>COMPLETE_FINITE_SNAPSHOT</x:v>
      </x:c>
      <x:c r="S255" s="18" t="str">
        <x:v>Complete returned current head-of-state statements for sovereign-state universe</x:v>
      </x:c>
      <x:c r="T255" s="18" t="str"/>
      <x:c r="U255" s="18" t="str"/>
      <x:c r="V255" s="20" t="n">
        <x:v>252</x:v>
      </x:c>
      <x:c r="W255" s="19" t="str">
        <x:f>IFERROR(TODAY()-DATEVALUE(C255),"")</x:f>
      </x:c>
      <x:c r="X255" s="21" t="n">
        <x:f>ROUND(COUNTA(A255:K255)/11*100,0)</x:f>
        <x:v>100</x:v>
      </x:c>
      <x:c r="Y255" s="18" t="str">
        <x:v>Wikidata</x:v>
      </x:c>
      <x:c r="Z255" s="22" t="str">
        <x:v>http://www.wikidata.org/entity/Q108418519</x:v>
      </x:c>
      <x:c r="AA255" s="18" t="str"/>
      <x:c r="AB255" s="18" t="n">
        <x:v>46275.416216736114</x:v>
      </x:c>
      <x:c r="AC255" s="18" t="str">
        <x:v>independent_public</x:v>
      </x:c>
      <x:c r="AD255" s="18" t="str">
        <x:v>PARTIAL_NO_DATE</x:v>
      </x:c>
    </x:row>
    <x:row r="256">
      <x:c r="A256" s="18" t="str">
        <x:v>NYT-13-c67629b0263300be</x:v>
      </x:c>
      <x:c r="B256" s="18" t="str">
        <x:v>Myriam Spiteri Debono</x:v>
      </x:c>
      <x:c r="C256" s="18" t="str"/>
      <x:c r="D256" s="18" t="str"/>
      <x:c r="E256" s="18" t="str"/>
      <x:c r="F256" s="18" t="str"/>
      <x:c r="G256" s="18" t="str"/>
      <x:c r="H256" s="18" t="str">
        <x:v>Malta</x:v>
      </x:c>
      <x:c r="I256" s="18" t="str">
        <x:v>Malta</x:v>
      </x:c>
      <x:c r="J256" s="20" t="str"/>
      <x:c r="K256" s="18" t="str"/>
      <x:c r="L256" s="20" t="str">
        <x:v>Malta</x:v>
      </x:c>
      <x:c r="M256" s="18" t="str">
        <x:v>Myriam Spiteri Debono</x:v>
      </x:c>
      <x:c r="N256" s="20" t="str">
        <x:v>Q233</x:v>
      </x:c>
      <x:c r="O256" s="18" t="str">
        <x:v>Speaker of the House of Representatives of Malta</x:v>
      </x:c>
      <x:c r="P256" s="18" t="str">
        <x:v>Q1647394</x:v>
      </x:c>
      <x:c r="Q256" s="18" t="n">
        <x:v>35309</x:v>
      </x:c>
      <x:c r="R256" s="18" t="str">
        <x:v>COMPLETE_FINITE_SNAPSHOT</x:v>
      </x:c>
      <x:c r="S256" s="18" t="str">
        <x:v>Complete returned current head-of-state statements for sovereign-state universe</x:v>
      </x:c>
      <x:c r="T256" s="18" t="str"/>
      <x:c r="U256" s="18" t="str"/>
      <x:c r="V256" s="20" t="n">
        <x:v>252</x:v>
      </x:c>
      <x:c r="W256" s="19" t="str">
        <x:f>IFERROR(TODAY()-DATEVALUE(C256),"")</x:f>
      </x:c>
      <x:c r="X256" s="21" t="n">
        <x:f>ROUND(COUNTA(A256:K256)/11*100,0)</x:f>
        <x:v>100</x:v>
      </x:c>
      <x:c r="Y256" s="18" t="str">
        <x:v>Wikidata</x:v>
      </x:c>
      <x:c r="Z256" s="22" t="str">
        <x:v>http://www.wikidata.org/entity/Q1647394</x:v>
      </x:c>
      <x:c r="AA256" s="18" t="str"/>
      <x:c r="AB256" s="18" t="n">
        <x:v>46275.416216736114</x:v>
      </x:c>
      <x:c r="AC256" s="18" t="str">
        <x:v>independent_public</x:v>
      </x:c>
      <x:c r="AD256" s="18" t="str">
        <x:v>PARTIAL_NO_DATE</x:v>
      </x:c>
    </x:row>
    <x:row r="257">
      <x:c r="A257" s="18" t="str">
        <x:v>NYT-13-fd2d12a19a375958</x:v>
      </x:c>
      <x:c r="B257" s="18" t="str">
        <x:v>Abelardo de la Espriella</x:v>
      </x:c>
      <x:c r="C257" s="18" t="str"/>
      <x:c r="D257" s="18" t="str"/>
      <x:c r="E257" s="18" t="str"/>
      <x:c r="F257" s="18" t="str"/>
      <x:c r="G257" s="18" t="str"/>
      <x:c r="H257" s="18" t="str">
        <x:v>Colombia</x:v>
      </x:c>
      <x:c r="I257" s="18" t="str">
        <x:v>Colombia</x:v>
      </x:c>
      <x:c r="J257" s="20" t="str"/>
      <x:c r="K257" s="18" t="str"/>
      <x:c r="L257" s="20" t="str">
        <x:v>Colombia</x:v>
      </x:c>
      <x:c r="M257" s="18" t="str">
        <x:v>Abelardo de la Espriella</x:v>
      </x:c>
      <x:c r="N257" s="20" t="str">
        <x:v>Q739</x:v>
      </x:c>
      <x:c r="O257" s="18" t="str">
        <x:v>President of Colombia</x:v>
      </x:c>
      <x:c r="P257" s="18" t="str">
        <x:v>Q137204778</x:v>
      </x:c>
      <x:c r="Q257" s="18" t="n">
        <x:v>46241</x:v>
      </x:c>
      <x:c r="R257" s="18" t="str">
        <x:v>COMPLETE_FINITE_SNAPSHOT</x:v>
      </x:c>
      <x:c r="S257" s="18" t="str">
        <x:v>Complete returned current head-of-state statements for sovereign-state universe</x:v>
      </x:c>
      <x:c r="T257" s="18" t="str"/>
      <x:c r="U257" s="18" t="str"/>
      <x:c r="V257" s="20" t="n">
        <x:v>252</x:v>
      </x:c>
      <x:c r="W257" s="19" t="str">
        <x:f>IFERROR(TODAY()-DATEVALUE(C257),"")</x:f>
      </x:c>
      <x:c r="X257" s="21" t="n">
        <x:f>ROUND(COUNTA(A257:K257)/11*100,0)</x:f>
        <x:v>100</x:v>
      </x:c>
      <x:c r="Y257" s="18" t="str">
        <x:v>Wikidata</x:v>
      </x:c>
      <x:c r="Z257" s="22" t="str">
        <x:v>http://www.wikidata.org/entity/Q137204778</x:v>
      </x:c>
      <x:c r="AA257" s="18" t="str"/>
      <x:c r="AB257" s="18" t="n">
        <x:v>46275.416216736114</x:v>
      </x:c>
      <x:c r="AC257" s="18" t="str">
        <x:v>independent_public</x:v>
      </x:c>
      <x:c r="AD257" s="18" t="str">
        <x:v>PARTIAL_NO_DATE</x:v>
      </x:c>
    </x:row>
    <x:row r="258">
      <x:c r="A258" s="18" t="str">
        <x:v>NYT-13-3a85eb11b8d75552</x:v>
      </x:c>
      <x:c r="B258" s="18" t="str">
        <x:v>Nizar Amidi</x:v>
      </x:c>
      <x:c r="C258" s="18" t="str"/>
      <x:c r="D258" s="18" t="str"/>
      <x:c r="E258" s="18" t="str"/>
      <x:c r="F258" s="18" t="str"/>
      <x:c r="G258" s="18" t="str"/>
      <x:c r="H258" s="18" t="str">
        <x:v>Iraq</x:v>
      </x:c>
      <x:c r="I258" s="18" t="str">
        <x:v>Iraq</x:v>
      </x:c>
      <x:c r="J258" s="20" t="str"/>
      <x:c r="K258" s="18" t="str"/>
      <x:c r="L258" s="20" t="str">
        <x:v>Iraq</x:v>
      </x:c>
      <x:c r="M258" s="18" t="str">
        <x:v>Nizar Amidi</x:v>
      </x:c>
      <x:c r="N258" s="20" t="str">
        <x:v>Q796</x:v>
      </x:c>
      <x:c r="O258" s="18" t="str">
        <x:v>President of Iraq</x:v>
      </x:c>
      <x:c r="P258" s="18" t="str">
        <x:v>Q115579547</x:v>
      </x:c>
      <x:c r="Q258" s="18" t="n">
        <x:v>46124</x:v>
      </x:c>
      <x:c r="R258" s="18" t="str">
        <x:v>COMPLETE_FINITE_SNAPSHOT</x:v>
      </x:c>
      <x:c r="S258" s="18" t="str">
        <x:v>Complete returned current head-of-state statements for sovereign-state universe</x:v>
      </x:c>
      <x:c r="T258" s="18" t="str"/>
      <x:c r="U258" s="18" t="str"/>
      <x:c r="V258" s="20" t="n">
        <x:v>252</x:v>
      </x:c>
      <x:c r="W258" s="19" t="str">
        <x:f>IFERROR(TODAY()-DATEVALUE(C258),"")</x:f>
      </x:c>
      <x:c r="X258" s="21" t="n">
        <x:f>ROUND(COUNTA(A258:K258)/11*100,0)</x:f>
        <x:v>100</x:v>
      </x:c>
      <x:c r="Y258" s="18" t="str">
        <x:v>Wikidata</x:v>
      </x:c>
      <x:c r="Z258" s="22" t="str">
        <x:v>http://www.wikidata.org/entity/Q115579547</x:v>
      </x:c>
      <x:c r="AA258" s="18" t="str"/>
      <x:c r="AB258" s="18" t="n">
        <x:v>46275.416216736114</x:v>
      </x:c>
      <x:c r="AC258" s="18" t="str">
        <x:v>independent_public</x:v>
      </x:c>
      <x:c r="AD258" s="18" t="str">
        <x:v>PARTIAL_NO_DATE</x:v>
      </x:c>
    </x:row>
    <x:row r="259">
      <x:c r="A259" s="18" t="str">
        <x:v>NYT-13-375f9cb629f58bc6</x:v>
      </x:c>
      <x:c r="B259" s="18" t="str">
        <x:v>Abdourahamane Tiani</x:v>
      </x:c>
      <x:c r="C259" s="18" t="str"/>
      <x:c r="D259" s="18" t="str"/>
      <x:c r="E259" s="18" t="str"/>
      <x:c r="F259" s="18" t="str"/>
      <x:c r="G259" s="18" t="str"/>
      <x:c r="H259" s="18" t="str">
        <x:v>Niger</x:v>
      </x:c>
      <x:c r="I259" s="18" t="str">
        <x:v>Niger</x:v>
      </x:c>
      <x:c r="J259" s="20" t="str"/>
      <x:c r="K259" s="18" t="str"/>
      <x:c r="L259" s="20" t="str">
        <x:v>Niger</x:v>
      </x:c>
      <x:c r="M259" s="18" t="str">
        <x:v>Abdourahamane Tiani</x:v>
      </x:c>
      <x:c r="N259" s="20" t="str">
        <x:v>Q1032</x:v>
      </x:c>
      <x:c r="O259" s="18" t="str">
        <x:v>president</x:v>
      </x:c>
      <x:c r="P259" s="18" t="str">
        <x:v>Q120965176</x:v>
      </x:c>
      <x:c r="Q259" s="18" t="n">
        <x:v>45135</x:v>
      </x:c>
      <x:c r="R259" s="18" t="str">
        <x:v>COMPLETE_FINITE_SNAPSHOT</x:v>
      </x:c>
      <x:c r="S259" s="18" t="str">
        <x:v>Complete returned current head-of-state statements for sovereign-state universe</x:v>
      </x:c>
      <x:c r="T259" s="18" t="str"/>
      <x:c r="U259" s="18" t="str"/>
      <x:c r="V259" s="20" t="n">
        <x:v>252</x:v>
      </x:c>
      <x:c r="W259" s="19" t="str">
        <x:f>IFERROR(TODAY()-DATEVALUE(C259),"")</x:f>
      </x:c>
      <x:c r="X259" s="21" t="n">
        <x:f>ROUND(COUNTA(A259:K259)/11*100,0)</x:f>
        <x:v>100</x:v>
      </x:c>
      <x:c r="Y259" s="18" t="str">
        <x:v>Wikidata</x:v>
      </x:c>
      <x:c r="Z259" s="22" t="str">
        <x:v>http://www.wikidata.org/entity/Q120965176</x:v>
      </x:c>
      <x:c r="AA259" s="18" t="str"/>
      <x:c r="AB259" s="18" t="n">
        <x:v>46275.416216736114</x:v>
      </x:c>
      <x:c r="AC259" s="18" t="str">
        <x:v>independent_public</x:v>
      </x:c>
      <x:c r="AD259" s="18" t="str">
        <x:v>PARTIAL_NO_DATE</x:v>
      </x:c>
    </x:row>
    <x:row r="260">
      <x:c r="A260" s="18" t="str">
        <x:v>NYT-13-4b3cfbffabb5405d</x:v>
      </x:c>
      <x:c r="B260" s="18" t="str">
        <x:v>Sylvanie Burton</x:v>
      </x:c>
      <x:c r="C260" s="18" t="str"/>
      <x:c r="D260" s="18" t="str"/>
      <x:c r="E260" s="18" t="str"/>
      <x:c r="F260" s="18" t="str"/>
      <x:c r="G260" s="18" t="str"/>
      <x:c r="H260" s="18" t="str">
        <x:v>Dominica</x:v>
      </x:c>
      <x:c r="I260" s="18" t="str">
        <x:v>Dominica</x:v>
      </x:c>
      <x:c r="J260" s="20" t="str"/>
      <x:c r="K260" s="18" t="str"/>
      <x:c r="L260" s="20" t="str">
        <x:v>Dominica</x:v>
      </x:c>
      <x:c r="M260" s="18" t="str">
        <x:v>Sylvanie Burton</x:v>
      </x:c>
      <x:c r="N260" s="20" t="str">
        <x:v>Q784</x:v>
      </x:c>
      <x:c r="O260" s="18" t="str">
        <x:v>president of Dominica</x:v>
      </x:c>
      <x:c r="P260" s="18" t="str">
        <x:v>Q122208779</x:v>
      </x:c>
      <x:c r="Q260" s="18" t="n">
        <x:v>45201</x:v>
      </x:c>
      <x:c r="R260" s="18" t="str">
        <x:v>COMPLETE_FINITE_SNAPSHOT</x:v>
      </x:c>
      <x:c r="S260" s="18" t="str">
        <x:v>Complete returned current head-of-state statements for sovereign-state universe</x:v>
      </x:c>
      <x:c r="T260" s="18" t="str"/>
      <x:c r="U260" s="18" t="str"/>
      <x:c r="V260" s="20" t="n">
        <x:v>252</x:v>
      </x:c>
      <x:c r="W260" s="19" t="str">
        <x:f>IFERROR(TODAY()-DATEVALUE(C260),"")</x:f>
      </x:c>
      <x:c r="X260" s="21" t="n">
        <x:f>ROUND(COUNTA(A260:K260)/11*100,0)</x:f>
        <x:v>100</x:v>
      </x:c>
      <x:c r="Y260" s="18" t="str">
        <x:v>Wikidata</x:v>
      </x:c>
      <x:c r="Z260" s="22" t="str">
        <x:v>http://www.wikidata.org/entity/Q122208779</x:v>
      </x:c>
      <x:c r="AA260" s="18" t="str"/>
      <x:c r="AB260" s="18" t="n">
        <x:v>46275.416216736114</x:v>
      </x:c>
      <x:c r="AC260" s="18" t="str">
        <x:v>independent_public</x:v>
      </x:c>
      <x:c r="AD260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1e95b04bb1b14687"/>
  <x:tableParts count="1">
    <x:tablePart xmlns:r="http://schemas.openxmlformats.org/officeDocument/2006/relationships" r:id="Rf13e1e7afb5648b7"/>
  </x:tableParts>
</x:worksheet>
</file>