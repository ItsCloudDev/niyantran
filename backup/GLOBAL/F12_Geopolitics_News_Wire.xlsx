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c6acbce9d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2 Geopolitics News Wire" sheetId="1" r:id="R428d80e93c50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c3c3dac464df7" /><Relationship Type="http://schemas.openxmlformats.org/officeDocument/2006/relationships/theme" Target="/xl/theme/theme1.xml" Id="R51bf199476394364" /><Relationship Type="http://schemas.openxmlformats.org/officeDocument/2006/relationships/sharedStrings" Target="/xl/sharedStrings.xml" Id="Ra09254388d104c21" /><Relationship Type="http://schemas.openxmlformats.org/officeDocument/2006/relationships/worksheet" Target="/xl/worksheets/sheet1.xml" Id="R428d80e93c504f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cbe2e1489545ec" /><Relationship Type="http://schemas.openxmlformats.org/officeDocument/2006/relationships/chart" Target="/xl/drawings/charts/chart2.xml" Id="R186f7ff4a26c4103" /><Relationship Type="http://schemas.openxmlformats.org/officeDocument/2006/relationships/chart" Target="/xl/drawings/charts/chart3.xml" Id="R3ea0ea02b61941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Articles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'F12 Geopolitics News Wire'!$AZ$3:$AZ$13</c:f>
              <c:strCache>
                <c:ptCount val="0"/>
              </c:strCache>
            </c:strRef>
          </c:cat>
          <c:val>
            <c:numRef>
              <c:f>'F12 Geopolitics News Wire'!$BA$3:$BA$13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Coverage by country and theme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'F12 Geopolitics News Wire'!$BC$3</c:f>
              <c:strCache>
                <c:ptCount val="0"/>
              </c:strCache>
            </c:strRef>
          </c:cat>
          <c:val>
            <c:numRef>
              <c:f>'F12 Geopolitics News Wire'!$BD$3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Source concentration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'F12 Geopolitics News Wire'!$BF$3:$BF$14</c:f>
              <c:strCache>
                <c:ptCount val="0"/>
              </c:strCache>
            </c:strRef>
          </c:cat>
          <c:val>
            <c:numRef>
              <c:f>'F12 Geopolitics News Wire'!$BG$3:$BG$14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cbe2e1489545ec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6f7ff4a26c4103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a0ea02b61941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12_clean_0e7a4b" displayName="T_global_12_clean_0e7a4b" ref="A8:AC46" headerRowCount="1" totalsRowCount="0" totalsRowShown="0">
  <x:tableColumns count="2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title"/>
    <x:tableColumn id="13" name="publisher"/>
    <x:tableColumn id="14" name="query"/>
    <x:tableColumn id="15" name="published_at"/>
    <x:tableColumn id="16" name="publisher_url"/>
    <x:tableColumn id="17" name="coverage_status"/>
    <x:tableColumn id="18" name="coverage_scope"/>
    <x:tableColumn id="19" name="coverage_start"/>
    <x:tableColumn id="20" name="coverage_end"/>
    <x:tableColumn id="21" name="universe_count"/>
    <x:tableColumn id="22" name="record_age_days"/>
    <x:tableColumn id="23" name="record_completeness_pct"/>
    <x:tableColumn id="24" name="source_provider"/>
    <x:tableColumn id="25" name="source_url"/>
    <x:tableColumn id="26" name="source_published_at"/>
    <x:tableColumn id="27" name="source_retrieved_at"/>
    <x:tableColumn id="28" name="provenance"/>
    <x:tableColumn id="2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27ba5202984d21" /><Relationship Type="http://schemas.openxmlformats.org/officeDocument/2006/relationships/table" Target="/xl/tables/table1.xml" Id="R9e1ec940bc724577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4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5" customHeight="1">
      <x:c r="A1" s="4" t="str">
        <x:v>Geopolitics News Wire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38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2026-08-27</x:v>
      </x:c>
      <x:c r="BA3" s="18" t="n">
        <x:v>2</x:v>
      </x:c>
      <x:c r="BC3" s="18" t="str">
        <x:v>geopolitics diplomacy conflict</x:v>
      </x:c>
      <x:c r="BD3" s="18" t="n">
        <x:v>38</x:v>
      </x:c>
      <x:c r="BF3" s="18" t="str">
        <x:v>Modern Diplomacy</x:v>
      </x:c>
      <x:c r="BG3" s="18" t="n">
        <x:v>3</x:v>
      </x:c>
    </x:row>
    <x:row r="4">
      <x:c r="A4" s="9" t="str">
        <x:v>Records</x:v>
      </x:c>
      <x:c r="B4" s="10" t="n">
        <x:v>38</x:v>
      </x:c>
      <x:c r="C4" s="9" t="str">
        <x:v>Dated records</x:v>
      </x:c>
      <x:c r="D4" s="10" t="n">
        <x:v>38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2026-09-10</x:v>
      </x:c>
      <x:c r="AZ4" s="18" t="str">
        <x:v>2026-08-28</x:v>
      </x:c>
      <x:c r="BA4" s="18" t="n">
        <x:v>2</x:v>
      </x:c>
      <x:c r="BF4" s="18" t="str">
        <x:v>cryptobriefing.com</x:v>
      </x:c>
      <x:c r="BG4" s="18" t="n">
        <x:v>3</x:v>
      </x:c>
    </x:row>
    <x:row r="5">
      <x:c r="AZ5" s="18" t="str">
        <x:v>2026-09-01</x:v>
      </x:c>
      <x:c r="BA5" s="18" t="n">
        <x:v>4</x:v>
      </x:c>
      <x:c r="BF5" s="18" t="str">
        <x:v>Borkena</x:v>
      </x:c>
      <x:c r="BG5" s="18" t="n">
        <x:v>2</x:v>
      </x:c>
    </x:row>
    <x:row r="6">
      <x:c r="AZ6" s="18" t="str">
        <x:v>2026-09-02</x:v>
      </x:c>
      <x:c r="BA6" s="18" t="n">
        <x:v>4</x:v>
      </x:c>
      <x:c r="BF6" s="18" t="str">
        <x:v>Asianet Newsable</x:v>
      </x:c>
      <x:c r="BG6" s="18" t="n">
        <x:v>2</x:v>
      </x:c>
    </x:row>
    <x:row r="7">
      <x:c r="AZ7" s="18" t="str">
        <x:v>2026-09-03</x:v>
      </x:c>
      <x:c r="BA7" s="18" t="n">
        <x:v>2</x:v>
      </x:c>
      <x:c r="BF7" s="18" t="str">
        <x:v>India Foundation</x:v>
      </x:c>
      <x:c r="BG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title</x:v>
      </x:c>
      <x:c r="M8" s="15" t="str">
        <x:v>publisher</x:v>
      </x:c>
      <x:c r="N8" s="15" t="str">
        <x:v>query</x:v>
      </x:c>
      <x:c r="O8" s="15" t="str">
        <x:v>published_at</x:v>
      </x:c>
      <x:c r="P8" s="15" t="str">
        <x:v>publisher_url</x:v>
      </x:c>
      <x:c r="Q8" s="15" t="str">
        <x:v>coverage_status</x:v>
      </x:c>
      <x:c r="R8" s="15" t="str">
        <x:v>coverage_scope</x:v>
      </x:c>
      <x:c r="S8" s="15" t="str">
        <x:v>coverage_start</x:v>
      </x:c>
      <x:c r="T8" s="15" t="str">
        <x:v>coverage_end</x:v>
      </x:c>
      <x:c r="U8" s="15" t="str">
        <x:v>universe_count</x:v>
      </x:c>
      <x:c r="V8" s="15" t="str">
        <x:v>record_age_days</x:v>
      </x:c>
      <x:c r="W8" s="15" t="str">
        <x:v>record_completeness_pct</x:v>
      </x:c>
      <x:c r="X8" s="15" t="str">
        <x:v>source_provider</x:v>
      </x:c>
      <x:c r="Y8" s="15" t="str">
        <x:v>source_url</x:v>
      </x:c>
      <x:c r="Z8" s="15" t="str">
        <x:v>source_published_at</x:v>
      </x:c>
      <x:c r="AA8" s="15" t="str">
        <x:v>source_retrieved_at</x:v>
      </x:c>
      <x:c r="AB8" s="15" t="str">
        <x:v>provenance</x:v>
      </x:c>
      <x:c r="AC8" s="15" t="str">
        <x:v>quality_status</x:v>
      </x:c>
      <x:c r="AZ8" s="18" t="str">
        <x:v>2026-09-05</x:v>
      </x:c>
      <x:c r="BA8" s="18" t="n">
        <x:v>1</x:v>
      </x:c>
      <x:c r="BF8" s="18" t="str">
        <x:v>The World Economic Forum</x:v>
      </x:c>
      <x:c r="BG8" s="18" t="n">
        <x:v>1</x:v>
      </x:c>
    </x:row>
    <x:row r="9">
      <x:c r="A9" s="18" t="str">
        <x:v>NYT-12-80918b1927990e30</x:v>
      </x:c>
      <x:c r="B9" s="18" t="str">
        <x:v>The Geopolitics of Proxy Warfare in the Indo-Mediterranean: Security, Connectivity, and Economic Consequences - India Foundation</x:v>
      </x:c>
      <x:c r="C9" s="18" t="str">
        <x:v>2026-09-01</x:v>
      </x:c>
      <x:c r="D9" s="18" t="n">
        <x:v>2026</x:v>
      </x:c>
      <x:c r="E9" s="18" t="str">
        <x:v>2026-09</x:v>
      </x:c>
      <x:c r="F9" s="18" t="str"/>
      <x:c r="G9" s="18" t="str">
        <x:v>geopolitics diplomacy conflict</x:v>
      </x:c>
      <x:c r="H9" s="18" t="str"/>
      <x:c r="I9" s="18" t="str">
        <x:v>India Foundation</x:v>
      </x:c>
      <x:c r="J9" s="20" t="str"/>
      <x:c r="K9" s="18" t="str"/>
      <x:c r="L9" s="18" t="str">
        <x:v>The Geopolitics of Proxy Warfare in the Indo-Mediterranean: Security, Connectivity, and Economic Consequences - India Foundation</x:v>
      </x:c>
      <x:c r="M9" s="18" t="str">
        <x:v>India Foundation</x:v>
      </x:c>
      <x:c r="N9" s="18" t="str">
        <x:v>geopolitics diplomacy conflict</x:v>
      </x:c>
      <x:c r="O9" s="18" t="n">
        <x:v>46266.31010416667</x:v>
      </x:c>
      <x:c r="P9" s="18" t="str">
        <x:v>https://indiafoundation.in</x:v>
      </x:c>
      <x:c r="Q9" s="18" t="str">
        <x:v>DEFINED_TERMINAL_OR_FEED_SCOPE</x:v>
      </x:c>
      <x:c r="R9" s="18" t="str">
        <x:v>news_geopolitics_14d.json — published records loaded</x:v>
      </x:c>
      <x:c r="S9" s="18" t="str"/>
      <x:c r="T9" s="18" t="str"/>
      <x:c r="U9" s="20" t="n">
        <x:v>38</x:v>
      </x:c>
      <x:c r="V9" s="19" t="n">
        <x:f>IFERROR(TODAY()-DATEVALUE(C9),"")</x:f>
        <x:v>9</x:v>
      </x:c>
      <x:c r="W9" s="21" t="n">
        <x:f>ROUND(COUNTA(A9:K9)/11*100,0)</x:f>
        <x:v>100</x:v>
      </x:c>
      <x:c r="X9" s="18" t="str">
        <x:v>Google News RSS</x:v>
      </x:c>
      <x:c r="Y9" s="22" t="str">
        <x:v>https://news.google.com/rss/articles/CBMi8gFBVV95cUxNSG5pN3VPbnFfYlVPS0xxaTlyODY0cHA0Sy15em9qQ0tibXdvcGVvZ2M1RnA3UUppTDlRWnZjUXdodzV3TWthSDYxLTZhVzlZOHFuM2ZRWXdSaURqODB3TnVBM1JYWUZuY2liR3lCakZzYlhVOTNJRVB4LVpuakpvX3ZRbmZKZnhTUjZYZnVVNy02M3ljNUk4WDg3ZjR5UVMzeVlSZFF6S3k3aEdhMHBiaU1YaWxVSmhwbHFzZENCNDVmN0dySFVicnEtU1c2b2ZBZGlPcGpGN2JRZ3ozZ0VkaUxkTDJTRndITkVuZERwbDZmUQ?oc=5</x:v>
      </x:c>
      <x:c r="Z9" s="18" t="n">
        <x:v>46266.31010416667</x:v>
      </x:c>
      <x:c r="AA9" s="18" t="n">
        <x:v>46275.38862103009</x:v>
      </x:c>
      <x:c r="AB9" s="18" t="str">
        <x:v>public_rss</x:v>
      </x:c>
      <x:c r="AC9" s="18" t="str">
        <x:v>READY</x:v>
      </x:c>
      <x:c r="AZ9" s="18" t="str">
        <x:v>2026-09-06</x:v>
      </x:c>
      <x:c r="BA9" s="18" t="n">
        <x:v>1</x:v>
      </x:c>
      <x:c r="BF9" s="18" t="str">
        <x:v>E3G</x:v>
      </x:c>
      <x:c r="BG9" s="18" t="n">
        <x:v>1</x:v>
      </x:c>
    </x:row>
    <x:row r="10">
      <x:c r="A10" s="18" t="str">
        <x:v>NYT-12-ef958c76021fc781</x:v>
      </x:c>
      <x:c r="B10" s="18" t="str">
        <x:v>Hostilities in Iran war resume, and other geopolitical stories to know this month - The World Economic Forum</x:v>
      </x:c>
      <x:c r="C10" s="18" t="str">
        <x:v>2026-09-09</x:v>
      </x:c>
      <x:c r="D10" s="18" t="n">
        <x:v>2026</x:v>
      </x:c>
      <x:c r="E10" s="18" t="str">
        <x:v>2026-09</x:v>
      </x:c>
      <x:c r="F10" s="18" t="str"/>
      <x:c r="G10" s="18" t="str">
        <x:v>geopolitics diplomacy conflict</x:v>
      </x:c>
      <x:c r="H10" s="18" t="str"/>
      <x:c r="I10" s="18" t="str">
        <x:v>The World Economic Forum</x:v>
      </x:c>
      <x:c r="J10" s="20" t="str"/>
      <x:c r="K10" s="18" t="str"/>
      <x:c r="L10" s="18" t="str">
        <x:v>Hostilities in Iran war resume, and other geopolitical stories to know this month - The World Economic Forum</x:v>
      </x:c>
      <x:c r="M10" s="18" t="str">
        <x:v>The World Economic Forum</x:v>
      </x:c>
      <x:c r="N10" s="18" t="str">
        <x:v>geopolitics diplomacy conflict</x:v>
      </x:c>
      <x:c r="O10" s="18" t="n">
        <x:v>46274.73364583333</x:v>
      </x:c>
      <x:c r="P10" s="18" t="str">
        <x:v>https://www.weforum.org</x:v>
      </x:c>
      <x:c r="Q10" s="18" t="str">
        <x:v>DEFINED_TERMINAL_OR_FEED_SCOPE</x:v>
      </x:c>
      <x:c r="R10" s="18" t="str">
        <x:v>news_geopolitics_14d.json — published records loaded</x:v>
      </x:c>
      <x:c r="S10" s="18" t="str"/>
      <x:c r="T10" s="18" t="str"/>
      <x:c r="U10" s="20" t="n">
        <x:v>38</x:v>
      </x:c>
      <x:c r="V10" s="19" t="n">
        <x:f>IFERROR(TODAY()-DATEVALUE(C10),"")</x:f>
        <x:v>1</x:v>
      </x:c>
      <x:c r="W10" s="21" t="n">
        <x:f>ROUND(COUNTA(A10:K10)/11*100,0)</x:f>
        <x:v>100</x:v>
      </x:c>
      <x:c r="X10" s="18" t="str">
        <x:v>Google News RSS</x:v>
      </x:c>
      <x:c r="Y10" s="22" t="str">
        <x:v>https://news.google.com/rss/articles/CBMi0wFBVV95cUxQU24wTWNoR1hXeElxSVZYMDBrX00tQkFwZTFDRjRiU04xc09pTjY5Q3dQWWFVUnJOWkZqaHVLQjJreXE1dFJ0VmRnc1MxQWhjMU1oLUQwZjBJVS03alZXLThvY2hfU0FYdC05c3Jia2p6VkRIUGc5dDhkWW53U2pTY1dmQk54aDhHR0xDck55OHoyT2R4eEpGMkE4UEh0dzhsS0hXVmZyZ3VPWVRiXzlqazl5NGpPbmpvWWY1ZkNaNTU5ck92ZzN2OUNSRVdmX3Y0Xy0w?oc=5</x:v>
      </x:c>
      <x:c r="Z10" s="18" t="n">
        <x:v>46274.73364583333</x:v>
      </x:c>
      <x:c r="AA10" s="18" t="n">
        <x:v>46275.38862103009</x:v>
      </x:c>
      <x:c r="AB10" s="18" t="str">
        <x:v>public_rss</x:v>
      </x:c>
      <x:c r="AC10" s="18" t="str">
        <x:v>READY</x:v>
      </x:c>
      <x:c r="AZ10" s="18" t="str">
        <x:v>2026-09-07</x:v>
      </x:c>
      <x:c r="BA10" s="18" t="n">
        <x:v>5</x:v>
      </x:c>
      <x:c r="BF10" s="18" t="str">
        <x:v>India Today</x:v>
      </x:c>
      <x:c r="BG10" s="18" t="n">
        <x:v>1</x:v>
      </x:c>
    </x:row>
    <x:row r="11">
      <x:c r="A11" s="18" t="str">
        <x:v>NYT-12-ae4b8336807feac9</x:v>
      </x:c>
      <x:c r="B11" s="18" t="str">
        <x:v>Playing the oil endgame: Oil producers and the geopolitics of declining demand - E3G</x:v>
      </x:c>
      <x:c r="C11" s="18" t="str">
        <x:v>2026-09-08</x:v>
      </x:c>
      <x:c r="D11" s="18" t="n">
        <x:v>2026</x:v>
      </x:c>
      <x:c r="E11" s="18" t="str">
        <x:v>2026-09</x:v>
      </x:c>
      <x:c r="F11" s="18" t="str"/>
      <x:c r="G11" s="18" t="str">
        <x:v>geopolitics diplomacy conflict</x:v>
      </x:c>
      <x:c r="H11" s="18" t="str"/>
      <x:c r="I11" s="18" t="str">
        <x:v>E3G</x:v>
      </x:c>
      <x:c r="J11" s="20" t="str"/>
      <x:c r="K11" s="18" t="str"/>
      <x:c r="L11" s="18" t="str">
        <x:v>Playing the oil endgame: Oil producers and the geopolitics of declining demand - E3G</x:v>
      </x:c>
      <x:c r="M11" s="18" t="str">
        <x:v>E3G</x:v>
      </x:c>
      <x:c r="N11" s="18" t="str">
        <x:v>geopolitics diplomacy conflict</x:v>
      </x:c>
      <x:c r="O11" s="18" t="n">
        <x:v>46273.00299768519</x:v>
      </x:c>
      <x:c r="P11" s="18" t="str">
        <x:v>https://www.e3g.org</x:v>
      </x:c>
      <x:c r="Q11" s="18" t="str">
        <x:v>DEFINED_TERMINAL_OR_FEED_SCOPE</x:v>
      </x:c>
      <x:c r="R11" s="18" t="str">
        <x:v>news_geopolitics_14d.json — published records loaded</x:v>
      </x:c>
      <x:c r="S11" s="18" t="str"/>
      <x:c r="T11" s="18" t="str"/>
      <x:c r="U11" s="20" t="n">
        <x:v>38</x:v>
      </x:c>
      <x:c r="V11" s="19" t="n">
        <x:f>IFERROR(TODAY()-DATEVALUE(C11),"")</x:f>
        <x:v>2</x:v>
      </x:c>
      <x:c r="W11" s="21" t="n">
        <x:f>ROUND(COUNTA(A11:K11)/11*100,0)</x:f>
        <x:v>100</x:v>
      </x:c>
      <x:c r="X11" s="18" t="str">
        <x:v>Google News RSS</x:v>
      </x:c>
      <x:c r="Y11" s="22" t="str">
        <x:v>https://news.google.com/rss/articles/CBMif0FVX3lxTE1rLTl5RFJmM1lvMlY5aWVvNnZfWTRiUkRUOGZURElKcE5GQmIweDNSSU5mYWdLX21VS0Rpa0N2RXBjdVdMTUpCaWIzSHQ2c3VMYURMRjlISDFZaGN0TW1oaElubUFwX0c2V1VJOU92SWhnZjFvUDVmcUdJNk1Kajg?oc=5</x:v>
      </x:c>
      <x:c r="Z11" s="18" t="n">
        <x:v>46273.00299768519</x:v>
      </x:c>
      <x:c r="AA11" s="18" t="n">
        <x:v>46275.38862103009</x:v>
      </x:c>
      <x:c r="AB11" s="18" t="str">
        <x:v>public_rss</x:v>
      </x:c>
      <x:c r="AC11" s="18" t="str">
        <x:v>READY</x:v>
      </x:c>
      <x:c r="AZ11" s="18" t="str">
        <x:v>2026-09-08</x:v>
      </x:c>
      <x:c r="BA11" s="18" t="n">
        <x:v>7</x:v>
      </x:c>
      <x:c r="BF11" s="18" t="str">
        <x:v>Firstpost</x:v>
      </x:c>
      <x:c r="BG11" s="18" t="n">
        <x:v>1</x:v>
      </x:c>
    </x:row>
    <x:row r="12">
      <x:c r="A12" s="18" t="str">
        <x:v>NYT-12-7b7a449f64bf90c7</x:v>
      </x:c>
      <x:c r="B12" s="18" t="str">
        <x:v>Expanded BRICS, Geopolitical Conflicts and Economic Ties Analyzed by Experts - India Today - India Today</x:v>
      </x:c>
      <x:c r="C12" s="18" t="str">
        <x:v>2026-09-10</x:v>
      </x:c>
      <x:c r="D12" s="18" t="n">
        <x:v>2026</x:v>
      </x:c>
      <x:c r="E12" s="18" t="str">
        <x:v>2026-09</x:v>
      </x:c>
      <x:c r="F12" s="18" t="str"/>
      <x:c r="G12" s="18" t="str">
        <x:v>geopolitics diplomacy conflict</x:v>
      </x:c>
      <x:c r="H12" s="18" t="str"/>
      <x:c r="I12" s="18" t="str">
        <x:v>India Today</x:v>
      </x:c>
      <x:c r="J12" s="20" t="str"/>
      <x:c r="K12" s="18" t="str"/>
      <x:c r="L12" s="18" t="str">
        <x:v>Expanded BRICS, Geopolitical Conflicts and Economic Ties Analyzed by Experts - India Today - India Today</x:v>
      </x:c>
      <x:c r="M12" s="18" t="str">
        <x:v>India Today</x:v>
      </x:c>
      <x:c r="N12" s="18" t="str">
        <x:v>geopolitics diplomacy conflict</x:v>
      </x:c>
      <x:c r="O12" s="18" t="n">
        <x:v>46275.31932870371</x:v>
      </x:c>
      <x:c r="P12" s="18" t="str">
        <x:v>https://www.indiatoday.in</x:v>
      </x:c>
      <x:c r="Q12" s="18" t="str">
        <x:v>DEFINED_TERMINAL_OR_FEED_SCOPE</x:v>
      </x:c>
      <x:c r="R12" s="18" t="str">
        <x:v>news_geopolitics_14d.json — published records loaded</x:v>
      </x:c>
      <x:c r="S12" s="18" t="str"/>
      <x:c r="T12" s="18" t="str"/>
      <x:c r="U12" s="20" t="n">
        <x:v>38</x:v>
      </x:c>
      <x:c r="V12" s="19" t="n">
        <x:f>IFERROR(TODAY()-DATEVALUE(C12),"")</x:f>
        <x:v>0</x:v>
      </x:c>
      <x:c r="W12" s="21" t="n">
        <x:f>ROUND(COUNTA(A12:K12)/11*100,0)</x:f>
        <x:v>100</x:v>
      </x:c>
      <x:c r="X12" s="18" t="str">
        <x:v>Google News RSS</x:v>
      </x:c>
      <x:c r="Y12" s="22" t="str">
        <x:v>https://news.google.com/rss/articles/CBMi2AFBVV95cUxPVUtCbm9GeW5CUl9VYlhCWDAwMS1yOE1rZHBPWDhGcFdJbkRObld1RnBhTjN6ZDI2dnB4aWhzM1VEMUhvWVNFcGxEaUdpVXYwdDZiQkk5dm80NzJVYnVvTWdfVVNVbFlLV0NpbjZwZUdueER4WGdndFhTbjJKdTIyYXhWaEczdTFoMnUwVnkxUXg3d2tVRFNPSmkwRXNRdWRpZWt3aF9kYXBuZFJkSTZWbkhYaGRGTjlhUzdrT0dBcXM3b0RJdjdVMVZrVzBmbGpIdDc5bmp3OGfSAdgBQVVfeXFMT1VLQm5vRnluQlJfVWJYQlgwMDEtcjhNa2RwT1g4RnBXSW5ETm5XdUZwYU4zemQyNnZweGloczNVRDFIb1lTRXBsRGlHaVV2MHQ2YkJJOXZvNDcyVWJ1b01nX1VTVWxZS1dDaW42cGVHbnhEeFhnZ3RYU24ySnUyMmF4VmhHM3UxaDJ1MFZ5MVF4N3drVURTT0ppMEVzUXVkaWVrd2hfZGFwbmRSZEk2Vm5IWGhkRk45YVM3a09HQXFzN29ESXY3VTFWa1cwZmxqSHQ3OW5qdzhn?oc=5</x:v>
      </x:c>
      <x:c r="Z12" s="18" t="n">
        <x:v>46275.31932870371</x:v>
      </x:c>
      <x:c r="AA12" s="18" t="n">
        <x:v>46275.38862103009</x:v>
      </x:c>
      <x:c r="AB12" s="18" t="str">
        <x:v>public_rss</x:v>
      </x:c>
      <x:c r="AC12" s="18" t="str">
        <x:v>READY</x:v>
      </x:c>
      <x:c r="AZ12" s="18" t="str">
        <x:v>2026-09-09</x:v>
      </x:c>
      <x:c r="BA12" s="18" t="n">
        <x:v>9</x:v>
      </x:c>
      <x:c r="BF12" s="18" t="str">
        <x:v>Harvard Law School | Human Rights Program</x:v>
      </x:c>
      <x:c r="BG12" s="18" t="n">
        <x:v>1</x:v>
      </x:c>
    </x:row>
    <x:row r="13">
      <x:c r="A13" s="18" t="str">
        <x:v>NYT-12-59dbcb27ecae7ac8</x:v>
      </x:c>
      <x:c r="B13" s="18" t="str">
        <x:v>‘Brics not irrelevant, but...': India-China thaw could redefine geopolitics, says former envoy - Firstpost</x:v>
      </x:c>
      <x:c r="C13" s="18" t="str">
        <x:v>2026-09-09</x:v>
      </x:c>
      <x:c r="D13" s="18" t="n">
        <x:v>2026</x:v>
      </x:c>
      <x:c r="E13" s="18" t="str">
        <x:v>2026-09</x:v>
      </x:c>
      <x:c r="F13" s="18" t="str"/>
      <x:c r="G13" s="18" t="str">
        <x:v>geopolitics diplomacy conflict</x:v>
      </x:c>
      <x:c r="H13" s="18" t="str"/>
      <x:c r="I13" s="18" t="str">
        <x:v>Firstpost</x:v>
      </x:c>
      <x:c r="J13" s="20" t="str"/>
      <x:c r="K13" s="18" t="str"/>
      <x:c r="L13" s="18" t="str">
        <x:v>‘Brics not irrelevant, but...': India-China thaw could redefine geopolitics, says former envoy - Firstpost</x:v>
      </x:c>
      <x:c r="M13" s="18" t="str">
        <x:v>Firstpost</x:v>
      </x:c>
      <x:c r="N13" s="18" t="str">
        <x:v>geopolitics diplomacy conflict</x:v>
      </x:c>
      <x:c r="O13" s="18" t="n">
        <x:v>46274.37149305556</x:v>
      </x:c>
      <x:c r="P13" s="18" t="str">
        <x:v>https://www.firstpost.com</x:v>
      </x:c>
      <x:c r="Q13" s="18" t="str">
        <x:v>DEFINED_TERMINAL_OR_FEED_SCOPE</x:v>
      </x:c>
      <x:c r="R13" s="18" t="str">
        <x:v>news_geopolitics_14d.json — published records loaded</x:v>
      </x:c>
      <x:c r="S13" s="18" t="str"/>
      <x:c r="T13" s="18" t="str"/>
      <x:c r="U13" s="20" t="n">
        <x:v>38</x:v>
      </x:c>
      <x:c r="V13" s="19" t="n">
        <x:f>IFERROR(TODAY()-DATEVALUE(C13),"")</x:f>
        <x:v>1</x:v>
      </x:c>
      <x:c r="W13" s="21" t="n">
        <x:f>ROUND(COUNTA(A13:K13)/11*100,0)</x:f>
        <x:v>100</x:v>
      </x:c>
      <x:c r="X13" s="18" t="str">
        <x:v>Google News RSS</x:v>
      </x:c>
      <x:c r="Y13" s="22" t="str">
        <x:v>https://news.google.com/rss/articles/CBMizAFBVV95cUxONS1rUTRBSkRhX0VSSkpfSWlVMjVnMVJmR3ZxWUlpLWR1cld3dUZ1Umxfd0doQV9TV25TTTBfS0UxY0p3ZjhPZTFGY3d2blVnMjFFWkFQTHpteUFINTRqSmF4TkdaWlg0TnM5ZEVIUXhHUTRIZjd0Yl9sSEMyWlRlXzVUM1pwNmpibTRWYWRCRW9KbXZWbjMyems0WFFPQURYM0xlaXg1d1pQc0FBQjdGeWU4UzVnMUJZcmNSc193RlZRdmliLTIwbmR3RXTSAdIBQVVfeXFMTlREX3g1QVlKaGJUNU1QWUZWUnhzblJxVzYzVWh6ZFFUbXU1dmhESFFMT3FlU3VTcTNGV3RiZWVDVWRFNlhoLWdVYmJmR1hUOUctY0cxSE9VbHBtZ3JDdXpyZHZKWnZtYmROYW1UNjUtY1k2ZDhqcW55VGxtMkszZ2E3N3UyY2hTeldURDBiZUVZR05UZC13RWxLUXZFeVBWYjRROUEzRmtqb3BTcnFLOFJXMC1OVmFwTldfS3ctNHVVX0N3MzQzVU5WdHlvVDF1QkhB?oc=5</x:v>
      </x:c>
      <x:c r="Z13" s="18" t="n">
        <x:v>46274.37149305556</x:v>
      </x:c>
      <x:c r="AA13" s="18" t="n">
        <x:v>46275.38862103009</x:v>
      </x:c>
      <x:c r="AB13" s="18" t="str">
        <x:v>public_rss</x:v>
      </x:c>
      <x:c r="AC13" s="18" t="str">
        <x:v>READY</x:v>
      </x:c>
      <x:c r="AZ13" s="18" t="str">
        <x:v>2026-09-10</x:v>
      </x:c>
      <x:c r="BA13" s="18" t="n">
        <x:v>1</x:v>
      </x:c>
      <x:c r="BF13" s="18" t="str">
        <x:v>ThinkChina</x:v>
      </x:c>
      <x:c r="BG13" s="18" t="n">
        <x:v>1</x:v>
      </x:c>
    </x:row>
    <x:row r="14">
      <x:c r="A14" s="18" t="str">
        <x:v>NYT-12-42bfcb83c5a49f25</x:v>
      </x:c>
      <x:c r="B14" s="18" t="str">
        <x:v>Asian Stocks Fall as US Iran Conflict Pushes Oil Prices Higher - Modern Diplomacy</x:v>
      </x:c>
      <x:c r="C14" s="18" t="str">
        <x:v>2026-09-02</x:v>
      </x:c>
      <x:c r="D14" s="18" t="n">
        <x:v>2026</x:v>
      </x:c>
      <x:c r="E14" s="18" t="str">
        <x:v>2026-09</x:v>
      </x:c>
      <x:c r="F14" s="18" t="str"/>
      <x:c r="G14" s="18" t="str">
        <x:v>geopolitics diplomacy conflict</x:v>
      </x:c>
      <x:c r="H14" s="18" t="str"/>
      <x:c r="I14" s="18" t="str">
        <x:v>Modern Diplomacy</x:v>
      </x:c>
      <x:c r="J14" s="20" t="str"/>
      <x:c r="K14" s="18" t="str"/>
      <x:c r="L14" s="18" t="str">
        <x:v>Asian Stocks Fall as US Iran Conflict Pushes Oil Prices Higher - Modern Diplomacy</x:v>
      </x:c>
      <x:c r="M14" s="18" t="str">
        <x:v>Modern Diplomacy</x:v>
      </x:c>
      <x:c r="N14" s="18" t="str">
        <x:v>geopolitics diplomacy conflict</x:v>
      </x:c>
      <x:c r="O14" s="18" t="n">
        <x:v>46267.22226851852</x:v>
      </x:c>
      <x:c r="P14" s="18" t="str">
        <x:v>https://moderndiplomacy.eu</x:v>
      </x:c>
      <x:c r="Q14" s="18" t="str">
        <x:v>DEFINED_TERMINAL_OR_FEED_SCOPE</x:v>
      </x:c>
      <x:c r="R14" s="18" t="str">
        <x:v>news_geopolitics_14d.json — published records loaded</x:v>
      </x:c>
      <x:c r="S14" s="18" t="str"/>
      <x:c r="T14" s="18" t="str"/>
      <x:c r="U14" s="20" t="n">
        <x:v>38</x:v>
      </x:c>
      <x:c r="V14" s="19" t="n">
        <x:f>IFERROR(TODAY()-DATEVALUE(C14),"")</x:f>
        <x:v>8</x:v>
      </x:c>
      <x:c r="W14" s="21" t="n">
        <x:f>ROUND(COUNTA(A14:K14)/11*100,0)</x:f>
        <x:v>100</x:v>
      </x:c>
      <x:c r="X14" s="18" t="str">
        <x:v>Google News RSS</x:v>
      </x:c>
      <x:c r="Y14" s="22" t="str">
        <x:v>https://news.google.com/rss/articles/CBMiowFBVV95cUxQTmV1VlJWS3ZVYUpoV1o0WXFSeHl0bDF5WmJZd3MxWnlKYTBVVEVjX2FXbUFrZ21kcFhmaC1RTmNud2ExWnUtRURDelVRMnYtbk9MQnFLZU9yVGlLenMzeVJ6dWszQmNUc1pWQm1JLVhtZXZYM2taSU91SGtjMVVjUnBGNmFZbnNKMGhucTBZUDlVa2hvLUYxejJmcndMUm5ETG1F?oc=5</x:v>
      </x:c>
      <x:c r="Z14" s="18" t="n">
        <x:v>46267.22226851852</x:v>
      </x:c>
      <x:c r="AA14" s="18" t="n">
        <x:v>46275.38862103009</x:v>
      </x:c>
      <x:c r="AB14" s="18" t="str">
        <x:v>public_rss</x:v>
      </x:c>
      <x:c r="AC14" s="18" t="str">
        <x:v>READY</x:v>
      </x:c>
      <x:c r="BF14" s="18" t="str">
        <x:v>WION</x:v>
      </x:c>
      <x:c r="BG14" s="18" t="n">
        <x:v>1</x:v>
      </x:c>
    </x:row>
    <x:row r="15">
      <x:c r="A15" s="18" t="str">
        <x:v>NYT-12-2e03baa6c29862df</x:v>
      </x:c>
      <x:c r="B15" s="18" t="str">
        <x:v>The War in Sudan: Geopolitics, Human Rights, and the Challenges of International [In]Action - Harvard Law School | Human Rights Program</x:v>
      </x:c>
      <x:c r="C15" s="18" t="str">
        <x:v>2026-09-02</x:v>
      </x:c>
      <x:c r="D15" s="18" t="n">
        <x:v>2026</x:v>
      </x:c>
      <x:c r="E15" s="18" t="str">
        <x:v>2026-09</x:v>
      </x:c>
      <x:c r="F15" s="18" t="str"/>
      <x:c r="G15" s="18" t="str">
        <x:v>geopolitics diplomacy conflict</x:v>
      </x:c>
      <x:c r="H15" s="18" t="str"/>
      <x:c r="I15" s="18" t="str">
        <x:v>Harvard Law School | Human Rights Program</x:v>
      </x:c>
      <x:c r="J15" s="20" t="str"/>
      <x:c r="K15" s="18" t="str"/>
      <x:c r="L15" s="18" t="str">
        <x:v>The War in Sudan: Geopolitics, Human Rights, and the Challenges of International [In]Action - Harvard Law School | Human Rights Program</x:v>
      </x:c>
      <x:c r="M15" s="18" t="str">
        <x:v>Harvard Law School | Human Rights Program</x:v>
      </x:c>
      <x:c r="N15" s="18" t="str">
        <x:v>geopolitics diplomacy conflict</x:v>
      </x:c>
      <x:c r="O15" s="18" t="n">
        <x:v>46267.594143518516</x:v>
      </x:c>
      <x:c r="P15" s="18" t="str">
        <x:v>https://hrp.law.harvard.edu</x:v>
      </x:c>
      <x:c r="Q15" s="18" t="str">
        <x:v>DEFINED_TERMINAL_OR_FEED_SCOPE</x:v>
      </x:c>
      <x:c r="R15" s="18" t="str">
        <x:v>news_geopolitics_14d.json — published records loaded</x:v>
      </x:c>
      <x:c r="S15" s="18" t="str"/>
      <x:c r="T15" s="18" t="str"/>
      <x:c r="U15" s="20" t="n">
        <x:v>38</x:v>
      </x:c>
      <x:c r="V15" s="19" t="n">
        <x:f>IFERROR(TODAY()-DATEVALUE(C15),"")</x:f>
        <x:v>8</x:v>
      </x:c>
      <x:c r="W15" s="21" t="n">
        <x:f>ROUND(COUNTA(A15:K15)/11*100,0)</x:f>
        <x:v>100</x:v>
      </x:c>
      <x:c r="X15" s="18" t="str">
        <x:v>Google News RSS</x:v>
      </x:c>
      <x:c r="Y15" s="22" t="str">
        <x:v>https://news.google.com/rss/articles/CBMiwwFBVV95cUxNc3ZXNzZRYUdrZ0M3SlVNLUVFMVdZTWtsTlZkcVBIZHUxcVZ2Rm9ENXRYTDlwWm5uWDYzajVfSXVGMldaRmVZak9aMWVjWTcwdTBBcG0yakkzQnc0MzQxdUtoaTZvYm9hcHNRUVBoT2wtd001SnYtMmp3TUVYQmJGa09aOFpGS0NpSGNBbHlubnc1TjhQMXJWSTBXc3hnQ3FpR0lXNVpsOGhWN2NQcWg0WlRQOVhRVDQ3VmFrS0FndnhSeHc?oc=5</x:v>
      </x:c>
      <x:c r="Z15" s="18" t="n">
        <x:v>46267.594143518516</x:v>
      </x:c>
      <x:c r="AA15" s="18" t="n">
        <x:v>46275.38862103009</x:v>
      </x:c>
      <x:c r="AB15" s="18" t="str">
        <x:v>public_rss</x:v>
      </x:c>
      <x:c r="AC15" s="18" t="str">
        <x:v>READY</x:v>
      </x:c>
    </x:row>
    <x:row r="16">
      <x:c r="A16" s="18" t="str">
        <x:v>NYT-12-2419f5b35ab45f4c</x:v>
      </x:c>
      <x:c r="B16" s="18" t="str">
        <x:v>Bilahari Kausikan: How to think about foreign policy and geopolitics - ThinkChina</x:v>
      </x:c>
      <x:c r="C16" s="18" t="str">
        <x:v>2026-08-28</x:v>
      </x:c>
      <x:c r="D16" s="18" t="n">
        <x:v>2026</x:v>
      </x:c>
      <x:c r="E16" s="18" t="str">
        <x:v>2026-08</x:v>
      </x:c>
      <x:c r="F16" s="18" t="str"/>
      <x:c r="G16" s="18" t="str">
        <x:v>geopolitics diplomacy conflict</x:v>
      </x:c>
      <x:c r="H16" s="18" t="str"/>
      <x:c r="I16" s="18" t="str">
        <x:v>ThinkChina</x:v>
      </x:c>
      <x:c r="J16" s="20" t="str"/>
      <x:c r="K16" s="18" t="str"/>
      <x:c r="L16" s="18" t="str">
        <x:v>Bilahari Kausikan: How to think about foreign policy and geopolitics - ThinkChina</x:v>
      </x:c>
      <x:c r="M16" s="18" t="str">
        <x:v>ThinkChina</x:v>
      </x:c>
      <x:c r="N16" s="18" t="str">
        <x:v>geopolitics diplomacy conflict</x:v>
      </x:c>
      <x:c r="O16" s="18" t="n">
        <x:v>46262.291666666664</x:v>
      </x:c>
      <x:c r="P16" s="18" t="str">
        <x:v>https://www.thinkchina.sg</x:v>
      </x:c>
      <x:c r="Q16" s="18" t="str">
        <x:v>DEFINED_TERMINAL_OR_FEED_SCOPE</x:v>
      </x:c>
      <x:c r="R16" s="18" t="str">
        <x:v>news_geopolitics_14d.json — published records loaded</x:v>
      </x:c>
      <x:c r="S16" s="18" t="str"/>
      <x:c r="T16" s="18" t="str"/>
      <x:c r="U16" s="20" t="n">
        <x:v>38</x:v>
      </x:c>
      <x:c r="V16" s="19" t="n">
        <x:f>IFERROR(TODAY()-DATEVALUE(C16),"")</x:f>
        <x:v>13</x:v>
      </x:c>
      <x:c r="W16" s="21" t="n">
        <x:f>ROUND(COUNTA(A16:K16)/11*100,0)</x:f>
        <x:v>100</x:v>
      </x:c>
      <x:c r="X16" s="18" t="str">
        <x:v>Google News RSS</x:v>
      </x:c>
      <x:c r="Y16" s="22" t="str">
        <x:v>https://news.google.com/rss/articles/CBMioAFBVV95cUxQNVhNNEFyMmZJR29NYjN5ZjNTeVo3N1p6T0ZfVWJyNTBRUnpqTmJfM3FpRVJfQzNwbmt6TDNwcDJzUzhXek1xZXBLV19RYVVIYXd2SmhDWF9KMXVrUUVmRnRsdFlPQkg4RUU2a0tpSUcxUmtIT1hSNFEzTkh0TjlING5lZkl4ZjRYX0xsTng1RWJoVXpha0E0eDdSeXA1bnZM?oc=5</x:v>
      </x:c>
      <x:c r="Z16" s="18" t="n">
        <x:v>46262.291666666664</x:v>
      </x:c>
      <x:c r="AA16" s="18" t="n">
        <x:v>46275.38862103009</x:v>
      </x:c>
      <x:c r="AB16" s="18" t="str">
        <x:v>public_rss</x:v>
      </x:c>
      <x:c r="AC16" s="18" t="str">
        <x:v>READY</x:v>
      </x:c>
    </x:row>
    <x:row r="17">
      <x:c r="A17" s="18" t="str">
        <x:v>NYT-12-f59a88255a7b9ef0</x:v>
      </x:c>
      <x:c r="B17" s="18" t="str">
        <x:v>Two fronts, one stage: Russia-Ukraine and West Asia crises shadow BRICS Summit - WION</x:v>
      </x:c>
      <x:c r="C17" s="18" t="str">
        <x:v>2026-09-08</x:v>
      </x:c>
      <x:c r="D17" s="18" t="n">
        <x:v>2026</x:v>
      </x:c>
      <x:c r="E17" s="18" t="str">
        <x:v>2026-09</x:v>
      </x:c>
      <x:c r="F17" s="18" t="str"/>
      <x:c r="G17" s="18" t="str">
        <x:v>geopolitics diplomacy conflict</x:v>
      </x:c>
      <x:c r="H17" s="18" t="str"/>
      <x:c r="I17" s="18" t="str">
        <x:v>WION</x:v>
      </x:c>
      <x:c r="J17" s="20" t="str"/>
      <x:c r="K17" s="18" t="str"/>
      <x:c r="L17" s="18" t="str">
        <x:v>Two fronts, one stage: Russia-Ukraine and West Asia crises shadow BRICS Summit - WION</x:v>
      </x:c>
      <x:c r="M17" s="18" t="str">
        <x:v>WION</x:v>
      </x:c>
      <x:c r="N17" s="18" t="str">
        <x:v>geopolitics diplomacy conflict</x:v>
      </x:c>
      <x:c r="O17" s="18" t="n">
        <x:v>46273.35</x:v>
      </x:c>
      <x:c r="P17" s="18" t="str">
        <x:v>https://www.wionews.com</x:v>
      </x:c>
      <x:c r="Q17" s="18" t="str">
        <x:v>DEFINED_TERMINAL_OR_FEED_SCOPE</x:v>
      </x:c>
      <x:c r="R17" s="18" t="str">
        <x:v>news_geopolitics_14d.json — published records loaded</x:v>
      </x:c>
      <x:c r="S17" s="18" t="str"/>
      <x:c r="T17" s="18" t="str"/>
      <x:c r="U17" s="20" t="n">
        <x:v>38</x:v>
      </x:c>
      <x:c r="V17" s="19" t="n">
        <x:f>IFERROR(TODAY()-DATEVALUE(C17),"")</x:f>
        <x:v>2</x:v>
      </x:c>
      <x:c r="W17" s="21" t="n">
        <x:f>ROUND(COUNTA(A17:K17)/11*100,0)</x:f>
        <x:v>100</x:v>
      </x:c>
      <x:c r="X17" s="18" t="str">
        <x:v>Google News RSS</x:v>
      </x:c>
      <x:c r="Y17" s="22" t="str">
        <x:v>https://news.google.com/rss/articles/CBMiwgFBVV95cUxQRkdmRXc3OF81ZG11d21BcDhyNXhodkhXRUluci1DaTBXZnV1Vjd5ZDczV18tbHVfSS1YYndYS0xibXU5N3liWm1zalJ3aDZzRnIzNVZlVF90SHEtYXJLZDZXUHRSWFptY2U1WXd4NnJZM0NHY0VNeWNJVXZ1X1F1SWN3Q2YxM0hkTVJmUFloRWVjakgweFBTajRCZG1qcDE4NFhiRTRlMTZQOERaaURIY1AtUmZQcDRWZ0pHMzJlY3h2UdIBwgFBVV95cUxQRkdmRXc3OF81ZG11d21BcDhyNXhodkhXRUluci1DaTBXZnV1Vjd5ZDczV18tbHVfSS1YYndYS0xibXU5N3liWm1zalJ3aDZzRnIzNVZlVF90SHEtYXJLZDZXUHRSWFptY2U1WXd4NnJZM0NHY0VNeWNJVXZ1X1F1SWN3Q2YxM0hkTVJmUFloRWVjakgweFBTajRCZG1qcDE4NFhiRTRlMTZQOERaaURIY1AtUmZQcDRWZ0pHMzJlY3h2UQ?oc=5</x:v>
      </x:c>
      <x:c r="Z17" s="18" t="n">
        <x:v>46273.35</x:v>
      </x:c>
      <x:c r="AA17" s="18" t="n">
        <x:v>46275.38862103009</x:v>
      </x:c>
      <x:c r="AB17" s="18" t="str">
        <x:v>public_rss</x:v>
      </x:c>
      <x:c r="AC17" s="18" t="str">
        <x:v>READY</x:v>
      </x:c>
    </x:row>
    <x:row r="18">
      <x:c r="A18" s="18" t="str">
        <x:v>NYT-12-6ae614cbcc75abe7</x:v>
      </x:c>
      <x:c r="B18" s="18" t="str">
        <x:v>India’s new ambassador to Iran seeks to deepen ties amid shifting geopolitical dynamics - Tehran Times</x:v>
      </x:c>
      <x:c r="C18" s="18" t="str">
        <x:v>2026-09-07</x:v>
      </x:c>
      <x:c r="D18" s="18" t="n">
        <x:v>2026</x:v>
      </x:c>
      <x:c r="E18" s="18" t="str">
        <x:v>2026-09</x:v>
      </x:c>
      <x:c r="F18" s="18" t="str"/>
      <x:c r="G18" s="18" t="str">
        <x:v>geopolitics diplomacy conflict</x:v>
      </x:c>
      <x:c r="H18" s="18" t="str"/>
      <x:c r="I18" s="18" t="str">
        <x:v>Tehran Times</x:v>
      </x:c>
      <x:c r="J18" s="20" t="str"/>
      <x:c r="K18" s="18" t="str"/>
      <x:c r="L18" s="18" t="str">
        <x:v>India’s new ambassador to Iran seeks to deepen ties amid shifting geopolitical dynamics - Tehran Times</x:v>
      </x:c>
      <x:c r="M18" s="18" t="str">
        <x:v>Tehran Times</x:v>
      </x:c>
      <x:c r="N18" s="18" t="str">
        <x:v>geopolitics diplomacy conflict</x:v>
      </x:c>
      <x:c r="O18" s="18" t="n">
        <x:v>46272.666967592595</x:v>
      </x:c>
      <x:c r="P18" s="18" t="str">
        <x:v>https://www.tehrantimes.com</x:v>
      </x:c>
      <x:c r="Q18" s="18" t="str">
        <x:v>DEFINED_TERMINAL_OR_FEED_SCOPE</x:v>
      </x:c>
      <x:c r="R18" s="18" t="str">
        <x:v>news_geopolitics_14d.json — published records loaded</x:v>
      </x:c>
      <x:c r="S18" s="18" t="str"/>
      <x:c r="T18" s="18" t="str"/>
      <x:c r="U18" s="20" t="n">
        <x:v>38</x:v>
      </x:c>
      <x:c r="V18" s="19" t="n">
        <x:f>IFERROR(TODAY()-DATEVALUE(C18),"")</x:f>
        <x:v>3</x:v>
      </x:c>
      <x:c r="W18" s="21" t="n">
        <x:f>ROUND(COUNTA(A18:K18)/11*100,0)</x:f>
        <x:v>100</x:v>
      </x:c>
      <x:c r="X18" s="18" t="str">
        <x:v>Google News RSS</x:v>
      </x:c>
      <x:c r="Y18" s="22" t="str">
        <x:v>https://news.google.com/rss/articles/CBMiqAFBVV95cUxPMURmenZwWEJqVFBFVUpaVTRuN2Zrazhra0tNbVJCbE9jWHIyMXlCRkYwQjVlUjRELXVhcGQ4QW54X1U1ekVvZUlEY1JQSnBNQlYyd2s1eUZXU3VWR2xHWjlYeUxISE9NTFZzdzF6UTEtbDZ3aGJvWHZHQzZrV093OVpkRmdRSmk3Rms4cWxybVlvVFBPbmNBWnAwYWRsYWxDb01jUDdhbXc?oc=5</x:v>
      </x:c>
      <x:c r="Z18" s="18" t="n">
        <x:v>46272.666967592595</x:v>
      </x:c>
      <x:c r="AA18" s="18" t="n">
        <x:v>46275.38862103009</x:v>
      </x:c>
      <x:c r="AB18" s="18" t="str">
        <x:v>public_rss</x:v>
      </x:c>
      <x:c r="AC18" s="18" t="str">
        <x:v>READY</x:v>
      </x:c>
    </x:row>
    <x:row r="19">
      <x:c r="A19" s="18" t="str">
        <x:v>NYT-12-96bbb455086f47e9</x:v>
      </x:c>
      <x:c r="B19" s="18" t="str">
        <x:v>Usually countries visit one, not both: Luxembourg FM Xavier Bettel lauds Indias diplomacy on Russia-Ukraine war - The Tribune</x:v>
      </x:c>
      <x:c r="C19" s="18" t="str">
        <x:v>2026-09-07</x:v>
      </x:c>
      <x:c r="D19" s="18" t="n">
        <x:v>2026</x:v>
      </x:c>
      <x:c r="E19" s="18" t="str">
        <x:v>2026-09</x:v>
      </x:c>
      <x:c r="F19" s="18" t="str"/>
      <x:c r="G19" s="18" t="str">
        <x:v>geopolitics diplomacy conflict</x:v>
      </x:c>
      <x:c r="H19" s="18" t="str"/>
      <x:c r="I19" s="18" t="str">
        <x:v>The Tribune</x:v>
      </x:c>
      <x:c r="J19" s="20" t="str"/>
      <x:c r="K19" s="18" t="str"/>
      <x:c r="L19" s="18" t="str">
        <x:v>Usually countries visit one, not both: Luxembourg FM Xavier Bettel lauds Indias diplomacy on Russia-Ukraine war - The Tribune</x:v>
      </x:c>
      <x:c r="M19" s="18" t="str">
        <x:v>The Tribune</x:v>
      </x:c>
      <x:c r="N19" s="18" t="str">
        <x:v>geopolitics diplomacy conflict</x:v>
      </x:c>
      <x:c r="O19" s="18" t="n">
        <x:v>46272.91819444444</x:v>
      </x:c>
      <x:c r="P19" s="18" t="str">
        <x:v>https://www.tribuneindia.com</x:v>
      </x:c>
      <x:c r="Q19" s="18" t="str">
        <x:v>DEFINED_TERMINAL_OR_FEED_SCOPE</x:v>
      </x:c>
      <x:c r="R19" s="18" t="str">
        <x:v>news_geopolitics_14d.json — published records loaded</x:v>
      </x:c>
      <x:c r="S19" s="18" t="str"/>
      <x:c r="T19" s="18" t="str"/>
      <x:c r="U19" s="20" t="n">
        <x:v>38</x:v>
      </x:c>
      <x:c r="V19" s="19" t="n">
        <x:f>IFERROR(TODAY()-DATEVALUE(C19),"")</x:f>
        <x:v>3</x:v>
      </x:c>
      <x:c r="W19" s="21" t="n">
        <x:f>ROUND(COUNTA(A19:K19)/11*100,0)</x:f>
        <x:v>100</x:v>
      </x:c>
      <x:c r="X19" s="18" t="str">
        <x:v>Google News RSS</x:v>
      </x:c>
      <x:c r="Y19" s="22" t="str">
        <x:v>https://news.google.com/rss/articles/CBMi6AFBVV95cUxQSW9JanpLMXJZQjkyWVRwc2FKbGRSR2FYTkVObXFxU0thbDlXXy04WTBjVy03cTJPdGdIMHIzcGFnc1BWWGRwOXpoSzhsU0FlN1J0ZG9rdmZaR3I4WE9IVnkxNnNYWTIyUFR1WEJiYmwzV1B2YWxrTENzaVA5NHY5NV91YTdTVUNFaDNRdUhQN3FMNHEydlc5Ukg0U3FrOHVVMkJpSi1PVEI2cTNQci1NcVdEUkx6cDJ5T0lPUzBsSnBqUV9FNkVBQzhIMWZ6Z29TTjZWLV93d2RLNU9RZDhzYm9jblVJMFdI0gHoAUFVX3lxTFBJb0lqeksxcllCOTJZVHBzYUpsZFJHYVhORU5tcXFTS2FsOVdfLThZMGNXLTdxMk90Z0gwcjNwYWdzUFZYZHA5emhLOGxTQWU3UnRkb2t2ZlpHcjhYT0hWeTE2c1hZMjJQVHVYQmJibDNXUHZhbGtMQ3NpUDk0djk1X3VhN1NVQ0VoM1F1SFA3cUw0cTJ2VzlSSDRTcWs4dVUyQmlKLU9UQjZxM1ByLU1xV0RSTHpwMnlPSU9TMGxKcGpRX0U2RUFDOEgxZnpnb1NONlYtX3d3ZEs1T1FkOHNib2NuVUkwV0g?oc=5</x:v>
      </x:c>
      <x:c r="Z19" s="18" t="n">
        <x:v>46272.91819444444</x:v>
      </x:c>
      <x:c r="AA19" s="18" t="n">
        <x:v>46275.38862103009</x:v>
      </x:c>
      <x:c r="AB19" s="18" t="str">
        <x:v>public_rss</x:v>
      </x:c>
      <x:c r="AC19" s="18" t="str">
        <x:v>READY</x:v>
      </x:c>
    </x:row>
    <x:row r="20">
      <x:c r="A20" s="18" t="str">
        <x:v>NYT-12-698e55c8707ed6ce</x:v>
      </x:c>
      <x:c r="B20" s="18" t="str">
        <x:v>Gustavo de Arístegui: Geopolitical analysis of 9 September - Atalayar</x:v>
      </x:c>
      <x:c r="C20" s="18" t="str">
        <x:v>2026-09-09</x:v>
      </x:c>
      <x:c r="D20" s="18" t="n">
        <x:v>2026</x:v>
      </x:c>
      <x:c r="E20" s="18" t="str">
        <x:v>2026-09</x:v>
      </x:c>
      <x:c r="F20" s="18" t="str"/>
      <x:c r="G20" s="18" t="str">
        <x:v>geopolitics diplomacy conflict</x:v>
      </x:c>
      <x:c r="H20" s="18" t="str"/>
      <x:c r="I20" s="18" t="str">
        <x:v>Atalayar</x:v>
      </x:c>
      <x:c r="J20" s="20" t="str"/>
      <x:c r="K20" s="18" t="str"/>
      <x:c r="L20" s="18" t="str">
        <x:v>Gustavo de Arístegui: Geopolitical analysis of 9 September - Atalayar</x:v>
      </x:c>
      <x:c r="M20" s="18" t="str">
        <x:v>Atalayar</x:v>
      </x:c>
      <x:c r="N20" s="18" t="str">
        <x:v>geopolitics diplomacy conflict</x:v>
      </x:c>
      <x:c r="O20" s="18" t="n">
        <x:v>46274.641180555554</x:v>
      </x:c>
      <x:c r="P20" s="18" t="str">
        <x:v>https://www.atalayar.com</x:v>
      </x:c>
      <x:c r="Q20" s="18" t="str">
        <x:v>DEFINED_TERMINAL_OR_FEED_SCOPE</x:v>
      </x:c>
      <x:c r="R20" s="18" t="str">
        <x:v>news_geopolitics_14d.json — published records loaded</x:v>
      </x:c>
      <x:c r="S20" s="18" t="str"/>
      <x:c r="T20" s="18" t="str"/>
      <x:c r="U20" s="20" t="n">
        <x:v>38</x:v>
      </x:c>
      <x:c r="V20" s="19" t="n">
        <x:f>IFERROR(TODAY()-DATEVALUE(C20),"")</x:f>
        <x:v>1</x:v>
      </x:c>
      <x:c r="W20" s="21" t="n">
        <x:f>ROUND(COUNTA(A20:K20)/11*100,0)</x:f>
        <x:v>100</x:v>
      </x:c>
      <x:c r="X20" s="18" t="str">
        <x:v>Google News RSS</x:v>
      </x:c>
      <x:c r="Y20" s="22" t="str">
        <x:v>https://news.google.com/rss/articles/CBMi0AFBVV95cUxNY3J2ZU1Yc3hQOVZVcjlCTDBKT0NaT2FVYmpyd3VsOFJSVWxXVHZKUDdxX18tXzVGSFJLb0tBMkMyclJ0VVVqRlpsRDE4bERTNjAwWFdMejctblRYdy0xc0FsbDdPU1pJNUx3cDlNZnhJOXhiSGV1X3R3S3VJUEludnhwTWp0S1MwOElzUmdYWWFuajN0WDNOQW9ITU5BMzQyZDBGMG9LUk1LUkVCUHQ5LWllYzQxUWhGM0REdnVxWEpuaFZWSndMUFlJVXhNdzBq0gHWAUFVX3lxTE9kYWU2RTJOQWRzczNLRjlrRGhCdkpDMnhyclRrTHVaVnFNeTFvalhGSkg1czVrUFhSSzNia3pSSkFvTHJaRVRLcGRhdVZ0NFNaQUZvSzdHWFdBdnUzRFJWUGgydmMxRDVqNElrem1iVHNTNmp4WlNuTGYybGZJa1daTmhpTXZ1andvbnFMY1dTNEZlZ1FSVXQ1S3MwblVMR3JnOWtmM1B4TkxVOTB4T0F4TmNjc3VRemdpRVBvcXNUTlp2cnhDTUE5NUlEcVU1VEROdE14Vmc?oc=5</x:v>
      </x:c>
      <x:c r="Z20" s="18" t="n">
        <x:v>46274.641180555554</x:v>
      </x:c>
      <x:c r="AA20" s="18" t="n">
        <x:v>46275.38862103009</x:v>
      </x:c>
      <x:c r="AB20" s="18" t="str">
        <x:v>public_rss</x:v>
      </x:c>
      <x:c r="AC20" s="18" t="str">
        <x:v>READY</x:v>
      </x:c>
    </x:row>
    <x:row r="21">
      <x:c r="A21" s="18" t="str">
        <x:v>NYT-12-f18147ecc422ae28</x:v>
      </x:c>
      <x:c r="B21" s="18" t="str">
        <x:v>Xi Jinping Urges Middle East Sovereignty Amid Ongoing Conflict - India News Network</x:v>
      </x:c>
      <x:c r="C21" s="18" t="str">
        <x:v>2026-09-03</x:v>
      </x:c>
      <x:c r="D21" s="18" t="n">
        <x:v>2026</x:v>
      </x:c>
      <x:c r="E21" s="18" t="str">
        <x:v>2026-09</x:v>
      </x:c>
      <x:c r="F21" s="18" t="str"/>
      <x:c r="G21" s="18" t="str">
        <x:v>geopolitics diplomacy conflict</x:v>
      </x:c>
      <x:c r="H21" s="18" t="str"/>
      <x:c r="I21" s="18" t="str">
        <x:v>India News Network</x:v>
      </x:c>
      <x:c r="J21" s="20" t="str"/>
      <x:c r="K21" s="18" t="str"/>
      <x:c r="L21" s="18" t="str">
        <x:v>Xi Jinping Urges Middle East Sovereignty Amid Ongoing Conflict - India News Network</x:v>
      </x:c>
      <x:c r="M21" s="18" t="str">
        <x:v>India News Network</x:v>
      </x:c>
      <x:c r="N21" s="18" t="str">
        <x:v>geopolitics diplomacy conflict</x:v>
      </x:c>
      <x:c r="O21" s="18" t="n">
        <x:v>46268.20575231482</x:v>
      </x:c>
      <x:c r="P21" s="18" t="str">
        <x:v>https://www.indianewsnetwork.com</x:v>
      </x:c>
      <x:c r="Q21" s="18" t="str">
        <x:v>DEFINED_TERMINAL_OR_FEED_SCOPE</x:v>
      </x:c>
      <x:c r="R21" s="18" t="str">
        <x:v>news_geopolitics_14d.json — published records loaded</x:v>
      </x:c>
      <x:c r="S21" s="18" t="str"/>
      <x:c r="T21" s="18" t="str"/>
      <x:c r="U21" s="20" t="n">
        <x:v>38</x:v>
      </x:c>
      <x:c r="V21" s="19" t="n">
        <x:f>IFERROR(TODAY()-DATEVALUE(C21),"")</x:f>
        <x:v>7</x:v>
      </x:c>
      <x:c r="W21" s="21" t="n">
        <x:f>ROUND(COUNTA(A21:K21)/11*100,0)</x:f>
        <x:v>100</x:v>
      </x:c>
      <x:c r="X21" s="18" t="str">
        <x:v>Google News RSS</x:v>
      </x:c>
      <x:c r="Y21" s="22" t="str">
        <x:v>https://news.google.com/rss/articles/CBMiqwFBVV95cUxOTk9CTmdNbHNiNHV3SUNvMUo2ZHM2OFdoQ0pwUGVOLUp2TF85UzRBbDFtdW13WGh4YjFQcnVxMkx1VUE4QVVES3RVaWF2b3l5VThfTkJ4Ylk4M2gwZFZVVksxZkxqbzNhZ1MtU3dYTG1EdXVjNUphRDRpaWVpd0tOcmVlby1mUlNTRms0Qlp1ZDdYVnM2X2I2MnNUbUtHQThwUU1QQzhINHpqb0E?oc=5</x:v>
      </x:c>
      <x:c r="Z21" s="18" t="n">
        <x:v>46268.20575231482</x:v>
      </x:c>
      <x:c r="AA21" s="18" t="n">
        <x:v>46275.38862103009</x:v>
      </x:c>
      <x:c r="AB21" s="18" t="str">
        <x:v>public_rss</x:v>
      </x:c>
      <x:c r="AC21" s="18" t="str">
        <x:v>READY</x:v>
      </x:c>
    </x:row>
    <x:row r="22">
      <x:c r="A22" s="18" t="str">
        <x:v>NYT-12-c07ec6bf614a1527</x:v>
      </x:c>
      <x:c r="B22" s="18" t="str">
        <x:v>Bitcoin Tops $74K in Risk-On Rally Amid Geopolitical Relief - CoinMarketCap</x:v>
      </x:c>
      <x:c r="C22" s="18" t="str">
        <x:v>2026-09-09</x:v>
      </x:c>
      <x:c r="D22" s="18" t="n">
        <x:v>2026</x:v>
      </x:c>
      <x:c r="E22" s="18" t="str">
        <x:v>2026-09</x:v>
      </x:c>
      <x:c r="F22" s="18" t="str"/>
      <x:c r="G22" s="18" t="str">
        <x:v>geopolitics diplomacy conflict</x:v>
      </x:c>
      <x:c r="H22" s="18" t="str"/>
      <x:c r="I22" s="18" t="str">
        <x:v>CoinMarketCap</x:v>
      </x:c>
      <x:c r="J22" s="20" t="str"/>
      <x:c r="K22" s="18" t="str"/>
      <x:c r="L22" s="18" t="str">
        <x:v>Bitcoin Tops $74K in Risk-On Rally Amid Geopolitical Relief - CoinMarketCap</x:v>
      </x:c>
      <x:c r="M22" s="18" t="str">
        <x:v>CoinMarketCap</x:v>
      </x:c>
      <x:c r="N22" s="18" t="str">
        <x:v>geopolitics diplomacy conflict</x:v>
      </x:c>
      <x:c r="O22" s="18" t="n">
        <x:v>46274.44940972222</x:v>
      </x:c>
      <x:c r="P22" s="18" t="str">
        <x:v>https://coinmarketcap.com</x:v>
      </x:c>
      <x:c r="Q22" s="18" t="str">
        <x:v>DEFINED_TERMINAL_OR_FEED_SCOPE</x:v>
      </x:c>
      <x:c r="R22" s="18" t="str">
        <x:v>news_geopolitics_14d.json — published records loaded</x:v>
      </x:c>
      <x:c r="S22" s="18" t="str"/>
      <x:c r="T22" s="18" t="str"/>
      <x:c r="U22" s="20" t="n">
        <x:v>38</x:v>
      </x:c>
      <x:c r="V22" s="19" t="n">
        <x:f>IFERROR(TODAY()-DATEVALUE(C22),"")</x:f>
        <x:v>1</x:v>
      </x:c>
      <x:c r="W22" s="21" t="n">
        <x:f>ROUND(COUNTA(A22:K22)/11*100,0)</x:f>
        <x:v>100</x:v>
      </x:c>
      <x:c r="X22" s="18" t="str">
        <x:v>Google News RSS</x:v>
      </x:c>
      <x:c r="Y22" s="22" t="str">
        <x:v>https://news.google.com/rss/articles/CBMiqgFBVV95cUxObVdKNms1YmVlQVBSQlBQdnpKRzQtRVNIMERkbERkX2RpNk1HcDY3OW5feWstdklJcTdVd01jdFVPei1LM19uRV9MUV9aOWZhVkplVHJRSHUxQ1VybVNTbGlkRUZkdUtIS0lxNGpBejg3TDRocUZVRXRrRFRUTXJBajZYZzRyU0JnMXRFZUpaVlVUSjY0Z3E3ajhjeGlyTVY3MGx4Q3lrdVVMQQ?oc=5</x:v>
      </x:c>
      <x:c r="Z22" s="18" t="n">
        <x:v>46274.44940972222</x:v>
      </x:c>
      <x:c r="AA22" s="18" t="n">
        <x:v>46275.38862103009</x:v>
      </x:c>
      <x:c r="AB22" s="18" t="str">
        <x:v>public_rss</x:v>
      </x:c>
      <x:c r="AC22" s="18" t="str">
        <x:v>READY</x:v>
      </x:c>
    </x:row>
    <x:row r="23">
      <x:c r="A23" s="18" t="str">
        <x:v>NYT-12-6e833178ca50750e</x:v>
      </x:c>
      <x:c r="B23" s="18" t="str">
        <x:v>From Gaza to Hormuz: Geopolitical Stalemate and the New Middle East - Ifimes</x:v>
      </x:c>
      <x:c r="C23" s="18" t="str">
        <x:v>2026-09-06</x:v>
      </x:c>
      <x:c r="D23" s="18" t="n">
        <x:v>2026</x:v>
      </x:c>
      <x:c r="E23" s="18" t="str">
        <x:v>2026-09</x:v>
      </x:c>
      <x:c r="F23" s="18" t="str"/>
      <x:c r="G23" s="18" t="str">
        <x:v>geopolitics diplomacy conflict</x:v>
      </x:c>
      <x:c r="H23" s="18" t="str"/>
      <x:c r="I23" s="18" t="str">
        <x:v>Ifimes</x:v>
      </x:c>
      <x:c r="J23" s="20" t="str"/>
      <x:c r="K23" s="18" t="str"/>
      <x:c r="L23" s="18" t="str">
        <x:v>From Gaza to Hormuz: Geopolitical Stalemate and the New Middle East - Ifimes</x:v>
      </x:c>
      <x:c r="M23" s="18" t="str">
        <x:v>Ifimes</x:v>
      </x:c>
      <x:c r="N23" s="18" t="str">
        <x:v>geopolitics diplomacy conflict</x:v>
      </x:c>
      <x:c r="O23" s="18" t="n">
        <x:v>46271.87222222222</x:v>
      </x:c>
      <x:c r="P23" s="18" t="str">
        <x:v>https://www.ifimes.org</x:v>
      </x:c>
      <x:c r="Q23" s="18" t="str">
        <x:v>DEFINED_TERMINAL_OR_FEED_SCOPE</x:v>
      </x:c>
      <x:c r="R23" s="18" t="str">
        <x:v>news_geopolitics_14d.json — published records loaded</x:v>
      </x:c>
      <x:c r="S23" s="18" t="str"/>
      <x:c r="T23" s="18" t="str"/>
      <x:c r="U23" s="20" t="n">
        <x:v>38</x:v>
      </x:c>
      <x:c r="V23" s="19" t="n">
        <x:f>IFERROR(TODAY()-DATEVALUE(C23),"")</x:f>
        <x:v>4</x:v>
      </x:c>
      <x:c r="W23" s="21" t="n">
        <x:f>ROUND(COUNTA(A23:K23)/11*100,0)</x:f>
        <x:v>100</x:v>
      </x:c>
      <x:c r="X23" s="18" t="str">
        <x:v>Google News RSS</x:v>
      </x:c>
      <x:c r="Y23" s="22" t="str">
        <x:v>https://news.google.com/rss/articles/CBMirAFBVV95cUxNT0h0Ui1CWFpyVEdlYlB4MXRKRGVjem11WjM0WnNXUk05ZTZYaWR1UEJOdXN0M0VuTmZvVTUtTTkwbklyc2cxZlZOVGtyMVZ3MXg3TEJDV2VhSUpLS1ZOa2lOcHJvVGc4Q3VYUVZJLXhpMERHeXpsdWFadkFvT3VMQTd6ZWNCZ0RkWnRaNWhnWDFVNTlaNVlXRlVaUFd3ek9HSURIOURocnYtdV9L?oc=5</x:v>
      </x:c>
      <x:c r="Z23" s="18" t="n">
        <x:v>46271.87222222222</x:v>
      </x:c>
      <x:c r="AA23" s="18" t="n">
        <x:v>46275.38862103009</x:v>
      </x:c>
      <x:c r="AB23" s="18" t="str">
        <x:v>public_rss</x:v>
      </x:c>
      <x:c r="AC23" s="18" t="str">
        <x:v>READY</x:v>
      </x:c>
    </x:row>
    <x:row r="24">
      <x:c r="A24" s="18" t="str">
        <x:v>NYT-12-eef0fff7c366f3d6</x:v>
      </x:c>
      <x:c r="B24" s="18" t="str">
        <x:v>Trump and Putin hold ‘constructive’ phone call - Bangkok Post</x:v>
      </x:c>
      <x:c r="C24" s="18" t="str">
        <x:v>2026-09-08</x:v>
      </x:c>
      <x:c r="D24" s="18" t="n">
        <x:v>2026</x:v>
      </x:c>
      <x:c r="E24" s="18" t="str">
        <x:v>2026-09</x:v>
      </x:c>
      <x:c r="F24" s="18" t="str"/>
      <x:c r="G24" s="18" t="str">
        <x:v>geopolitics diplomacy conflict</x:v>
      </x:c>
      <x:c r="H24" s="18" t="str"/>
      <x:c r="I24" s="18" t="str">
        <x:v>Bangkok Post</x:v>
      </x:c>
      <x:c r="J24" s="20" t="str"/>
      <x:c r="K24" s="18" t="str"/>
      <x:c r="L24" s="18" t="str">
        <x:v>Trump and Putin hold ‘constructive’ phone call - Bangkok Post</x:v>
      </x:c>
      <x:c r="M24" s="18" t="str">
        <x:v>Bangkok Post</x:v>
      </x:c>
      <x:c r="N24" s="18" t="str">
        <x:v>geopolitics diplomacy conflict</x:v>
      </x:c>
      <x:c r="O24" s="18" t="n">
        <x:v>46273.63333333333</x:v>
      </x:c>
      <x:c r="P24" s="18" t="str">
        <x:v>http://www.bangkokpost.com</x:v>
      </x:c>
      <x:c r="Q24" s="18" t="str">
        <x:v>DEFINED_TERMINAL_OR_FEED_SCOPE</x:v>
      </x:c>
      <x:c r="R24" s="18" t="str">
        <x:v>news_geopolitics_14d.json — published records loaded</x:v>
      </x:c>
      <x:c r="S24" s="18" t="str"/>
      <x:c r="T24" s="18" t="str"/>
      <x:c r="U24" s="20" t="n">
        <x:v>38</x:v>
      </x:c>
      <x:c r="V24" s="19" t="n">
        <x:f>IFERROR(TODAY()-DATEVALUE(C24),"")</x:f>
        <x:v>2</x:v>
      </x:c>
      <x:c r="W24" s="21" t="n">
        <x:f>ROUND(COUNTA(A24:K24)/11*100,0)</x:f>
        <x:v>100</x:v>
      </x:c>
      <x:c r="X24" s="18" t="str">
        <x:v>Google News RSS</x:v>
      </x:c>
      <x:c r="Y24" s="22" t="str">
        <x:v>https://news.google.com/rss/articles/CBMijgFBVV95cUxNcTVXOG1GNnRVRG44bXFPS0hDTXpqeE5WM0sxT0VNU29UeXV0eGczWVV2VGhmM2ZJVWl4dWlqaUktdjltVzZ3SkJyQnlzRnBXVnEzeTdyWU1ISHdZeUh6VVNGWTgtcUNpQlFVLUZYenpERDkzcUc0QkNOSmFzNTFYOEpSNHBpTnpxcWtRS25B?oc=5</x:v>
      </x:c>
      <x:c r="Z24" s="18" t="n">
        <x:v>46273.63333333333</x:v>
      </x:c>
      <x:c r="AA24" s="18" t="n">
        <x:v>46275.38862103009</x:v>
      </x:c>
      <x:c r="AB24" s="18" t="str">
        <x:v>public_rss</x:v>
      </x:c>
      <x:c r="AC24" s="18" t="str">
        <x:v>READY</x:v>
      </x:c>
    </x:row>
    <x:row r="25">
      <x:c r="A25" s="18" t="str">
        <x:v>NYT-12-084cb7a26beca0d0</x:v>
      </x:c>
      <x:c r="B25" s="18" t="str">
        <x:v>Last-Minute Travel Surge: Geopolitical Uncertainty Reshapes 2026 Booking Patterns - The Eastern Herald</x:v>
      </x:c>
      <x:c r="C25" s="18" t="str">
        <x:v>2026-09-08</x:v>
      </x:c>
      <x:c r="D25" s="18" t="n">
        <x:v>2026</x:v>
      </x:c>
      <x:c r="E25" s="18" t="str">
        <x:v>2026-09</x:v>
      </x:c>
      <x:c r="F25" s="18" t="str"/>
      <x:c r="G25" s="18" t="str">
        <x:v>geopolitics diplomacy conflict</x:v>
      </x:c>
      <x:c r="H25" s="18" t="str"/>
      <x:c r="I25" s="18" t="str">
        <x:v>The Eastern Herald</x:v>
      </x:c>
      <x:c r="J25" s="20" t="str"/>
      <x:c r="K25" s="18" t="str"/>
      <x:c r="L25" s="18" t="str">
        <x:v>Last-Minute Travel Surge: Geopolitical Uncertainty Reshapes 2026 Booking Patterns - The Eastern Herald</x:v>
      </x:c>
      <x:c r="M25" s="18" t="str">
        <x:v>The Eastern Herald</x:v>
      </x:c>
      <x:c r="N25" s="18" t="str">
        <x:v>geopolitics diplomacy conflict</x:v>
      </x:c>
      <x:c r="O25" s="18" t="n">
        <x:v>46273.72168981482</x:v>
      </x:c>
      <x:c r="P25" s="18" t="str">
        <x:v>https://easternherald.com</x:v>
      </x:c>
      <x:c r="Q25" s="18" t="str">
        <x:v>DEFINED_TERMINAL_OR_FEED_SCOPE</x:v>
      </x:c>
      <x:c r="R25" s="18" t="str">
        <x:v>news_geopolitics_14d.json — published records loaded</x:v>
      </x:c>
      <x:c r="S25" s="18" t="str"/>
      <x:c r="T25" s="18" t="str"/>
      <x:c r="U25" s="20" t="n">
        <x:v>38</x:v>
      </x:c>
      <x:c r="V25" s="19" t="n">
        <x:f>IFERROR(TODAY()-DATEVALUE(C25),"")</x:f>
        <x:v>2</x:v>
      </x:c>
      <x:c r="W25" s="21" t="n">
        <x:f>ROUND(COUNTA(A25:K25)/11*100,0)</x:f>
        <x:v>100</x:v>
      </x:c>
      <x:c r="X25" s="18" t="str">
        <x:v>Google News RSS</x:v>
      </x:c>
      <x:c r="Y25" s="22" t="str">
        <x:v>https://news.google.com/rss/articles/CBMikAFBVV95cUxNYTYwbXVwTW5lQ3JlXzVEbFVuMlBmZEZfREpFUGJvOU1JcC0xbWF0YXBoY21zWDZGeXgzNEJFX2Y2bF9QMHdTelZldWxMc25ibVRVZlpKYWNWTE4yMWV5SEhCUXR1NkJocVBlVWRBbWgzUzJrVU9SR29oMzVueERwZkJQd3pxOUhXUjlQREhZdU4?oc=5</x:v>
      </x:c>
      <x:c r="Z25" s="18" t="n">
        <x:v>46273.72168981482</x:v>
      </x:c>
      <x:c r="AA25" s="18" t="n">
        <x:v>46275.38862103009</x:v>
      </x:c>
      <x:c r="AB25" s="18" t="str">
        <x:v>public_rss</x:v>
      </x:c>
      <x:c r="AC25" s="18" t="str">
        <x:v>READY</x:v>
      </x:c>
    </x:row>
    <x:row r="26">
      <x:c r="A26" s="18" t="str">
        <x:v>NYT-12-1f920ffcef8cba48</x:v>
      </x:c>
      <x:c r="B26" s="18" t="str">
        <x:v>Could Strait of Hormuz Uncertainty Push Oil Prices Above $100 a Barrel? - Modern Diplomacy</x:v>
      </x:c>
      <x:c r="C26" s="18" t="str">
        <x:v>2026-09-09</x:v>
      </x:c>
      <x:c r="D26" s="18" t="n">
        <x:v>2026</x:v>
      </x:c>
      <x:c r="E26" s="18" t="str">
        <x:v>2026-09</x:v>
      </x:c>
      <x:c r="F26" s="18" t="str"/>
      <x:c r="G26" s="18" t="str">
        <x:v>geopolitics diplomacy conflict</x:v>
      </x:c>
      <x:c r="H26" s="18" t="str"/>
      <x:c r="I26" s="18" t="str">
        <x:v>Modern Diplomacy</x:v>
      </x:c>
      <x:c r="J26" s="20" t="str"/>
      <x:c r="K26" s="18" t="str"/>
      <x:c r="L26" s="18" t="str">
        <x:v>Could Strait of Hormuz Uncertainty Push Oil Prices Above $100 a Barrel? - Modern Diplomacy</x:v>
      </x:c>
      <x:c r="M26" s="18" t="str">
        <x:v>Modern Diplomacy</x:v>
      </x:c>
      <x:c r="N26" s="18" t="str">
        <x:v>geopolitics diplomacy conflict</x:v>
      </x:c>
      <x:c r="O26" s="18" t="n">
        <x:v>46274.432222222225</x:v>
      </x:c>
      <x:c r="P26" s="18" t="str">
        <x:v>https://moderndiplomacy.eu</x:v>
      </x:c>
      <x:c r="Q26" s="18" t="str">
        <x:v>DEFINED_TERMINAL_OR_FEED_SCOPE</x:v>
      </x:c>
      <x:c r="R26" s="18" t="str">
        <x:v>news_geopolitics_14d.json — published records loaded</x:v>
      </x:c>
      <x:c r="S26" s="18" t="str"/>
      <x:c r="T26" s="18" t="str"/>
      <x:c r="U26" s="20" t="n">
        <x:v>38</x:v>
      </x:c>
      <x:c r="V26" s="19" t="n">
        <x:f>IFERROR(TODAY()-DATEVALUE(C26),"")</x:f>
        <x:v>1</x:v>
      </x:c>
      <x:c r="W26" s="21" t="n">
        <x:f>ROUND(COUNTA(A26:K26)/11*100,0)</x:f>
        <x:v>100</x:v>
      </x:c>
      <x:c r="X26" s="18" t="str">
        <x:v>Google News RSS</x:v>
      </x:c>
      <x:c r="Y26" s="22" t="str">
        <x:v>https://news.google.com/rss/articles/CBMirAFBVV95cUxPdC1MX01kcUFWQ1llQkFnWXB3Zng5clQ2a2NwM1VfOURNSTRINnJMaW4td2dnSUc1MnlYVllBTmRCc2RRcWx3dXBHRUdaZzFhampCMXYxNUxnQldVM2ZTaWI4Y3duN1BlY0c2Q0ZiOUtmX1VLZ2xKSmNzTG1xQ09iZXhza3ZOczdVT09wWl9KUGhlWlRVMmgzbXlPOFNkUWNHOUNtWU9Tb09ObGRO?oc=5</x:v>
      </x:c>
      <x:c r="Z26" s="18" t="n">
        <x:v>46274.432222222225</x:v>
      </x:c>
      <x:c r="AA26" s="18" t="n">
        <x:v>46275.38862103009</x:v>
      </x:c>
      <x:c r="AB26" s="18" t="str">
        <x:v>public_rss</x:v>
      </x:c>
      <x:c r="AC26" s="18" t="str">
        <x:v>READY</x:v>
      </x:c>
    </x:row>
    <x:row r="27">
      <x:c r="A27" s="18" t="str">
        <x:v>NYT-12-396066211292c5b4</x:v>
      </x:c>
      <x:c r="B27" s="18" t="str">
        <x:v>Why Are Oil Importers Turning to Longer Trade Routes? - Modern Diplomacy</x:v>
      </x:c>
      <x:c r="C27" s="18" t="str">
        <x:v>2026-09-03</x:v>
      </x:c>
      <x:c r="D27" s="18" t="n">
        <x:v>2026</x:v>
      </x:c>
      <x:c r="E27" s="18" t="str">
        <x:v>2026-09</x:v>
      </x:c>
      <x:c r="F27" s="18" t="str"/>
      <x:c r="G27" s="18" t="str">
        <x:v>geopolitics diplomacy conflict</x:v>
      </x:c>
      <x:c r="H27" s="18" t="str"/>
      <x:c r="I27" s="18" t="str">
        <x:v>Modern Diplomacy</x:v>
      </x:c>
      <x:c r="J27" s="20" t="str"/>
      <x:c r="K27" s="18" t="str"/>
      <x:c r="L27" s="18" t="str">
        <x:v>Why Are Oil Importers Turning to Longer Trade Routes? - Modern Diplomacy</x:v>
      </x:c>
      <x:c r="M27" s="18" t="str">
        <x:v>Modern Diplomacy</x:v>
      </x:c>
      <x:c r="N27" s="18" t="str">
        <x:v>geopolitics diplomacy conflict</x:v>
      </x:c>
      <x:c r="O27" s="18" t="n">
        <x:v>46268.25533564815</x:v>
      </x:c>
      <x:c r="P27" s="18" t="str">
        <x:v>https://moderndiplomacy.eu</x:v>
      </x:c>
      <x:c r="Q27" s="18" t="str">
        <x:v>DEFINED_TERMINAL_OR_FEED_SCOPE</x:v>
      </x:c>
      <x:c r="R27" s="18" t="str">
        <x:v>news_geopolitics_14d.json — published records loaded</x:v>
      </x:c>
      <x:c r="S27" s="18" t="str"/>
      <x:c r="T27" s="18" t="str"/>
      <x:c r="U27" s="20" t="n">
        <x:v>38</x:v>
      </x:c>
      <x:c r="V27" s="19" t="n">
        <x:f>IFERROR(TODAY()-DATEVALUE(C27),"")</x:f>
        <x:v>7</x:v>
      </x:c>
      <x:c r="W27" s="21" t="n">
        <x:f>ROUND(COUNTA(A27:K27)/11*100,0)</x:f>
        <x:v>100</x:v>
      </x:c>
      <x:c r="X27" s="18" t="str">
        <x:v>Google News RSS</x:v>
      </x:c>
      <x:c r="Y27" s="22" t="str">
        <x:v>https://news.google.com/rss/articles/CBMilgFBVV95cUxPQjEtUGEzMUlDNHp5VkVCVWZSb2VqMEVodVdrekJhaFIyVHUzNzFBbmZaYW5vYUx3RWF5OUNId3JIeWZmNUJDNzI2UFRYY3BUbEYzdjNkZ01JMGhHWjFiYjZOTHpSUDJ2MUNMV1NKX1YxaEI2bUx5YTBzZkNSUWhnNHlJZkd1eURid0lrbVdPaUExdVBiRlE?oc=5</x:v>
      </x:c>
      <x:c r="Z27" s="18" t="n">
        <x:v>46268.25533564815</x:v>
      </x:c>
      <x:c r="AA27" s="18" t="n">
        <x:v>46275.38862103009</x:v>
      </x:c>
      <x:c r="AB27" s="18" t="str">
        <x:v>public_rss</x:v>
      </x:c>
      <x:c r="AC27" s="18" t="str">
        <x:v>READY</x:v>
      </x:c>
    </x:row>
    <x:row r="28">
      <x:c r="A28" s="18" t="str">
        <x:v>NYT-12-1913662443ecdbc5</x:v>
      </x:c>
      <x:c r="B28" s="18" t="str">
        <x:v>A New Geopolitical Strategy For The Gulf Of Aden And Bab El-Mandeb - Borkena</x:v>
      </x:c>
      <x:c r="C28" s="18" t="str">
        <x:v>2026-09-07</x:v>
      </x:c>
      <x:c r="D28" s="18" t="n">
        <x:v>2026</x:v>
      </x:c>
      <x:c r="E28" s="18" t="str">
        <x:v>2026-09</x:v>
      </x:c>
      <x:c r="F28" s="18" t="str"/>
      <x:c r="G28" s="18" t="str">
        <x:v>geopolitics diplomacy conflict</x:v>
      </x:c>
      <x:c r="H28" s="18" t="str"/>
      <x:c r="I28" s="18" t="str">
        <x:v>Borkena</x:v>
      </x:c>
      <x:c r="J28" s="20" t="str"/>
      <x:c r="K28" s="18" t="str"/>
      <x:c r="L28" s="18" t="str">
        <x:v>A New Geopolitical Strategy For The Gulf Of Aden And Bab El-Mandeb - Borkena</x:v>
      </x:c>
      <x:c r="M28" s="18" t="str">
        <x:v>Borkena</x:v>
      </x:c>
      <x:c r="N28" s="18" t="str">
        <x:v>geopolitics diplomacy conflict</x:v>
      </x:c>
      <x:c r="O28" s="18" t="n">
        <x:v>46272.629328703704</x:v>
      </x:c>
      <x:c r="P28" s="18" t="str">
        <x:v>https://borkena.com</x:v>
      </x:c>
      <x:c r="Q28" s="18" t="str">
        <x:v>DEFINED_TERMINAL_OR_FEED_SCOPE</x:v>
      </x:c>
      <x:c r="R28" s="18" t="str">
        <x:v>news_geopolitics_14d.json — published records loaded</x:v>
      </x:c>
      <x:c r="S28" s="18" t="str"/>
      <x:c r="T28" s="18" t="str"/>
      <x:c r="U28" s="20" t="n">
        <x:v>38</x:v>
      </x:c>
      <x:c r="V28" s="19" t="n">
        <x:f>IFERROR(TODAY()-DATEVALUE(C28),"")</x:f>
        <x:v>3</x:v>
      </x:c>
      <x:c r="W28" s="21" t="n">
        <x:f>ROUND(COUNTA(A28:K28)/11*100,0)</x:f>
        <x:v>100</x:v>
      </x:c>
      <x:c r="X28" s="18" t="str">
        <x:v>Google News RSS</x:v>
      </x:c>
      <x:c r="Y28" s="22" t="str">
        <x:v>https://news.google.com/rss/articles/CBMikAFBVV95cUxOTkYxN1NKbjd4Nm1icXhLaUdWNmFtOVBrSVBCaU43MGd1NFhMdzBKRDR2UE5wbDNLRngyTUJYbWpIZ2M4TVJwNkpGdXlSOWxJY202Vm5nMGoyVVlhb1hwUEJGaWQzMHFyeEhUSXdKTXU5LVViLUFkTGxGUHZ1cHRMSU14d0FvanBhR2F6MEFGNW0?oc=5</x:v>
      </x:c>
      <x:c r="Z28" s="18" t="n">
        <x:v>46272.629328703704</x:v>
      </x:c>
      <x:c r="AA28" s="18" t="n">
        <x:v>46275.38862103009</x:v>
      </x:c>
      <x:c r="AB28" s="18" t="str">
        <x:v>public_rss</x:v>
      </x:c>
      <x:c r="AC28" s="18" t="str">
        <x:v>READY</x:v>
      </x:c>
    </x:row>
    <x:row r="29">
      <x:c r="A29" s="18" t="str">
        <x:v>NYT-12-2d378960a407c9d3</x:v>
      </x:c>
      <x:c r="B29" s="18" t="str">
        <x:v>Xi, Modi, Putin to meet in Kyrgyzstan: What to watch at SCO summit - Anadolu Ajansı</x:v>
      </x:c>
      <x:c r="C29" s="18" t="str">
        <x:v>2026-08-28</x:v>
      </x:c>
      <x:c r="D29" s="18" t="n">
        <x:v>2026</x:v>
      </x:c>
      <x:c r="E29" s="18" t="str">
        <x:v>2026-08</x:v>
      </x:c>
      <x:c r="F29" s="18" t="str"/>
      <x:c r="G29" s="18" t="str">
        <x:v>geopolitics diplomacy conflict</x:v>
      </x:c>
      <x:c r="H29" s="18" t="str"/>
      <x:c r="I29" s="18" t="str">
        <x:v>Anadolu Ajansı</x:v>
      </x:c>
      <x:c r="J29" s="20" t="str"/>
      <x:c r="K29" s="18" t="str"/>
      <x:c r="L29" s="18" t="str">
        <x:v>Xi, Modi, Putin to meet in Kyrgyzstan: What to watch at SCO summit - Anadolu Ajansı</x:v>
      </x:c>
      <x:c r="M29" s="18" t="str">
        <x:v>Anadolu Ajansı</x:v>
      </x:c>
      <x:c r="N29" s="18" t="str">
        <x:v>geopolitics diplomacy conflict</x:v>
      </x:c>
      <x:c r="O29" s="18" t="n">
        <x:v>46262.291666666664</x:v>
      </x:c>
      <x:c r="P29" s="18" t="str">
        <x:v>https://www.aa.com.tr</x:v>
      </x:c>
      <x:c r="Q29" s="18" t="str">
        <x:v>DEFINED_TERMINAL_OR_FEED_SCOPE</x:v>
      </x:c>
      <x:c r="R29" s="18" t="str">
        <x:v>news_geopolitics_14d.json — published records loaded</x:v>
      </x:c>
      <x:c r="S29" s="18" t="str"/>
      <x:c r="T29" s="18" t="str"/>
      <x:c r="U29" s="20" t="n">
        <x:v>38</x:v>
      </x:c>
      <x:c r="V29" s="19" t="n">
        <x:f>IFERROR(TODAY()-DATEVALUE(C29),"")</x:f>
        <x:v>13</x:v>
      </x:c>
      <x:c r="W29" s="21" t="n">
        <x:f>ROUND(COUNTA(A29:K29)/11*100,0)</x:f>
        <x:v>100</x:v>
      </x:c>
      <x:c r="X29" s="18" t="str">
        <x:v>Google News RSS</x:v>
      </x:c>
      <x:c r="Y29" s="22" t="str">
        <x:v>https://news.google.com/rss/articles/CBMipwFBVV95cUxQRXczSExxQm53X1hKMEx5X28yV21QNVllVzJvUlR1ZUVPV1dTS0p6Ni1SajJZX0F5TVJlUVZTcTRTa3JHODVhZC0wNjJBVUhTeHl4N2lSZE9KOXB4TzhPM3FrdFp4ODhRai15S3RtclcyOENmVUJCQlQ4UGRHTG1WU0lrYldWOC1nVGk0RE5Eem9ESTVDNjJlTUplUF9RSVViN2tzRUJUSQ?oc=5</x:v>
      </x:c>
      <x:c r="Z29" s="18" t="n">
        <x:v>46262.291666666664</x:v>
      </x:c>
      <x:c r="AA29" s="18" t="n">
        <x:v>46275.38862103009</x:v>
      </x:c>
      <x:c r="AB29" s="18" t="str">
        <x:v>public_rss</x:v>
      </x:c>
      <x:c r="AC29" s="18" t="str">
        <x:v>READY</x:v>
      </x:c>
    </x:row>
    <x:row r="30">
      <x:c r="A30" s="18" t="str">
        <x:v>NYT-12-bed73006860c6dea</x:v>
      </x:c>
      <x:c r="B30" s="18" t="str">
        <x:v>Weekly Geopolitical Report Issue No.36 - horn review</x:v>
      </x:c>
      <x:c r="C30" s="18" t="str">
        <x:v>2026-09-08</x:v>
      </x:c>
      <x:c r="D30" s="18" t="n">
        <x:v>2026</x:v>
      </x:c>
      <x:c r="E30" s="18" t="str">
        <x:v>2026-09</x:v>
      </x:c>
      <x:c r="F30" s="18" t="str"/>
      <x:c r="G30" s="18" t="str">
        <x:v>geopolitics diplomacy conflict</x:v>
      </x:c>
      <x:c r="H30" s="18" t="str"/>
      <x:c r="I30" s="18" t="str">
        <x:v>horn review</x:v>
      </x:c>
      <x:c r="J30" s="20" t="str"/>
      <x:c r="K30" s="18" t="str"/>
      <x:c r="L30" s="18" t="str">
        <x:v>Weekly Geopolitical Report Issue No.36 - horn review</x:v>
      </x:c>
      <x:c r="M30" s="18" t="str">
        <x:v>horn review</x:v>
      </x:c>
      <x:c r="N30" s="18" t="str">
        <x:v>geopolitics diplomacy conflict</x:v>
      </x:c>
      <x:c r="O30" s="18" t="n">
        <x:v>46273.31116898148</x:v>
      </x:c>
      <x:c r="P30" s="18" t="str">
        <x:v>https://hornreview.org</x:v>
      </x:c>
      <x:c r="Q30" s="18" t="str">
        <x:v>DEFINED_TERMINAL_OR_FEED_SCOPE</x:v>
      </x:c>
      <x:c r="R30" s="18" t="str">
        <x:v>news_geopolitics_14d.json — published records loaded</x:v>
      </x:c>
      <x:c r="S30" s="18" t="str"/>
      <x:c r="T30" s="18" t="str"/>
      <x:c r="U30" s="20" t="n">
        <x:v>38</x:v>
      </x:c>
      <x:c r="V30" s="19" t="n">
        <x:f>IFERROR(TODAY()-DATEVALUE(C30),"")</x:f>
        <x:v>2</x:v>
      </x:c>
      <x:c r="W30" s="21" t="n">
        <x:f>ROUND(COUNTA(A30:K30)/11*100,0)</x:f>
        <x:v>100</x:v>
      </x:c>
      <x:c r="X30" s="18" t="str">
        <x:v>Google News RSS</x:v>
      </x:c>
      <x:c r="Y30" s="22" t="str">
        <x:v>https://news.google.com/rss/articles/CBMifkFVX3lxTE9RLWZtWE5CLVNFSGNqQzVfaFdNNGR4WUtKUDBsakxMUXNJQ3pNQklRRTI0RDIzUlVRUUdlNDNUX3VRbUVXbFVvcWpLRUNEMS1OeGJFUDN1c0E1WnNCX2t3WEhzTmpmWVJDcEx1ZnNENk9vZEtqamlKbU9ISU5Idw?oc=5</x:v>
      </x:c>
      <x:c r="Z30" s="18" t="n">
        <x:v>46273.31116898148</x:v>
      </x:c>
      <x:c r="AA30" s="18" t="n">
        <x:v>46275.38862103009</x:v>
      </x:c>
      <x:c r="AB30" s="18" t="str">
        <x:v>public_rss</x:v>
      </x:c>
      <x:c r="AC30" s="18" t="str">
        <x:v>READY</x:v>
      </x:c>
    </x:row>
    <x:row r="31">
      <x:c r="A31" s="18" t="str">
        <x:v>NYT-12-9b910e32ad145991</x:v>
      </x:c>
      <x:c r="B31" s="18" t="str">
        <x:v>Oil prices hit $100 amid US-Iran conflict; Bitc... - Pluang</x:v>
      </x:c>
      <x:c r="C31" s="18" t="str">
        <x:v>2026-09-09</x:v>
      </x:c>
      <x:c r="D31" s="18" t="n">
        <x:v>2026</x:v>
      </x:c>
      <x:c r="E31" s="18" t="str">
        <x:v>2026-09</x:v>
      </x:c>
      <x:c r="F31" s="18" t="str"/>
      <x:c r="G31" s="18" t="str">
        <x:v>geopolitics diplomacy conflict</x:v>
      </x:c>
      <x:c r="H31" s="18" t="str"/>
      <x:c r="I31" s="18" t="str">
        <x:v>Pluang</x:v>
      </x:c>
      <x:c r="J31" s="20" t="str"/>
      <x:c r="K31" s="18" t="str"/>
      <x:c r="L31" s="18" t="str">
        <x:v>Oil prices hit $100 amid US-Iran conflict; Bitc... - Pluang</x:v>
      </x:c>
      <x:c r="M31" s="18" t="str">
        <x:v>Pluang</x:v>
      </x:c>
      <x:c r="N31" s="18" t="str">
        <x:v>geopolitics diplomacy conflict</x:v>
      </x:c>
      <x:c r="O31" s="18" t="n">
        <x:v>46274.641921296294</x:v>
      </x:c>
      <x:c r="P31" s="18" t="str">
        <x:v>https://pluang.com</x:v>
      </x:c>
      <x:c r="Q31" s="18" t="str">
        <x:v>DEFINED_TERMINAL_OR_FEED_SCOPE</x:v>
      </x:c>
      <x:c r="R31" s="18" t="str">
        <x:v>news_geopolitics_14d.json — published records loaded</x:v>
      </x:c>
      <x:c r="S31" s="18" t="str"/>
      <x:c r="T31" s="18" t="str"/>
      <x:c r="U31" s="20" t="n">
        <x:v>38</x:v>
      </x:c>
      <x:c r="V31" s="19" t="n">
        <x:f>IFERROR(TODAY()-DATEVALUE(C31),"")</x:f>
        <x:v>1</x:v>
      </x:c>
      <x:c r="W31" s="21" t="n">
        <x:f>ROUND(COUNTA(A31:K31)/11*100,0)</x:f>
        <x:v>100</x:v>
      </x:c>
      <x:c r="X31" s="18" t="str">
        <x:v>Google News RSS</x:v>
      </x:c>
      <x:c r="Y31" s="22" t="str">
        <x:v>https://news.google.com/rss/articles/CBMipgFBVV95cUxPZ3hkeFpDSmpNSTZMbkFubDM0S2ZGYUpBMzhqYTFIbnp4M0lMRHhCalUzNUhVZDZLOS1YbGNoSC0yQjJPSE96anA0MGhSUVk3a0hwaGprTkJ6X2ZyY0ZUZzR5cEtqZzVudUpsbk5SalgtMDlBaFBBdVlCV2dsYTZvelhzX3VlWjlZLU05U1JCck9FOE83cG5UbDRxeHFtdEQyOE1hYXJB?oc=5</x:v>
      </x:c>
      <x:c r="Z31" s="18" t="n">
        <x:v>46274.641921296294</x:v>
      </x:c>
      <x:c r="AA31" s="18" t="n">
        <x:v>46275.38862103009</x:v>
      </x:c>
      <x:c r="AB31" s="18" t="str">
        <x:v>public_rss</x:v>
      </x:c>
      <x:c r="AC31" s="18" t="str">
        <x:v>READY</x:v>
      </x:c>
    </x:row>
    <x:row r="32">
      <x:c r="A32" s="18" t="str">
        <x:v>NYT-12-797569f59985f811</x:v>
      </x:c>
      <x:c r="B32" s="18" t="str">
        <x:v>Myanmar’s Ports Are Reshaping the Geopolitics of the Bay of Bengal - The Diplomatic Insight</x:v>
      </x:c>
      <x:c r="C32" s="18" t="str">
        <x:v>2026-09-05</x:v>
      </x:c>
      <x:c r="D32" s="18" t="n">
        <x:v>2026</x:v>
      </x:c>
      <x:c r="E32" s="18" t="str">
        <x:v>2026-09</x:v>
      </x:c>
      <x:c r="F32" s="18" t="str"/>
      <x:c r="G32" s="18" t="str">
        <x:v>geopolitics diplomacy conflict</x:v>
      </x:c>
      <x:c r="H32" s="18" t="str"/>
      <x:c r="I32" s="18" t="str">
        <x:v>The Diplomatic Insight</x:v>
      </x:c>
      <x:c r="J32" s="20" t="str"/>
      <x:c r="K32" s="18" t="str"/>
      <x:c r="L32" s="18" t="str">
        <x:v>Myanmar’s Ports Are Reshaping the Geopolitics of the Bay of Bengal - The Diplomatic Insight</x:v>
      </x:c>
      <x:c r="M32" s="18" t="str">
        <x:v>The Diplomatic Insight</x:v>
      </x:c>
      <x:c r="N32" s="18" t="str">
        <x:v>geopolitics diplomacy conflict</x:v>
      </x:c>
      <x:c r="O32" s="18" t="n">
        <x:v>46270.37111111111</x:v>
      </x:c>
      <x:c r="P32" s="18" t="str">
        <x:v>https://thediplomaticinsight.com</x:v>
      </x:c>
      <x:c r="Q32" s="18" t="str">
        <x:v>DEFINED_TERMINAL_OR_FEED_SCOPE</x:v>
      </x:c>
      <x:c r="R32" s="18" t="str">
        <x:v>news_geopolitics_14d.json — published records loaded</x:v>
      </x:c>
      <x:c r="S32" s="18" t="str"/>
      <x:c r="T32" s="18" t="str"/>
      <x:c r="U32" s="20" t="n">
        <x:v>38</x:v>
      </x:c>
      <x:c r="V32" s="19" t="n">
        <x:f>IFERROR(TODAY()-DATEVALUE(C32),"")</x:f>
        <x:v>5</x:v>
      </x:c>
      <x:c r="W32" s="21" t="n">
        <x:f>ROUND(COUNTA(A32:K32)/11*100,0)</x:f>
        <x:v>100</x:v>
      </x:c>
      <x:c r="X32" s="18" t="str">
        <x:v>Google News RSS</x:v>
      </x:c>
      <x:c r="Y32" s="22" t="str">
        <x:v>https://news.google.com/rss/articles/CBMifkFVX3lxTE5jeThiQ0lIcXYyeXk5Tkdqb3BZLTRZbFYyX1J5bW1VRVQ1VG8wa0E1OUQ5RDFOV0cxVGRJcTdiNHVBV1BnUEUxVndPbGxXSEF2OERaaEhIek94aEUtMmJnN2s2OVB5VEx0TE5KcXBXcG1mN3hFcFJmQUJUeHhydw?oc=5</x:v>
      </x:c>
      <x:c r="Z32" s="18" t="n">
        <x:v>46270.37111111111</x:v>
      </x:c>
      <x:c r="AA32" s="18" t="n">
        <x:v>46275.38862103009</x:v>
      </x:c>
      <x:c r="AB32" s="18" t="str">
        <x:v>public_rss</x:v>
      </x:c>
      <x:c r="AC32" s="18" t="str">
        <x:v>READY</x:v>
      </x:c>
    </x:row>
    <x:row r="33">
      <x:c r="A33" s="18" t="str">
        <x:v>NYT-12-edae12f6d402b8de</x:v>
      </x:c>
      <x:c r="B33" s="18" t="str">
        <x:v>Lawmakers urged to boost diplomacy against geopolitical risks - Khmer Times</x:v>
      </x:c>
      <x:c r="C33" s="18" t="str">
        <x:v>2026-08-27</x:v>
      </x:c>
      <x:c r="D33" s="18" t="n">
        <x:v>2026</x:v>
      </x:c>
      <x:c r="E33" s="18" t="str">
        <x:v>2026-08</x:v>
      </x:c>
      <x:c r="F33" s="18" t="str"/>
      <x:c r="G33" s="18" t="str">
        <x:v>geopolitics diplomacy conflict</x:v>
      </x:c>
      <x:c r="H33" s="18" t="str"/>
      <x:c r="I33" s="18" t="str">
        <x:v>Khmer Times</x:v>
      </x:c>
      <x:c r="J33" s="20" t="str"/>
      <x:c r="K33" s="18" t="str"/>
      <x:c r="L33" s="18" t="str">
        <x:v>Lawmakers urged to boost diplomacy against geopolitical risks - Khmer Times</x:v>
      </x:c>
      <x:c r="M33" s="18" t="str">
        <x:v>Khmer Times</x:v>
      </x:c>
      <x:c r="N33" s="18" t="str">
        <x:v>geopolitics diplomacy conflict</x:v>
      </x:c>
      <x:c r="O33" s="18" t="n">
        <x:v>46261.71109953704</x:v>
      </x:c>
      <x:c r="P33" s="18" t="str">
        <x:v>https://www.khmertimeskh.com</x:v>
      </x:c>
      <x:c r="Q33" s="18" t="str">
        <x:v>DEFINED_TERMINAL_OR_FEED_SCOPE</x:v>
      </x:c>
      <x:c r="R33" s="18" t="str">
        <x:v>news_geopolitics_14d.json — published records loaded</x:v>
      </x:c>
      <x:c r="S33" s="18" t="str"/>
      <x:c r="T33" s="18" t="str"/>
      <x:c r="U33" s="20" t="n">
        <x:v>38</x:v>
      </x:c>
      <x:c r="V33" s="19" t="n">
        <x:f>IFERROR(TODAY()-DATEVALUE(C33),"")</x:f>
        <x:v>14</x:v>
      </x:c>
      <x:c r="W33" s="21" t="n">
        <x:f>ROUND(COUNTA(A33:K33)/11*100,0)</x:f>
        <x:v>100</x:v>
      </x:c>
      <x:c r="X33" s="18" t="str">
        <x:v>Google News RSS</x:v>
      </x:c>
      <x:c r="Y33" s="22" t="str">
        <x:v>https://news.google.com/rss/articles/CBMiowFBVV95cUxQWE1KVWpqY3lTMDBvc2dqTjAzbFpidm9OQ1J2Mkg3UUgwNnRKNmlaZURZWjd1X3oyNFJKUWI0WGVUOUJHTjRVTVdHTDNoWWN3WDhzbUhfLUpxR1haTEN1WW1UeFA1VlBqSE9BaGlqd0w1LU1KMzRncXRTaFZ1SXEzLTd4VE51S1VlUHFaVGJ3RmdCbUVWOXo2T284OFR6cVU2dkZZ?oc=5</x:v>
      </x:c>
      <x:c r="Z33" s="18" t="n">
        <x:v>46261.71109953704</x:v>
      </x:c>
      <x:c r="AA33" s="18" t="n">
        <x:v>46275.38862103009</x:v>
      </x:c>
      <x:c r="AB33" s="18" t="str">
        <x:v>public_rss</x:v>
      </x:c>
      <x:c r="AC33" s="18" t="str">
        <x:v>READY</x:v>
      </x:c>
    </x:row>
    <x:row r="34">
      <x:c r="A34" s="18" t="str">
        <x:v>NYT-12-96745625d863781f</x:v>
      </x:c>
      <x:c r="B34" s="18" t="str">
        <x:v>Multilateral system straining under fractured geopolitics: Guterres warns at 81st UNGA session - malaysiasun.com</x:v>
      </x:c>
      <x:c r="C34" s="18" t="str">
        <x:v>2026-09-09</x:v>
      </x:c>
      <x:c r="D34" s="18" t="n">
        <x:v>2026</x:v>
      </x:c>
      <x:c r="E34" s="18" t="str">
        <x:v>2026-09</x:v>
      </x:c>
      <x:c r="F34" s="18" t="str"/>
      <x:c r="G34" s="18" t="str">
        <x:v>geopolitics diplomacy conflict</x:v>
      </x:c>
      <x:c r="H34" s="18" t="str"/>
      <x:c r="I34" s="18" t="str">
        <x:v>malaysiasun.com</x:v>
      </x:c>
      <x:c r="J34" s="20" t="str"/>
      <x:c r="K34" s="18" t="str"/>
      <x:c r="L34" s="18" t="str">
        <x:v>Multilateral system straining under fractured geopolitics: Guterres warns at 81st UNGA session - malaysiasun.com</x:v>
      </x:c>
      <x:c r="M34" s="18" t="str">
        <x:v>malaysiasun.com</x:v>
      </x:c>
      <x:c r="N34" s="18" t="str">
        <x:v>geopolitics diplomacy conflict</x:v>
      </x:c>
      <x:c r="O34" s="18" t="n">
        <x:v>46274.85277777778</x:v>
      </x:c>
      <x:c r="P34" s="18" t="str">
        <x:v>https://www.malaysiasun.com</x:v>
      </x:c>
      <x:c r="Q34" s="18" t="str">
        <x:v>DEFINED_TERMINAL_OR_FEED_SCOPE</x:v>
      </x:c>
      <x:c r="R34" s="18" t="str">
        <x:v>news_geopolitics_14d.json — published records loaded</x:v>
      </x:c>
      <x:c r="S34" s="18" t="str"/>
      <x:c r="T34" s="18" t="str"/>
      <x:c r="U34" s="20" t="n">
        <x:v>38</x:v>
      </x:c>
      <x:c r="V34" s="19" t="n">
        <x:f>IFERROR(TODAY()-DATEVALUE(C34),"")</x:f>
        <x:v>1</x:v>
      </x:c>
      <x:c r="W34" s="21" t="n">
        <x:f>ROUND(COUNTA(A34:K34)/11*100,0)</x:f>
        <x:v>100</x:v>
      </x:c>
      <x:c r="X34" s="18" t="str">
        <x:v>Google News RSS</x:v>
      </x:c>
      <x:c r="Y34" s="22" t="str">
        <x:v>https://news.google.com/rss/articles/CBMi0gFBVV95cUxPTDhUenR5RHJPTWV1UVVTQ0laSzVIWlR4bG5aT1d6bzlWa0JqSm5kRHZzS0pOSm5JZTVDMGlVS0RDeExHZUpKS2hFdTNIRHBfRF9aQ2xHdi1GS1FZZHRHWUlEOGVxekx1Z2xheExkZHAyYmpsNWtUUERZRGFwRDBRdVEteDgzaVhBdVZhdi1NeVFVUWUxenlseEJnMzZhV1dUMXhwMmo1ZXBqWWhMendrNkZwa0RkWnFCbHVKc21SNXQzVjEtdlltLWFySnJnaTZ0aGc?oc=5</x:v>
      </x:c>
      <x:c r="Z34" s="18" t="n">
        <x:v>46274.85277777778</x:v>
      </x:c>
      <x:c r="AA34" s="18" t="n">
        <x:v>46275.38862103009</x:v>
      </x:c>
      <x:c r="AB34" s="18" t="str">
        <x:v>public_rss</x:v>
      </x:c>
      <x:c r="AC34" s="18" t="str">
        <x:v>READY</x:v>
      </x:c>
    </x:row>
    <x:row r="35">
      <x:c r="A35" s="18" t="str">
        <x:v>NYT-12-13cbeeece65ed355</x:v>
      </x:c>
      <x:c r="B35" s="18" t="str">
        <x:v>Trump Confirms US Strikes on Iranian Targets Near Hormuz - CryptoRank</x:v>
      </x:c>
      <x:c r="C35" s="18" t="str">
        <x:v>2026-09-02</x:v>
      </x:c>
      <x:c r="D35" s="18" t="n">
        <x:v>2026</x:v>
      </x:c>
      <x:c r="E35" s="18" t="str">
        <x:v>2026-09</x:v>
      </x:c>
      <x:c r="F35" s="18" t="str"/>
      <x:c r="G35" s="18" t="str">
        <x:v>geopolitics diplomacy conflict</x:v>
      </x:c>
      <x:c r="H35" s="18" t="str"/>
      <x:c r="I35" s="18" t="str">
        <x:v>CryptoRank</x:v>
      </x:c>
      <x:c r="J35" s="20" t="str"/>
      <x:c r="K35" s="18" t="str"/>
      <x:c r="L35" s="18" t="str">
        <x:v>Trump Confirms US Strikes on Iranian Targets Near Hormuz - CryptoRank</x:v>
      </x:c>
      <x:c r="M35" s="18" t="str">
        <x:v>CryptoRank</x:v>
      </x:c>
      <x:c r="N35" s="18" t="str">
        <x:v>geopolitics diplomacy conflict</x:v>
      </x:c>
      <x:c r="O35" s="18" t="n">
        <x:v>46267.13690972222</x:v>
      </x:c>
      <x:c r="P35" s="18" t="str">
        <x:v>https://cryptorank.io</x:v>
      </x:c>
      <x:c r="Q35" s="18" t="str">
        <x:v>DEFINED_TERMINAL_OR_FEED_SCOPE</x:v>
      </x:c>
      <x:c r="R35" s="18" t="str">
        <x:v>news_geopolitics_14d.json — published records loaded</x:v>
      </x:c>
      <x:c r="S35" s="18" t="str"/>
      <x:c r="T35" s="18" t="str"/>
      <x:c r="U35" s="20" t="n">
        <x:v>38</x:v>
      </x:c>
      <x:c r="V35" s="19" t="n">
        <x:f>IFERROR(TODAY()-DATEVALUE(C35),"")</x:f>
        <x:v>8</x:v>
      </x:c>
      <x:c r="W35" s="21" t="n">
        <x:f>ROUND(COUNTA(A35:K35)/11*100,0)</x:f>
        <x:v>100</x:v>
      </x:c>
      <x:c r="X35" s="18" t="str">
        <x:v>Google News RSS</x:v>
      </x:c>
      <x:c r="Y35" s="22" t="str">
        <x:v>https://news.google.com/rss/articles/CBMigwFBVV95cUxQak9JOG9BemJCWnNXNm9rWEJTcXN5bk9XRUV4RmpRMFpraEFuUVhQOGhfSlpVQ1R5NnZhT3ktYUpIZ19wSFB3cERWZUJ4WDNkN1dJNWp4SzQtOEVvVl9zZTZwcGZXSnBVNmJYNVMtUkZfOVRqZmFsMXI1dTZWSy1kYU5KUQ?oc=5</x:v>
      </x:c>
      <x:c r="Z35" s="18" t="n">
        <x:v>46267.13690972222</x:v>
      </x:c>
      <x:c r="AA35" s="18" t="n">
        <x:v>46275.38862103009</x:v>
      </x:c>
      <x:c r="AB35" s="18" t="str">
        <x:v>public_rss</x:v>
      </x:c>
      <x:c r="AC35" s="18" t="str">
        <x:v>READY</x:v>
      </x:c>
    </x:row>
    <x:row r="36">
      <x:c r="A36" s="18" t="str">
        <x:v>NYT-12-b3c6355ca28b5f53</x:v>
      </x:c>
      <x:c r="B36" s="18" t="str">
        <x:v>Turkey’s Involvement in Somalia’s Internal Conflict and Its Support for the Current Federal Administration - Borkena</x:v>
      </x:c>
      <x:c r="C36" s="18" t="str">
        <x:v>2026-09-01</x:v>
      </x:c>
      <x:c r="D36" s="18" t="n">
        <x:v>2026</x:v>
      </x:c>
      <x:c r="E36" s="18" t="str">
        <x:v>2026-09</x:v>
      </x:c>
      <x:c r="F36" s="18" t="str"/>
      <x:c r="G36" s="18" t="str">
        <x:v>geopolitics diplomacy conflict</x:v>
      </x:c>
      <x:c r="H36" s="18" t="str"/>
      <x:c r="I36" s="18" t="str">
        <x:v>Borkena</x:v>
      </x:c>
      <x:c r="J36" s="20" t="str"/>
      <x:c r="K36" s="18" t="str"/>
      <x:c r="L36" s="18" t="str">
        <x:v>Turkey’s Involvement in Somalia’s Internal Conflict and Its Support for the Current Federal Administration - Borkena</x:v>
      </x:c>
      <x:c r="M36" s="18" t="str">
        <x:v>Borkena</x:v>
      </x:c>
      <x:c r="N36" s="18" t="str">
        <x:v>geopolitics diplomacy conflict</x:v>
      </x:c>
      <x:c r="O36" s="18" t="n">
        <x:v>46266.67737268518</x:v>
      </x:c>
      <x:c r="P36" s="18" t="str">
        <x:v>https://borkena.com</x:v>
      </x:c>
      <x:c r="Q36" s="18" t="str">
        <x:v>DEFINED_TERMINAL_OR_FEED_SCOPE</x:v>
      </x:c>
      <x:c r="R36" s="18" t="str">
        <x:v>news_geopolitics_14d.json — published records loaded</x:v>
      </x:c>
      <x:c r="S36" s="18" t="str"/>
      <x:c r="T36" s="18" t="str"/>
      <x:c r="U36" s="20" t="n">
        <x:v>38</x:v>
      </x:c>
      <x:c r="V36" s="19" t="n">
        <x:f>IFERROR(TODAY()-DATEVALUE(C36),"")</x:f>
        <x:v>9</x:v>
      </x:c>
      <x:c r="W36" s="21" t="n">
        <x:f>ROUND(COUNTA(A36:K36)/11*100,0)</x:f>
        <x:v>100</x:v>
      </x:c>
      <x:c r="X36" s="18" t="str">
        <x:v>Google News RSS</x:v>
      </x:c>
      <x:c r="Y36" s="22" t="str">
        <x:v>https://news.google.com/rss/articles/CBMiwwFBVV95cUxOSTQ4ZDR0NXM1VVZEUko4VWVJZXpocERTdVhpek1xdjg2aTZrSUhUSXlxRFBZQmliS3JfRGdaWGNRdmxNdms1RnRhQThPTEVlQVJMSnpMeDV2NnFGUTVCLUJ6bHJXcmZ6UVpBRmx2OUZLQWFoWVJ5Z05ZY004VGhmNndiUmNid1hUdE5WRXhUU2ZxVHl0NVNueWw0M3JkSnhFMTFfcE13RUNCVWJoem91WWNlTXF3S2RpVU1VZ2t4NTVCb2M?oc=5</x:v>
      </x:c>
      <x:c r="Z36" s="18" t="n">
        <x:v>46266.67737268518</x:v>
      </x:c>
      <x:c r="AA36" s="18" t="n">
        <x:v>46275.38862103009</x:v>
      </x:c>
      <x:c r="AB36" s="18" t="str">
        <x:v>public_rss</x:v>
      </x:c>
      <x:c r="AC36" s="18" t="str">
        <x:v>READY</x:v>
      </x:c>
    </x:row>
    <x:row r="37">
      <x:c r="A37" s="18" t="str">
        <x:v>NYT-12-bfd16255e348a3f9</x:v>
      </x:c>
      <x:c r="B37" s="18" t="str">
        <x:v>The Geopolitics of African Energy: De-Dollarization, Structural Trade Asymmetry, and Ghana’s Path to Monetary Autonomy - Modern Ghana</x:v>
      </x:c>
      <x:c r="C37" s="18" t="str">
        <x:v>2026-09-01</x:v>
      </x:c>
      <x:c r="D37" s="18" t="n">
        <x:v>2026</x:v>
      </x:c>
      <x:c r="E37" s="18" t="str">
        <x:v>2026-09</x:v>
      </x:c>
      <x:c r="F37" s="18" t="str"/>
      <x:c r="G37" s="18" t="str">
        <x:v>geopolitics diplomacy conflict</x:v>
      </x:c>
      <x:c r="H37" s="18" t="str"/>
      <x:c r="I37" s="18" t="str">
        <x:v>Modern Ghana</x:v>
      </x:c>
      <x:c r="J37" s="20" t="str"/>
      <x:c r="K37" s="18" t="str"/>
      <x:c r="L37" s="18" t="str">
        <x:v>The Geopolitics of African Energy: De-Dollarization, Structural Trade Asymmetry, and Ghana’s Path to Monetary Autonomy - Modern Ghana</x:v>
      </x:c>
      <x:c r="M37" s="18" t="str">
        <x:v>Modern Ghana</x:v>
      </x:c>
      <x:c r="N37" s="18" t="str">
        <x:v>geopolitics diplomacy conflict</x:v>
      </x:c>
      <x:c r="O37" s="18" t="n">
        <x:v>46266.446875</x:v>
      </x:c>
      <x:c r="P37" s="18" t="str">
        <x:v>https://www.modernghana.com</x:v>
      </x:c>
      <x:c r="Q37" s="18" t="str">
        <x:v>DEFINED_TERMINAL_OR_FEED_SCOPE</x:v>
      </x:c>
      <x:c r="R37" s="18" t="str">
        <x:v>news_geopolitics_14d.json — published records loaded</x:v>
      </x:c>
      <x:c r="S37" s="18" t="str"/>
      <x:c r="T37" s="18" t="str"/>
      <x:c r="U37" s="20" t="n">
        <x:v>38</x:v>
      </x:c>
      <x:c r="V37" s="19" t="n">
        <x:f>IFERROR(TODAY()-DATEVALUE(C37),"")</x:f>
        <x:v>9</x:v>
      </x:c>
      <x:c r="W37" s="21" t="n">
        <x:f>ROUND(COUNTA(A37:K37)/11*100,0)</x:f>
        <x:v>100</x:v>
      </x:c>
      <x:c r="X37" s="18" t="str">
        <x:v>Google News RSS</x:v>
      </x:c>
      <x:c r="Y37" s="22" t="str">
        <x:v>https://news.google.com/rss/articles/CBMimwFBVV95cUxOSzVwQ1lGdEJLWG9TSzRCaXpCbXN3VTB2V2dfRjB0LWRNMEk1T1BZRi05elE4YlhjVVV6UFFGRXl1UU5DNEZpTDVMTWxhZ3ZWSU5JdnFFaXk3VVBwRk9Vblc3NFlYMXowQzhaYlNsOE1vd083aVBoNjdMVWNKcjdESGgyMVlKVk1OMS1kVzFpSzkwaHFFa2kzblNwRdIBmgFBVV95cUxQOEFPTmtMUVhUOG9jRjhIcmJvNmU5MWFUTXpRWGlyRjJiR1pnbXR6OUpxaTRrUjNQaWVESGdoY2l4MUxDTG1ncDB4OUstWmNoZEJIOGNUT0MtY25wdzI1Y1BVVHd0MGpWZFFxcTdSeE5DN1V3cDNLRWI4VUhwVnVmSHpIejNQU0VWaUJCWFpFMm1RQjRiOHB3V3p3?oc=5</x:v>
      </x:c>
      <x:c r="Z37" s="18" t="n">
        <x:v>46266.446875</x:v>
      </x:c>
      <x:c r="AA37" s="18" t="n">
        <x:v>46275.38862103009</x:v>
      </x:c>
      <x:c r="AB37" s="18" t="str">
        <x:v>public_rss</x:v>
      </x:c>
      <x:c r="AC37" s="18" t="str">
        <x:v>READY</x:v>
      </x:c>
    </x:row>
    <x:row r="38">
      <x:c r="A38" s="18" t="str">
        <x:v>NYT-12-d03fb3cdd0989038</x:v>
      </x:c>
      <x:c r="B38" s="18" t="str">
        <x:v>Brent Oil Price Forecast: Can US-Iran Tensions Lift Crude? - equiti.com</x:v>
      </x:c>
      <x:c r="C38" s="18" t="str">
        <x:v>2026-09-01</x:v>
      </x:c>
      <x:c r="D38" s="18" t="n">
        <x:v>2026</x:v>
      </x:c>
      <x:c r="E38" s="18" t="str">
        <x:v>2026-09</x:v>
      </x:c>
      <x:c r="F38" s="18" t="str"/>
      <x:c r="G38" s="18" t="str">
        <x:v>geopolitics diplomacy conflict</x:v>
      </x:c>
      <x:c r="H38" s="18" t="str"/>
      <x:c r="I38" s="18" t="str">
        <x:v>equiti.com</x:v>
      </x:c>
      <x:c r="J38" s="20" t="str"/>
      <x:c r="K38" s="18" t="str"/>
      <x:c r="L38" s="18" t="str">
        <x:v>Brent Oil Price Forecast: Can US-Iran Tensions Lift Crude? - equiti.com</x:v>
      </x:c>
      <x:c r="M38" s="18" t="str">
        <x:v>equiti.com</x:v>
      </x:c>
      <x:c r="N38" s="18" t="str">
        <x:v>geopolitics diplomacy conflict</x:v>
      </x:c>
      <x:c r="O38" s="18" t="n">
        <x:v>46266.291666666664</x:v>
      </x:c>
      <x:c r="P38" s="18" t="str">
        <x:v>https://www.equiti.com</x:v>
      </x:c>
      <x:c r="Q38" s="18" t="str">
        <x:v>DEFINED_TERMINAL_OR_FEED_SCOPE</x:v>
      </x:c>
      <x:c r="R38" s="18" t="str">
        <x:v>news_geopolitics_14d.json — published records loaded</x:v>
      </x:c>
      <x:c r="S38" s="18" t="str"/>
      <x:c r="T38" s="18" t="str"/>
      <x:c r="U38" s="20" t="n">
        <x:v>38</x:v>
      </x:c>
      <x:c r="V38" s="19" t="n">
        <x:f>IFERROR(TODAY()-DATEVALUE(C38),"")</x:f>
        <x:v>9</x:v>
      </x:c>
      <x:c r="W38" s="21" t="n">
        <x:f>ROUND(COUNTA(A38:K38)/11*100,0)</x:f>
        <x:v>100</x:v>
      </x:c>
      <x:c r="X38" s="18" t="str">
        <x:v>Google News RSS</x:v>
      </x:c>
      <x:c r="Y38" s="22" t="str">
        <x:v>https://news.google.com/rss/articles/CBMivwFBVV95cUxNWk5FMG1lU2k0cXdUYkVEekxuaFZBbEYybzJfeWM3UG9PUThNWXJaTzRBUm91YTRjRndmZmkydHphcHRfb1MwQ2FOUW94Wk00b2xJMmtEOUplODc4elhibGoxVGhDandNNzNpN3UzWFB6el9rUXJNWTZZakJtM3d3MGZyZThTRVQ3Qlg3MjJ2SC1BMWtETkk2dVdGNi1ya1lZWmY0UEFESFFlZXFZTnBMM1hGVnlpTjVrcVc3QVFGMA?oc=5</x:v>
      </x:c>
      <x:c r="Z38" s="18" t="n">
        <x:v>46266.291666666664</x:v>
      </x:c>
      <x:c r="AA38" s="18" t="n">
        <x:v>46275.38862103009</x:v>
      </x:c>
      <x:c r="AB38" s="18" t="str">
        <x:v>public_rss</x:v>
      </x:c>
      <x:c r="AC38" s="18" t="str">
        <x:v>READY</x:v>
      </x:c>
    </x:row>
    <x:row r="39">
      <x:c r="A39" s="18" t="str">
        <x:v>NYT-12-77c396559e7c7bf7</x:v>
      </x:c>
      <x:c r="B39" s="18" t="str">
        <x:v>Geopolitics अब सिर्फ UPSC का विषय नहीं! जानिए 9 Career Options - Prabhat Khabar</x:v>
      </x:c>
      <x:c r="C39" s="18" t="str">
        <x:v>2026-09-02</x:v>
      </x:c>
      <x:c r="D39" s="18" t="n">
        <x:v>2026</x:v>
      </x:c>
      <x:c r="E39" s="18" t="str">
        <x:v>2026-09</x:v>
      </x:c>
      <x:c r="F39" s="18" t="str"/>
      <x:c r="G39" s="18" t="str">
        <x:v>geopolitics diplomacy conflict</x:v>
      </x:c>
      <x:c r="H39" s="18" t="str"/>
      <x:c r="I39" s="18" t="str">
        <x:v>Prabhat Khabar</x:v>
      </x:c>
      <x:c r="J39" s="20" t="str"/>
      <x:c r="K39" s="18" t="str"/>
      <x:c r="L39" s="18" t="str">
        <x:v>Geopolitics अब सिर्फ UPSC का विषय नहीं! जानिए 9 Career Options - Prabhat Khabar</x:v>
      </x:c>
      <x:c r="M39" s="18" t="str">
        <x:v>Prabhat Khabar</x:v>
      </x:c>
      <x:c r="N39" s="18" t="str">
        <x:v>geopolitics diplomacy conflict</x:v>
      </x:c>
      <x:c r="O39" s="18" t="n">
        <x:v>46267.35649305556</x:v>
      </x:c>
      <x:c r="P39" s="18" t="str">
        <x:v>https://www.prabhatkhabar.com</x:v>
      </x:c>
      <x:c r="Q39" s="18" t="str">
        <x:v>DEFINED_TERMINAL_OR_FEED_SCOPE</x:v>
      </x:c>
      <x:c r="R39" s="18" t="str">
        <x:v>news_geopolitics_14d.json — published records loaded</x:v>
      </x:c>
      <x:c r="S39" s="18" t="str"/>
      <x:c r="T39" s="18" t="str"/>
      <x:c r="U39" s="20" t="n">
        <x:v>38</x:v>
      </x:c>
      <x:c r="V39" s="19" t="n">
        <x:f>IFERROR(TODAY()-DATEVALUE(C39),"")</x:f>
        <x:v>8</x:v>
      </x:c>
      <x:c r="W39" s="21" t="n">
        <x:f>ROUND(COUNTA(A39:K39)/11*100,0)</x:f>
        <x:v>100</x:v>
      </x:c>
      <x:c r="X39" s="18" t="str">
        <x:v>Google News RSS</x:v>
      </x:c>
      <x:c r="Y39" s="22" t="str">
        <x:v>https://news.google.com/rss/articles/CBMiiAFBVV95cUxPRXZMRURXT0N1M25qQmplVGZyUDlfUlBhTjVPbWdsYUE0RFZJVGFOWTZVeHB6RWJ0QUVWUzBRUHdSTHVIX3VKZmpIVmZXd2FIaTR5d0FfNG1SejhDbUdVTHBvTi1hN1AzQlpjMFZUNUhDNEdodWpKVHVZYlBlVV9UTDNQUTJreW5I0gGOAUFVX3lxTFBaQjVNaWdVMWQteFJGMlVaZGxfclFGRC1hTzJ5c0RoZUl5WEtlSWpseDVZcy1QYVVpMlhaa1VWdFRSYjlNbEFXak4xLTY5QWhUMTlGSFJ6NDk1YnVyam84LWxyZVNiVjFHb0JqT0xjOTlnbmhDTTZVMlR3VGtaSTVFdVpSUThqVm90dmF1dEE?oc=5</x:v>
      </x:c>
      <x:c r="Z39" s="18" t="n">
        <x:v>46267.35649305556</x:v>
      </x:c>
      <x:c r="AA39" s="18" t="n">
        <x:v>46275.38862103009</x:v>
      </x:c>
      <x:c r="AB39" s="18" t="str">
        <x:v>public_rss</x:v>
      </x:c>
      <x:c r="AC39" s="18" t="str">
        <x:v>READY</x:v>
      </x:c>
    </x:row>
    <x:row r="40">
      <x:c r="A40" s="18" t="str">
        <x:v>NYT-12-b217dcacb170f036</x:v>
      </x:c>
      <x:c r="B40" s="18" t="str">
        <x:v>Anderson Cooper: Iran Just Activated 47-Year War Plan — Exposed America’s Fatal Miscalculation Mormon Church (22nifdxacI) - Mshale</x:v>
      </x:c>
      <x:c r="C40" s="18" t="str">
        <x:v>2026-08-27</x:v>
      </x:c>
      <x:c r="D40" s="18" t="n">
        <x:v>2026</x:v>
      </x:c>
      <x:c r="E40" s="18" t="str">
        <x:v>2026-08</x:v>
      </x:c>
      <x:c r="F40" s="18" t="str"/>
      <x:c r="G40" s="18" t="str">
        <x:v>geopolitics diplomacy conflict</x:v>
      </x:c>
      <x:c r="H40" s="18" t="str"/>
      <x:c r="I40" s="18" t="str">
        <x:v>Mshale</x:v>
      </x:c>
      <x:c r="J40" s="20" t="str"/>
      <x:c r="K40" s="18" t="str"/>
      <x:c r="L40" s="18" t="str">
        <x:v>Anderson Cooper: Iran Just Activated 47-Year War Plan — Exposed America’s Fatal Miscalculation Mormon Church (22nifdxacI) - Mshale</x:v>
      </x:c>
      <x:c r="M40" s="18" t="str">
        <x:v>Mshale</x:v>
      </x:c>
      <x:c r="N40" s="18" t="str">
        <x:v>geopolitics diplomacy conflict</x:v>
      </x:c>
      <x:c r="O40" s="18" t="n">
        <x:v>46261.7153125</x:v>
      </x:c>
      <x:c r="P40" s="18" t="str">
        <x:v>https://mshale.com</x:v>
      </x:c>
      <x:c r="Q40" s="18" t="str">
        <x:v>DEFINED_TERMINAL_OR_FEED_SCOPE</x:v>
      </x:c>
      <x:c r="R40" s="18" t="str">
        <x:v>news_geopolitics_14d.json — published records loaded</x:v>
      </x:c>
      <x:c r="S40" s="18" t="str"/>
      <x:c r="T40" s="18" t="str"/>
      <x:c r="U40" s="20" t="n">
        <x:v>38</x:v>
      </x:c>
      <x:c r="V40" s="19" t="n">
        <x:f>IFERROR(TODAY()-DATEVALUE(C40),"")</x:f>
        <x:v>14</x:v>
      </x:c>
      <x:c r="W40" s="21" t="n">
        <x:f>ROUND(COUNTA(A40:K40)/11*100,0)</x:f>
        <x:v>100</x:v>
      </x:c>
      <x:c r="X40" s="18" t="str">
        <x:v>Google News RSS</x:v>
      </x:c>
      <x:c r="Y40" s="22" t="str">
        <x:v>https://news.google.com/rss/articles/CBMiYEFVX3lxTE9KMXVwZ3N4UDZBa3hxWmptU0RHU1hqT21WNjRMWEM3Q2VLLUhFZVRCQldhZTVjeDBodDltYlRpemx3dkhNWGYwYXVESjJWdVUxOVlLMjNwUG12RUZTODQ1NQ?oc=5</x:v>
      </x:c>
      <x:c r="Z40" s="18" t="n">
        <x:v>46261.7153125</x:v>
      </x:c>
      <x:c r="AA40" s="18" t="n">
        <x:v>46275.38862103009</x:v>
      </x:c>
      <x:c r="AB40" s="18" t="str">
        <x:v>public_rss</x:v>
      </x:c>
      <x:c r="AC40" s="18" t="str">
        <x:v>READY</x:v>
      </x:c>
    </x:row>
    <x:row r="41">
      <x:c r="A41" s="18" t="str">
        <x:v>NYT-12-7a7565299d84f7ef</x:v>
      </x:c>
      <x:c r="B41" s="18" t="str">
        <x:v>BRICS Summit: India a diplomatic bridge amid geopolitical hurdles - Asianet Newsable</x:v>
      </x:c>
      <x:c r="C41" s="18" t="str">
        <x:v>2026-09-09</x:v>
      </x:c>
      <x:c r="D41" s="18" t="n">
        <x:v>2026</x:v>
      </x:c>
      <x:c r="E41" s="18" t="str">
        <x:v>2026-09</x:v>
      </x:c>
      <x:c r="F41" s="18" t="str"/>
      <x:c r="G41" s="18" t="str">
        <x:v>geopolitics diplomacy conflict</x:v>
      </x:c>
      <x:c r="H41" s="18" t="str"/>
      <x:c r="I41" s="18" t="str">
        <x:v>Asianet Newsable</x:v>
      </x:c>
      <x:c r="J41" s="20" t="str"/>
      <x:c r="K41" s="18" t="str"/>
      <x:c r="L41" s="18" t="str">
        <x:v>BRICS Summit: India a diplomatic bridge amid geopolitical hurdles - Asianet Newsable</x:v>
      </x:c>
      <x:c r="M41" s="18" t="str">
        <x:v>Asianet Newsable</x:v>
      </x:c>
      <x:c r="N41" s="18" t="str">
        <x:v>geopolitics diplomacy conflict</x:v>
      </x:c>
      <x:c r="O41" s="18" t="n">
        <x:v>46274.083645833336</x:v>
      </x:c>
      <x:c r="P41" s="18" t="str">
        <x:v>https://newsable.asianetnews.com</x:v>
      </x:c>
      <x:c r="Q41" s="18" t="str">
        <x:v>DEFINED_TERMINAL_OR_FEED_SCOPE</x:v>
      </x:c>
      <x:c r="R41" s="18" t="str">
        <x:v>news_geopolitics_14d.json — published records loaded</x:v>
      </x:c>
      <x:c r="S41" s="18" t="str"/>
      <x:c r="T41" s="18" t="str"/>
      <x:c r="U41" s="20" t="n">
        <x:v>38</x:v>
      </x:c>
      <x:c r="V41" s="19" t="n">
        <x:f>IFERROR(TODAY()-DATEVALUE(C41),"")</x:f>
        <x:v>1</x:v>
      </x:c>
      <x:c r="W41" s="21" t="n">
        <x:f>ROUND(COUNTA(A41:K41)/11*100,0)</x:f>
        <x:v>100</x:v>
      </x:c>
      <x:c r="X41" s="18" t="str">
        <x:v>Google News RSS</x:v>
      </x:c>
      <x:c r="Y41" s="22" t="str">
        <x:v>https://news.google.com/rss/articles/CBMiwAFBVV95cUxQUXBDNmUzcGJQUGE5c3lCbFI3SnpsNWNwclNpbjhCZ1paam1lVnMtQXhIQXliZnJhV21KU09OeVJwNkZzd1NvNk5pcDR4Tjc5R3hldl9ValpsOGRjbi1qZG5fZU5ZenRrVk9kLUt1X2JEbmRwVE0tZVg3VGpOd2h3MllEOHdsc09Ob0JrTzZEUXRMUlB2NXhERzA1enp3aXdFQ2J1QVdpM1ZOXzlPR0pUWE9oSmlBVlYwRkgwTnNxdWrSAcYBQVVfeXFMUHExZDlWNml0NWJzTlZVbVMyOF9TMVNYTUhWUEVlSGhjbGxERGlOLWR4bmYyWEwtc1h5b1NCUVFYaEdmVGxVckJpVEtZUHQzMmRKeWFrZjBVR2cyTlFKaDFDc2QzSEdSdTJaME5raW9Ja19iT2VOT3hHT192OXFEQ1ZrS0RhMnZkbk15NEFMczBtS2QzT1pmWmdfLW5fd3lGd1hxY056eHZkZjRkRms0VXNMaEdLMGxiTXVTM0E2UjI2aTNYWTl3?oc=5</x:v>
      </x:c>
      <x:c r="Z41" s="18" t="n">
        <x:v>46274.083645833336</x:v>
      </x:c>
      <x:c r="AA41" s="18" t="n">
        <x:v>46275.38862103009</x:v>
      </x:c>
      <x:c r="AB41" s="18" t="str">
        <x:v>public_rss</x:v>
      </x:c>
      <x:c r="AC41" s="18" t="str">
        <x:v>READY</x:v>
      </x:c>
    </x:row>
    <x:row r="42">
      <x:c r="A42" s="18" t="str">
        <x:v>NYT-12-aaf65121ff6203db</x:v>
      </x:c>
      <x:c r="B42" s="18" t="str">
        <x:v>BRICS' common geopolitical voice on conflicts difficult: Anil Sooklal - Asianet Newsable</x:v>
      </x:c>
      <x:c r="C42" s="18" t="str">
        <x:v>2026-09-07</x:v>
      </x:c>
      <x:c r="D42" s="18" t="n">
        <x:v>2026</x:v>
      </x:c>
      <x:c r="E42" s="18" t="str">
        <x:v>2026-09</x:v>
      </x:c>
      <x:c r="F42" s="18" t="str"/>
      <x:c r="G42" s="18" t="str">
        <x:v>geopolitics diplomacy conflict</x:v>
      </x:c>
      <x:c r="H42" s="18" t="str"/>
      <x:c r="I42" s="18" t="str">
        <x:v>Asianet Newsable</x:v>
      </x:c>
      <x:c r="J42" s="20" t="str"/>
      <x:c r="K42" s="18" t="str"/>
      <x:c r="L42" s="18" t="str">
        <x:v>BRICS' common geopolitical voice on conflicts difficult: Anil Sooklal - Asianet Newsable</x:v>
      </x:c>
      <x:c r="M42" s="18" t="str">
        <x:v>Asianet Newsable</x:v>
      </x:c>
      <x:c r="N42" s="18" t="str">
        <x:v>geopolitics diplomacy conflict</x:v>
      </x:c>
      <x:c r="O42" s="18" t="n">
        <x:v>46272.50030092592</x:v>
      </x:c>
      <x:c r="P42" s="18" t="str">
        <x:v>https://newsable.asianetnews.com</x:v>
      </x:c>
      <x:c r="Q42" s="18" t="str">
        <x:v>DEFINED_TERMINAL_OR_FEED_SCOPE</x:v>
      </x:c>
      <x:c r="R42" s="18" t="str">
        <x:v>news_geopolitics_14d.json — published records loaded</x:v>
      </x:c>
      <x:c r="S42" s="18" t="str"/>
      <x:c r="T42" s="18" t="str"/>
      <x:c r="U42" s="20" t="n">
        <x:v>38</x:v>
      </x:c>
      <x:c r="V42" s="19" t="n">
        <x:f>IFERROR(TODAY()-DATEVALUE(C42),"")</x:f>
        <x:v>3</x:v>
      </x:c>
      <x:c r="W42" s="21" t="n">
        <x:f>ROUND(COUNTA(A42:K42)/11*100,0)</x:f>
        <x:v>100</x:v>
      </x:c>
      <x:c r="X42" s="18" t="str">
        <x:v>Google News RSS</x:v>
      </x:c>
      <x:c r="Y42" s="22" t="str">
        <x:v>https://news.google.com/rss/articles/CBMixAFBVV95cUxQM28zT205RmJiNVFHSFRQWVIwLUlSc3FYMmxoYVYzV3dLRmVDWm5Lc3V3c2Y3SF9HMXhxY181em8yNjI4c2dXbkh2Y21rWEl3RVpLbm1rMjh6NlJQa1lCRFZaSjA1RlF2OVY2WndqLWFqQ3ByVnB5N3F2QlJFdFA5UUhWQlRmMFpNemtKZ0thV0RlNWJ3amZkbTdvMUttbmtRVTkwUVhUOEh4d1ltVmR2Zm1mcVV4TTEwVXVUdzhvQ1UyQW9F0gHKAUFVX3lxTE1YblNfT0VRcFJRTzk0aFkycWRpa290RXVaQjdfbmN5TDlIcFhKanRLbXpjX0hSMVl0OWVETkNyX3QtV2VtNXZlLWVWd2V4Q1piY3VtbEpnSnFtQ01CSEpDNzVmWlZ4S3h0bXI1cmJScG9VQzQzajRPYmI0Rzdyb25XcnJpS1loOW1KYVQyMnlRaTFWMlBsTDFnaW5NamRGSVJpTFlUQzhuZTZUWU9zZVdyYzVkWU5Kb1l2YVdxbXVJTEVCZjlpaHFITWc?oc=5</x:v>
      </x:c>
      <x:c r="Z42" s="18" t="n">
        <x:v>46272.50030092592</x:v>
      </x:c>
      <x:c r="AA42" s="18" t="n">
        <x:v>46275.38862103009</x:v>
      </x:c>
      <x:c r="AB42" s="18" t="str">
        <x:v>public_rss</x:v>
      </x:c>
      <x:c r="AC42" s="18" t="str">
        <x:v>READY</x:v>
      </x:c>
    </x:row>
    <x:row r="43">
      <x:c r="A43" s="18" t="str">
        <x:v>NYT-12-59094bf58ba89af3</x:v>
      </x:c>
      <x:c r="B43" s="18" t="str">
        <x:v>Russia-Ukraine War Breaking News: Kremlin Says Victory in Ukraine Conflict Is ‘Very Near’, Peskov Declares - The Sunday Guardian</x:v>
      </x:c>
      <x:c r="C43" s="18" t="str">
        <x:v>2026-09-08</x:v>
      </x:c>
      <x:c r="D43" s="18" t="n">
        <x:v>2026</x:v>
      </x:c>
      <x:c r="E43" s="18" t="str">
        <x:v>2026-09</x:v>
      </x:c>
      <x:c r="F43" s="18" t="str"/>
      <x:c r="G43" s="18" t="str">
        <x:v>geopolitics diplomacy conflict</x:v>
      </x:c>
      <x:c r="H43" s="18" t="str"/>
      <x:c r="I43" s="18" t="str">
        <x:v>The Sunday Guardian</x:v>
      </x:c>
      <x:c r="J43" s="20" t="str"/>
      <x:c r="K43" s="18" t="str"/>
      <x:c r="L43" s="18" t="str">
        <x:v>Russia-Ukraine War Breaking News: Kremlin Says Victory in Ukraine Conflict Is ‘Very Near’, Peskov Declares - The Sunday Guardian</x:v>
      </x:c>
      <x:c r="M43" s="18" t="str">
        <x:v>The Sunday Guardian</x:v>
      </x:c>
      <x:c r="N43" s="18" t="str">
        <x:v>geopolitics diplomacy conflict</x:v>
      </x:c>
      <x:c r="O43" s="18" t="n">
        <x:v>46273.46175925926</x:v>
      </x:c>
      <x:c r="P43" s="18" t="str">
        <x:v>https://sundayguardianlive.com</x:v>
      </x:c>
      <x:c r="Q43" s="18" t="str">
        <x:v>DEFINED_TERMINAL_OR_FEED_SCOPE</x:v>
      </x:c>
      <x:c r="R43" s="18" t="str">
        <x:v>news_geopolitics_14d.json — published records loaded</x:v>
      </x:c>
      <x:c r="S43" s="18" t="str"/>
      <x:c r="T43" s="18" t="str"/>
      <x:c r="U43" s="20" t="n">
        <x:v>38</x:v>
      </x:c>
      <x:c r="V43" s="19" t="n">
        <x:f>IFERROR(TODAY()-DATEVALUE(C43),"")</x:f>
        <x:v>2</x:v>
      </x:c>
      <x:c r="W43" s="21" t="n">
        <x:f>ROUND(COUNTA(A43:K43)/11*100,0)</x:f>
        <x:v>100</x:v>
      </x:c>
      <x:c r="X43" s="18" t="str">
        <x:v>Google News RSS</x:v>
      </x:c>
      <x:c r="Y43" s="22" t="str">
        <x:v>https://news.google.com/rss/articles/CBMikgJBVV95cUxNSEhjNThXblhFU1VYczB3cFBaaTUxRjlqSnRQdVdxMGJ6Uzk0NGZVNUVtU09ZQjNZeUhXU1VSSkpWZ2hBYmk2ODh3dmM2Z0dWVkJ1S2J5eEJUbzNsSGhUMEpNS09lUmRGQjJEUmFueXZxQXRmS2RvdHhlaDg4TDlicmFVeWR2RkwxdkllSW5pQ19mZEZsNDFaTUxFZXdQS2FmaXd0dWF2RzNSTi1UdG96RlVneElTS25YZGpNY1BVNVlibnlkak1WaGY2RS1QWnpFcnpCdGJwajIxMHVqRDRUd0Q4NlZ6SVZxSGJPeEQ4MkpXNkpYdW1pVzN5UlNfYlRjZ0xlVExrSFpjaHVaVDV5UWNn0gGXAkFVX3lxTE1HWHMyOHdBai1wdHA3ejdWMVdCcUhjZ0FGMkplLTJ3aHBKWFZPTTJwZzhSUXk1blEzWmg3UXFiRF9sMEFTeU1HV2ZPX01OdlBKdFVlMWZOTGRHbHZYbEo4bkViZGhJMlZHX1JzcWdEeHZjSTA2eFBjNVJjTy1ycVh0WXVhOVZWTUwzRDJpQWhjcUp2T21kRk0wcDhKNGtYcjczT0hLTFhIYTNKTUJjaHRzSHp1V20wZHZxWFNDSG5iOVJ2QVJ3V2JhQ2lNeGhPZE5Ia2RjdFFyNXlzODY4dUVOOGxzdjhjeTdGZVE1Y3pDb2ZBZUJjQWdfbHVTWWVPR09EX0d5dFlRdTJnVndGNkpYS0txSm9PRQ?oc=5</x:v>
      </x:c>
      <x:c r="Z43" s="18" t="n">
        <x:v>46273.46175925926</x:v>
      </x:c>
      <x:c r="AA43" s="18" t="n">
        <x:v>46275.38862103009</x:v>
      </x:c>
      <x:c r="AB43" s="18" t="str">
        <x:v>public_rss</x:v>
      </x:c>
      <x:c r="AC43" s="18" t="str">
        <x:v>READY</x:v>
      </x:c>
    </x:row>
    <x:row r="44">
      <x:c r="A44" s="18" t="str">
        <x:v>NYT-12-3ea92058a546c336</x:v>
      </x:c>
      <x:c r="B44" s="18" t="str">
        <x:v>Kremlin open to trilateral talks with US, Ukraine amid ongoing conflict - cryptobriefing.com</x:v>
      </x:c>
      <x:c r="C44" s="18" t="str">
        <x:v>2026-09-07</x:v>
      </x:c>
      <x:c r="D44" s="18" t="n">
        <x:v>2026</x:v>
      </x:c>
      <x:c r="E44" s="18" t="str">
        <x:v>2026-09</x:v>
      </x:c>
      <x:c r="F44" s="18" t="str"/>
      <x:c r="G44" s="18" t="str">
        <x:v>geopolitics diplomacy conflict</x:v>
      </x:c>
      <x:c r="H44" s="18" t="str"/>
      <x:c r="I44" s="18" t="str">
        <x:v>cryptobriefing.com</x:v>
      </x:c>
      <x:c r="J44" s="20" t="str"/>
      <x:c r="K44" s="18" t="str"/>
      <x:c r="L44" s="18" t="str">
        <x:v>Kremlin open to trilateral talks with US, Ukraine amid ongoing conflict - cryptobriefing.com</x:v>
      </x:c>
      <x:c r="M44" s="18" t="str">
        <x:v>cryptobriefing.com</x:v>
      </x:c>
      <x:c r="N44" s="18" t="str">
        <x:v>geopolitics diplomacy conflict</x:v>
      </x:c>
      <x:c r="O44" s="18" t="n">
        <x:v>46272.610914351855</x:v>
      </x:c>
      <x:c r="P44" s="18" t="str">
        <x:v>https://cryptobriefing.com</x:v>
      </x:c>
      <x:c r="Q44" s="18" t="str">
        <x:v>DEFINED_TERMINAL_OR_FEED_SCOPE</x:v>
      </x:c>
      <x:c r="R44" s="18" t="str">
        <x:v>news_geopolitics_14d.json — published records loaded</x:v>
      </x:c>
      <x:c r="S44" s="18" t="str"/>
      <x:c r="T44" s="18" t="str"/>
      <x:c r="U44" s="20" t="n">
        <x:v>38</x:v>
      </x:c>
      <x:c r="V44" s="19" t="n">
        <x:f>IFERROR(TODAY()-DATEVALUE(C44),"")</x:f>
        <x:v>3</x:v>
      </x:c>
      <x:c r="W44" s="21" t="n">
        <x:f>ROUND(COUNTA(A44:K44)/11*100,0)</x:f>
        <x:v>100</x:v>
      </x:c>
      <x:c r="X44" s="18" t="str">
        <x:v>Google News RSS</x:v>
      </x:c>
      <x:c r="Y44" s="22" t="str">
        <x:v>https://news.google.com/rss/articles/CBMinwFBVV95cUxOY3RrYnQyMG5rUVo4SjJjTHpTcDF4a1NQckhjTWZmUUVENk9GQ19ka21JODJQMTlVckdOQjVZMWd5Q0V5Tno1bHJIS25JTk0tQU9Nc0p3OUJDVjhIRjBTX29VdVJNYmdPNVhlZmxoT0s3MGtaMU9STkRFTDZ3YW03X05TQlAwS25OeFN0RThMdjJVb2VKWjA2NURGS2w0dEk?oc=5</x:v>
      </x:c>
      <x:c r="Z44" s="18" t="n">
        <x:v>46272.610914351855</x:v>
      </x:c>
      <x:c r="AA44" s="18" t="n">
        <x:v>46275.38862103009</x:v>
      </x:c>
      <x:c r="AB44" s="18" t="str">
        <x:v>public_rss</x:v>
      </x:c>
      <x:c r="AC44" s="18" t="str">
        <x:v>READY</x:v>
      </x:c>
    </x:row>
    <x:row r="45">
      <x:c r="A45" s="18" t="str">
        <x:v>NYT-12-6b188f7c9b96c117</x:v>
      </x:c>
      <x:c r="B45" s="18" t="str">
        <x:v>US diplomat warns Taiwan Strait conflict could surpass WWII economic impact - cryptobriefing.com</x:v>
      </x:c>
      <x:c r="C45" s="18" t="str">
        <x:v>2026-09-09</x:v>
      </x:c>
      <x:c r="D45" s="18" t="n">
        <x:v>2026</x:v>
      </x:c>
      <x:c r="E45" s="18" t="str">
        <x:v>2026-09</x:v>
      </x:c>
      <x:c r="F45" s="18" t="str"/>
      <x:c r="G45" s="18" t="str">
        <x:v>geopolitics diplomacy conflict</x:v>
      </x:c>
      <x:c r="H45" s="18" t="str"/>
      <x:c r="I45" s="18" t="str">
        <x:v>cryptobriefing.com</x:v>
      </x:c>
      <x:c r="J45" s="20" t="str"/>
      <x:c r="K45" s="18" t="str"/>
      <x:c r="L45" s="18" t="str">
        <x:v>US diplomat warns Taiwan Strait conflict could surpass WWII economic impact - cryptobriefing.com</x:v>
      </x:c>
      <x:c r="M45" s="18" t="str">
        <x:v>cryptobriefing.com</x:v>
      </x:c>
      <x:c r="N45" s="18" t="str">
        <x:v>geopolitics diplomacy conflict</x:v>
      </x:c>
      <x:c r="O45" s="18" t="n">
        <x:v>46274.054027777776</x:v>
      </x:c>
      <x:c r="P45" s="18" t="str">
        <x:v>https://cryptobriefing.com</x:v>
      </x:c>
      <x:c r="Q45" s="18" t="str">
        <x:v>DEFINED_TERMINAL_OR_FEED_SCOPE</x:v>
      </x:c>
      <x:c r="R45" s="18" t="str">
        <x:v>news_geopolitics_14d.json — published records loaded</x:v>
      </x:c>
      <x:c r="S45" s="18" t="str"/>
      <x:c r="T45" s="18" t="str"/>
      <x:c r="U45" s="20" t="n">
        <x:v>38</x:v>
      </x:c>
      <x:c r="V45" s="19" t="n">
        <x:f>IFERROR(TODAY()-DATEVALUE(C45),"")</x:f>
        <x:v>1</x:v>
      </x:c>
      <x:c r="W45" s="21" t="n">
        <x:f>ROUND(COUNTA(A45:K45)/11*100,0)</x:f>
        <x:v>100</x:v>
      </x:c>
      <x:c r="X45" s="18" t="str">
        <x:v>Google News RSS</x:v>
      </x:c>
      <x:c r="Y45" s="22" t="str">
        <x:v>https://news.google.com/rss/articles/CBMipgFBVV95cUxNMmlmWnZkOWVua0g1Q1hMUURQeDhGUEhNeDBKZHNIcGxsT1labHNyVFpRUHd3QXJtX0tfd29RWUl0TDZVdzQ2Qlo0OXpXZlFqd2JZMml4Wk1YSHBJMzVreklBVTN0dU5ST3BBQzdNVTJzYzdYM0tCS0kwUndhWnpaZ3U2eWxEa1V3MlRTYkRDNDFUSXVjaXdLYjBvNVgxeXpwdXYwck1R?oc=5</x:v>
      </x:c>
      <x:c r="Z45" s="18" t="n">
        <x:v>46274.054027777776</x:v>
      </x:c>
      <x:c r="AA45" s="18" t="n">
        <x:v>46275.38862103009</x:v>
      </x:c>
      <x:c r="AB45" s="18" t="str">
        <x:v>public_rss</x:v>
      </x:c>
      <x:c r="AC45" s="18" t="str">
        <x:v>READY</x:v>
      </x:c>
    </x:row>
    <x:row r="46">
      <x:c r="A46" s="18" t="str">
        <x:v>NYT-12-1162c9ea1f938498</x:v>
      </x:c>
      <x:c r="B46" s="18" t="str">
        <x:v>US stocks fall as Iran tensions drive oil prices near $99 - cryptobriefing.com</x:v>
      </x:c>
      <x:c r="C46" s="18" t="str">
        <x:v>2026-09-08</x:v>
      </x:c>
      <x:c r="D46" s="18" t="n">
        <x:v>2026</x:v>
      </x:c>
      <x:c r="E46" s="18" t="str">
        <x:v>2026-09</x:v>
      </x:c>
      <x:c r="F46" s="18" t="str"/>
      <x:c r="G46" s="18" t="str">
        <x:v>geopolitics diplomacy conflict</x:v>
      </x:c>
      <x:c r="H46" s="18" t="str"/>
      <x:c r="I46" s="18" t="str">
        <x:v>cryptobriefing.com</x:v>
      </x:c>
      <x:c r="J46" s="20" t="str"/>
      <x:c r="K46" s="18" t="str"/>
      <x:c r="L46" s="18" t="str">
        <x:v>US stocks fall as Iran tensions drive oil prices near $99 - cryptobriefing.com</x:v>
      </x:c>
      <x:c r="M46" s="18" t="str">
        <x:v>cryptobriefing.com</x:v>
      </x:c>
      <x:c r="N46" s="18" t="str">
        <x:v>geopolitics diplomacy conflict</x:v>
      </x:c>
      <x:c r="O46" s="18" t="n">
        <x:v>46273.850277777776</x:v>
      </x:c>
      <x:c r="P46" s="18" t="str">
        <x:v>https://cryptobriefing.com</x:v>
      </x:c>
      <x:c r="Q46" s="18" t="str">
        <x:v>DEFINED_TERMINAL_OR_FEED_SCOPE</x:v>
      </x:c>
      <x:c r="R46" s="18" t="str">
        <x:v>news_geopolitics_14d.json — published records loaded</x:v>
      </x:c>
      <x:c r="S46" s="18" t="str"/>
      <x:c r="T46" s="18" t="str"/>
      <x:c r="U46" s="20" t="n">
        <x:v>38</x:v>
      </x:c>
      <x:c r="V46" s="19" t="n">
        <x:f>IFERROR(TODAY()-DATEVALUE(C46),"")</x:f>
        <x:v>2</x:v>
      </x:c>
      <x:c r="W46" s="21" t="n">
        <x:f>ROUND(COUNTA(A46:K46)/11*100,0)</x:f>
        <x:v>100</x:v>
      </x:c>
      <x:c r="X46" s="18" t="str">
        <x:v>Google News RSS</x:v>
      </x:c>
      <x:c r="Y46" s="22" t="str">
        <x:v>https://news.google.com/rss/articles/CBMijAFBVV95cUxOdXZrR19QaXNlNTRDeVNxeWRQdjNQcExuX3RaVUZsN2dzTlJONW9TNEhhb2lqX2V4QXVycWIzUk9leXNaU3pCZ21oOFI0dXBwV21WanZyZ2w1YXh4YzRLTUtrOHVlT3FxanN6VHpGSk1EQld4UXdXLWlhMHN6bWZuQlhWVVE4UGlzOTl3Qw?oc=5</x:v>
      </x:c>
      <x:c r="Z46" s="18" t="n">
        <x:v>46273.850277777776</x:v>
      </x:c>
      <x:c r="AA46" s="18" t="n">
        <x:v>46275.38862103009</x:v>
      </x:c>
      <x:c r="AB46" s="18" t="str">
        <x:v>public_rss</x:v>
      </x:c>
      <x:c r="AC46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527ba5202984d21"/>
  <x:tableParts count="1">
    <x:tablePart xmlns:r="http://schemas.openxmlformats.org/officeDocument/2006/relationships" r:id="R9e1ec940bc724577"/>
  </x:tableParts>
</x:worksheet>
</file>