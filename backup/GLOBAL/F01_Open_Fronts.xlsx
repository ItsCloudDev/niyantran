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1800149f0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1 Open Fronts" sheetId="1" r:id="R12ac2196740d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0c16d26d344d7" /><Relationship Type="http://schemas.openxmlformats.org/officeDocument/2006/relationships/theme" Target="/xl/theme/theme1.xml" Id="R211591b791bf42d8" /><Relationship Type="http://schemas.openxmlformats.org/officeDocument/2006/relationships/sharedStrings" Target="/xl/sharedStrings.xml" Id="R6f681a2154514587" /><Relationship Type="http://schemas.openxmlformats.org/officeDocument/2006/relationships/worksheet" Target="/xl/worksheets/sheet1.xml" Id="R12ac2196740d46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292d8111ca4735" /><Relationship Type="http://schemas.openxmlformats.org/officeDocument/2006/relationships/chart" Target="/xl/drawings/charts/chart2.xml" Id="R37ca8c72d23d43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Active conflicts by region and intensity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'F01 Open Fronts'!$BC$3:$BC$14</c:f>
              <c:strCache>
                <c:ptCount val="0"/>
              </c:strCache>
            </c:strRef>
          </c:cat>
          <c:val>
            <c:numRef>
              <c:f>'F01 Open Fronts'!$BD$3:$BD$14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Conflict trend by current stage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'F01 Open Fronts'!$BF$3:$BF$14</c:f>
              <c:strCache>
                <c:ptCount val="0"/>
              </c:strCache>
            </c:strRef>
          </c:cat>
          <c:val>
            <c:numRef>
              <c:f>'F01 Open Fronts'!$BG$3:$BG$14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292d8111ca4735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ca8c72d23d43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1_clean_ca56ff" displayName="T_global_1_clean_ca56ff" ref="A8:AG96" headerRowCount="1" totalsRowCount="0" totalsRowShown="0">
  <x:tableColumns count="33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region"/>
    <x:tableColumn id="13" name="current_stage"/>
    <x:tableColumn id="14" name="conflict_name"/>
    <x:tableColumn id="15" name="conflict_type"/>
    <x:tableColumn id="16" name="intensity"/>
    <x:tableColumn id="17" name="latest_development"/>
    <x:tableColumn id="18" name="started"/>
    <x:tableColumn id="19" name="table_kind"/>
    <x:tableColumn id="20" name="trend"/>
    <x:tableColumn id="21" name="coverage_status"/>
    <x:tableColumn id="22" name="coverage_scope"/>
    <x:tableColumn id="23" name="coverage_start"/>
    <x:tableColumn id="24" name="coverage_end"/>
    <x:tableColumn id="25" name="universe_count"/>
    <x:tableColumn id="26" name="record_age_days"/>
    <x:tableColumn id="27" name="record_completeness_pct"/>
    <x:tableColumn id="28" name="source_provider"/>
    <x:tableColumn id="29" name="source_url"/>
    <x:tableColumn id="30" name="source_published_at"/>
    <x:tableColumn id="31" name="source_retrieved_at"/>
    <x:tableColumn id="32" name="provenance"/>
    <x:tableColumn id="33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ead274a5414659" /><Relationship Type="http://schemas.openxmlformats.org/officeDocument/2006/relationships/table" Target="/xl/tables/table1.xml" Id="R5acf9fa56d4945d7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2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8" hidden="0" customWidth="1"/>
    <x:col min="29" max="29" width="42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 ht="25" customHeight="1">
      <x:c r="A1" s="4" t="str">
        <x:v>Open Fronts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88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Jihadist insurgency</x:v>
      </x:c>
      <x:c r="BD3" s="18" t="n">
        <x:v>14</x:v>
      </x:c>
      <x:c r="BF3" s="18" t="str">
        <x:v>Russia–Ukraine War</x:v>
      </x:c>
      <x:c r="BG3" s="18" t="n">
        <x:v>1</x:v>
      </x:c>
    </x:row>
    <x:row r="4">
      <x:c r="A4" s="9" t="str">
        <x:v>Records</x:v>
      </x:c>
      <x:c r="B4" s="10" t="n">
        <x:v>88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18" t="str">
        <x:v>Insurgency</x:v>
      </x:c>
      <x:c r="BD4" s="18" t="n">
        <x:v>9</x:v>
      </x:c>
      <x:c r="BF4" s="18" t="str">
        <x:v>Armenia–Azerbaijan (Karabakh aftermath)</x:v>
      </x:c>
      <x:c r="BG4" s="18" t="n">
        <x:v>1</x:v>
      </x:c>
    </x:row>
    <x:row r="5">
      <x:c r="BC5" s="18" t="str">
        <x:v>Interstate standoff</x:v>
      </x:c>
      <x:c r="BD5" s="18" t="n">
        <x:v>9</x:v>
      </x:c>
      <x:c r="BF5" s="18" t="str">
        <x:v>Georgia — Abkhazia / South Ossetia</x:v>
      </x:c>
      <x:c r="BG5" s="18" t="n">
        <x:v>1</x:v>
      </x:c>
    </x:row>
    <x:row r="6">
      <x:c r="BC6" s="18" t="str">
        <x:v>Territorial dispute</x:v>
      </x:c>
      <x:c r="BD6" s="18" t="n">
        <x:v>8</x:v>
      </x:c>
      <x:c r="BF6" s="18" t="str">
        <x:v>Moldova — Transnistria</x:v>
      </x:c>
      <x:c r="BG6" s="18" t="n">
        <x:v>1</x:v>
      </x:c>
    </x:row>
    <x:row r="7">
      <x:c r="BC7" s="18" t="str">
        <x:v>Civil war</x:v>
      </x:c>
      <x:c r="BD7" s="18" t="n">
        <x:v>8</x:v>
      </x:c>
      <x:c r="BF7" s="18" t="str">
        <x:v>Israel–Hamas War (Gaza)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region</x:v>
      </x:c>
      <x:c r="M8" s="15" t="str">
        <x:v>current_stage</x:v>
      </x:c>
      <x:c r="N8" s="15" t="str">
        <x:v>conflict_name</x:v>
      </x:c>
      <x:c r="O8" s="15" t="str">
        <x:v>conflict_type</x:v>
      </x:c>
      <x:c r="P8" s="15" t="str">
        <x:v>intensity</x:v>
      </x:c>
      <x:c r="Q8" s="15" t="str">
        <x:v>latest_development</x:v>
      </x:c>
      <x:c r="R8" s="15" t="str">
        <x:v>started</x:v>
      </x:c>
      <x:c r="S8" s="15" t="str">
        <x:v>table_kind</x:v>
      </x:c>
      <x:c r="T8" s="15" t="str">
        <x:v>trend</x:v>
      </x:c>
      <x:c r="U8" s="15" t="str">
        <x:v>coverage_status</x:v>
      </x:c>
      <x:c r="V8" s="15" t="str">
        <x:v>coverage_scope</x:v>
      </x:c>
      <x:c r="W8" s="15" t="str">
        <x:v>coverage_start</x:v>
      </x:c>
      <x:c r="X8" s="15" t="str">
        <x:v>coverage_end</x:v>
      </x:c>
      <x:c r="Y8" s="15" t="str">
        <x:v>universe_count</x:v>
      </x:c>
      <x:c r="Z8" s="15" t="str">
        <x:v>record_age_days</x:v>
      </x:c>
      <x:c r="AA8" s="15" t="str">
        <x:v>record_completeness_pct</x:v>
      </x:c>
      <x:c r="AB8" s="15" t="str">
        <x:v>source_provider</x:v>
      </x:c>
      <x:c r="AC8" s="15" t="str">
        <x:v>source_url</x:v>
      </x:c>
      <x:c r="AD8" s="15" t="str">
        <x:v>source_published_at</x:v>
      </x:c>
      <x:c r="AE8" s="15" t="str">
        <x:v>source_retrieved_at</x:v>
      </x:c>
      <x:c r="AF8" s="15" t="str">
        <x:v>provenance</x:v>
      </x:c>
      <x:c r="AG8" s="15" t="str">
        <x:v>quality_status</x:v>
      </x:c>
      <x:c r="BC8" s="18" t="str">
        <x:v>Interstate war</x:v>
      </x:c>
      <x:c r="BD8" s="18" t="n">
        <x:v>7</x:v>
      </x:c>
      <x:c r="BF8" s="18" t="str">
        <x:v>Israel–Hezbollah (Lebanon)</x:v>
      </x:c>
      <x:c r="BG8" s="18" t="n">
        <x:v>1</x:v>
      </x:c>
    </x:row>
    <x:row r="9">
      <x:c r="A9" s="18" t="str">
        <x:v>NYT-01-5383a0c3f0ee280f</x:v>
      </x:c>
      <x:c r="B9" s="18" t="str">
        <x:v>Russia–Ukraine War</x:v>
      </x:c>
      <x:c r="C9" s="18" t="str"/>
      <x:c r="D9" s="18" t="str"/>
      <x:c r="E9" s="18" t="str"/>
      <x:c r="F9" s="18" t="str">
        <x:v>active</x:v>
      </x:c>
      <x:c r="G9" s="18" t="str">
        <x:v>Interstate war</x:v>
      </x:c>
      <x:c r="H9" s="18" t="str">
        <x:v>Eastern Europe</x:v>
      </x:c>
      <x:c r="I9" s="18" t="str">
        <x:v>Russia–Ukraine War</x:v>
      </x:c>
      <x:c r="J9" s="20" t="str"/>
      <x:c r="K9" s="18" t="str"/>
      <x:c r="L9" s="18" t="str">
        <x:v>Eastern Europe</x:v>
      </x:c>
      <x:c r="M9" s="18" t="str">
        <x:v>active</x:v>
      </x:c>
      <x:c r="N9" s="18" t="str">
        <x:v>Russia–Ukraine War</x:v>
      </x:c>
      <x:c r="O9" s="18" t="str">
        <x:v>Interstate war</x:v>
      </x:c>
      <x:c r="P9" s="18" t="str">
        <x:v>Critical</x:v>
      </x:c>
      <x:c r="Q9" s="18" t="str">
        <x:v>Attritional front largely static; artillery, drones and deep strikes define the fighting; Western aid and mobilisation remain decisive variables.</x:v>
      </x:c>
      <x:c r="R9" s="18" t="str">
        <x:v>February 2022</x:v>
      </x:c>
      <x:c r="S9" s="18" t="str">
        <x:v>state</x:v>
      </x:c>
      <x:c r="T9" s="18" t="str">
        <x:v>Escalating</x:v>
      </x:c>
      <x:c r="U9" s="18" t="str">
        <x:v>DEFINED_TERMINAL_OR_FEED_SCOPE</x:v>
      </x:c>
      <x:c r="V9" s="18" t="str">
        <x:v>geopolitics_war_tracker.json — published records loaded</x:v>
      </x:c>
      <x:c r="W9" s="18" t="str"/>
      <x:c r="X9" s="18" t="str"/>
      <x:c r="Y9" s="20" t="n">
        <x:v>88</x:v>
      </x:c>
      <x:c r="Z9" s="19" t="str">
        <x:f>IFERROR(TODAY()-DATEVALUE(C9),"")</x:f>
      </x:c>
      <x:c r="AA9" s="21" t="n">
        <x:f>ROUND(COUNTA(A9:K9)/11*100,0)</x:f>
        <x:v>100</x:v>
      </x:c>
      <x:c r="AB9" s="18" t="str">
        <x:v>ACLED API</x:v>
      </x:c>
      <x:c r="AC9" s="22" t="str">
        <x:v>https://acleddata.com/api/acled/read</x:v>
      </x:c>
      <x:c r="AD9" s="18" t="n">
        <x:v>46272.704938055555</x:v>
      </x:c>
      <x:c r="AE9" s="18" t="n">
        <x:v>46272.704938055555</x:v>
      </x:c>
      <x:c r="AF9" s="18" t="str">
        <x:v>unconfirmed</x:v>
      </x:c>
      <x:c r="AG9" s="18" t="str">
        <x:v>PARTIAL_NO_DATE</x:v>
      </x:c>
      <x:c r="BC9" s="18" t="str">
        <x:v>Separatist insurgency</x:v>
      </x:c>
      <x:c r="BD9" s="18" t="n">
        <x:v>7</x:v>
      </x:c>
      <x:c r="BF9" s="18" t="str">
        <x:v>Syria — Post-Assad Transition</x:v>
      </x:c>
      <x:c r="BG9" s="18" t="n">
        <x:v>1</x:v>
      </x:c>
    </x:row>
    <x:row r="10">
      <x:c r="A10" s="18" t="str">
        <x:v>NYT-01-1234f8dff167d834</x:v>
      </x:c>
      <x:c r="B10" s="18" t="str">
        <x:v>Armenia–Azerbaijan (Karabakh aftermath)</x:v>
      </x:c>
      <x:c r="C10" s="18" t="str"/>
      <x:c r="D10" s="18" t="str"/>
      <x:c r="E10" s="18" t="str"/>
      <x:c r="F10" s="18" t="str">
        <x:v>under review</x:v>
      </x:c>
      <x:c r="G10" s="18" t="str">
        <x:v>Territorial dispute</x:v>
      </x:c>
      <x:c r="H10" s="18" t="str">
        <x:v>Caucasus</x:v>
      </x:c>
      <x:c r="I10" s="18" t="str">
        <x:v>Armenia–Azerbaijan (Karabakh aftermath)</x:v>
      </x:c>
      <x:c r="J10" s="20" t="str"/>
      <x:c r="K10" s="18" t="str"/>
      <x:c r="L10" s="18" t="str">
        <x:v>Caucasus</x:v>
      </x:c>
      <x:c r="M10" s="18" t="str">
        <x:v>under review</x:v>
      </x:c>
      <x:c r="N10" s="18" t="str">
        <x:v>Armenia–Azerbaijan (Karabakh aftermath)</x:v>
      </x:c>
      <x:c r="O10" s="18" t="str">
        <x:v>Territorial dispute</x:v>
      </x:c>
      <x:c r="P10" s="18" t="str">
        <x:v>Medium</x:v>
      </x:c>
      <x:c r="Q10" s="18" t="str">
        <x:v>Karabakh depopulated after 2023; focus shifted to a border-delimitation and peace-treaty track between Yerevan and Baku.</x:v>
      </x:c>
      <x:c r="R10" s="18" t="str">
        <x:v>2020 (flare 2023)</x:v>
      </x:c>
      <x:c r="S10" s="18" t="str">
        <x:v>state</x:v>
      </x:c>
      <x:c r="T10" s="18" t="str">
        <x:v>Easing</x:v>
      </x:c>
      <x:c r="U10" s="18" t="str">
        <x:v>DEFINED_TERMINAL_OR_FEED_SCOPE</x:v>
      </x:c>
      <x:c r="V10" s="18" t="str">
        <x:v>geopolitics_war_tracker.json — published records loaded</x:v>
      </x:c>
      <x:c r="W10" s="18" t="str"/>
      <x:c r="X10" s="18" t="str"/>
      <x:c r="Y10" s="20" t="n">
        <x:v>88</x:v>
      </x:c>
      <x:c r="Z10" s="19" t="str">
        <x:f>IFERROR(TODAY()-DATEVALUE(C10),"")</x:f>
      </x:c>
      <x:c r="AA10" s="21" t="n">
        <x:f>ROUND(COUNTA(A10:K10)/11*100,0)</x:f>
        <x:v>100</x:v>
      </x:c>
      <x:c r="AB10" s="18" t="str">
        <x:v>ACLED API</x:v>
      </x:c>
      <x:c r="AC10" s="22" t="str">
        <x:v>https://acleddata.com/api/acled/read</x:v>
      </x:c>
      <x:c r="AD10" s="18" t="n">
        <x:v>46272.704938055555</x:v>
      </x:c>
      <x:c r="AE10" s="18" t="n">
        <x:v>46272.704938055555</x:v>
      </x:c>
      <x:c r="AF10" s="18" t="str">
        <x:v>unconfirmed</x:v>
      </x:c>
      <x:c r="AG10" s="18" t="str">
        <x:v>PARTIAL_NO_DATE</x:v>
      </x:c>
      <x:c r="BC10" s="18" t="str">
        <x:v>Political crisis</x:v>
      </x:c>
      <x:c r="BD10" s="18" t="n">
        <x:v>6</x:v>
      </x:c>
      <x:c r="BF10" s="18" t="str">
        <x:v>Yemen — Houthi Conflict / Red Sea</x:v>
      </x:c>
      <x:c r="BG10" s="18" t="n">
        <x:v>1</x:v>
      </x:c>
    </x:row>
    <x:row r="11">
      <x:c r="A11" s="18" t="str">
        <x:v>NYT-01-0bb6f004fb701eb5</x:v>
      </x:c>
      <x:c r="B11" s="18" t="str">
        <x:v>Georgia — Abkhazia / South Ossetia</x:v>
      </x:c>
      <x:c r="C11" s="18" t="str"/>
      <x:c r="D11" s="18" t="str"/>
      <x:c r="E11" s="18" t="str"/>
      <x:c r="F11" s="18" t="str">
        <x:v>frozen</x:v>
      </x:c>
      <x:c r="G11" s="18" t="str">
        <x:v>Frozen conflict</x:v>
      </x:c>
      <x:c r="H11" s="18" t="str">
        <x:v>Caucasus</x:v>
      </x:c>
      <x:c r="I11" s="18" t="str">
        <x:v>Georgia — Abkhazia / South Ossetia</x:v>
      </x:c>
      <x:c r="J11" s="20" t="str"/>
      <x:c r="K11" s="18" t="str"/>
      <x:c r="L11" s="18" t="str">
        <x:v>Caucasus</x:v>
      </x:c>
      <x:c r="M11" s="18" t="str">
        <x:v>frozen</x:v>
      </x:c>
      <x:c r="N11" s="18" t="str">
        <x:v>Georgia — Abkhazia / South Ossetia</x:v>
      </x:c>
      <x:c r="O11" s="18" t="str">
        <x:v>Frozen conflict</x:v>
      </x:c>
      <x:c r="P11" s="18" t="str">
        <x:v>Low</x:v>
      </x:c>
      <x:c r="Q11" s="18" t="str">
        <x:v>Russian-backed breakaway regions remain outside Tbilisi's control; line of contact quiet but unresolved.</x:v>
      </x:c>
      <x:c r="R11" s="18" t="n">
        <x:v>2008</x:v>
      </x:c>
      <x:c r="S11" s="18" t="str">
        <x:v>state</x:v>
      </x:c>
      <x:c r="T11" s="18" t="str">
        <x:v>Stable</x:v>
      </x:c>
      <x:c r="U11" s="18" t="str">
        <x:v>DEFINED_TERMINAL_OR_FEED_SCOPE</x:v>
      </x:c>
      <x:c r="V11" s="18" t="str">
        <x:v>geopolitics_war_tracker.json — published records loaded</x:v>
      </x:c>
      <x:c r="W11" s="18" t="str"/>
      <x:c r="X11" s="18" t="str"/>
      <x:c r="Y11" s="20" t="n">
        <x:v>88</x:v>
      </x:c>
      <x:c r="Z11" s="19" t="str">
        <x:f>IFERROR(TODAY()-DATEVALUE(C11),"")</x:f>
      </x:c>
      <x:c r="AA11" s="21" t="n">
        <x:f>ROUND(COUNTA(A11:K11)/11*100,0)</x:f>
        <x:v>100</x:v>
      </x:c>
      <x:c r="AB11" s="18" t="str">
        <x:v>ACLED API</x:v>
      </x:c>
      <x:c r="AC11" s="22" t="str">
        <x:v>https://acleddata.com/api/acled/read</x:v>
      </x:c>
      <x:c r="AD11" s="18" t="n">
        <x:v>46272.704938055555</x:v>
      </x:c>
      <x:c r="AE11" s="18" t="n">
        <x:v>46272.704938055555</x:v>
      </x:c>
      <x:c r="AF11" s="18" t="str">
        <x:v>unconfirmed</x:v>
      </x:c>
      <x:c r="AG11" s="18" t="str">
        <x:v>PARTIAL_NO_DATE</x:v>
      </x:c>
      <x:c r="BC11" s="18" t="str">
        <x:v>Frozen conflict</x:v>
      </x:c>
      <x:c r="BD11" s="18" t="n">
        <x:v>3</x:v>
      </x:c>
      <x:c r="BF11" s="18" t="str">
        <x:v>Iraq — ISIS remnants</x:v>
      </x:c>
      <x:c r="BG11" s="18" t="n">
        <x:v>1</x:v>
      </x:c>
    </x:row>
    <x:row r="12">
      <x:c r="A12" s="18" t="str">
        <x:v>NYT-01-ce1861bc313c2053</x:v>
      </x:c>
      <x:c r="B12" s="18" t="str">
        <x:v>Moldova — Transnistria</x:v>
      </x:c>
      <x:c r="C12" s="18" t="str"/>
      <x:c r="D12" s="18" t="str"/>
      <x:c r="E12" s="18" t="str"/>
      <x:c r="F12" s="18" t="str">
        <x:v>frozen</x:v>
      </x:c>
      <x:c r="G12" s="18" t="str">
        <x:v>Frozen conflict</x:v>
      </x:c>
      <x:c r="H12" s="18" t="str">
        <x:v>Eastern Europe</x:v>
      </x:c>
      <x:c r="I12" s="18" t="str">
        <x:v>Moldova — Transnistria</x:v>
      </x:c>
      <x:c r="J12" s="20" t="str"/>
      <x:c r="K12" s="18" t="str"/>
      <x:c r="L12" s="18" t="str">
        <x:v>Eastern Europe</x:v>
      </x:c>
      <x:c r="M12" s="18" t="str">
        <x:v>frozen</x:v>
      </x:c>
      <x:c r="N12" s="18" t="str">
        <x:v>Moldova — Transnistria</x:v>
      </x:c>
      <x:c r="O12" s="18" t="str">
        <x:v>Frozen conflict</x:v>
      </x:c>
      <x:c r="P12" s="18" t="str">
        <x:v>Low</x:v>
      </x:c>
      <x:c r="Q12" s="18" t="str">
        <x:v>Russian troops and a self-declared republic persist on the Dniester; energy leverage is the main pressure lever.</x:v>
      </x:c>
      <x:c r="R12" s="18" t="n">
        <x:v>1992</x:v>
      </x:c>
      <x:c r="S12" s="18" t="str">
        <x:v>state</x:v>
      </x:c>
      <x:c r="T12" s="18" t="str">
        <x:v>Stable</x:v>
      </x:c>
      <x:c r="U12" s="18" t="str">
        <x:v>DEFINED_TERMINAL_OR_FEED_SCOPE</x:v>
      </x:c>
      <x:c r="V12" s="18" t="str">
        <x:v>geopolitics_war_tracker.json — published records loaded</x:v>
      </x:c>
      <x:c r="W12" s="18" t="str"/>
      <x:c r="X12" s="18" t="str"/>
      <x:c r="Y12" s="20" t="n">
        <x:v>88</x:v>
      </x:c>
      <x:c r="Z12" s="19" t="str">
        <x:f>IFERROR(TODAY()-DATEVALUE(C12),"")</x:f>
      </x:c>
      <x:c r="AA12" s="21" t="n">
        <x:f>ROUND(COUNTA(A12:K12)/11*100,0)</x:f>
        <x:v>100</x:v>
      </x:c>
      <x:c r="AB12" s="18" t="str">
        <x:v>ACLED API</x:v>
      </x:c>
      <x:c r="AC12" s="22" t="str">
        <x:v>https://acleddata.com/api/acled/read</x:v>
      </x:c>
      <x:c r="AD12" s="18" t="n">
        <x:v>46272.704938055555</x:v>
      </x:c>
      <x:c r="AE12" s="18" t="n">
        <x:v>46272.704938055555</x:v>
      </x:c>
      <x:c r="AF12" s="18" t="str">
        <x:v>unconfirmed</x:v>
      </x:c>
      <x:c r="AG12" s="18" t="str">
        <x:v>PARTIAL_NO_DATE</x:v>
      </x:c>
      <x:c r="BC12" s="18" t="str">
        <x:v>Maritime dispute</x:v>
      </x:c>
      <x:c r="BD12" s="18" t="n">
        <x:v>3</x:v>
      </x:c>
      <x:c r="BF12" s="18" t="str">
        <x:v>Iran–Israel shadow &amp; direct strikes</x:v>
      </x:c>
      <x:c r="BG12" s="18" t="n">
        <x:v>1</x:v>
      </x:c>
    </x:row>
    <x:row r="13">
      <x:c r="A13" s="18" t="str">
        <x:v>NYT-01-4861129c3e3dbb5e</x:v>
      </x:c>
      <x:c r="B13" s="18" t="str">
        <x:v>Israel–Hamas War (Gaza)</x:v>
      </x:c>
      <x:c r="C13" s="18" t="str"/>
      <x:c r="D13" s="18" t="str"/>
      <x:c r="E13" s="18" t="str"/>
      <x:c r="F13" s="18" t="str">
        <x:v>ceasefire fragile</x:v>
      </x:c>
      <x:c r="G13" s="18" t="str">
        <x:v>Interstate war</x:v>
      </x:c>
      <x:c r="H13" s="18" t="str">
        <x:v>Middle East</x:v>
      </x:c>
      <x:c r="I13" s="18" t="str">
        <x:v>Israel–Hamas War (Gaza)</x:v>
      </x:c>
      <x:c r="J13" s="20" t="str"/>
      <x:c r="K13" s="18" t="str"/>
      <x:c r="L13" s="18" t="str">
        <x:v>Middle East</x:v>
      </x:c>
      <x:c r="M13" s="18" t="str">
        <x:v>ceasefire fragile</x:v>
      </x:c>
      <x:c r="N13" s="18" t="str">
        <x:v>Israel–Hamas War (Gaza)</x:v>
      </x:c>
      <x:c r="O13" s="18" t="str">
        <x:v>Interstate war</x:v>
      </x:c>
      <x:c r="P13" s="18" t="str">
        <x:v>Critical</x:v>
      </x:c>
      <x:c r="Q13" s="18" t="str">
        <x:v>Phased ceasefire and hostage-release framework in effect but repeatedly strained; reconstruction and governance of Gaza unresolved.</x:v>
      </x:c>
      <x:c r="R13" s="18" t="str">
        <x:v>October 2023</x:v>
      </x:c>
      <x:c r="S13" s="18" t="str">
        <x:v>state</x:v>
      </x:c>
      <x:c r="T13" s="18" t="str">
        <x:v>Stable</x:v>
      </x:c>
      <x:c r="U13" s="18" t="str">
        <x:v>DEFINED_TERMINAL_OR_FEED_SCOPE</x:v>
      </x:c>
      <x:c r="V13" s="18" t="str">
        <x:v>geopolitics_war_tracker.json — published records loaded</x:v>
      </x:c>
      <x:c r="W13" s="18" t="str"/>
      <x:c r="X13" s="18" t="str"/>
      <x:c r="Y13" s="20" t="n">
        <x:v>88</x:v>
      </x:c>
      <x:c r="Z13" s="19" t="str">
        <x:f>IFERROR(TODAY()-DATEVALUE(C13),"")</x:f>
      </x:c>
      <x:c r="AA13" s="21" t="n">
        <x:f>ROUND(COUNTA(A13:K13)/11*100,0)</x:f>
        <x:v>100</x:v>
      </x:c>
      <x:c r="AB13" s="18" t="str">
        <x:v>ACLED API</x:v>
      </x:c>
      <x:c r="AC13" s="22" t="str">
        <x:v>https://acleddata.com/api/acled/read</x:v>
      </x:c>
      <x:c r="AD13" s="18" t="n">
        <x:v>46272.704938055555</x:v>
      </x:c>
      <x:c r="AE13" s="18" t="n">
        <x:v>46272.704938055555</x:v>
      </x:c>
      <x:c r="AF13" s="18" t="str">
        <x:v>unconfirmed</x:v>
      </x:c>
      <x:c r="AG13" s="18" t="str">
        <x:v>PARTIAL_NO_DATE</x:v>
      </x:c>
      <x:c r="BC13" s="18" t="str">
        <x:v>Criminal insurgency</x:v>
      </x:c>
      <x:c r="BD13" s="18" t="n">
        <x:v>2</x:v>
      </x:c>
      <x:c r="BF13" s="18" t="str">
        <x:v>Turkey–PKK insurgency</x:v>
      </x:c>
      <x:c r="BG13" s="18" t="n">
        <x:v>1</x:v>
      </x:c>
    </x:row>
    <x:row r="14">
      <x:c r="A14" s="18" t="str">
        <x:v>NYT-01-f5085cb928e6ecca</x:v>
      </x:c>
      <x:c r="B14" s="18" t="str">
        <x:v>Israel–Hezbollah (Lebanon)</x:v>
      </x:c>
      <x:c r="C14" s="18" t="str"/>
      <x:c r="D14" s="18" t="str"/>
      <x:c r="E14" s="18" t="str"/>
      <x:c r="F14" s="18" t="str">
        <x:v>ceasefire fragile</x:v>
      </x:c>
      <x:c r="G14" s="18" t="str">
        <x:v>Interstate war</x:v>
      </x:c>
      <x:c r="H14" s="18" t="str">
        <x:v>Middle East</x:v>
      </x:c>
      <x:c r="I14" s="18" t="str">
        <x:v>Israel–Hezbollah (Lebanon)</x:v>
      </x:c>
      <x:c r="J14" s="20" t="str"/>
      <x:c r="K14" s="18" t="str"/>
      <x:c r="L14" s="18" t="str">
        <x:v>Middle East</x:v>
      </x:c>
      <x:c r="M14" s="18" t="str">
        <x:v>ceasefire fragile</x:v>
      </x:c>
      <x:c r="N14" s="18" t="str">
        <x:v>Israel–Hezbollah (Lebanon)</x:v>
      </x:c>
      <x:c r="O14" s="18" t="str">
        <x:v>Interstate war</x:v>
      </x:c>
      <x:c r="P14" s="18" t="str">
        <x:v>High</x:v>
      </x:c>
      <x:c r="Q14" s="18" t="str">
        <x:v>US/France-brokered ceasefire holding unevenly; disputes over withdrawal lines and Hezbollah disarmament recur.</x:v>
      </x:c>
      <x:c r="R14" s="18" t="str">
        <x:v>September 2024</x:v>
      </x:c>
      <x:c r="S14" s="18" t="str">
        <x:v>state</x:v>
      </x:c>
      <x:c r="T14" s="18" t="str">
        <x:v>Easing</x:v>
      </x:c>
      <x:c r="U14" s="18" t="str">
        <x:v>DEFINED_TERMINAL_OR_FEED_SCOPE</x:v>
      </x:c>
      <x:c r="V14" s="18" t="str">
        <x:v>geopolitics_war_tracker.json — published records loaded</x:v>
      </x:c>
      <x:c r="W14" s="18" t="str"/>
      <x:c r="X14" s="18" t="str"/>
      <x:c r="Y14" s="20" t="n">
        <x:v>88</x:v>
      </x:c>
      <x:c r="Z14" s="19" t="str">
        <x:f>IFERROR(TODAY()-DATEVALUE(C14),"")</x:f>
      </x:c>
      <x:c r="AA14" s="21" t="n">
        <x:f>ROUND(COUNTA(A14:K14)/11*100,0)</x:f>
        <x:v>100</x:v>
      </x:c>
      <x:c r="AB14" s="18" t="str">
        <x:v>ACLED API</x:v>
      </x:c>
      <x:c r="AC14" s="22" t="str">
        <x:v>https://acleddata.com/api/acled/read</x:v>
      </x:c>
      <x:c r="AD14" s="18" t="n">
        <x:v>46272.704938055555</x:v>
      </x:c>
      <x:c r="AE14" s="18" t="n">
        <x:v>46272.704938055555</x:v>
      </x:c>
      <x:c r="AF14" s="18" t="str">
        <x:v>unconfirmed</x:v>
      </x:c>
      <x:c r="AG14" s="18" t="str">
        <x:v>PARTIAL_NO_DATE</x:v>
      </x:c>
      <x:c r="BC14" s="18" t="str">
        <x:v>Criminal</x:v>
      </x:c>
      <x:c r="BD14" s="18" t="n">
        <x:v>2</x:v>
      </x:c>
      <x:c r="BF14" s="18" t="str">
        <x:v>Israel — West Bank unrest</x:v>
      </x:c>
      <x:c r="BG14" s="18" t="n">
        <x:v>1</x:v>
      </x:c>
    </x:row>
    <x:row r="15">
      <x:c r="A15" s="18" t="str">
        <x:v>NYT-01-ad03d9876acd2b07</x:v>
      </x:c>
      <x:c r="B15" s="18" t="str">
        <x:v>Syria — Post-Assad Transition</x:v>
      </x:c>
      <x:c r="C15" s="18" t="str"/>
      <x:c r="D15" s="18" t="str"/>
      <x:c r="E15" s="18" t="str"/>
      <x:c r="F15" s="18" t="str">
        <x:v>under review</x:v>
      </x:c>
      <x:c r="G15" s="18" t="str">
        <x:v>Civil war</x:v>
      </x:c>
      <x:c r="H15" s="18" t="str">
        <x:v>Middle East</x:v>
      </x:c>
      <x:c r="I15" s="18" t="str">
        <x:v>Syria — Post-Assad Transition</x:v>
      </x:c>
      <x:c r="J15" s="20" t="str"/>
      <x:c r="K15" s="18" t="str"/>
      <x:c r="L15" s="18" t="str">
        <x:v>Middle East</x:v>
      </x:c>
      <x:c r="M15" s="18" t="str">
        <x:v>under review</x:v>
      </x:c>
      <x:c r="N15" s="18" t="str">
        <x:v>Syria — Post-Assad Transition</x:v>
      </x:c>
      <x:c r="O15" s="18" t="str">
        <x:v>Civil war</x:v>
      </x:c>
      <x:c r="P15" s="18" t="str">
        <x:v>High</x:v>
      </x:c>
      <x:c r="Q15" s="18" t="str">
        <x:v>Interim authority consolidating after Assad's fall; sectarian violence, Kurdish integration and foreign strikes complicate the transition.</x:v>
      </x:c>
      <x:c r="R15" s="18" t="str">
        <x:v>December 2024</x:v>
      </x:c>
      <x:c r="S15" s="18" t="str">
        <x:v>state</x:v>
      </x:c>
      <x:c r="T15" s="18" t="str">
        <x:v>Escalating</x:v>
      </x:c>
      <x:c r="U15" s="18" t="str">
        <x:v>DEFINED_TERMINAL_OR_FEED_SCOPE</x:v>
      </x:c>
      <x:c r="V15" s="18" t="str">
        <x:v>geopolitics_war_tracker.json — published records loaded</x:v>
      </x:c>
      <x:c r="W15" s="18" t="str"/>
      <x:c r="X15" s="18" t="str"/>
      <x:c r="Y15" s="20" t="n">
        <x:v>88</x:v>
      </x:c>
      <x:c r="Z15" s="19" t="str">
        <x:f>IFERROR(TODAY()-DATEVALUE(C15),"")</x:f>
      </x:c>
      <x:c r="AA15" s="21" t="n">
        <x:f>ROUND(COUNTA(A15:K15)/11*100,0)</x:f>
        <x:v>100</x:v>
      </x:c>
      <x:c r="AB15" s="18" t="str">
        <x:v>ACLED API</x:v>
      </x:c>
      <x:c r="AC15" s="22" t="str">
        <x:v>https://acleddata.com/api/acled/read</x:v>
      </x:c>
      <x:c r="AD15" s="18" t="n">
        <x:v>46272.704938055555</x:v>
      </x:c>
      <x:c r="AE15" s="18" t="n">
        <x:v>46272.704938055555</x:v>
      </x:c>
      <x:c r="AF15" s="18" t="str">
        <x:v>unconfirmed</x:v>
      </x:c>
      <x:c r="AG15" s="18" t="str">
        <x:v>PARTIAL_NO_DATE</x:v>
      </x:c>
    </x:row>
    <x:row r="16">
      <x:c r="A16" s="18" t="str">
        <x:v>NYT-01-4a3e556db1ff088e</x:v>
      </x:c>
      <x:c r="B16" s="18" t="str">
        <x:v>Yemen — Houthi Conflict / Red Sea</x:v>
      </x:c>
      <x:c r="C16" s="18" t="str"/>
      <x:c r="D16" s="18" t="str"/>
      <x:c r="E16" s="18" t="str"/>
      <x:c r="F16" s="18" t="str">
        <x:v>active</x:v>
      </x:c>
      <x:c r="G16" s="18" t="str">
        <x:v>Civil war</x:v>
      </x:c>
      <x:c r="H16" s="18" t="str">
        <x:v>Middle East</x:v>
      </x:c>
      <x:c r="I16" s="18" t="str">
        <x:v>Yemen — Houthi Conflict / Red Sea</x:v>
      </x:c>
      <x:c r="J16" s="20" t="str"/>
      <x:c r="K16" s="18" t="str"/>
      <x:c r="L16" s="18" t="str">
        <x:v>Middle East</x:v>
      </x:c>
      <x:c r="M16" s="18" t="str">
        <x:v>active</x:v>
      </x:c>
      <x:c r="N16" s="18" t="str">
        <x:v>Yemen — Houthi Conflict / Red Sea</x:v>
      </x:c>
      <x:c r="O16" s="18" t="str">
        <x:v>Civil war</x:v>
      </x:c>
      <x:c r="P16" s="18" t="str">
        <x:v>High</x:v>
      </x:c>
      <x:c r="Q16" s="18" t="str">
        <x:v>Houthi forces conduct periodic Red Sea shipping attacks; internal front lines frozen amid stalled UN-led talks.</x:v>
      </x:c>
      <x:c r="R16" s="18" t="str">
        <x:v>2015 (escalated 2023)</x:v>
      </x:c>
      <x:c r="S16" s="18" t="str">
        <x:v>state</x:v>
      </x:c>
      <x:c r="T16" s="18" t="str">
        <x:v>Stable</x:v>
      </x:c>
      <x:c r="U16" s="18" t="str">
        <x:v>DEFINED_TERMINAL_OR_FEED_SCOPE</x:v>
      </x:c>
      <x:c r="V16" s="18" t="str">
        <x:v>geopolitics_war_tracker.json — published records loaded</x:v>
      </x:c>
      <x:c r="W16" s="18" t="str"/>
      <x:c r="X16" s="18" t="str"/>
      <x:c r="Y16" s="20" t="n">
        <x:v>88</x:v>
      </x:c>
      <x:c r="Z16" s="19" t="str">
        <x:f>IFERROR(TODAY()-DATEVALUE(C16),"")</x:f>
      </x:c>
      <x:c r="AA16" s="21" t="n">
        <x:f>ROUND(COUNTA(A16:K16)/11*100,0)</x:f>
        <x:v>100</x:v>
      </x:c>
      <x:c r="AB16" s="18" t="str">
        <x:v>ACLED API</x:v>
      </x:c>
      <x:c r="AC16" s="22" t="str">
        <x:v>https://acleddata.com/api/acled/read</x:v>
      </x:c>
      <x:c r="AD16" s="18" t="n">
        <x:v>46272.704938055555</x:v>
      </x:c>
      <x:c r="AE16" s="18" t="n">
        <x:v>46272.704938055555</x:v>
      </x:c>
      <x:c r="AF16" s="18" t="str">
        <x:v>unconfirmed</x:v>
      </x:c>
      <x:c r="AG16" s="18" t="str">
        <x:v>PARTIAL_NO_DATE</x:v>
      </x:c>
    </x:row>
    <x:row r="17">
      <x:c r="A17" s="18" t="str">
        <x:v>NYT-01-8b3a7939b6cd1855</x:v>
      </x:c>
      <x:c r="B17" s="18" t="str">
        <x:v>Iraq — ISIS remnants</x:v>
      </x:c>
      <x:c r="C17" s="18" t="str"/>
      <x:c r="D17" s="18" t="str"/>
      <x:c r="E17" s="18" t="str"/>
      <x:c r="F17" s="18" t="str">
        <x:v>low-intensity</x:v>
      </x:c>
      <x:c r="G17" s="18" t="str">
        <x:v>Jihadist insurgency</x:v>
      </x:c>
      <x:c r="H17" s="18" t="str">
        <x:v>Middle East</x:v>
      </x:c>
      <x:c r="I17" s="18" t="str">
        <x:v>Iraq — ISIS remnants</x:v>
      </x:c>
      <x:c r="J17" s="20" t="str"/>
      <x:c r="K17" s="18" t="str"/>
      <x:c r="L17" s="18" t="str">
        <x:v>Middle East</x:v>
      </x:c>
      <x:c r="M17" s="18" t="str">
        <x:v>low-intensity</x:v>
      </x:c>
      <x:c r="N17" s="18" t="str">
        <x:v>Iraq — ISIS remnants</x:v>
      </x:c>
      <x:c r="O17" s="18" t="str">
        <x:v>Jihadist insurgency</x:v>
      </x:c>
      <x:c r="P17" s="18" t="str">
        <x:v>Medium</x:v>
      </x:c>
      <x:c r="Q17" s="18" t="str">
        <x:v>Residual ISIS cells persist in rural areas; focus turned to militia politics and US-troop drawdown negotiations.</x:v>
      </x:c>
      <x:c r="R17" s="18" t="n">
        <x:v>2014</x:v>
      </x:c>
      <x:c r="S17" s="18" t="str">
        <x:v>state</x:v>
      </x:c>
      <x:c r="T17" s="18" t="str">
        <x:v>Easing</x:v>
      </x:c>
      <x:c r="U17" s="18" t="str">
        <x:v>DEFINED_TERMINAL_OR_FEED_SCOPE</x:v>
      </x:c>
      <x:c r="V17" s="18" t="str">
        <x:v>geopolitics_war_tracker.json — published records loaded</x:v>
      </x:c>
      <x:c r="W17" s="18" t="str"/>
      <x:c r="X17" s="18" t="str"/>
      <x:c r="Y17" s="20" t="n">
        <x:v>88</x:v>
      </x:c>
      <x:c r="Z17" s="19" t="str">
        <x:f>IFERROR(TODAY()-DATEVALUE(C17),"")</x:f>
      </x:c>
      <x:c r="AA17" s="21" t="n">
        <x:f>ROUND(COUNTA(A17:K17)/11*100,0)</x:f>
        <x:v>100</x:v>
      </x:c>
      <x:c r="AB17" s="18" t="str">
        <x:v>ACLED API</x:v>
      </x:c>
      <x:c r="AC17" s="22" t="str">
        <x:v>https://acleddata.com/api/acled/read</x:v>
      </x:c>
      <x:c r="AD17" s="18" t="n">
        <x:v>46272.704938055555</x:v>
      </x:c>
      <x:c r="AE17" s="18" t="n">
        <x:v>46272.704938055555</x:v>
      </x:c>
      <x:c r="AF17" s="18" t="str">
        <x:v>unconfirmed</x:v>
      </x:c>
      <x:c r="AG17" s="18" t="str">
        <x:v>PARTIAL_NO_DATE</x:v>
      </x:c>
    </x:row>
    <x:row r="18">
      <x:c r="A18" s="18" t="str">
        <x:v>NYT-01-e02c957b9a01b3f7</x:v>
      </x:c>
      <x:c r="B18" s="18" t="str">
        <x:v>Iran–Israel shadow &amp; direct strikes</x:v>
      </x:c>
      <x:c r="C18" s="18" t="str"/>
      <x:c r="D18" s="18" t="str"/>
      <x:c r="E18" s="18" t="str"/>
      <x:c r="F18" s="18" t="str">
        <x:v>active</x:v>
      </x:c>
      <x:c r="G18" s="18" t="str">
        <x:v>Interstate war</x:v>
      </x:c>
      <x:c r="H18" s="18" t="str">
        <x:v>Middle East</x:v>
      </x:c>
      <x:c r="I18" s="18" t="str">
        <x:v>Iran–Israel shadow &amp; direct strikes</x:v>
      </x:c>
      <x:c r="J18" s="20" t="str"/>
      <x:c r="K18" s="18" t="str"/>
      <x:c r="L18" s="18" t="str">
        <x:v>Middle East</x:v>
      </x:c>
      <x:c r="M18" s="18" t="str">
        <x:v>active</x:v>
      </x:c>
      <x:c r="N18" s="18" t="str">
        <x:v>Iran–Israel shadow &amp; direct strikes</x:v>
      </x:c>
      <x:c r="O18" s="18" t="str">
        <x:v>Interstate war</x:v>
      </x:c>
      <x:c r="P18" s="18" t="str">
        <x:v>High</x:v>
      </x:c>
      <x:c r="Q18" s="18" t="str">
        <x:v>Escalated from proxy shadow-war to direct exchanges of strikes; nuclear programme and regional deterrence are the flashpoints.</x:v>
      </x:c>
      <x:c r="R18" s="18" t="n">
        <x:v>2024</x:v>
      </x:c>
      <x:c r="S18" s="18" t="str">
        <x:v>state</x:v>
      </x:c>
      <x:c r="T18" s="18" t="str">
        <x:v>Escalating</x:v>
      </x:c>
      <x:c r="U18" s="18" t="str">
        <x:v>DEFINED_TERMINAL_OR_FEED_SCOPE</x:v>
      </x:c>
      <x:c r="V18" s="18" t="str">
        <x:v>geopolitics_war_tracker.json — published records loaded</x:v>
      </x:c>
      <x:c r="W18" s="18" t="str"/>
      <x:c r="X18" s="18" t="str"/>
      <x:c r="Y18" s="20" t="n">
        <x:v>88</x:v>
      </x:c>
      <x:c r="Z18" s="19" t="str">
        <x:f>IFERROR(TODAY()-DATEVALUE(C18),"")</x:f>
      </x:c>
      <x:c r="AA18" s="21" t="n">
        <x:f>ROUND(COUNTA(A18:K18)/11*100,0)</x:f>
        <x:v>100</x:v>
      </x:c>
      <x:c r="AB18" s="18" t="str">
        <x:v>ACLED API</x:v>
      </x:c>
      <x:c r="AC18" s="22" t="str">
        <x:v>https://acleddata.com/api/acled/read</x:v>
      </x:c>
      <x:c r="AD18" s="18" t="n">
        <x:v>46272.704938055555</x:v>
      </x:c>
      <x:c r="AE18" s="18" t="n">
        <x:v>46272.704938055555</x:v>
      </x:c>
      <x:c r="AF18" s="18" t="str">
        <x:v>unconfirmed</x:v>
      </x:c>
      <x:c r="AG18" s="18" t="str">
        <x:v>PARTIAL_NO_DATE</x:v>
      </x:c>
    </x:row>
    <x:row r="19">
      <x:c r="A19" s="18" t="str">
        <x:v>NYT-01-32313a36451e7e29</x:v>
      </x:c>
      <x:c r="B19" s="18" t="str">
        <x:v>Turkey–PKK insurgency</x:v>
      </x:c>
      <x:c r="C19" s="18" t="str"/>
      <x:c r="D19" s="18" t="str"/>
      <x:c r="E19" s="18" t="str"/>
      <x:c r="F19" s="18" t="str">
        <x:v>under review</x:v>
      </x:c>
      <x:c r="G19" s="18" t="str">
        <x:v>Separatist insurgency</x:v>
      </x:c>
      <x:c r="H19" s="18" t="str">
        <x:v>Middle East</x:v>
      </x:c>
      <x:c r="I19" s="18" t="str">
        <x:v>Turkey–PKK insurgency</x:v>
      </x:c>
      <x:c r="J19" s="20" t="str"/>
      <x:c r="K19" s="18" t="str"/>
      <x:c r="L19" s="18" t="str">
        <x:v>Middle East</x:v>
      </x:c>
      <x:c r="M19" s="18" t="str">
        <x:v>under review</x:v>
      </x:c>
      <x:c r="N19" s="18" t="str">
        <x:v>Turkey–PKK insurgency</x:v>
      </x:c>
      <x:c r="O19" s="18" t="str">
        <x:v>Separatist insurgency</x:v>
      </x:c>
      <x:c r="P19" s="18" t="str">
        <x:v>Medium</x:v>
      </x:c>
      <x:c r="Q19" s="18" t="str">
        <x:v>A 2025 PKK disarmament/dissolution process is underway, potentially ending one of the region's longest insurgencies.</x:v>
      </x:c>
      <x:c r="R19" s="18" t="n">
        <x:v>1984</x:v>
      </x:c>
      <x:c r="S19" s="18" t="str">
        <x:v>state</x:v>
      </x:c>
      <x:c r="T19" s="18" t="str">
        <x:v>Easing</x:v>
      </x:c>
      <x:c r="U19" s="18" t="str">
        <x:v>DEFINED_TERMINAL_OR_FEED_SCOPE</x:v>
      </x:c>
      <x:c r="V19" s="18" t="str">
        <x:v>geopolitics_war_tracker.json — published records loaded</x:v>
      </x:c>
      <x:c r="W19" s="18" t="str"/>
      <x:c r="X19" s="18" t="str"/>
      <x:c r="Y19" s="20" t="n">
        <x:v>88</x:v>
      </x:c>
      <x:c r="Z19" s="19" t="str">
        <x:f>IFERROR(TODAY()-DATEVALUE(C19),"")</x:f>
      </x:c>
      <x:c r="AA19" s="21" t="n">
        <x:f>ROUND(COUNTA(A19:K19)/11*100,0)</x:f>
        <x:v>100</x:v>
      </x:c>
      <x:c r="AB19" s="18" t="str">
        <x:v>ACLED API</x:v>
      </x:c>
      <x:c r="AC19" s="22" t="str">
        <x:v>https://acleddata.com/api/acled/read</x:v>
      </x:c>
      <x:c r="AD19" s="18" t="n">
        <x:v>46272.704938055555</x:v>
      </x:c>
      <x:c r="AE19" s="18" t="n">
        <x:v>46272.704938055555</x:v>
      </x:c>
      <x:c r="AF19" s="18" t="str">
        <x:v>unconfirmed</x:v>
      </x:c>
      <x:c r="AG19" s="18" t="str">
        <x:v>PARTIAL_NO_DATE</x:v>
      </x:c>
    </x:row>
    <x:row r="20">
      <x:c r="A20" s="18" t="str">
        <x:v>NYT-01-686d9de26f2d9054</x:v>
      </x:c>
      <x:c r="B20" s="18" t="str">
        <x:v>Israel — West Bank unrest</x:v>
      </x:c>
      <x:c r="C20" s="18" t="str"/>
      <x:c r="D20" s="18" t="str"/>
      <x:c r="E20" s="18" t="str"/>
      <x:c r="F20" s="18" t="str">
        <x:v>active</x:v>
      </x:c>
      <x:c r="G20" s="18" t="str">
        <x:v>Insurgency</x:v>
      </x:c>
      <x:c r="H20" s="18" t="str">
        <x:v>Middle East</x:v>
      </x:c>
      <x:c r="I20" s="18" t="str">
        <x:v>Israel — West Bank unrest</x:v>
      </x:c>
      <x:c r="J20" s="20" t="str"/>
      <x:c r="K20" s="18" t="str"/>
      <x:c r="L20" s="18" t="str">
        <x:v>Middle East</x:v>
      </x:c>
      <x:c r="M20" s="18" t="str">
        <x:v>active</x:v>
      </x:c>
      <x:c r="N20" s="18" t="str">
        <x:v>Israel — West Bank unrest</x:v>
      </x:c>
      <x:c r="O20" s="18" t="str">
        <x:v>Insurgency</x:v>
      </x:c>
      <x:c r="P20" s="18" t="str">
        <x:v>Medium</x:v>
      </x:c>
      <x:c r="Q20" s="18" t="str">
        <x:v>Recurrent Israeli raids, settler violence and militant attacks; settlement expansion sharpens tensions.</x:v>
      </x:c>
      <x:c r="R20" s="18" t="n">
        <x:v>2023</x:v>
      </x:c>
      <x:c r="S20" s="18" t="str">
        <x:v>state</x:v>
      </x:c>
      <x:c r="T20" s="18" t="str">
        <x:v>Escalating</x:v>
      </x:c>
      <x:c r="U20" s="18" t="str">
        <x:v>DEFINED_TERMINAL_OR_FEED_SCOPE</x:v>
      </x:c>
      <x:c r="V20" s="18" t="str">
        <x:v>geopolitics_war_tracker.json — published records loaded</x:v>
      </x:c>
      <x:c r="W20" s="18" t="str"/>
      <x:c r="X20" s="18" t="str"/>
      <x:c r="Y20" s="20" t="n">
        <x:v>88</x:v>
      </x:c>
      <x:c r="Z20" s="19" t="str">
        <x:f>IFERROR(TODAY()-DATEVALUE(C20),"")</x:f>
      </x:c>
      <x:c r="AA20" s="21" t="n">
        <x:f>ROUND(COUNTA(A20:K20)/11*100,0)</x:f>
        <x:v>100</x:v>
      </x:c>
      <x:c r="AB20" s="18" t="str">
        <x:v>ACLED API</x:v>
      </x:c>
      <x:c r="AC20" s="22" t="str">
        <x:v>https://acleddata.com/api/acled/read</x:v>
      </x:c>
      <x:c r="AD20" s="18" t="n">
        <x:v>46272.704938055555</x:v>
      </x:c>
      <x:c r="AE20" s="18" t="n">
        <x:v>46272.704938055555</x:v>
      </x:c>
      <x:c r="AF20" s="18" t="str">
        <x:v>unconfirmed</x:v>
      </x:c>
      <x:c r="AG20" s="18" t="str">
        <x:v>PARTIAL_NO_DATE</x:v>
      </x:c>
    </x:row>
    <x:row r="21">
      <x:c r="A21" s="18" t="str">
        <x:v>NYT-01-07a5585afece3f5e</x:v>
      </x:c>
      <x:c r="B21" s="18" t="str">
        <x:v>Turkey–Syria (SDF/YPG)</x:v>
      </x:c>
      <x:c r="C21" s="18" t="str"/>
      <x:c r="D21" s="18" t="str"/>
      <x:c r="E21" s="18" t="str"/>
      <x:c r="F21" s="18" t="str">
        <x:v>active</x:v>
      </x:c>
      <x:c r="G21" s="18" t="str">
        <x:v>Interstate war</x:v>
      </x:c>
      <x:c r="H21" s="18" t="str">
        <x:v>Middle East</x:v>
      </x:c>
      <x:c r="I21" s="18" t="str">
        <x:v>Turkey–Syria (SDF/YPG)</x:v>
      </x:c>
      <x:c r="J21" s="20" t="str"/>
      <x:c r="K21" s="18" t="str"/>
      <x:c r="L21" s="18" t="str">
        <x:v>Middle East</x:v>
      </x:c>
      <x:c r="M21" s="18" t="str">
        <x:v>active</x:v>
      </x:c>
      <x:c r="N21" s="18" t="str">
        <x:v>Turkey–Syria (SDF/YPG)</x:v>
      </x:c>
      <x:c r="O21" s="18" t="str">
        <x:v>Interstate war</x:v>
      </x:c>
      <x:c r="P21" s="18" t="str">
        <x:v>Medium</x:v>
      </x:c>
      <x:c r="Q21" s="18" t="str">
        <x:v>Turkish operations against Kurdish-led SDF continue; post-Assad realignment reopens questions on north-east Syria.</x:v>
      </x:c>
      <x:c r="R21" s="18" t="n">
        <x:v>2016</x:v>
      </x:c>
      <x:c r="S21" s="18" t="str">
        <x:v>state</x:v>
      </x:c>
      <x:c r="T21" s="18" t="str">
        <x:v>Escalating</x:v>
      </x:c>
      <x:c r="U21" s="18" t="str">
        <x:v>DEFINED_TERMINAL_OR_FEED_SCOPE</x:v>
      </x:c>
      <x:c r="V21" s="18" t="str">
        <x:v>geopolitics_war_tracker.json — published records loaded</x:v>
      </x:c>
      <x:c r="W21" s="18" t="str"/>
      <x:c r="X21" s="18" t="str"/>
      <x:c r="Y21" s="20" t="n">
        <x:v>88</x:v>
      </x:c>
      <x:c r="Z21" s="19" t="str">
        <x:f>IFERROR(TODAY()-DATEVALUE(C21),"")</x:f>
      </x:c>
      <x:c r="AA21" s="21" t="n">
        <x:f>ROUND(COUNTA(A21:K21)/11*100,0)</x:f>
        <x:v>100</x:v>
      </x:c>
      <x:c r="AB21" s="18" t="str">
        <x:v>ACLED API</x:v>
      </x:c>
      <x:c r="AC21" s="22" t="str">
        <x:v>https://acleddata.com/api/acled/read</x:v>
      </x:c>
      <x:c r="AD21" s="18" t="n">
        <x:v>46272.704938055555</x:v>
      </x:c>
      <x:c r="AE21" s="18" t="n">
        <x:v>46272.704938055555</x:v>
      </x:c>
      <x:c r="AF21" s="18" t="str">
        <x:v>unconfirmed</x:v>
      </x:c>
      <x:c r="AG21" s="18" t="str">
        <x:v>PARTIAL_NO_DATE</x:v>
      </x:c>
    </x:row>
    <x:row r="22">
      <x:c r="A22" s="18" t="str">
        <x:v>NYT-01-d2980681bbcc754b</x:v>
      </x:c>
      <x:c r="B22" s="18" t="str">
        <x:v>Israel–Syria strikes</x:v>
      </x:c>
      <x:c r="C22" s="18" t="str"/>
      <x:c r="D22" s="18" t="str"/>
      <x:c r="E22" s="18" t="str"/>
      <x:c r="F22" s="18" t="str">
        <x:v>active</x:v>
      </x:c>
      <x:c r="G22" s="18" t="str">
        <x:v>Interstate war</x:v>
      </x:c>
      <x:c r="H22" s="18" t="str">
        <x:v>Middle East</x:v>
      </x:c>
      <x:c r="I22" s="18" t="str">
        <x:v>Israel–Syria strikes</x:v>
      </x:c>
      <x:c r="J22" s="20" t="str"/>
      <x:c r="K22" s="18" t="str"/>
      <x:c r="L22" s="18" t="str">
        <x:v>Middle East</x:v>
      </x:c>
      <x:c r="M22" s="18" t="str">
        <x:v>active</x:v>
      </x:c>
      <x:c r="N22" s="18" t="str">
        <x:v>Israel–Syria strikes</x:v>
      </x:c>
      <x:c r="O22" s="18" t="str">
        <x:v>Interstate war</x:v>
      </x:c>
      <x:c r="P22" s="18" t="str">
        <x:v>Medium</x:v>
      </x:c>
      <x:c r="Q22" s="18" t="str">
        <x:v>Israel struck Syrian military assets during and after the transition, seizing a buffer zone near the Golan.</x:v>
      </x:c>
      <x:c r="R22" s="18" t="n">
        <x:v>2024</x:v>
      </x:c>
      <x:c r="S22" s="18" t="str">
        <x:v>state</x:v>
      </x:c>
      <x:c r="T22" s="18" t="str">
        <x:v>Escalating</x:v>
      </x:c>
      <x:c r="U22" s="18" t="str">
        <x:v>DEFINED_TERMINAL_OR_FEED_SCOPE</x:v>
      </x:c>
      <x:c r="V22" s="18" t="str">
        <x:v>geopolitics_war_tracker.json — published records loaded</x:v>
      </x:c>
      <x:c r="W22" s="18" t="str"/>
      <x:c r="X22" s="18" t="str"/>
      <x:c r="Y22" s="20" t="n">
        <x:v>88</x:v>
      </x:c>
      <x:c r="Z22" s="19" t="str">
        <x:f>IFERROR(TODAY()-DATEVALUE(C22),"")</x:f>
      </x:c>
      <x:c r="AA22" s="21" t="n">
        <x:f>ROUND(COUNTA(A22:K22)/11*100,0)</x:f>
        <x:v>100</x:v>
      </x:c>
      <x:c r="AB22" s="18" t="str">
        <x:v>ACLED API</x:v>
      </x:c>
      <x:c r="AC22" s="22" t="str">
        <x:v>https://acleddata.com/api/acled/read</x:v>
      </x:c>
      <x:c r="AD22" s="18" t="n">
        <x:v>46272.704938055555</x:v>
      </x:c>
      <x:c r="AE22" s="18" t="n">
        <x:v>46272.704938055555</x:v>
      </x:c>
      <x:c r="AF22" s="18" t="str">
        <x:v>unconfirmed</x:v>
      </x:c>
      <x:c r="AG22" s="18" t="str">
        <x:v>PARTIAL_NO_DATE</x:v>
      </x:c>
    </x:row>
    <x:row r="23">
      <x:c r="A23" s="18" t="str">
        <x:v>NYT-01-c38aeba675c59d94</x:v>
      </x:c>
      <x:c r="B23" s="18" t="str">
        <x:v>US–Iran Gulf standoff</x:v>
      </x:c>
      <x:c r="C23" s="18" t="str"/>
      <x:c r="D23" s="18" t="str"/>
      <x:c r="E23" s="18" t="str"/>
      <x:c r="F23" s="18" t="str">
        <x:v>under review</x:v>
      </x:c>
      <x:c r="G23" s="18" t="str">
        <x:v>Interstate standoff</x:v>
      </x:c>
      <x:c r="H23" s="18" t="str">
        <x:v>Middle East</x:v>
      </x:c>
      <x:c r="I23" s="18" t="str">
        <x:v>US–Iran Gulf standoff</x:v>
      </x:c>
      <x:c r="J23" s="20" t="str"/>
      <x:c r="K23" s="18" t="str"/>
      <x:c r="L23" s="18" t="str">
        <x:v>Middle East</x:v>
      </x:c>
      <x:c r="M23" s="18" t="str">
        <x:v>under review</x:v>
      </x:c>
      <x:c r="N23" s="18" t="str">
        <x:v>US–Iran Gulf standoff</x:v>
      </x:c>
      <x:c r="O23" s="18" t="str">
        <x:v>Interstate standoff</x:v>
      </x:c>
      <x:c r="P23" s="18" t="str">
        <x:v>Medium</x:v>
      </x:c>
      <x:c r="Q23" s="18" t="str">
        <x:v>Naval frictions in the Strait of Hormuz persist alongside sanctions pressure and nuclear diplomacy.</x:v>
      </x:c>
      <x:c r="R23" s="18" t="n">
        <x:v>2019</x:v>
      </x:c>
      <x:c r="S23" s="18" t="str">
        <x:v>state</x:v>
      </x:c>
      <x:c r="T23" s="18" t="str">
        <x:v>Stable</x:v>
      </x:c>
      <x:c r="U23" s="18" t="str">
        <x:v>DEFINED_TERMINAL_OR_FEED_SCOPE</x:v>
      </x:c>
      <x:c r="V23" s="18" t="str">
        <x:v>geopolitics_war_tracker.json — published records loaded</x:v>
      </x:c>
      <x:c r="W23" s="18" t="str"/>
      <x:c r="X23" s="18" t="str"/>
      <x:c r="Y23" s="20" t="n">
        <x:v>88</x:v>
      </x:c>
      <x:c r="Z23" s="19" t="str">
        <x:f>IFERROR(TODAY()-DATEVALUE(C23),"")</x:f>
      </x:c>
      <x:c r="AA23" s="21" t="n">
        <x:f>ROUND(COUNTA(A23:K23)/11*100,0)</x:f>
        <x:v>100</x:v>
      </x:c>
      <x:c r="AB23" s="18" t="str">
        <x:v>ACLED API</x:v>
      </x:c>
      <x:c r="AC23" s="22" t="str">
        <x:v>https://acleddata.com/api/acled/read</x:v>
      </x:c>
      <x:c r="AD23" s="18" t="n">
        <x:v>46272.704938055555</x:v>
      </x:c>
      <x:c r="AE23" s="18" t="n">
        <x:v>46272.704938055555</x:v>
      </x:c>
      <x:c r="AF23" s="18" t="str">
        <x:v>unconfirmed</x:v>
      </x:c>
      <x:c r="AG23" s="18" t="str">
        <x:v>PARTIAL_NO_DATE</x:v>
      </x:c>
    </x:row>
    <x:row r="24">
      <x:c r="A24" s="18" t="str">
        <x:v>NYT-01-4a764fdd4e090bb4</x:v>
      </x:c>
      <x:c r="B24" s="18" t="str">
        <x:v>Iran — Baloch/Kurdish unrest</x:v>
      </x:c>
      <x:c r="C24" s="18" t="str"/>
      <x:c r="D24" s="18" t="str"/>
      <x:c r="E24" s="18" t="str"/>
      <x:c r="F24" s="18" t="str">
        <x:v>low-intensity</x:v>
      </x:c>
      <x:c r="G24" s="18" t="str">
        <x:v>Insurgency</x:v>
      </x:c>
      <x:c r="H24" s="18" t="str">
        <x:v>Middle East</x:v>
      </x:c>
      <x:c r="I24" s="18" t="str">
        <x:v>Iran — Baloch/Kurdish unrest</x:v>
      </x:c>
      <x:c r="J24" s="20" t="str"/>
      <x:c r="K24" s="18" t="str"/>
      <x:c r="L24" s="18" t="str">
        <x:v>Middle East</x:v>
      </x:c>
      <x:c r="M24" s="18" t="str">
        <x:v>low-intensity</x:v>
      </x:c>
      <x:c r="N24" s="18" t="str">
        <x:v>Iran — Baloch/Kurdish unrest</x:v>
      </x:c>
      <x:c r="O24" s="18" t="str">
        <x:v>Insurgency</x:v>
      </x:c>
      <x:c r="P24" s="18" t="str">
        <x:v>Low</x:v>
      </x:c>
      <x:c r="Q24" s="18" t="str">
        <x:v>Sporadic clashes with Baloch (Jaish al-Adl) and Kurdish groups continue in the periphery.</x:v>
      </x:c>
      <x:c r="R24" s="18" t="n">
        <x:v>2022</x:v>
      </x:c>
      <x:c r="S24" s="18" t="str">
        <x:v>state</x:v>
      </x:c>
      <x:c r="T24" s="18" t="str">
        <x:v>Stable</x:v>
      </x:c>
      <x:c r="U24" s="18" t="str">
        <x:v>DEFINED_TERMINAL_OR_FEED_SCOPE</x:v>
      </x:c>
      <x:c r="V24" s="18" t="str">
        <x:v>geopolitics_war_tracker.json — published records loaded</x:v>
      </x:c>
      <x:c r="W24" s="18" t="str"/>
      <x:c r="X24" s="18" t="str"/>
      <x:c r="Y24" s="20" t="n">
        <x:v>88</x:v>
      </x:c>
      <x:c r="Z24" s="19" t="str">
        <x:f>IFERROR(TODAY()-DATEVALUE(C24),"")</x:f>
      </x:c>
      <x:c r="AA24" s="21" t="n">
        <x:f>ROUND(COUNTA(A24:K24)/11*100,0)</x:f>
        <x:v>100</x:v>
      </x:c>
      <x:c r="AB24" s="18" t="str">
        <x:v>ACLED API</x:v>
      </x:c>
      <x:c r="AC24" s="22" t="str">
        <x:v>https://acleddata.com/api/acled/read</x:v>
      </x:c>
      <x:c r="AD24" s="18" t="n">
        <x:v>46272.704938055555</x:v>
      </x:c>
      <x:c r="AE24" s="18" t="n">
        <x:v>46272.704938055555</x:v>
      </x:c>
      <x:c r="AF24" s="18" t="str">
        <x:v>unconfirmed</x:v>
      </x:c>
      <x:c r="AG24" s="18" t="str">
        <x:v>PARTIAL_NO_DATE</x:v>
      </x:c>
    </x:row>
    <x:row r="25">
      <x:c r="A25" s="18" t="str">
        <x:v>NYT-01-8bc821b6071da50b</x:v>
      </x:c>
      <x:c r="B25" s="18" t="str">
        <x:v>Libya — Civil conflict</x:v>
      </x:c>
      <x:c r="C25" s="18" t="str"/>
      <x:c r="D25" s="18" t="str"/>
      <x:c r="E25" s="18" t="str"/>
      <x:c r="F25" s="18" t="str">
        <x:v>ceasefire fragile</x:v>
      </x:c>
      <x:c r="G25" s="18" t="str">
        <x:v>Civil war</x:v>
      </x:c>
      <x:c r="H25" s="18" t="str">
        <x:v>North Africa</x:v>
      </x:c>
      <x:c r="I25" s="18" t="str">
        <x:v>Libya — Civil conflict</x:v>
      </x:c>
      <x:c r="J25" s="20" t="str"/>
      <x:c r="K25" s="18" t="str"/>
      <x:c r="L25" s="18" t="str">
        <x:v>North Africa</x:v>
      </x:c>
      <x:c r="M25" s="18" t="str">
        <x:v>ceasefire fragile</x:v>
      </x:c>
      <x:c r="N25" s="18" t="str">
        <x:v>Libya — Civil conflict</x:v>
      </x:c>
      <x:c r="O25" s="18" t="str">
        <x:v>Civil war</x:v>
      </x:c>
      <x:c r="P25" s="18" t="str">
        <x:v>Medium</x:v>
      </x:c>
      <x:c r="Q25" s="18" t="str">
        <x:v>Rival Tripoli and eastern administrations hold an uneasy truce; militia clashes and stalled elections recur.</x:v>
      </x:c>
      <x:c r="R25" s="18" t="n">
        <x:v>2014</x:v>
      </x:c>
      <x:c r="S25" s="18" t="str">
        <x:v>state</x:v>
      </x:c>
      <x:c r="T25" s="18" t="str">
        <x:v>Stable</x:v>
      </x:c>
      <x:c r="U25" s="18" t="str">
        <x:v>DEFINED_TERMINAL_OR_FEED_SCOPE</x:v>
      </x:c>
      <x:c r="V25" s="18" t="str">
        <x:v>geopolitics_war_tracker.json — published records loaded</x:v>
      </x:c>
      <x:c r="W25" s="18" t="str"/>
      <x:c r="X25" s="18" t="str"/>
      <x:c r="Y25" s="20" t="n">
        <x:v>88</x:v>
      </x:c>
      <x:c r="Z25" s="19" t="str">
        <x:f>IFERROR(TODAY()-DATEVALUE(C25),"")</x:f>
      </x:c>
      <x:c r="AA25" s="21" t="n">
        <x:f>ROUND(COUNTA(A25:K25)/11*100,0)</x:f>
        <x:v>100</x:v>
      </x:c>
      <x:c r="AB25" s="18" t="str">
        <x:v>ACLED API</x:v>
      </x:c>
      <x:c r="AC25" s="22" t="str">
        <x:v>https://acleddata.com/api/acled/read</x:v>
      </x:c>
      <x:c r="AD25" s="18" t="n">
        <x:v>46272.704938055555</x:v>
      </x:c>
      <x:c r="AE25" s="18" t="n">
        <x:v>46272.704938055555</x:v>
      </x:c>
      <x:c r="AF25" s="18" t="str">
        <x:v>unconfirmed</x:v>
      </x:c>
      <x:c r="AG25" s="18" t="str">
        <x:v>PARTIAL_NO_DATE</x:v>
      </x:c>
    </x:row>
    <x:row r="26">
      <x:c r="A26" s="18" t="str">
        <x:v>NYT-01-2e2cacfbcfd1764c</x:v>
      </x:c>
      <x:c r="B26" s="18" t="str">
        <x:v>Western Sahara (Morocco–Polisario)</x:v>
      </x:c>
      <x:c r="C26" s="18" t="str"/>
      <x:c r="D26" s="18" t="str"/>
      <x:c r="E26" s="18" t="str"/>
      <x:c r="F26" s="18" t="str">
        <x:v>active</x:v>
      </x:c>
      <x:c r="G26" s="18" t="str">
        <x:v>Territorial dispute</x:v>
      </x:c>
      <x:c r="H26" s="18" t="str">
        <x:v>North Africa</x:v>
      </x:c>
      <x:c r="I26" s="18" t="str">
        <x:v>Western Sahara (Morocco–Polisario)</x:v>
      </x:c>
      <x:c r="J26" s="20" t="str"/>
      <x:c r="K26" s="18" t="str"/>
      <x:c r="L26" s="18" t="str">
        <x:v>North Africa</x:v>
      </x:c>
      <x:c r="M26" s="18" t="str">
        <x:v>active</x:v>
      </x:c>
      <x:c r="N26" s="18" t="str">
        <x:v>Western Sahara (Morocco–Polisario)</x:v>
      </x:c>
      <x:c r="O26" s="18" t="str">
        <x:v>Territorial dispute</x:v>
      </x:c>
      <x:c r="P26" s="18" t="str">
        <x:v>Low</x:v>
      </x:c>
      <x:c r="Q26" s="18" t="str">
        <x:v>Low-level hostilities resumed after the 2020 ceasefire collapse; a UN-mediated status process remains stalled.</x:v>
      </x:c>
      <x:c r="R26" s="18" t="str">
        <x:v>1975 (resumed 2020)</x:v>
      </x:c>
      <x:c r="S26" s="18" t="str">
        <x:v>state</x:v>
      </x:c>
      <x:c r="T26" s="18" t="str">
        <x:v>Stable</x:v>
      </x:c>
      <x:c r="U26" s="18" t="str">
        <x:v>DEFINED_TERMINAL_OR_FEED_SCOPE</x:v>
      </x:c>
      <x:c r="V26" s="18" t="str">
        <x:v>geopolitics_war_tracker.json — published records loaded</x:v>
      </x:c>
      <x:c r="W26" s="18" t="str"/>
      <x:c r="X26" s="18" t="str"/>
      <x:c r="Y26" s="20" t="n">
        <x:v>88</x:v>
      </x:c>
      <x:c r="Z26" s="19" t="str">
        <x:f>IFERROR(TODAY()-DATEVALUE(C26),"")</x:f>
      </x:c>
      <x:c r="AA26" s="21" t="n">
        <x:f>ROUND(COUNTA(A26:K26)/11*100,0)</x:f>
        <x:v>100</x:v>
      </x:c>
      <x:c r="AB26" s="18" t="str">
        <x:v>ACLED API</x:v>
      </x:c>
      <x:c r="AC26" s="22" t="str">
        <x:v>https://acleddata.com/api/acled/read</x:v>
      </x:c>
      <x:c r="AD26" s="18" t="n">
        <x:v>46272.704938055555</x:v>
      </x:c>
      <x:c r="AE26" s="18" t="n">
        <x:v>46272.704938055555</x:v>
      </x:c>
      <x:c r="AF26" s="18" t="str">
        <x:v>unconfirmed</x:v>
      </x:c>
      <x:c r="AG26" s="18" t="str">
        <x:v>PARTIAL_NO_DATE</x:v>
      </x:c>
    </x:row>
    <x:row r="27">
      <x:c r="A27" s="18" t="str">
        <x:v>NYT-01-bada09af76e94294</x:v>
      </x:c>
      <x:c r="B27" s="18" t="str">
        <x:v>Egypt — Sinai insurgency</x:v>
      </x:c>
      <x:c r="C27" s="18" t="str"/>
      <x:c r="D27" s="18" t="str"/>
      <x:c r="E27" s="18" t="str"/>
      <x:c r="F27" s="18" t="str">
        <x:v>low-intensity</x:v>
      </x:c>
      <x:c r="G27" s="18" t="str">
        <x:v>Jihadist insurgency</x:v>
      </x:c>
      <x:c r="H27" s="18" t="str">
        <x:v>North Africa</x:v>
      </x:c>
      <x:c r="I27" s="18" t="str">
        <x:v>Egypt — Sinai insurgency</x:v>
      </x:c>
      <x:c r="J27" s="20" t="str"/>
      <x:c r="K27" s="18" t="str"/>
      <x:c r="L27" s="18" t="str">
        <x:v>North Africa</x:v>
      </x:c>
      <x:c r="M27" s="18" t="str">
        <x:v>low-intensity</x:v>
      </x:c>
      <x:c r="N27" s="18" t="str">
        <x:v>Egypt — Sinai insurgency</x:v>
      </x:c>
      <x:c r="O27" s="18" t="str">
        <x:v>Jihadist insurgency</x:v>
      </x:c>
      <x:c r="P27" s="18" t="str">
        <x:v>Low</x:v>
      </x:c>
      <x:c r="Q27" s="18" t="str">
        <x:v>Militant activity in northern Sinai has declined substantially after prolonged military operations.</x:v>
      </x:c>
      <x:c r="R27" s="18" t="n">
        <x:v>2011</x:v>
      </x:c>
      <x:c r="S27" s="18" t="str">
        <x:v>state</x:v>
      </x:c>
      <x:c r="T27" s="18" t="str">
        <x:v>Easing</x:v>
      </x:c>
      <x:c r="U27" s="18" t="str">
        <x:v>DEFINED_TERMINAL_OR_FEED_SCOPE</x:v>
      </x:c>
      <x:c r="V27" s="18" t="str">
        <x:v>geopolitics_war_tracker.json — published records loaded</x:v>
      </x:c>
      <x:c r="W27" s="18" t="str"/>
      <x:c r="X27" s="18" t="str"/>
      <x:c r="Y27" s="20" t="n">
        <x:v>88</x:v>
      </x:c>
      <x:c r="Z27" s="19" t="str">
        <x:f>IFERROR(TODAY()-DATEVALUE(C27),"")</x:f>
      </x:c>
      <x:c r="AA27" s="21" t="n">
        <x:f>ROUND(COUNTA(A27:K27)/11*100,0)</x:f>
        <x:v>100</x:v>
      </x:c>
      <x:c r="AB27" s="18" t="str">
        <x:v>ACLED API</x:v>
      </x:c>
      <x:c r="AC27" s="22" t="str">
        <x:v>https://acleddata.com/api/acled/read</x:v>
      </x:c>
      <x:c r="AD27" s="18" t="n">
        <x:v>46272.704938055555</x:v>
      </x:c>
      <x:c r="AE27" s="18" t="n">
        <x:v>46272.704938055555</x:v>
      </x:c>
      <x:c r="AF27" s="18" t="str">
        <x:v>unconfirmed</x:v>
      </x:c>
      <x:c r="AG27" s="18" t="str">
        <x:v>PARTIAL_NO_DATE</x:v>
      </x:c>
    </x:row>
    <x:row r="28">
      <x:c r="A28" s="18" t="str">
        <x:v>NYT-01-bf3c827bf43edfe6</x:v>
      </x:c>
      <x:c r="B28" s="18" t="str">
        <x:v>Tunisia — Political crisis</x:v>
      </x:c>
      <x:c r="C28" s="18" t="str"/>
      <x:c r="D28" s="18" t="str"/>
      <x:c r="E28" s="18" t="str"/>
      <x:c r="F28" s="18" t="str">
        <x:v>under review</x:v>
      </x:c>
      <x:c r="G28" s="18" t="str">
        <x:v>Political crisis</x:v>
      </x:c>
      <x:c r="H28" s="18" t="str">
        <x:v>North Africa</x:v>
      </x:c>
      <x:c r="I28" s="18" t="str">
        <x:v>Tunisia — Political crisis</x:v>
      </x:c>
      <x:c r="J28" s="20" t="str"/>
      <x:c r="K28" s="18" t="str"/>
      <x:c r="L28" s="18" t="str">
        <x:v>North Africa</x:v>
      </x:c>
      <x:c r="M28" s="18" t="str">
        <x:v>under review</x:v>
      </x:c>
      <x:c r="N28" s="18" t="str">
        <x:v>Tunisia — Political crisis</x:v>
      </x:c>
      <x:c r="O28" s="18" t="str">
        <x:v>Political crisis</x:v>
      </x:c>
      <x:c r="P28" s="18" t="str">
        <x:v>Low</x:v>
      </x:c>
      <x:c r="Q28" s="18" t="str">
        <x:v>Executive consolidation of power and opposition arrests keep governance contested.</x:v>
      </x:c>
      <x:c r="R28" s="18" t="n">
        <x:v>2021</x:v>
      </x:c>
      <x:c r="S28" s="18" t="str">
        <x:v>state</x:v>
      </x:c>
      <x:c r="T28" s="18" t="str">
        <x:v>Stable</x:v>
      </x:c>
      <x:c r="U28" s="18" t="str">
        <x:v>DEFINED_TERMINAL_OR_FEED_SCOPE</x:v>
      </x:c>
      <x:c r="V28" s="18" t="str">
        <x:v>geopolitics_war_tracker.json — published records loaded</x:v>
      </x:c>
      <x:c r="W28" s="18" t="str"/>
      <x:c r="X28" s="18" t="str"/>
      <x:c r="Y28" s="20" t="n">
        <x:v>88</x:v>
      </x:c>
      <x:c r="Z28" s="19" t="str">
        <x:f>IFERROR(TODAY()-DATEVALUE(C28),"")</x:f>
      </x:c>
      <x:c r="AA28" s="21" t="n">
        <x:f>ROUND(COUNTA(A28:K28)/11*100,0)</x:f>
        <x:v>100</x:v>
      </x:c>
      <x:c r="AB28" s="18" t="str">
        <x:v>ACLED API</x:v>
      </x:c>
      <x:c r="AC28" s="22" t="str">
        <x:v>https://acleddata.com/api/acled/read</x:v>
      </x:c>
      <x:c r="AD28" s="18" t="n">
        <x:v>46272.704938055555</x:v>
      </x:c>
      <x:c r="AE28" s="18" t="n">
        <x:v>46272.704938055555</x:v>
      </x:c>
      <x:c r="AF28" s="18" t="str">
        <x:v>unconfirmed</x:v>
      </x:c>
      <x:c r="AG28" s="18" t="str">
        <x:v>PARTIAL_NO_DATE</x:v>
      </x:c>
    </x:row>
    <x:row r="29">
      <x:c r="A29" s="18" t="str">
        <x:v>NYT-01-f9920f89cbc275d3</x:v>
      </x:c>
      <x:c r="B29" s="18" t="str">
        <x:v>Mali — Jihadist insurgency (JNIM/ISGS)</x:v>
      </x:c>
      <x:c r="C29" s="18" t="str"/>
      <x:c r="D29" s="18" t="str"/>
      <x:c r="E29" s="18" t="str"/>
      <x:c r="F29" s="18" t="str">
        <x:v>active</x:v>
      </x:c>
      <x:c r="G29" s="18" t="str">
        <x:v>Jihadist insurgency</x:v>
      </x:c>
      <x:c r="H29" s="18" t="str">
        <x:v>West Africa</x:v>
      </x:c>
      <x:c r="I29" s="18" t="str">
        <x:v>Mali — Jihadist insurgency (JNIM/ISGS)</x:v>
      </x:c>
      <x:c r="J29" s="20" t="str"/>
      <x:c r="K29" s="18" t="str"/>
      <x:c r="L29" s="18" t="str">
        <x:v>West Africa</x:v>
      </x:c>
      <x:c r="M29" s="18" t="str">
        <x:v>active</x:v>
      </x:c>
      <x:c r="N29" s="18" t="str">
        <x:v>Mali — Jihadist insurgency (JNIM/ISGS)</x:v>
      </x:c>
      <x:c r="O29" s="18" t="str">
        <x:v>Jihadist insurgency</x:v>
      </x:c>
      <x:c r="P29" s="18" t="str">
        <x:v>High</x:v>
      </x:c>
      <x:c r="Q29" s="18" t="str">
        <x:v>Al-Qaeda- and IS-affiliated groups expand amid the junta's pivot to Russian security partners and UN mission exit.</x:v>
      </x:c>
      <x:c r="R29" s="18" t="n">
        <x:v>2012</x:v>
      </x:c>
      <x:c r="S29" s="18" t="str">
        <x:v>state</x:v>
      </x:c>
      <x:c r="T29" s="18" t="str">
        <x:v>Escalating</x:v>
      </x:c>
      <x:c r="U29" s="18" t="str">
        <x:v>DEFINED_TERMINAL_OR_FEED_SCOPE</x:v>
      </x:c>
      <x:c r="V29" s="18" t="str">
        <x:v>geopolitics_war_tracker.json — published records loaded</x:v>
      </x:c>
      <x:c r="W29" s="18" t="str"/>
      <x:c r="X29" s="18" t="str"/>
      <x:c r="Y29" s="20" t="n">
        <x:v>88</x:v>
      </x:c>
      <x:c r="Z29" s="19" t="str">
        <x:f>IFERROR(TODAY()-DATEVALUE(C29),"")</x:f>
      </x:c>
      <x:c r="AA29" s="21" t="n">
        <x:f>ROUND(COUNTA(A29:K29)/11*100,0)</x:f>
        <x:v>100</x:v>
      </x:c>
      <x:c r="AB29" s="18" t="str">
        <x:v>ACLED API</x:v>
      </x:c>
      <x:c r="AC29" s="22" t="str">
        <x:v>https://acleddata.com/api/acled/read</x:v>
      </x:c>
      <x:c r="AD29" s="18" t="n">
        <x:v>46272.704938055555</x:v>
      </x:c>
      <x:c r="AE29" s="18" t="n">
        <x:v>46272.704938055555</x:v>
      </x:c>
      <x:c r="AF29" s="18" t="str">
        <x:v>unconfirmed</x:v>
      </x:c>
      <x:c r="AG29" s="18" t="str">
        <x:v>PARTIAL_NO_DATE</x:v>
      </x:c>
    </x:row>
    <x:row r="30">
      <x:c r="A30" s="18" t="str">
        <x:v>NYT-01-b22dbc2771f2d782</x:v>
      </x:c>
      <x:c r="B30" s="18" t="str">
        <x:v>Burkina Faso — Insurgency</x:v>
      </x:c>
      <x:c r="C30" s="18" t="str"/>
      <x:c r="D30" s="18" t="str"/>
      <x:c r="E30" s="18" t="str"/>
      <x:c r="F30" s="18" t="str">
        <x:v>active</x:v>
      </x:c>
      <x:c r="G30" s="18" t="str">
        <x:v>Jihadist insurgency</x:v>
      </x:c>
      <x:c r="H30" s="18" t="str">
        <x:v>West Africa</x:v>
      </x:c>
      <x:c r="I30" s="18" t="str">
        <x:v>Burkina Faso — Insurgency</x:v>
      </x:c>
      <x:c r="J30" s="20" t="str"/>
      <x:c r="K30" s="18" t="str"/>
      <x:c r="L30" s="18" t="str">
        <x:v>West Africa</x:v>
      </x:c>
      <x:c r="M30" s="18" t="str">
        <x:v>active</x:v>
      </x:c>
      <x:c r="N30" s="18" t="str">
        <x:v>Burkina Faso — Insurgency</x:v>
      </x:c>
      <x:c r="O30" s="18" t="str">
        <x:v>Jihadist insurgency</x:v>
      </x:c>
      <x:c r="P30" s="18" t="str">
        <x:v>High</x:v>
      </x:c>
      <x:c r="Q30" s="18" t="str">
        <x:v>One of the world's fastest-growing displacement crises; large territory outside state control.</x:v>
      </x:c>
      <x:c r="R30" s="18" t="n">
        <x:v>2015</x:v>
      </x:c>
      <x:c r="S30" s="18" t="str">
        <x:v>state</x:v>
      </x:c>
      <x:c r="T30" s="18" t="str">
        <x:v>Escalating</x:v>
      </x:c>
      <x:c r="U30" s="18" t="str">
        <x:v>DEFINED_TERMINAL_OR_FEED_SCOPE</x:v>
      </x:c>
      <x:c r="V30" s="18" t="str">
        <x:v>geopolitics_war_tracker.json — published records loaded</x:v>
      </x:c>
      <x:c r="W30" s="18" t="str"/>
      <x:c r="X30" s="18" t="str"/>
      <x:c r="Y30" s="20" t="n">
        <x:v>88</x:v>
      </x:c>
      <x:c r="Z30" s="19" t="str">
        <x:f>IFERROR(TODAY()-DATEVALUE(C30),"")</x:f>
      </x:c>
      <x:c r="AA30" s="21" t="n">
        <x:f>ROUND(COUNTA(A30:K30)/11*100,0)</x:f>
        <x:v>100</x:v>
      </x:c>
      <x:c r="AB30" s="18" t="str">
        <x:v>ACLED API</x:v>
      </x:c>
      <x:c r="AC30" s="22" t="str">
        <x:v>https://acleddata.com/api/acled/read</x:v>
      </x:c>
      <x:c r="AD30" s="18" t="n">
        <x:v>46272.704938055555</x:v>
      </x:c>
      <x:c r="AE30" s="18" t="n">
        <x:v>46272.704938055555</x:v>
      </x:c>
      <x:c r="AF30" s="18" t="str">
        <x:v>unconfirmed</x:v>
      </x:c>
      <x:c r="AG30" s="18" t="str">
        <x:v>PARTIAL_NO_DATE</x:v>
      </x:c>
    </x:row>
    <x:row r="31">
      <x:c r="A31" s="18" t="str">
        <x:v>NYT-01-53d6c6bae749c10d</x:v>
      </x:c>
      <x:c r="B31" s="18" t="str">
        <x:v>Niger — Insurgency &amp; instability</x:v>
      </x:c>
      <x:c r="C31" s="18" t="str"/>
      <x:c r="D31" s="18" t="str"/>
      <x:c r="E31" s="18" t="str"/>
      <x:c r="F31" s="18" t="str">
        <x:v>active</x:v>
      </x:c>
      <x:c r="G31" s="18" t="str">
        <x:v>Jihadist insurgency</x:v>
      </x:c>
      <x:c r="H31" s="18" t="str">
        <x:v>West Africa</x:v>
      </x:c>
      <x:c r="I31" s="18" t="str">
        <x:v>Niger — Insurgency &amp; instability</x:v>
      </x:c>
      <x:c r="J31" s="20" t="str"/>
      <x:c r="K31" s="18" t="str"/>
      <x:c r="L31" s="18" t="str">
        <x:v>West Africa</x:v>
      </x:c>
      <x:c r="M31" s="18" t="str">
        <x:v>active</x:v>
      </x:c>
      <x:c r="N31" s="18" t="str">
        <x:v>Niger — Insurgency &amp; instability</x:v>
      </x:c>
      <x:c r="O31" s="18" t="str">
        <x:v>Jihadist insurgency</x:v>
      </x:c>
      <x:c r="P31" s="18" t="str">
        <x:v>High</x:v>
      </x:c>
      <x:c r="Q31" s="18" t="str">
        <x:v>Post-coup junta realigned away from Western partners as tri-border militant violence persists.</x:v>
      </x:c>
      <x:c r="R31" s="18" t="n">
        <x:v>2015</x:v>
      </x:c>
      <x:c r="S31" s="18" t="str">
        <x:v>state</x:v>
      </x:c>
      <x:c r="T31" s="18" t="str">
        <x:v>Escalating</x:v>
      </x:c>
      <x:c r="U31" s="18" t="str">
        <x:v>DEFINED_TERMINAL_OR_FEED_SCOPE</x:v>
      </x:c>
      <x:c r="V31" s="18" t="str">
        <x:v>geopolitics_war_tracker.json — published records loaded</x:v>
      </x:c>
      <x:c r="W31" s="18" t="str"/>
      <x:c r="X31" s="18" t="str"/>
      <x:c r="Y31" s="20" t="n">
        <x:v>88</x:v>
      </x:c>
      <x:c r="Z31" s="19" t="str">
        <x:f>IFERROR(TODAY()-DATEVALUE(C31),"")</x:f>
      </x:c>
      <x:c r="AA31" s="21" t="n">
        <x:f>ROUND(COUNTA(A31:K31)/11*100,0)</x:f>
        <x:v>100</x:v>
      </x:c>
      <x:c r="AB31" s="18" t="str">
        <x:v>ACLED API</x:v>
      </x:c>
      <x:c r="AC31" s="22" t="str">
        <x:v>https://acleddata.com/api/acled/read</x:v>
      </x:c>
      <x:c r="AD31" s="18" t="n">
        <x:v>46272.704938055555</x:v>
      </x:c>
      <x:c r="AE31" s="18" t="n">
        <x:v>46272.704938055555</x:v>
      </x:c>
      <x:c r="AF31" s="18" t="str">
        <x:v>unconfirmed</x:v>
      </x:c>
      <x:c r="AG31" s="18" t="str">
        <x:v>PARTIAL_NO_DATE</x:v>
      </x:c>
    </x:row>
    <x:row r="32">
      <x:c r="A32" s="18" t="str">
        <x:v>NYT-01-ebcb65aaf51c120f</x:v>
      </x:c>
      <x:c r="B32" s="18" t="str">
        <x:v>Nigeria — Boko Haram / ISWAP</x:v>
      </x:c>
      <x:c r="C32" s="18" t="str"/>
      <x:c r="D32" s="18" t="str"/>
      <x:c r="E32" s="18" t="str"/>
      <x:c r="F32" s="18" t="str">
        <x:v>active</x:v>
      </x:c>
      <x:c r="G32" s="18" t="str">
        <x:v>Jihadist insurgency</x:v>
      </x:c>
      <x:c r="H32" s="18" t="str">
        <x:v>West Africa</x:v>
      </x:c>
      <x:c r="I32" s="18" t="str">
        <x:v>Nigeria — Boko Haram / ISWAP</x:v>
      </x:c>
      <x:c r="J32" s="20" t="str"/>
      <x:c r="K32" s="18" t="str"/>
      <x:c r="L32" s="18" t="str">
        <x:v>West Africa</x:v>
      </x:c>
      <x:c r="M32" s="18" t="str">
        <x:v>active</x:v>
      </x:c>
      <x:c r="N32" s="18" t="str">
        <x:v>Nigeria — Boko Haram / ISWAP</x:v>
      </x:c>
      <x:c r="O32" s="18" t="str">
        <x:v>Jihadist insurgency</x:v>
      </x:c>
      <x:c r="P32" s="18" t="str">
        <x:v>High</x:v>
      </x:c>
      <x:c r="Q32" s="18" t="str">
        <x:v>Insurgency entrenched around Lake Chad; ISWAP has eclipsed the original Boko Haram faction.</x:v>
      </x:c>
      <x:c r="R32" s="18" t="n">
        <x:v>2009</x:v>
      </x:c>
      <x:c r="S32" s="18" t="str">
        <x:v>state</x:v>
      </x:c>
      <x:c r="T32" s="18" t="str">
        <x:v>Stable</x:v>
      </x:c>
      <x:c r="U32" s="18" t="str">
        <x:v>DEFINED_TERMINAL_OR_FEED_SCOPE</x:v>
      </x:c>
      <x:c r="V32" s="18" t="str">
        <x:v>geopolitics_war_tracker.json — published records loaded</x:v>
      </x:c>
      <x:c r="W32" s="18" t="str"/>
      <x:c r="X32" s="18" t="str"/>
      <x:c r="Y32" s="20" t="n">
        <x:v>88</x:v>
      </x:c>
      <x:c r="Z32" s="19" t="str">
        <x:f>IFERROR(TODAY()-DATEVALUE(C32),"")</x:f>
      </x:c>
      <x:c r="AA32" s="21" t="n">
        <x:f>ROUND(COUNTA(A32:K32)/11*100,0)</x:f>
        <x:v>100</x:v>
      </x:c>
      <x:c r="AB32" s="18" t="str">
        <x:v>ACLED API</x:v>
      </x:c>
      <x:c r="AC32" s="22" t="str">
        <x:v>https://acleddata.com/api/acled/read</x:v>
      </x:c>
      <x:c r="AD32" s="18" t="n">
        <x:v>46272.704938055555</x:v>
      </x:c>
      <x:c r="AE32" s="18" t="n">
        <x:v>46272.704938055555</x:v>
      </x:c>
      <x:c r="AF32" s="18" t="str">
        <x:v>unconfirmed</x:v>
      </x:c>
      <x:c r="AG32" s="18" t="str">
        <x:v>PARTIAL_NO_DATE</x:v>
      </x:c>
    </x:row>
    <x:row r="33">
      <x:c r="A33" s="18" t="str">
        <x:v>NYT-01-d1480c1b3962b3bc</x:v>
      </x:c>
      <x:c r="B33" s="18" t="str">
        <x:v>Nigeria — Banditry &amp; farmer–herder</x:v>
      </x:c>
      <x:c r="C33" s="18" t="str"/>
      <x:c r="D33" s="18" t="str"/>
      <x:c r="E33" s="18" t="str"/>
      <x:c r="F33" s="18" t="str">
        <x:v>active</x:v>
      </x:c>
      <x:c r="G33" s="18" t="str">
        <x:v>Communal / criminal</x:v>
      </x:c>
      <x:c r="H33" s="18" t="str">
        <x:v>West Africa</x:v>
      </x:c>
      <x:c r="I33" s="18" t="str">
        <x:v>Nigeria — Banditry &amp; farmer–herder</x:v>
      </x:c>
      <x:c r="J33" s="20" t="str"/>
      <x:c r="K33" s="18" t="str"/>
      <x:c r="L33" s="18" t="str">
        <x:v>West Africa</x:v>
      </x:c>
      <x:c r="M33" s="18" t="str">
        <x:v>active</x:v>
      </x:c>
      <x:c r="N33" s="18" t="str">
        <x:v>Nigeria — Banditry &amp; farmer–herder</x:v>
      </x:c>
      <x:c r="O33" s="18" t="str">
        <x:v>Communal / criminal</x:v>
      </x:c>
      <x:c r="P33" s="18" t="str">
        <x:v>Medium</x:v>
      </x:c>
      <x:c r="Q33" s="18" t="str">
        <x:v>Armed 'bandit' groups and communal violence drive mass kidnappings across the north-west and Middle Belt.</x:v>
      </x:c>
      <x:c r="R33" s="18" t="n">
        <x:v>2018</x:v>
      </x:c>
      <x:c r="S33" s="18" t="str">
        <x:v>state</x:v>
      </x:c>
      <x:c r="T33" s="18" t="str">
        <x:v>Escalating</x:v>
      </x:c>
      <x:c r="U33" s="18" t="str">
        <x:v>DEFINED_TERMINAL_OR_FEED_SCOPE</x:v>
      </x:c>
      <x:c r="V33" s="18" t="str">
        <x:v>geopolitics_war_tracker.json — published records loaded</x:v>
      </x:c>
      <x:c r="W33" s="18" t="str"/>
      <x:c r="X33" s="18" t="str"/>
      <x:c r="Y33" s="20" t="n">
        <x:v>88</x:v>
      </x:c>
      <x:c r="Z33" s="19" t="str">
        <x:f>IFERROR(TODAY()-DATEVALUE(C33),"")</x:f>
      </x:c>
      <x:c r="AA33" s="21" t="n">
        <x:f>ROUND(COUNTA(A33:K33)/11*100,0)</x:f>
        <x:v>100</x:v>
      </x:c>
      <x:c r="AB33" s="18" t="str">
        <x:v>ACLED API</x:v>
      </x:c>
      <x:c r="AC33" s="22" t="str">
        <x:v>https://acleddata.com/api/acled/read</x:v>
      </x:c>
      <x:c r="AD33" s="18" t="n">
        <x:v>46272.704938055555</x:v>
      </x:c>
      <x:c r="AE33" s="18" t="n">
        <x:v>46272.704938055555</x:v>
      </x:c>
      <x:c r="AF33" s="18" t="str">
        <x:v>unconfirmed</x:v>
      </x:c>
      <x:c r="AG33" s="18" t="str">
        <x:v>PARTIAL_NO_DATE</x:v>
      </x:c>
    </x:row>
    <x:row r="34">
      <x:c r="A34" s="18" t="str">
        <x:v>NYT-01-45975ee075d0d87e</x:v>
      </x:c>
      <x:c r="B34" s="18" t="str">
        <x:v>Cameroon — Anglophone crisis</x:v>
      </x:c>
      <x:c r="C34" s="18" t="str"/>
      <x:c r="D34" s="18" t="str"/>
      <x:c r="E34" s="18" t="str"/>
      <x:c r="F34" s="18" t="str">
        <x:v>active</x:v>
      </x:c>
      <x:c r="G34" s="18" t="str">
        <x:v>Separatist insurgency</x:v>
      </x:c>
      <x:c r="H34" s="18" t="str">
        <x:v>West Africa</x:v>
      </x:c>
      <x:c r="I34" s="18" t="str">
        <x:v>Cameroon — Anglophone crisis</x:v>
      </x:c>
      <x:c r="J34" s="20" t="str"/>
      <x:c r="K34" s="18" t="str"/>
      <x:c r="L34" s="18" t="str">
        <x:v>West Africa</x:v>
      </x:c>
      <x:c r="M34" s="18" t="str">
        <x:v>active</x:v>
      </x:c>
      <x:c r="N34" s="18" t="str">
        <x:v>Cameroon — Anglophone crisis</x:v>
      </x:c>
      <x:c r="O34" s="18" t="str">
        <x:v>Separatist insurgency</x:v>
      </x:c>
      <x:c r="P34" s="18" t="str">
        <x:v>Medium</x:v>
      </x:c>
      <x:c r="Q34" s="18" t="str">
        <x:v>Ambazonian separatists and security forces clash in the two Anglophone regions; dialogue stalled.</x:v>
      </x:c>
      <x:c r="R34" s="18" t="n">
        <x:v>2017</x:v>
      </x:c>
      <x:c r="S34" s="18" t="str">
        <x:v>state</x:v>
      </x:c>
      <x:c r="T34" s="18" t="str">
        <x:v>Stable</x:v>
      </x:c>
      <x:c r="U34" s="18" t="str">
        <x:v>DEFINED_TERMINAL_OR_FEED_SCOPE</x:v>
      </x:c>
      <x:c r="V34" s="18" t="str">
        <x:v>geopolitics_war_tracker.json — published records loaded</x:v>
      </x:c>
      <x:c r="W34" s="18" t="str"/>
      <x:c r="X34" s="18" t="str"/>
      <x:c r="Y34" s="20" t="n">
        <x:v>88</x:v>
      </x:c>
      <x:c r="Z34" s="19" t="str">
        <x:f>IFERROR(TODAY()-DATEVALUE(C34),"")</x:f>
      </x:c>
      <x:c r="AA34" s="21" t="n">
        <x:f>ROUND(COUNTA(A34:K34)/11*100,0)</x:f>
        <x:v>100</x:v>
      </x:c>
      <x:c r="AB34" s="18" t="str">
        <x:v>ACLED API</x:v>
      </x:c>
      <x:c r="AC34" s="22" t="str">
        <x:v>https://acleddata.com/api/acled/read</x:v>
      </x:c>
      <x:c r="AD34" s="18" t="n">
        <x:v>46272.704938055555</x:v>
      </x:c>
      <x:c r="AE34" s="18" t="n">
        <x:v>46272.704938055555</x:v>
      </x:c>
      <x:c r="AF34" s="18" t="str">
        <x:v>unconfirmed</x:v>
      </x:c>
      <x:c r="AG34" s="18" t="str">
        <x:v>PARTIAL_NO_DATE</x:v>
      </x:c>
    </x:row>
    <x:row r="35">
      <x:c r="A35" s="18" t="str">
        <x:v>NYT-01-8a1f9695761e81f2</x:v>
      </x:c>
      <x:c r="B35" s="18" t="str">
        <x:v>Mali — Azawad / CSP-Tuareg</x:v>
      </x:c>
      <x:c r="C35" s="18" t="str"/>
      <x:c r="D35" s="18" t="str"/>
      <x:c r="E35" s="18" t="str"/>
      <x:c r="F35" s="18" t="str">
        <x:v>active</x:v>
      </x:c>
      <x:c r="G35" s="18" t="str">
        <x:v>Separatist insurgency</x:v>
      </x:c>
      <x:c r="H35" s="18" t="str">
        <x:v>West Africa</x:v>
      </x:c>
      <x:c r="I35" s="18" t="str">
        <x:v>Mali — Azawad / CSP-Tuareg</x:v>
      </x:c>
      <x:c r="J35" s="20" t="str"/>
      <x:c r="K35" s="18" t="str"/>
      <x:c r="L35" s="18" t="str">
        <x:v>West Africa</x:v>
      </x:c>
      <x:c r="M35" s="18" t="str">
        <x:v>active</x:v>
      </x:c>
      <x:c r="N35" s="18" t="str">
        <x:v>Mali — Azawad / CSP-Tuareg</x:v>
      </x:c>
      <x:c r="O35" s="18" t="str">
        <x:v>Separatist insurgency</x:v>
      </x:c>
      <x:c r="P35" s="18" t="str">
        <x:v>Medium</x:v>
      </x:c>
      <x:c r="Q35" s="18" t="str">
        <x:v>Northern Tuareg coalition resumed fighting the state after the 2015 Algiers accord collapsed.</x:v>
      </x:c>
      <x:c r="R35" s="18" t="n">
        <x:v>2023</x:v>
      </x:c>
      <x:c r="S35" s="18" t="str">
        <x:v>state</x:v>
      </x:c>
      <x:c r="T35" s="18" t="str">
        <x:v>Escalating</x:v>
      </x:c>
      <x:c r="U35" s="18" t="str">
        <x:v>DEFINED_TERMINAL_OR_FEED_SCOPE</x:v>
      </x:c>
      <x:c r="V35" s="18" t="str">
        <x:v>geopolitics_war_tracker.json — published records loaded</x:v>
      </x:c>
      <x:c r="W35" s="18" t="str"/>
      <x:c r="X35" s="18" t="str"/>
      <x:c r="Y35" s="20" t="n">
        <x:v>88</x:v>
      </x:c>
      <x:c r="Z35" s="19" t="str">
        <x:f>IFERROR(TODAY()-DATEVALUE(C35),"")</x:f>
      </x:c>
      <x:c r="AA35" s="21" t="n">
        <x:f>ROUND(COUNTA(A35:K35)/11*100,0)</x:f>
        <x:v>100</x:v>
      </x:c>
      <x:c r="AB35" s="18" t="str">
        <x:v>ACLED API</x:v>
      </x:c>
      <x:c r="AC35" s="22" t="str">
        <x:v>https://acleddata.com/api/acled/read</x:v>
      </x:c>
      <x:c r="AD35" s="18" t="n">
        <x:v>46272.704938055555</x:v>
      </x:c>
      <x:c r="AE35" s="18" t="n">
        <x:v>46272.704938055555</x:v>
      </x:c>
      <x:c r="AF35" s="18" t="str">
        <x:v>unconfirmed</x:v>
      </x:c>
      <x:c r="AG35" s="18" t="str">
        <x:v>PARTIAL_NO_DATE</x:v>
      </x:c>
    </x:row>
    <x:row r="36">
      <x:c r="A36" s="18" t="str">
        <x:v>NYT-01-b185d5832d4158a5</x:v>
      </x:c>
      <x:c r="B36" s="18" t="str">
        <x:v>Coastal spillover (Benin/Togo)</x:v>
      </x:c>
      <x:c r="C36" s="18" t="str"/>
      <x:c r="D36" s="18" t="str"/>
      <x:c r="E36" s="18" t="str"/>
      <x:c r="F36" s="18" t="str">
        <x:v>active</x:v>
      </x:c>
      <x:c r="G36" s="18" t="str">
        <x:v>Jihadist insurgency</x:v>
      </x:c>
      <x:c r="H36" s="18" t="str">
        <x:v>West Africa</x:v>
      </x:c>
      <x:c r="I36" s="18" t="str">
        <x:v>Coastal spillover (Benin/Togo)</x:v>
      </x:c>
      <x:c r="J36" s="20" t="str"/>
      <x:c r="K36" s="18" t="str"/>
      <x:c r="L36" s="18" t="str">
        <x:v>West Africa</x:v>
      </x:c>
      <x:c r="M36" s="18" t="str">
        <x:v>active</x:v>
      </x:c>
      <x:c r="N36" s="18" t="str">
        <x:v>Coastal spillover (Benin/Togo)</x:v>
      </x:c>
      <x:c r="O36" s="18" t="str">
        <x:v>Jihadist insurgency</x:v>
      </x:c>
      <x:c r="P36" s="18" t="str">
        <x:v>Medium</x:v>
      </x:c>
      <x:c r="Q36" s="18" t="str">
        <x:v>Sahelian militancy is pushing south into littoral West African states' northern borderlands.</x:v>
      </x:c>
      <x:c r="R36" s="18" t="n">
        <x:v>2021</x:v>
      </x:c>
      <x:c r="S36" s="18" t="str">
        <x:v>state</x:v>
      </x:c>
      <x:c r="T36" s="18" t="str">
        <x:v>Escalating</x:v>
      </x:c>
      <x:c r="U36" s="18" t="str">
        <x:v>DEFINED_TERMINAL_OR_FEED_SCOPE</x:v>
      </x:c>
      <x:c r="V36" s="18" t="str">
        <x:v>geopolitics_war_tracker.json — published records loaded</x:v>
      </x:c>
      <x:c r="W36" s="18" t="str"/>
      <x:c r="X36" s="18" t="str"/>
      <x:c r="Y36" s="20" t="n">
        <x:v>88</x:v>
      </x:c>
      <x:c r="Z36" s="19" t="str">
        <x:f>IFERROR(TODAY()-DATEVALUE(C36),"")</x:f>
      </x:c>
      <x:c r="AA36" s="21" t="n">
        <x:f>ROUND(COUNTA(A36:K36)/11*100,0)</x:f>
        <x:v>100</x:v>
      </x:c>
      <x:c r="AB36" s="18" t="str">
        <x:v>ACLED API</x:v>
      </x:c>
      <x:c r="AC36" s="22" t="str">
        <x:v>https://acleddata.com/api/acled/read</x:v>
      </x:c>
      <x:c r="AD36" s="18" t="n">
        <x:v>46272.704938055555</x:v>
      </x:c>
      <x:c r="AE36" s="18" t="n">
        <x:v>46272.704938055555</x:v>
      </x:c>
      <x:c r="AF36" s="18" t="str">
        <x:v>unconfirmed</x:v>
      </x:c>
      <x:c r="AG36" s="18" t="str">
        <x:v>PARTIAL_NO_DATE</x:v>
      </x:c>
    </x:row>
    <x:row r="37">
      <x:c r="A37" s="18" t="str">
        <x:v>NYT-01-e6bcaed3a04a958f</x:v>
      </x:c>
      <x:c r="B37" s="18" t="str">
        <x:v>Côte d'Ivoire — Northern spillover</x:v>
      </x:c>
      <x:c r="C37" s="18" t="str"/>
      <x:c r="D37" s="18" t="str"/>
      <x:c r="E37" s="18" t="str"/>
      <x:c r="F37" s="18" t="str">
        <x:v>low-intensity</x:v>
      </x:c>
      <x:c r="G37" s="18" t="str">
        <x:v>Jihadist insurgency</x:v>
      </x:c>
      <x:c r="H37" s="18" t="str">
        <x:v>West Africa</x:v>
      </x:c>
      <x:c r="I37" s="18" t="str">
        <x:v>Côte d'Ivoire — Northern spillover</x:v>
      </x:c>
      <x:c r="J37" s="20" t="str"/>
      <x:c r="K37" s="18" t="str"/>
      <x:c r="L37" s="18" t="str">
        <x:v>West Africa</x:v>
      </x:c>
      <x:c r="M37" s="18" t="str">
        <x:v>low-intensity</x:v>
      </x:c>
      <x:c r="N37" s="18" t="str">
        <x:v>Côte d'Ivoire — Northern spillover</x:v>
      </x:c>
      <x:c r="O37" s="18" t="str">
        <x:v>Jihadist insurgency</x:v>
      </x:c>
      <x:c r="P37" s="18" t="str">
        <x:v>Low</x:v>
      </x:c>
      <x:c r="Q37" s="18" t="str">
        <x:v>Occasional cross-border attacks from the Sahel; reinforced border deployments.</x:v>
      </x:c>
      <x:c r="R37" s="18" t="n">
        <x:v>2020</x:v>
      </x:c>
      <x:c r="S37" s="18" t="str">
        <x:v>state</x:v>
      </x:c>
      <x:c r="T37" s="18" t="str">
        <x:v>Stable</x:v>
      </x:c>
      <x:c r="U37" s="18" t="str">
        <x:v>DEFINED_TERMINAL_OR_FEED_SCOPE</x:v>
      </x:c>
      <x:c r="V37" s="18" t="str">
        <x:v>geopolitics_war_tracker.json — published records loaded</x:v>
      </x:c>
      <x:c r="W37" s="18" t="str"/>
      <x:c r="X37" s="18" t="str"/>
      <x:c r="Y37" s="20" t="n">
        <x:v>88</x:v>
      </x:c>
      <x:c r="Z37" s="19" t="str">
        <x:f>IFERROR(TODAY()-DATEVALUE(C37),"")</x:f>
      </x:c>
      <x:c r="AA37" s="21" t="n">
        <x:f>ROUND(COUNTA(A37:K37)/11*100,0)</x:f>
        <x:v>100</x:v>
      </x:c>
      <x:c r="AB37" s="18" t="str">
        <x:v>ACLED API</x:v>
      </x:c>
      <x:c r="AC37" s="22" t="str">
        <x:v>https://acleddata.com/api/acled/read</x:v>
      </x:c>
      <x:c r="AD37" s="18" t="n">
        <x:v>46272.704938055555</x:v>
      </x:c>
      <x:c r="AE37" s="18" t="n">
        <x:v>46272.704938055555</x:v>
      </x:c>
      <x:c r="AF37" s="18" t="str">
        <x:v>unconfirmed</x:v>
      </x:c>
      <x:c r="AG37" s="18" t="str">
        <x:v>PARTIAL_NO_DATE</x:v>
      </x:c>
    </x:row>
    <x:row r="38">
      <x:c r="A38" s="18" t="str">
        <x:v>NYT-01-099e4d651bac2813</x:v>
      </x:c>
      <x:c r="B38" s="18" t="str">
        <x:v>Senegal — Casamance</x:v>
      </x:c>
      <x:c r="C38" s="18" t="str"/>
      <x:c r="D38" s="18" t="str"/>
      <x:c r="E38" s="18" t="str"/>
      <x:c r="F38" s="18" t="str">
        <x:v>low-intensity</x:v>
      </x:c>
      <x:c r="G38" s="18" t="str">
        <x:v>Separatist insurgency</x:v>
      </x:c>
      <x:c r="H38" s="18" t="str">
        <x:v>West Africa</x:v>
      </x:c>
      <x:c r="I38" s="18" t="str">
        <x:v>Senegal — Casamance</x:v>
      </x:c>
      <x:c r="J38" s="20" t="str"/>
      <x:c r="K38" s="18" t="str"/>
      <x:c r="L38" s="18" t="str">
        <x:v>West Africa</x:v>
      </x:c>
      <x:c r="M38" s="18" t="str">
        <x:v>low-intensity</x:v>
      </x:c>
      <x:c r="N38" s="18" t="str">
        <x:v>Senegal — Casamance</x:v>
      </x:c>
      <x:c r="O38" s="18" t="str">
        <x:v>Separatist insurgency</x:v>
      </x:c>
      <x:c r="P38" s="18" t="str">
        <x:v>Low</x:v>
      </x:c>
      <x:c r="Q38" s="18" t="str">
        <x:v>Africa's longest low-grade insurgency has wound down through successive peace deals.</x:v>
      </x:c>
      <x:c r="R38" s="18" t="n">
        <x:v>1982</x:v>
      </x:c>
      <x:c r="S38" s="18" t="str">
        <x:v>state</x:v>
      </x:c>
      <x:c r="T38" s="18" t="str">
        <x:v>Easing</x:v>
      </x:c>
      <x:c r="U38" s="18" t="str">
        <x:v>DEFINED_TERMINAL_OR_FEED_SCOPE</x:v>
      </x:c>
      <x:c r="V38" s="18" t="str">
        <x:v>geopolitics_war_tracker.json — published records loaded</x:v>
      </x:c>
      <x:c r="W38" s="18" t="str"/>
      <x:c r="X38" s="18" t="str"/>
      <x:c r="Y38" s="20" t="n">
        <x:v>88</x:v>
      </x:c>
      <x:c r="Z38" s="19" t="str">
        <x:f>IFERROR(TODAY()-DATEVALUE(C38),"")</x:f>
      </x:c>
      <x:c r="AA38" s="21" t="n">
        <x:f>ROUND(COUNTA(A38:K38)/11*100,0)</x:f>
        <x:v>100</x:v>
      </x:c>
      <x:c r="AB38" s="18" t="str">
        <x:v>ACLED API</x:v>
      </x:c>
      <x:c r="AC38" s="22" t="str">
        <x:v>https://acleddata.com/api/acled/read</x:v>
      </x:c>
      <x:c r="AD38" s="18" t="n">
        <x:v>46272.704938055555</x:v>
      </x:c>
      <x:c r="AE38" s="18" t="n">
        <x:v>46272.704938055555</x:v>
      </x:c>
      <x:c r="AF38" s="18" t="str">
        <x:v>unconfirmed</x:v>
      </x:c>
      <x:c r="AG38" s="18" t="str">
        <x:v>PARTIAL_NO_DATE</x:v>
      </x:c>
    </x:row>
    <x:row r="39">
      <x:c r="A39" s="18" t="str">
        <x:v>NYT-01-5291317236d34e35</x:v>
      </x:c>
      <x:c r="B39" s="18" t="str">
        <x:v>Guinea — Political instability</x:v>
      </x:c>
      <x:c r="C39" s="18" t="str"/>
      <x:c r="D39" s="18" t="str"/>
      <x:c r="E39" s="18" t="str"/>
      <x:c r="F39" s="18" t="str">
        <x:v>under review</x:v>
      </x:c>
      <x:c r="G39" s="18" t="str">
        <x:v>Political crisis</x:v>
      </x:c>
      <x:c r="H39" s="18" t="str">
        <x:v>West Africa</x:v>
      </x:c>
      <x:c r="I39" s="18" t="str">
        <x:v>Guinea — Political instability</x:v>
      </x:c>
      <x:c r="J39" s="20" t="str"/>
      <x:c r="K39" s="18" t="str"/>
      <x:c r="L39" s="18" t="str">
        <x:v>West Africa</x:v>
      </x:c>
      <x:c r="M39" s="18" t="str">
        <x:v>under review</x:v>
      </x:c>
      <x:c r="N39" s="18" t="str">
        <x:v>Guinea — Political instability</x:v>
      </x:c>
      <x:c r="O39" s="18" t="str">
        <x:v>Political crisis</x:v>
      </x:c>
      <x:c r="P39" s="18" t="str">
        <x:v>Low</x:v>
      </x:c>
      <x:c r="Q39" s="18" t="str">
        <x:v>Post-coup transition timeline and opposition restrictions keep politics tense.</x:v>
      </x:c>
      <x:c r="R39" s="18" t="n">
        <x:v>2021</x:v>
      </x:c>
      <x:c r="S39" s="18" t="str">
        <x:v>state</x:v>
      </x:c>
      <x:c r="T39" s="18" t="str">
        <x:v>Stable</x:v>
      </x:c>
      <x:c r="U39" s="18" t="str">
        <x:v>DEFINED_TERMINAL_OR_FEED_SCOPE</x:v>
      </x:c>
      <x:c r="V39" s="18" t="str">
        <x:v>geopolitics_war_tracker.json — published records loaded</x:v>
      </x:c>
      <x:c r="W39" s="18" t="str"/>
      <x:c r="X39" s="18" t="str"/>
      <x:c r="Y39" s="20" t="n">
        <x:v>88</x:v>
      </x:c>
      <x:c r="Z39" s="19" t="str">
        <x:f>IFERROR(TODAY()-DATEVALUE(C39),"")</x:f>
      </x:c>
      <x:c r="AA39" s="21" t="n">
        <x:f>ROUND(COUNTA(A39:K39)/11*100,0)</x:f>
        <x:v>100</x:v>
      </x:c>
      <x:c r="AB39" s="18" t="str">
        <x:v>ACLED API</x:v>
      </x:c>
      <x:c r="AC39" s="22" t="str">
        <x:v>https://acleddata.com/api/acled/read</x:v>
      </x:c>
      <x:c r="AD39" s="18" t="n">
        <x:v>46272.704938055555</x:v>
      </x:c>
      <x:c r="AE39" s="18" t="n">
        <x:v>46272.704938055555</x:v>
      </x:c>
      <x:c r="AF39" s="18" t="str">
        <x:v>unconfirmed</x:v>
      </x:c>
      <x:c r="AG39" s="18" t="str">
        <x:v>PARTIAL_NO_DATE</x:v>
      </x:c>
    </x:row>
    <x:row r="40">
      <x:c r="A40" s="18" t="str">
        <x:v>NYT-01-e0bb5390ce5fd806</x:v>
      </x:c>
      <x:c r="B40" s="18" t="str">
        <x:v>DRC — M23 / Rwanda</x:v>
      </x:c>
      <x:c r="C40" s="18" t="str"/>
      <x:c r="D40" s="18" t="str"/>
      <x:c r="E40" s="18" t="str"/>
      <x:c r="F40" s="18" t="str">
        <x:v>active</x:v>
      </x:c>
      <x:c r="G40" s="18" t="str">
        <x:v>Interstate war</x:v>
      </x:c>
      <x:c r="H40" s="18" t="str">
        <x:v>Central Africa</x:v>
      </x:c>
      <x:c r="I40" s="18" t="str">
        <x:v>DRC — M23 / Rwanda</x:v>
      </x:c>
      <x:c r="J40" s="20" t="str"/>
      <x:c r="K40" s="18" t="str"/>
      <x:c r="L40" s="18" t="str">
        <x:v>Central Africa</x:v>
      </x:c>
      <x:c r="M40" s="18" t="str">
        <x:v>active</x:v>
      </x:c>
      <x:c r="N40" s="18" t="str">
        <x:v>DRC — M23 / Rwanda</x:v>
      </x:c>
      <x:c r="O40" s="18" t="str">
        <x:v>Interstate war</x:v>
      </x:c>
      <x:c r="P40" s="18" t="str">
        <x:v>High</x:v>
      </x:c>
      <x:c r="Q40" s="18" t="str">
        <x:v>Rwanda-backed M23 seized major eastern cities; a wider regional war risk looms over mineral-rich Kivus.</x:v>
      </x:c>
      <x:c r="R40" s="18" t="str">
        <x:v>2021 (escalated 2024)</x:v>
      </x:c>
      <x:c r="S40" s="18" t="str">
        <x:v>state</x:v>
      </x:c>
      <x:c r="T40" s="18" t="str">
        <x:v>Escalating</x:v>
      </x:c>
      <x:c r="U40" s="18" t="str">
        <x:v>DEFINED_TERMINAL_OR_FEED_SCOPE</x:v>
      </x:c>
      <x:c r="V40" s="18" t="str">
        <x:v>geopolitics_war_tracker.json — published records loaded</x:v>
      </x:c>
      <x:c r="W40" s="18" t="str"/>
      <x:c r="X40" s="18" t="str"/>
      <x:c r="Y40" s="20" t="n">
        <x:v>88</x:v>
      </x:c>
      <x:c r="Z40" s="19" t="str">
        <x:f>IFERROR(TODAY()-DATEVALUE(C40),"")</x:f>
      </x:c>
      <x:c r="AA40" s="21" t="n">
        <x:f>ROUND(COUNTA(A40:K40)/11*100,0)</x:f>
        <x:v>100</x:v>
      </x:c>
      <x:c r="AB40" s="18" t="str">
        <x:v>ACLED API</x:v>
      </x:c>
      <x:c r="AC40" s="22" t="str">
        <x:v>https://acleddata.com/api/acled/read</x:v>
      </x:c>
      <x:c r="AD40" s="18" t="n">
        <x:v>46272.704938055555</x:v>
      </x:c>
      <x:c r="AE40" s="18" t="n">
        <x:v>46272.704938055555</x:v>
      </x:c>
      <x:c r="AF40" s="18" t="str">
        <x:v>unconfirmed</x:v>
      </x:c>
      <x:c r="AG40" s="18" t="str">
        <x:v>PARTIAL_NO_DATE</x:v>
      </x:c>
    </x:row>
    <x:row r="41">
      <x:c r="A41" s="18" t="str">
        <x:v>NYT-01-a452eff24b0cf879</x:v>
      </x:c>
      <x:c r="B41" s="18" t="str">
        <x:v>DRC — ADF (eastern)</x:v>
      </x:c>
      <x:c r="C41" s="18" t="str"/>
      <x:c r="D41" s="18" t="str"/>
      <x:c r="E41" s="18" t="str"/>
      <x:c r="F41" s="18" t="str">
        <x:v>active</x:v>
      </x:c>
      <x:c r="G41" s="18" t="str">
        <x:v>Jihadist insurgency</x:v>
      </x:c>
      <x:c r="H41" s="18" t="str">
        <x:v>Central Africa</x:v>
      </x:c>
      <x:c r="I41" s="18" t="str">
        <x:v>DRC — ADF (eastern)</x:v>
      </x:c>
      <x:c r="J41" s="20" t="str"/>
      <x:c r="K41" s="18" t="str"/>
      <x:c r="L41" s="18" t="str">
        <x:v>Central Africa</x:v>
      </x:c>
      <x:c r="M41" s="18" t="str">
        <x:v>active</x:v>
      </x:c>
      <x:c r="N41" s="18" t="str">
        <x:v>DRC — ADF (eastern)</x:v>
      </x:c>
      <x:c r="O41" s="18" t="str">
        <x:v>Jihadist insurgency</x:v>
      </x:c>
      <x:c r="P41" s="18" t="str">
        <x:v>High</x:v>
      </x:c>
      <x:c r="Q41" s="18" t="str">
        <x:v>IS-affiliated ADF conducts massacres in Ituri and North Kivu alongside a Ugandan joint operation.</x:v>
      </x:c>
      <x:c r="R41" s="18" t="n">
        <x:v>1996</x:v>
      </x:c>
      <x:c r="S41" s="18" t="str">
        <x:v>state</x:v>
      </x:c>
      <x:c r="T41" s="18" t="str">
        <x:v>Escalating</x:v>
      </x:c>
      <x:c r="U41" s="18" t="str">
        <x:v>DEFINED_TERMINAL_OR_FEED_SCOPE</x:v>
      </x:c>
      <x:c r="V41" s="18" t="str">
        <x:v>geopolitics_war_tracker.json — published records loaded</x:v>
      </x:c>
      <x:c r="W41" s="18" t="str"/>
      <x:c r="X41" s="18" t="str"/>
      <x:c r="Y41" s="20" t="n">
        <x:v>88</x:v>
      </x:c>
      <x:c r="Z41" s="19" t="str">
        <x:f>IFERROR(TODAY()-DATEVALUE(C41),"")</x:f>
      </x:c>
      <x:c r="AA41" s="21" t="n">
        <x:f>ROUND(COUNTA(A41:K41)/11*100,0)</x:f>
        <x:v>100</x:v>
      </x:c>
      <x:c r="AB41" s="18" t="str">
        <x:v>ACLED API</x:v>
      </x:c>
      <x:c r="AC41" s="22" t="str">
        <x:v>https://acleddata.com/api/acled/read</x:v>
      </x:c>
      <x:c r="AD41" s="18" t="n">
        <x:v>46272.704938055555</x:v>
      </x:c>
      <x:c r="AE41" s="18" t="n">
        <x:v>46272.704938055555</x:v>
      </x:c>
      <x:c r="AF41" s="18" t="str">
        <x:v>unconfirmed</x:v>
      </x:c>
      <x:c r="AG41" s="18" t="str">
        <x:v>PARTIAL_NO_DATE</x:v>
      </x:c>
    </x:row>
    <x:row r="42">
      <x:c r="A42" s="18" t="str">
        <x:v>NYT-01-b293db9305c49ac1</x:v>
      </x:c>
      <x:c r="B42" s="18" t="str">
        <x:v>Central African Republic — Civil war</x:v>
      </x:c>
      <x:c r="C42" s="18" t="str"/>
      <x:c r="D42" s="18" t="str"/>
      <x:c r="E42" s="18" t="str"/>
      <x:c r="F42" s="18" t="str">
        <x:v>ceasefire fragile</x:v>
      </x:c>
      <x:c r="G42" s="18" t="str">
        <x:v>Civil war</x:v>
      </x:c>
      <x:c r="H42" s="18" t="str">
        <x:v>Central Africa</x:v>
      </x:c>
      <x:c r="I42" s="18" t="str">
        <x:v>Central African Republic — Civil war</x:v>
      </x:c>
      <x:c r="J42" s="20" t="str"/>
      <x:c r="K42" s="18" t="str"/>
      <x:c r="L42" s="18" t="str">
        <x:v>Central Africa</x:v>
      </x:c>
      <x:c r="M42" s="18" t="str">
        <x:v>ceasefire fragile</x:v>
      </x:c>
      <x:c r="N42" s="18" t="str">
        <x:v>Central African Republic — Civil war</x:v>
      </x:c>
      <x:c r="O42" s="18" t="str">
        <x:v>Civil war</x:v>
      </x:c>
      <x:c r="P42" s="18" t="str">
        <x:v>Medium</x:v>
      </x:c>
      <x:c r="Q42" s="18" t="str">
        <x:v>Government, Russian partners and rebel coalitions hold a fragile balance; peace process partial.</x:v>
      </x:c>
      <x:c r="R42" s="18" t="n">
        <x:v>2012</x:v>
      </x:c>
      <x:c r="S42" s="18" t="str">
        <x:v>state</x:v>
      </x:c>
      <x:c r="T42" s="18" t="str">
        <x:v>Easing</x:v>
      </x:c>
      <x:c r="U42" s="18" t="str">
        <x:v>DEFINED_TERMINAL_OR_FEED_SCOPE</x:v>
      </x:c>
      <x:c r="V42" s="18" t="str">
        <x:v>geopolitics_war_tracker.json — published records loaded</x:v>
      </x:c>
      <x:c r="W42" s="18" t="str"/>
      <x:c r="X42" s="18" t="str"/>
      <x:c r="Y42" s="20" t="n">
        <x:v>88</x:v>
      </x:c>
      <x:c r="Z42" s="19" t="str">
        <x:f>IFERROR(TODAY()-DATEVALUE(C42),"")</x:f>
      </x:c>
      <x:c r="AA42" s="21" t="n">
        <x:f>ROUND(COUNTA(A42:K42)/11*100,0)</x:f>
        <x:v>100</x:v>
      </x:c>
      <x:c r="AB42" s="18" t="str">
        <x:v>ACLED API</x:v>
      </x:c>
      <x:c r="AC42" s="22" t="str">
        <x:v>https://acleddata.com/api/acled/read</x:v>
      </x:c>
      <x:c r="AD42" s="18" t="n">
        <x:v>46272.704938055555</x:v>
      </x:c>
      <x:c r="AE42" s="18" t="n">
        <x:v>46272.704938055555</x:v>
      </x:c>
      <x:c r="AF42" s="18" t="str">
        <x:v>unconfirmed</x:v>
      </x:c>
      <x:c r="AG42" s="18" t="str">
        <x:v>PARTIAL_NO_DATE</x:v>
      </x:c>
    </x:row>
    <x:row r="43">
      <x:c r="A43" s="18" t="str">
        <x:v>NYT-01-fb62fdcbc824fdf0</x:v>
      </x:c>
      <x:c r="B43" s="18" t="str">
        <x:v>Uganda — ADF/LRA remnants</x:v>
      </x:c>
      <x:c r="C43" s="18" t="str"/>
      <x:c r="D43" s="18" t="str"/>
      <x:c r="E43" s="18" t="str"/>
      <x:c r="F43" s="18" t="str">
        <x:v>low-intensity</x:v>
      </x:c>
      <x:c r="G43" s="18" t="str">
        <x:v>Insurgency</x:v>
      </x:c>
      <x:c r="H43" s="18" t="str">
        <x:v>Central Africa</x:v>
      </x:c>
      <x:c r="I43" s="18" t="str">
        <x:v>Uganda — ADF/LRA remnants</x:v>
      </x:c>
      <x:c r="J43" s="20" t="str"/>
      <x:c r="K43" s="18" t="str"/>
      <x:c r="L43" s="18" t="str">
        <x:v>Central Africa</x:v>
      </x:c>
      <x:c r="M43" s="18" t="str">
        <x:v>low-intensity</x:v>
      </x:c>
      <x:c r="N43" s="18" t="str">
        <x:v>Uganda — ADF/LRA remnants</x:v>
      </x:c>
      <x:c r="O43" s="18" t="str">
        <x:v>Insurgency</x:v>
      </x:c>
      <x:c r="P43" s="18" t="str">
        <x:v>Low</x:v>
      </x:c>
      <x:c r="Q43" s="18" t="str">
        <x:v>LRA effectively defeated; residual ADF activity spills from the DRC.</x:v>
      </x:c>
      <x:c r="R43" s="18" t="n">
        <x:v>1987</x:v>
      </x:c>
      <x:c r="S43" s="18" t="str">
        <x:v>state</x:v>
      </x:c>
      <x:c r="T43" s="18" t="str">
        <x:v>Easing</x:v>
      </x:c>
      <x:c r="U43" s="18" t="str">
        <x:v>DEFINED_TERMINAL_OR_FEED_SCOPE</x:v>
      </x:c>
      <x:c r="V43" s="18" t="str">
        <x:v>geopolitics_war_tracker.json — published records loaded</x:v>
      </x:c>
      <x:c r="W43" s="18" t="str"/>
      <x:c r="X43" s="18" t="str"/>
      <x:c r="Y43" s="20" t="n">
        <x:v>88</x:v>
      </x:c>
      <x:c r="Z43" s="19" t="str">
        <x:f>IFERROR(TODAY()-DATEVALUE(C43),"")</x:f>
      </x:c>
      <x:c r="AA43" s="21" t="n">
        <x:f>ROUND(COUNTA(A43:K43)/11*100,0)</x:f>
        <x:v>100</x:v>
      </x:c>
      <x:c r="AB43" s="18" t="str">
        <x:v>ACLED API</x:v>
      </x:c>
      <x:c r="AC43" s="22" t="str">
        <x:v>https://acleddata.com/api/acled/read</x:v>
      </x:c>
      <x:c r="AD43" s="18" t="n">
        <x:v>46272.704938055555</x:v>
      </x:c>
      <x:c r="AE43" s="18" t="n">
        <x:v>46272.704938055555</x:v>
      </x:c>
      <x:c r="AF43" s="18" t="str">
        <x:v>unconfirmed</x:v>
      </x:c>
      <x:c r="AG43" s="18" t="str">
        <x:v>PARTIAL_NO_DATE</x:v>
      </x:c>
    </x:row>
    <x:row r="44">
      <x:c r="A44" s="18" t="str">
        <x:v>NYT-01-5bfea70b6096d182</x:v>
      </x:c>
      <x:c r="B44" s="18" t="str">
        <x:v>Rwanda–Burundi tensions</x:v>
      </x:c>
      <x:c r="C44" s="18" t="str"/>
      <x:c r="D44" s="18" t="str"/>
      <x:c r="E44" s="18" t="str"/>
      <x:c r="F44" s="18" t="str">
        <x:v>under review</x:v>
      </x:c>
      <x:c r="G44" s="18" t="str">
        <x:v>Interstate standoff</x:v>
      </x:c>
      <x:c r="H44" s="18" t="str">
        <x:v>Central Africa</x:v>
      </x:c>
      <x:c r="I44" s="18" t="str">
        <x:v>Rwanda–Burundi tensions</x:v>
      </x:c>
      <x:c r="J44" s="20" t="str"/>
      <x:c r="K44" s="18" t="str"/>
      <x:c r="L44" s="18" t="str">
        <x:v>Central Africa</x:v>
      </x:c>
      <x:c r="M44" s="18" t="str">
        <x:v>under review</x:v>
      </x:c>
      <x:c r="N44" s="18" t="str">
        <x:v>Rwanda–Burundi tensions</x:v>
      </x:c>
      <x:c r="O44" s="18" t="str">
        <x:v>Interstate standoff</x:v>
      </x:c>
      <x:c r="P44" s="18" t="str">
        <x:v>Low</x:v>
      </x:c>
      <x:c r="Q44" s="18" t="str">
        <x:v>Mutual accusations of backing rebels; periodic border closures amid the DRC crisis.</x:v>
      </x:c>
      <x:c r="R44" s="18" t="n">
        <x:v>2015</x:v>
      </x:c>
      <x:c r="S44" s="18" t="str">
        <x:v>state</x:v>
      </x:c>
      <x:c r="T44" s="18" t="str">
        <x:v>Stable</x:v>
      </x:c>
      <x:c r="U44" s="18" t="str">
        <x:v>DEFINED_TERMINAL_OR_FEED_SCOPE</x:v>
      </x:c>
      <x:c r="V44" s="18" t="str">
        <x:v>geopolitics_war_tracker.json — published records loaded</x:v>
      </x:c>
      <x:c r="W44" s="18" t="str"/>
      <x:c r="X44" s="18" t="str"/>
      <x:c r="Y44" s="20" t="n">
        <x:v>88</x:v>
      </x:c>
      <x:c r="Z44" s="19" t="str">
        <x:f>IFERROR(TODAY()-DATEVALUE(C44),"")</x:f>
      </x:c>
      <x:c r="AA44" s="21" t="n">
        <x:f>ROUND(COUNTA(A44:K44)/11*100,0)</x:f>
        <x:v>100</x:v>
      </x:c>
      <x:c r="AB44" s="18" t="str">
        <x:v>ACLED API</x:v>
      </x:c>
      <x:c r="AC44" s="22" t="str">
        <x:v>https://acleddata.com/api/acled/read</x:v>
      </x:c>
      <x:c r="AD44" s="18" t="n">
        <x:v>46272.704938055555</x:v>
      </x:c>
      <x:c r="AE44" s="18" t="n">
        <x:v>46272.704938055555</x:v>
      </x:c>
      <x:c r="AF44" s="18" t="str">
        <x:v>unconfirmed</x:v>
      </x:c>
      <x:c r="AG44" s="18" t="str">
        <x:v>PARTIAL_NO_DATE</x:v>
      </x:c>
    </x:row>
    <x:row r="45">
      <x:c r="A45" s="18" t="str">
        <x:v>NYT-01-e6af79aa2062b1fc</x:v>
      </x:c>
      <x:c r="B45" s="18" t="str">
        <x:v>Sudan — Civil War (SAF vs RSF)</x:v>
      </x:c>
      <x:c r="C45" s="18" t="str"/>
      <x:c r="D45" s="18" t="str"/>
      <x:c r="E45" s="18" t="str"/>
      <x:c r="F45" s="18" t="str">
        <x:v>active</x:v>
      </x:c>
      <x:c r="G45" s="18" t="str">
        <x:v>Civil war</x:v>
      </x:c>
      <x:c r="H45" s="18" t="str">
        <x:v>East Africa</x:v>
      </x:c>
      <x:c r="I45" s="18" t="str">
        <x:v>Sudan — Civil War (SAF vs RSF)</x:v>
      </x:c>
      <x:c r="J45" s="20" t="str"/>
      <x:c r="K45" s="18" t="str"/>
      <x:c r="L45" s="18" t="str">
        <x:v>East Africa</x:v>
      </x:c>
      <x:c r="M45" s="18" t="str">
        <x:v>active</x:v>
      </x:c>
      <x:c r="N45" s="18" t="str">
        <x:v>Sudan — Civil War (SAF vs RSF)</x:v>
      </x:c>
      <x:c r="O45" s="18" t="str">
        <x:v>Civil war</x:v>
      </x:c>
      <x:c r="P45" s="18" t="str">
        <x:v>Critical</x:v>
      </x:c>
      <x:c r="Q45" s="18" t="str">
        <x:v>SAF–RSF war has triggered the world's largest displacement and hunger crisis; Darfur sees ethnic-targeted violence.</x:v>
      </x:c>
      <x:c r="R45" s="18" t="str">
        <x:v>April 2023</x:v>
      </x:c>
      <x:c r="S45" s="18" t="str">
        <x:v>state</x:v>
      </x:c>
      <x:c r="T45" s="18" t="str">
        <x:v>Escalating</x:v>
      </x:c>
      <x:c r="U45" s="18" t="str">
        <x:v>DEFINED_TERMINAL_OR_FEED_SCOPE</x:v>
      </x:c>
      <x:c r="V45" s="18" t="str">
        <x:v>geopolitics_war_tracker.json — published records loaded</x:v>
      </x:c>
      <x:c r="W45" s="18" t="str"/>
      <x:c r="X45" s="18" t="str"/>
      <x:c r="Y45" s="20" t="n">
        <x:v>88</x:v>
      </x:c>
      <x:c r="Z45" s="19" t="str">
        <x:f>IFERROR(TODAY()-DATEVALUE(C45),"")</x:f>
      </x:c>
      <x:c r="AA45" s="21" t="n">
        <x:f>ROUND(COUNTA(A45:K45)/11*100,0)</x:f>
        <x:v>100</x:v>
      </x:c>
      <x:c r="AB45" s="18" t="str">
        <x:v>ACLED API</x:v>
      </x:c>
      <x:c r="AC45" s="22" t="str">
        <x:v>https://acleddata.com/api/acled/read</x:v>
      </x:c>
      <x:c r="AD45" s="18" t="n">
        <x:v>46272.704938055555</x:v>
      </x:c>
      <x:c r="AE45" s="18" t="n">
        <x:v>46272.704938055555</x:v>
      </x:c>
      <x:c r="AF45" s="18" t="str">
        <x:v>unconfirmed</x:v>
      </x:c>
      <x:c r="AG45" s="18" t="str">
        <x:v>PARTIAL_NO_DATE</x:v>
      </x:c>
    </x:row>
    <x:row r="46">
      <x:c r="A46" s="18" t="str">
        <x:v>NYT-01-d5ad101a231b6586</x:v>
      </x:c>
      <x:c r="B46" s="18" t="str">
        <x:v>Ethiopia — Amhara (Fano)</x:v>
      </x:c>
      <x:c r="C46" s="18" t="str"/>
      <x:c r="D46" s="18" t="str"/>
      <x:c r="E46" s="18" t="str"/>
      <x:c r="F46" s="18" t="str">
        <x:v>active</x:v>
      </x:c>
      <x:c r="G46" s="18" t="str">
        <x:v>Civil war</x:v>
      </x:c>
      <x:c r="H46" s="18" t="str">
        <x:v>East Africa</x:v>
      </x:c>
      <x:c r="I46" s="18" t="str">
        <x:v>Ethiopia — Amhara (Fano)</x:v>
      </x:c>
      <x:c r="J46" s="20" t="str"/>
      <x:c r="K46" s="18" t="str"/>
      <x:c r="L46" s="18" t="str">
        <x:v>East Africa</x:v>
      </x:c>
      <x:c r="M46" s="18" t="str">
        <x:v>active</x:v>
      </x:c>
      <x:c r="N46" s="18" t="str">
        <x:v>Ethiopia — Amhara (Fano)</x:v>
      </x:c>
      <x:c r="O46" s="18" t="str">
        <x:v>Civil war</x:v>
      </x:c>
      <x:c r="P46" s="18" t="str">
        <x:v>High</x:v>
      </x:c>
      <x:c r="Q46" s="18" t="str">
        <x:v>Fano militia insurgency spread across Amhara after the Tigray war; federal offensives ongoing.</x:v>
      </x:c>
      <x:c r="R46" s="18" t="n">
        <x:v>2023</x:v>
      </x:c>
      <x:c r="S46" s="18" t="str">
        <x:v>state</x:v>
      </x:c>
      <x:c r="T46" s="18" t="str">
        <x:v>Escalating</x:v>
      </x:c>
      <x:c r="U46" s="18" t="str">
        <x:v>DEFINED_TERMINAL_OR_FEED_SCOPE</x:v>
      </x:c>
      <x:c r="V46" s="18" t="str">
        <x:v>geopolitics_war_tracker.json — published records loaded</x:v>
      </x:c>
      <x:c r="W46" s="18" t="str"/>
      <x:c r="X46" s="18" t="str"/>
      <x:c r="Y46" s="20" t="n">
        <x:v>88</x:v>
      </x:c>
      <x:c r="Z46" s="19" t="str">
        <x:f>IFERROR(TODAY()-DATEVALUE(C46),"")</x:f>
      </x:c>
      <x:c r="AA46" s="21" t="n">
        <x:f>ROUND(COUNTA(A46:K46)/11*100,0)</x:f>
        <x:v>100</x:v>
      </x:c>
      <x:c r="AB46" s="18" t="str">
        <x:v>ACLED API</x:v>
      </x:c>
      <x:c r="AC46" s="22" t="str">
        <x:v>https://acleddata.com/api/acled/read</x:v>
      </x:c>
      <x:c r="AD46" s="18" t="n">
        <x:v>46272.704938055555</x:v>
      </x:c>
      <x:c r="AE46" s="18" t="n">
        <x:v>46272.704938055555</x:v>
      </x:c>
      <x:c r="AF46" s="18" t="str">
        <x:v>unconfirmed</x:v>
      </x:c>
      <x:c r="AG46" s="18" t="str">
        <x:v>PARTIAL_NO_DATE</x:v>
      </x:c>
    </x:row>
    <x:row r="47">
      <x:c r="A47" s="18" t="str">
        <x:v>NYT-01-051df3ff8a203afa</x:v>
      </x:c>
      <x:c r="B47" s="18" t="str">
        <x:v>Ethiopia — Oromia (OLA)</x:v>
      </x:c>
      <x:c r="C47" s="18" t="str"/>
      <x:c r="D47" s="18" t="str"/>
      <x:c r="E47" s="18" t="str"/>
      <x:c r="F47" s="18" t="str">
        <x:v>active</x:v>
      </x:c>
      <x:c r="G47" s="18" t="str">
        <x:v>Insurgency</x:v>
      </x:c>
      <x:c r="H47" s="18" t="str">
        <x:v>East Africa</x:v>
      </x:c>
      <x:c r="I47" s="18" t="str">
        <x:v>Ethiopia — Oromia (OLA)</x:v>
      </x:c>
      <x:c r="J47" s="20" t="str"/>
      <x:c r="K47" s="18" t="str"/>
      <x:c r="L47" s="18" t="str">
        <x:v>East Africa</x:v>
      </x:c>
      <x:c r="M47" s="18" t="str">
        <x:v>active</x:v>
      </x:c>
      <x:c r="N47" s="18" t="str">
        <x:v>Ethiopia — Oromia (OLA)</x:v>
      </x:c>
      <x:c r="O47" s="18" t="str">
        <x:v>Insurgency</x:v>
      </x:c>
      <x:c r="P47" s="18" t="str">
        <x:v>Medium</x:v>
      </x:c>
      <x:c r="Q47" s="18" t="str">
        <x:v>Oromo Liberation Army insurgency persists amid failed talks.</x:v>
      </x:c>
      <x:c r="R47" s="18" t="n">
        <x:v>2018</x:v>
      </x:c>
      <x:c r="S47" s="18" t="str">
        <x:v>state</x:v>
      </x:c>
      <x:c r="T47" s="18" t="str">
        <x:v>Stable</x:v>
      </x:c>
      <x:c r="U47" s="18" t="str">
        <x:v>DEFINED_TERMINAL_OR_FEED_SCOPE</x:v>
      </x:c>
      <x:c r="V47" s="18" t="str">
        <x:v>geopolitics_war_tracker.json — published records loaded</x:v>
      </x:c>
      <x:c r="W47" s="18" t="str"/>
      <x:c r="X47" s="18" t="str"/>
      <x:c r="Y47" s="20" t="n">
        <x:v>88</x:v>
      </x:c>
      <x:c r="Z47" s="19" t="str">
        <x:f>IFERROR(TODAY()-DATEVALUE(C47),"")</x:f>
      </x:c>
      <x:c r="AA47" s="21" t="n">
        <x:f>ROUND(COUNTA(A47:K47)/11*100,0)</x:f>
        <x:v>100</x:v>
      </x:c>
      <x:c r="AB47" s="18" t="str">
        <x:v>ACLED API</x:v>
      </x:c>
      <x:c r="AC47" s="22" t="str">
        <x:v>https://acleddata.com/api/acled/read</x:v>
      </x:c>
      <x:c r="AD47" s="18" t="n">
        <x:v>46272.704938055555</x:v>
      </x:c>
      <x:c r="AE47" s="18" t="n">
        <x:v>46272.704938055555</x:v>
      </x:c>
      <x:c r="AF47" s="18" t="str">
        <x:v>unconfirmed</x:v>
      </x:c>
      <x:c r="AG47" s="18" t="str">
        <x:v>PARTIAL_NO_DATE</x:v>
      </x:c>
    </x:row>
    <x:row r="48">
      <x:c r="A48" s="18" t="str">
        <x:v>NYT-01-51d242db9564a454</x:v>
      </x:c>
      <x:c r="B48" s="18" t="str">
        <x:v>Somalia — Al-Shabaab</x:v>
      </x:c>
      <x:c r="C48" s="18" t="str"/>
      <x:c r="D48" s="18" t="str"/>
      <x:c r="E48" s="18" t="str"/>
      <x:c r="F48" s="18" t="str">
        <x:v>active</x:v>
      </x:c>
      <x:c r="G48" s="18" t="str">
        <x:v>Jihadist insurgency</x:v>
      </x:c>
      <x:c r="H48" s="18" t="str">
        <x:v>East Africa</x:v>
      </x:c>
      <x:c r="I48" s="18" t="str">
        <x:v>Somalia — Al-Shabaab</x:v>
      </x:c>
      <x:c r="J48" s="20" t="str"/>
      <x:c r="K48" s="18" t="str"/>
      <x:c r="L48" s="18" t="str">
        <x:v>East Africa</x:v>
      </x:c>
      <x:c r="M48" s="18" t="str">
        <x:v>active</x:v>
      </x:c>
      <x:c r="N48" s="18" t="str">
        <x:v>Somalia — Al-Shabaab</x:v>
      </x:c>
      <x:c r="O48" s="18" t="str">
        <x:v>Jihadist insurgency</x:v>
      </x:c>
      <x:c r="P48" s="18" t="str">
        <x:v>High</x:v>
      </x:c>
      <x:c r="Q48" s="18" t="str">
        <x:v>Al-Shabaab remains resilient despite government offensives and an AU mission transition.</x:v>
      </x:c>
      <x:c r="R48" s="18" t="n">
        <x:v>2006</x:v>
      </x:c>
      <x:c r="S48" s="18" t="str">
        <x:v>state</x:v>
      </x:c>
      <x:c r="T48" s="18" t="str">
        <x:v>Stable</x:v>
      </x:c>
      <x:c r="U48" s="18" t="str">
        <x:v>DEFINED_TERMINAL_OR_FEED_SCOPE</x:v>
      </x:c>
      <x:c r="V48" s="18" t="str">
        <x:v>geopolitics_war_tracker.json — published records loaded</x:v>
      </x:c>
      <x:c r="W48" s="18" t="str"/>
      <x:c r="X48" s="18" t="str"/>
      <x:c r="Y48" s="20" t="n">
        <x:v>88</x:v>
      </x:c>
      <x:c r="Z48" s="19" t="str">
        <x:f>IFERROR(TODAY()-DATEVALUE(C48),"")</x:f>
      </x:c>
      <x:c r="AA48" s="21" t="n">
        <x:f>ROUND(COUNTA(A48:K48)/11*100,0)</x:f>
        <x:v>100</x:v>
      </x:c>
      <x:c r="AB48" s="18" t="str">
        <x:v>ACLED API</x:v>
      </x:c>
      <x:c r="AC48" s="22" t="str">
        <x:v>https://acleddata.com/api/acled/read</x:v>
      </x:c>
      <x:c r="AD48" s="18" t="n">
        <x:v>46272.704938055555</x:v>
      </x:c>
      <x:c r="AE48" s="18" t="n">
        <x:v>46272.704938055555</x:v>
      </x:c>
      <x:c r="AF48" s="18" t="str">
        <x:v>unconfirmed</x:v>
      </x:c>
      <x:c r="AG48" s="18" t="str">
        <x:v>PARTIAL_NO_DATE</x:v>
      </x:c>
    </x:row>
    <x:row r="49">
      <x:c r="A49" s="18" t="str">
        <x:v>NYT-01-e5810980c2ab3243</x:v>
      </x:c>
      <x:c r="B49" s="18" t="str">
        <x:v>South Sudan — Instability</x:v>
      </x:c>
      <x:c r="C49" s="18" t="str"/>
      <x:c r="D49" s="18" t="str"/>
      <x:c r="E49" s="18" t="str"/>
      <x:c r="F49" s="18" t="str">
        <x:v>ceasefire fragile</x:v>
      </x:c>
      <x:c r="G49" s="18" t="str">
        <x:v>Civil war</x:v>
      </x:c>
      <x:c r="H49" s="18" t="str">
        <x:v>East Africa</x:v>
      </x:c>
      <x:c r="I49" s="18" t="str">
        <x:v>South Sudan — Instability</x:v>
      </x:c>
      <x:c r="J49" s="20" t="str"/>
      <x:c r="K49" s="18" t="str"/>
      <x:c r="L49" s="18" t="str">
        <x:v>East Africa</x:v>
      </x:c>
      <x:c r="M49" s="18" t="str">
        <x:v>ceasefire fragile</x:v>
      </x:c>
      <x:c r="N49" s="18" t="str">
        <x:v>South Sudan — Instability</x:v>
      </x:c>
      <x:c r="O49" s="18" t="str">
        <x:v>Civil war</x:v>
      </x:c>
      <x:c r="P49" s="18" t="str">
        <x:v>Medium</x:v>
      </x:c>
      <x:c r="Q49" s="18" t="str">
        <x:v>2018 peace deal fraying; delayed elections and elite rivalry risk renewed war.</x:v>
      </x:c>
      <x:c r="R49" s="18" t="n">
        <x:v>2013</x:v>
      </x:c>
      <x:c r="S49" s="18" t="str">
        <x:v>state</x:v>
      </x:c>
      <x:c r="T49" s="18" t="str">
        <x:v>Escalating</x:v>
      </x:c>
      <x:c r="U49" s="18" t="str">
        <x:v>DEFINED_TERMINAL_OR_FEED_SCOPE</x:v>
      </x:c>
      <x:c r="V49" s="18" t="str">
        <x:v>geopolitics_war_tracker.json — published records loaded</x:v>
      </x:c>
      <x:c r="W49" s="18" t="str"/>
      <x:c r="X49" s="18" t="str"/>
      <x:c r="Y49" s="20" t="n">
        <x:v>88</x:v>
      </x:c>
      <x:c r="Z49" s="19" t="str">
        <x:f>IFERROR(TODAY()-DATEVALUE(C49),"")</x:f>
      </x:c>
      <x:c r="AA49" s="21" t="n">
        <x:f>ROUND(COUNTA(A49:K49)/11*100,0)</x:f>
        <x:v>100</x:v>
      </x:c>
      <x:c r="AB49" s="18" t="str">
        <x:v>ACLED API</x:v>
      </x:c>
      <x:c r="AC49" s="22" t="str">
        <x:v>https://acleddata.com/api/acled/read</x:v>
      </x:c>
      <x:c r="AD49" s="18" t="n">
        <x:v>46272.704938055555</x:v>
      </x:c>
      <x:c r="AE49" s="18" t="n">
        <x:v>46272.704938055555</x:v>
      </x:c>
      <x:c r="AF49" s="18" t="str">
        <x:v>unconfirmed</x:v>
      </x:c>
      <x:c r="AG49" s="18" t="str">
        <x:v>PARTIAL_NO_DATE</x:v>
      </x:c>
    </x:row>
    <x:row r="50">
      <x:c r="A50" s="18" t="str">
        <x:v>NYT-01-bae07b93d73e9f84</x:v>
      </x:c>
      <x:c r="B50" s="18" t="str">
        <x:v>Ethiopia–Somalia (Somaliland port)</x:v>
      </x:c>
      <x:c r="C50" s="18" t="str"/>
      <x:c r="D50" s="18" t="str"/>
      <x:c r="E50" s="18" t="str"/>
      <x:c r="F50" s="18" t="str">
        <x:v>under review</x:v>
      </x:c>
      <x:c r="G50" s="18" t="str">
        <x:v>Interstate standoff</x:v>
      </x:c>
      <x:c r="H50" s="18" t="str">
        <x:v>East Africa</x:v>
      </x:c>
      <x:c r="I50" s="18" t="str">
        <x:v>Ethiopia–Somalia (Somaliland port)</x:v>
      </x:c>
      <x:c r="J50" s="20" t="str"/>
      <x:c r="K50" s="18" t="str"/>
      <x:c r="L50" s="18" t="str">
        <x:v>East Africa</x:v>
      </x:c>
      <x:c r="M50" s="18" t="str">
        <x:v>under review</x:v>
      </x:c>
      <x:c r="N50" s="18" t="str">
        <x:v>Ethiopia–Somalia (Somaliland port)</x:v>
      </x:c>
      <x:c r="O50" s="18" t="str">
        <x:v>Interstate standoff</x:v>
      </x:c>
      <x:c r="P50" s="18" t="str">
        <x:v>Medium</x:v>
      </x:c>
      <x:c r="Q50" s="18" t="str">
        <x:v>A Somaliland port-access MoU inflamed Addis Ababa–Mogadishu relations before Turkish-brokered de-escalation.</x:v>
      </x:c>
      <x:c r="R50" s="18" t="n">
        <x:v>2024</x:v>
      </x:c>
      <x:c r="S50" s="18" t="str">
        <x:v>state</x:v>
      </x:c>
      <x:c r="T50" s="18" t="str">
        <x:v>Stable</x:v>
      </x:c>
      <x:c r="U50" s="18" t="str">
        <x:v>DEFINED_TERMINAL_OR_FEED_SCOPE</x:v>
      </x:c>
      <x:c r="V50" s="18" t="str">
        <x:v>geopolitics_war_tracker.json — published records loaded</x:v>
      </x:c>
      <x:c r="W50" s="18" t="str"/>
      <x:c r="X50" s="18" t="str"/>
      <x:c r="Y50" s="20" t="n">
        <x:v>88</x:v>
      </x:c>
      <x:c r="Z50" s="19" t="str">
        <x:f>IFERROR(TODAY()-DATEVALUE(C50),"")</x:f>
      </x:c>
      <x:c r="AA50" s="21" t="n">
        <x:f>ROUND(COUNTA(A50:K50)/11*100,0)</x:f>
        <x:v>100</x:v>
      </x:c>
      <x:c r="AB50" s="18" t="str">
        <x:v>ACLED API</x:v>
      </x:c>
      <x:c r="AC50" s="22" t="str">
        <x:v>https://acleddata.com/api/acled/read</x:v>
      </x:c>
      <x:c r="AD50" s="18" t="n">
        <x:v>46272.704938055555</x:v>
      </x:c>
      <x:c r="AE50" s="18" t="n">
        <x:v>46272.704938055555</x:v>
      </x:c>
      <x:c r="AF50" s="18" t="str">
        <x:v>unconfirmed</x:v>
      </x:c>
      <x:c r="AG50" s="18" t="str">
        <x:v>PARTIAL_NO_DATE</x:v>
      </x:c>
    </x:row>
    <x:row r="51">
      <x:c r="A51" s="18" t="str">
        <x:v>NYT-01-81be94f9d6ba1e42</x:v>
      </x:c>
      <x:c r="B51" s="18" t="str">
        <x:v>Eritrea–Ethiopia tensions</x:v>
      </x:c>
      <x:c r="C51" s="18" t="str"/>
      <x:c r="D51" s="18" t="str"/>
      <x:c r="E51" s="18" t="str"/>
      <x:c r="F51" s="18" t="str">
        <x:v>under review</x:v>
      </x:c>
      <x:c r="G51" s="18" t="str">
        <x:v>Interstate standoff</x:v>
      </x:c>
      <x:c r="H51" s="18" t="str">
        <x:v>East Africa</x:v>
      </x:c>
      <x:c r="I51" s="18" t="str">
        <x:v>Eritrea–Ethiopia tensions</x:v>
      </x:c>
      <x:c r="J51" s="20" t="str"/>
      <x:c r="K51" s="18" t="str"/>
      <x:c r="L51" s="18" t="str">
        <x:v>East Africa</x:v>
      </x:c>
      <x:c r="M51" s="18" t="str">
        <x:v>under review</x:v>
      </x:c>
      <x:c r="N51" s="18" t="str">
        <x:v>Eritrea–Ethiopia tensions</x:v>
      </x:c>
      <x:c r="O51" s="18" t="str">
        <x:v>Interstate standoff</x:v>
      </x:c>
      <x:c r="P51" s="18" t="str">
        <x:v>Medium</x:v>
      </x:c>
      <x:c r="Q51" s="18" t="str">
        <x:v>Post-Tigray fallout and Red Sea access ambitions raise the risk of renewed interstate conflict.</x:v>
      </x:c>
      <x:c r="R51" s="18" t="n">
        <x:v>2023</x:v>
      </x:c>
      <x:c r="S51" s="18" t="str">
        <x:v>state</x:v>
      </x:c>
      <x:c r="T51" s="18" t="str">
        <x:v>Escalating</x:v>
      </x:c>
      <x:c r="U51" s="18" t="str">
        <x:v>DEFINED_TERMINAL_OR_FEED_SCOPE</x:v>
      </x:c>
      <x:c r="V51" s="18" t="str">
        <x:v>geopolitics_war_tracker.json — published records loaded</x:v>
      </x:c>
      <x:c r="W51" s="18" t="str"/>
      <x:c r="X51" s="18" t="str"/>
      <x:c r="Y51" s="20" t="n">
        <x:v>88</x:v>
      </x:c>
      <x:c r="Z51" s="19" t="str">
        <x:f>IFERROR(TODAY()-DATEVALUE(C51),"")</x:f>
      </x:c>
      <x:c r="AA51" s="21" t="n">
        <x:f>ROUND(COUNTA(A51:K51)/11*100,0)</x:f>
        <x:v>100</x:v>
      </x:c>
      <x:c r="AB51" s="18" t="str">
        <x:v>ACLED API</x:v>
      </x:c>
      <x:c r="AC51" s="22" t="str">
        <x:v>https://acleddata.com/api/acled/read</x:v>
      </x:c>
      <x:c r="AD51" s="18" t="n">
        <x:v>46272.704938055555</x:v>
      </x:c>
      <x:c r="AE51" s="18" t="n">
        <x:v>46272.704938055555</x:v>
      </x:c>
      <x:c r="AF51" s="18" t="str">
        <x:v>unconfirmed</x:v>
      </x:c>
      <x:c r="AG51" s="18" t="str">
        <x:v>PARTIAL_NO_DATE</x:v>
      </x:c>
    </x:row>
    <x:row r="52">
      <x:c r="A52" s="18" t="str">
        <x:v>NYT-01-fa936ebcec36718f</x:v>
      </x:c>
      <x:c r="B52" s="18" t="str">
        <x:v>Kenya — Al-Shabaab spillover</x:v>
      </x:c>
      <x:c r="C52" s="18" t="str"/>
      <x:c r="D52" s="18" t="str"/>
      <x:c r="E52" s="18" t="str"/>
      <x:c r="F52" s="18" t="str">
        <x:v>low-intensity</x:v>
      </x:c>
      <x:c r="G52" s="18" t="str">
        <x:v>Jihadist insurgency</x:v>
      </x:c>
      <x:c r="H52" s="18" t="str">
        <x:v>East Africa</x:v>
      </x:c>
      <x:c r="I52" s="18" t="str">
        <x:v>Kenya — Al-Shabaab spillover</x:v>
      </x:c>
      <x:c r="J52" s="20" t="str"/>
      <x:c r="K52" s="18" t="str"/>
      <x:c r="L52" s="18" t="str">
        <x:v>East Africa</x:v>
      </x:c>
      <x:c r="M52" s="18" t="str">
        <x:v>low-intensity</x:v>
      </x:c>
      <x:c r="N52" s="18" t="str">
        <x:v>Kenya — Al-Shabaab spillover</x:v>
      </x:c>
      <x:c r="O52" s="18" t="str">
        <x:v>Jihadist insurgency</x:v>
      </x:c>
      <x:c r="P52" s="18" t="str">
        <x:v>Low</x:v>
      </x:c>
      <x:c r="Q52" s="18" t="str">
        <x:v>Cross-border raids continue in the north-east and coast regions.</x:v>
      </x:c>
      <x:c r="R52" s="18" t="n">
        <x:v>2011</x:v>
      </x:c>
      <x:c r="S52" s="18" t="str">
        <x:v>state</x:v>
      </x:c>
      <x:c r="T52" s="18" t="str">
        <x:v>Stable</x:v>
      </x:c>
      <x:c r="U52" s="18" t="str">
        <x:v>DEFINED_TERMINAL_OR_FEED_SCOPE</x:v>
      </x:c>
      <x:c r="V52" s="18" t="str">
        <x:v>geopolitics_war_tracker.json — published records loaded</x:v>
      </x:c>
      <x:c r="W52" s="18" t="str"/>
      <x:c r="X52" s="18" t="str"/>
      <x:c r="Y52" s="20" t="n">
        <x:v>88</x:v>
      </x:c>
      <x:c r="Z52" s="19" t="str">
        <x:f>IFERROR(TODAY()-DATEVALUE(C52),"")</x:f>
      </x:c>
      <x:c r="AA52" s="21" t="n">
        <x:f>ROUND(COUNTA(A52:K52)/11*100,0)</x:f>
        <x:v>100</x:v>
      </x:c>
      <x:c r="AB52" s="18" t="str">
        <x:v>ACLED API</x:v>
      </x:c>
      <x:c r="AC52" s="22" t="str">
        <x:v>https://acleddata.com/api/acled/read</x:v>
      </x:c>
      <x:c r="AD52" s="18" t="n">
        <x:v>46272.704938055555</x:v>
      </x:c>
      <x:c r="AE52" s="18" t="n">
        <x:v>46272.704938055555</x:v>
      </x:c>
      <x:c r="AF52" s="18" t="str">
        <x:v>unconfirmed</x:v>
      </x:c>
      <x:c r="AG52" s="18" t="str">
        <x:v>PARTIAL_NO_DATE</x:v>
      </x:c>
    </x:row>
    <x:row r="53">
      <x:c r="A53" s="18" t="str">
        <x:v>NYT-01-5d375b1a68695ccf</x:v>
      </x:c>
      <x:c r="B53" s="18" t="str">
        <x:v>Somaliland — Sool (SSC-Khaatumo)</x:v>
      </x:c>
      <x:c r="C53" s="18" t="str"/>
      <x:c r="D53" s="18" t="str"/>
      <x:c r="E53" s="18" t="str"/>
      <x:c r="F53" s="18" t="str">
        <x:v>active</x:v>
      </x:c>
      <x:c r="G53" s="18" t="str">
        <x:v>Territorial dispute</x:v>
      </x:c>
      <x:c r="H53" s="18" t="str">
        <x:v>East Africa</x:v>
      </x:c>
      <x:c r="I53" s="18" t="str">
        <x:v>Somaliland — Sool (SSC-Khaatumo)</x:v>
      </x:c>
      <x:c r="J53" s="20" t="str"/>
      <x:c r="K53" s="18" t="str"/>
      <x:c r="L53" s="18" t="str">
        <x:v>East Africa</x:v>
      </x:c>
      <x:c r="M53" s="18" t="str">
        <x:v>active</x:v>
      </x:c>
      <x:c r="N53" s="18" t="str">
        <x:v>Somaliland — Sool (SSC-Khaatumo)</x:v>
      </x:c>
      <x:c r="O53" s="18" t="str">
        <x:v>Territorial dispute</x:v>
      </x:c>
      <x:c r="P53" s="18" t="str">
        <x:v>Low</x:v>
      </x:c>
      <x:c r="Q53" s="18" t="str">
        <x:v>Clan-based forces wrested Sool region control from Somaliland, seeking federal recognition.</x:v>
      </x:c>
      <x:c r="R53" s="18" t="n">
        <x:v>2023</x:v>
      </x:c>
      <x:c r="S53" s="18" t="str">
        <x:v>state</x:v>
      </x:c>
      <x:c r="T53" s="18" t="str">
        <x:v>Stable</x:v>
      </x:c>
      <x:c r="U53" s="18" t="str">
        <x:v>DEFINED_TERMINAL_OR_FEED_SCOPE</x:v>
      </x:c>
      <x:c r="V53" s="18" t="str">
        <x:v>geopolitics_war_tracker.json — published records loaded</x:v>
      </x:c>
      <x:c r="W53" s="18" t="str"/>
      <x:c r="X53" s="18" t="str"/>
      <x:c r="Y53" s="20" t="n">
        <x:v>88</x:v>
      </x:c>
      <x:c r="Z53" s="19" t="str">
        <x:f>IFERROR(TODAY()-DATEVALUE(C53),"")</x:f>
      </x:c>
      <x:c r="AA53" s="21" t="n">
        <x:f>ROUND(COUNTA(A53:K53)/11*100,0)</x:f>
        <x:v>100</x:v>
      </x:c>
      <x:c r="AB53" s="18" t="str">
        <x:v>ACLED API</x:v>
      </x:c>
      <x:c r="AC53" s="22" t="str">
        <x:v>https://acleddata.com/api/acled/read</x:v>
      </x:c>
      <x:c r="AD53" s="18" t="n">
        <x:v>46272.704938055555</x:v>
      </x:c>
      <x:c r="AE53" s="18" t="n">
        <x:v>46272.704938055555</x:v>
      </x:c>
      <x:c r="AF53" s="18" t="str">
        <x:v>unconfirmed</x:v>
      </x:c>
      <x:c r="AG53" s="18" t="str">
        <x:v>PARTIAL_NO_DATE</x:v>
      </x:c>
    </x:row>
    <x:row r="54">
      <x:c r="A54" s="18" t="str">
        <x:v>NYT-01-9006bbd2d0de0dbf</x:v>
      </x:c>
      <x:c r="B54" s="18" t="str">
        <x:v>Sudan–South Sudan (Abyei)</x:v>
      </x:c>
      <x:c r="C54" s="18" t="str"/>
      <x:c r="D54" s="18" t="str"/>
      <x:c r="E54" s="18" t="str"/>
      <x:c r="F54" s="18" t="str">
        <x:v>frozen</x:v>
      </x:c>
      <x:c r="G54" s="18" t="str">
        <x:v>Territorial dispute</x:v>
      </x:c>
      <x:c r="H54" s="18" t="str">
        <x:v>East Africa</x:v>
      </x:c>
      <x:c r="I54" s="18" t="str">
        <x:v>Sudan–South Sudan (Abyei)</x:v>
      </x:c>
      <x:c r="J54" s="20" t="str"/>
      <x:c r="K54" s="18" t="str"/>
      <x:c r="L54" s="18" t="str">
        <x:v>East Africa</x:v>
      </x:c>
      <x:c r="M54" s="18" t="str">
        <x:v>frozen</x:v>
      </x:c>
      <x:c r="N54" s="18" t="str">
        <x:v>Sudan–South Sudan (Abyei)</x:v>
      </x:c>
      <x:c r="O54" s="18" t="str">
        <x:v>Territorial dispute</x:v>
      </x:c>
      <x:c r="P54" s="18" t="str">
        <x:v>Low</x:v>
      </x:c>
      <x:c r="Q54" s="18" t="str">
        <x:v>Disputed, oil-adjacent Abyei remains under an expiring UN interim arrangement.</x:v>
      </x:c>
      <x:c r="R54" s="18" t="n">
        <x:v>2011</x:v>
      </x:c>
      <x:c r="S54" s="18" t="str">
        <x:v>state</x:v>
      </x:c>
      <x:c r="T54" s="18" t="str">
        <x:v>Stable</x:v>
      </x:c>
      <x:c r="U54" s="18" t="str">
        <x:v>DEFINED_TERMINAL_OR_FEED_SCOPE</x:v>
      </x:c>
      <x:c r="V54" s="18" t="str">
        <x:v>geopolitics_war_tracker.json — published records loaded</x:v>
      </x:c>
      <x:c r="W54" s="18" t="str"/>
      <x:c r="X54" s="18" t="str"/>
      <x:c r="Y54" s="20" t="n">
        <x:v>88</x:v>
      </x:c>
      <x:c r="Z54" s="19" t="str">
        <x:f>IFERROR(TODAY()-DATEVALUE(C54),"")</x:f>
      </x:c>
      <x:c r="AA54" s="21" t="n">
        <x:f>ROUND(COUNTA(A54:K54)/11*100,0)</x:f>
        <x:v>100</x:v>
      </x:c>
      <x:c r="AB54" s="18" t="str">
        <x:v>ACLED API</x:v>
      </x:c>
      <x:c r="AC54" s="22" t="str">
        <x:v>https://acleddata.com/api/acled/read</x:v>
      </x:c>
      <x:c r="AD54" s="18" t="n">
        <x:v>46272.704938055555</x:v>
      </x:c>
      <x:c r="AE54" s="18" t="n">
        <x:v>46272.704938055555</x:v>
      </x:c>
      <x:c r="AF54" s="18" t="str">
        <x:v>unconfirmed</x:v>
      </x:c>
      <x:c r="AG54" s="18" t="str">
        <x:v>PARTIAL_NO_DATE</x:v>
      </x:c>
    </x:row>
    <x:row r="55">
      <x:c r="A55" s="18" t="str">
        <x:v>NYT-01-02964f4d5057a6b9</x:v>
      </x:c>
      <x:c r="B55" s="18" t="str">
        <x:v>Mozambique — Cabo Delgado (ISIS-M)</x:v>
      </x:c>
      <x:c r="C55" s="18" t="str"/>
      <x:c r="D55" s="18" t="str"/>
      <x:c r="E55" s="18" t="str"/>
      <x:c r="F55" s="18" t="str">
        <x:v>active</x:v>
      </x:c>
      <x:c r="G55" s="18" t="str">
        <x:v>Jihadist insurgency</x:v>
      </x:c>
      <x:c r="H55" s="18" t="str">
        <x:v>Southern Africa</x:v>
      </x:c>
      <x:c r="I55" s="18" t="str">
        <x:v>Mozambique — Cabo Delgado (ISIS-M)</x:v>
      </x:c>
      <x:c r="J55" s="20" t="str"/>
      <x:c r="K55" s="18" t="str"/>
      <x:c r="L55" s="18" t="str">
        <x:v>Southern Africa</x:v>
      </x:c>
      <x:c r="M55" s="18" t="str">
        <x:v>active</x:v>
      </x:c>
      <x:c r="N55" s="18" t="str">
        <x:v>Mozambique — Cabo Delgado (ISIS-M)</x:v>
      </x:c>
      <x:c r="O55" s="18" t="str">
        <x:v>Jihadist insurgency</x:v>
      </x:c>
      <x:c r="P55" s="18" t="str">
        <x:v>Medium</x:v>
      </x:c>
      <x:c r="Q55" s="18" t="str">
        <x:v>IS-linked insurgency near gas projects; Rwandan and SADC forces contain but have not ended it.</x:v>
      </x:c>
      <x:c r="R55" s="18" t="n">
        <x:v>2017</x:v>
      </x:c>
      <x:c r="S55" s="18" t="str">
        <x:v>state</x:v>
      </x:c>
      <x:c r="T55" s="18" t="str">
        <x:v>Stable</x:v>
      </x:c>
      <x:c r="U55" s="18" t="str">
        <x:v>DEFINED_TERMINAL_OR_FEED_SCOPE</x:v>
      </x:c>
      <x:c r="V55" s="18" t="str">
        <x:v>geopolitics_war_tracker.json — published records loaded</x:v>
      </x:c>
      <x:c r="W55" s="18" t="str"/>
      <x:c r="X55" s="18" t="str"/>
      <x:c r="Y55" s="20" t="n">
        <x:v>88</x:v>
      </x:c>
      <x:c r="Z55" s="19" t="str">
        <x:f>IFERROR(TODAY()-DATEVALUE(C55),"")</x:f>
      </x:c>
      <x:c r="AA55" s="21" t="n">
        <x:f>ROUND(COUNTA(A55:K55)/11*100,0)</x:f>
        <x:v>100</x:v>
      </x:c>
      <x:c r="AB55" s="18" t="str">
        <x:v>ACLED API</x:v>
      </x:c>
      <x:c r="AC55" s="22" t="str">
        <x:v>https://acleddata.com/api/acled/read</x:v>
      </x:c>
      <x:c r="AD55" s="18" t="n">
        <x:v>46272.704938055555</x:v>
      </x:c>
      <x:c r="AE55" s="18" t="n">
        <x:v>46272.704938055555</x:v>
      </x:c>
      <x:c r="AF55" s="18" t="str">
        <x:v>unconfirmed</x:v>
      </x:c>
      <x:c r="AG55" s="18" t="str">
        <x:v>PARTIAL_NO_DATE</x:v>
      </x:c>
    </x:row>
    <x:row r="56">
      <x:c r="A56" s="18" t="str">
        <x:v>NYT-01-4d03a7bede90a428</x:v>
      </x:c>
      <x:c r="B56" s="18" t="str">
        <x:v>India–China LAC Standoff (Ladakh)</x:v>
      </x:c>
      <x:c r="C56" s="18" t="str"/>
      <x:c r="D56" s="18" t="str"/>
      <x:c r="E56" s="18" t="str"/>
      <x:c r="F56" s="18" t="str">
        <x:v>under review</x:v>
      </x:c>
      <x:c r="G56" s="18" t="str">
        <x:v>Border standoff</x:v>
      </x:c>
      <x:c r="H56" s="18" t="str">
        <x:v>South Asia</x:v>
      </x:c>
      <x:c r="I56" s="18" t="str">
        <x:v>India–China LAC Standoff (Ladakh)</x:v>
      </x:c>
      <x:c r="J56" s="20" t="str"/>
      <x:c r="K56" s="18" t="str"/>
      <x:c r="L56" s="18" t="str">
        <x:v>South Asia</x:v>
      </x:c>
      <x:c r="M56" s="18" t="str">
        <x:v>under review</x:v>
      </x:c>
      <x:c r="N56" s="18" t="str">
        <x:v>India–China LAC Standoff (Ladakh)</x:v>
      </x:c>
      <x:c r="O56" s="18" t="str">
        <x:v>Border standoff</x:v>
      </x:c>
      <x:c r="P56" s="18" t="str">
        <x:v>Medium</x:v>
      </x:c>
      <x:c r="Q56" s="18" t="str">
        <x:v>Disengagement reached at most friction points; patrolling arrangements restored on parts of the LAC.</x:v>
      </x:c>
      <x:c r="R56" s="18" t="n">
        <x:v>2020</x:v>
      </x:c>
      <x:c r="S56" s="18" t="str">
        <x:v>state</x:v>
      </x:c>
      <x:c r="T56" s="18" t="str">
        <x:v>Easing</x:v>
      </x:c>
      <x:c r="U56" s="18" t="str">
        <x:v>DEFINED_TERMINAL_OR_FEED_SCOPE</x:v>
      </x:c>
      <x:c r="V56" s="18" t="str">
        <x:v>geopolitics_war_tracker.json — published records loaded</x:v>
      </x:c>
      <x:c r="W56" s="18" t="str"/>
      <x:c r="X56" s="18" t="str"/>
      <x:c r="Y56" s="20" t="n">
        <x:v>88</x:v>
      </x:c>
      <x:c r="Z56" s="19" t="str">
        <x:f>IFERROR(TODAY()-DATEVALUE(C56),"")</x:f>
      </x:c>
      <x:c r="AA56" s="21" t="n">
        <x:f>ROUND(COUNTA(A56:K56)/11*100,0)</x:f>
        <x:v>100</x:v>
      </x:c>
      <x:c r="AB56" s="18" t="str">
        <x:v>ACLED API</x:v>
      </x:c>
      <x:c r="AC56" s="22" t="str">
        <x:v>https://acleddata.com/api/acled/read</x:v>
      </x:c>
      <x:c r="AD56" s="18" t="n">
        <x:v>46272.704938055555</x:v>
      </x:c>
      <x:c r="AE56" s="18" t="n">
        <x:v>46272.704938055555</x:v>
      </x:c>
      <x:c r="AF56" s="18" t="str">
        <x:v>unconfirmed</x:v>
      </x:c>
      <x:c r="AG56" s="18" t="str">
        <x:v>PARTIAL_NO_DATE</x:v>
      </x:c>
    </x:row>
    <x:row r="57">
      <x:c r="A57" s="18" t="str">
        <x:v>NYT-01-432c12328623c10c</x:v>
      </x:c>
      <x:c r="B57" s="18" t="str">
        <x:v>India–Pakistan LoC Tensions</x:v>
      </x:c>
      <x:c r="C57" s="18" t="str"/>
      <x:c r="D57" s="18" t="str"/>
      <x:c r="E57" s="18" t="str"/>
      <x:c r="F57" s="18" t="str">
        <x:v>under review</x:v>
      </x:c>
      <x:c r="G57" s="18" t="str">
        <x:v>Interstate standoff</x:v>
      </x:c>
      <x:c r="H57" s="18" t="str">
        <x:v>South Asia</x:v>
      </x:c>
      <x:c r="I57" s="18" t="str">
        <x:v>India–Pakistan LoC Tensions</x:v>
      </x:c>
      <x:c r="J57" s="20" t="str"/>
      <x:c r="K57" s="18" t="str"/>
      <x:c r="L57" s="18" t="str">
        <x:v>South Asia</x:v>
      </x:c>
      <x:c r="M57" s="18" t="str">
        <x:v>under review</x:v>
      </x:c>
      <x:c r="N57" s="18" t="str">
        <x:v>India–Pakistan LoC Tensions</x:v>
      </x:c>
      <x:c r="O57" s="18" t="str">
        <x:v>Interstate standoff</x:v>
      </x:c>
      <x:c r="P57" s="18" t="str">
        <x:v>Medium</x:v>
      </x:c>
      <x:c r="Q57" s="18" t="str">
        <x:v>A ceasefire understanding holds after a 2025 escalation; cross-border militancy remains the core dispute.</x:v>
      </x:c>
      <x:c r="R57" s="18" t="n">
        <x:v>2025</x:v>
      </x:c>
      <x:c r="S57" s="18" t="str">
        <x:v>state</x:v>
      </x:c>
      <x:c r="T57" s="18" t="str">
        <x:v>Stable</x:v>
      </x:c>
      <x:c r="U57" s="18" t="str">
        <x:v>DEFINED_TERMINAL_OR_FEED_SCOPE</x:v>
      </x:c>
      <x:c r="V57" s="18" t="str">
        <x:v>geopolitics_war_tracker.json — published records loaded</x:v>
      </x:c>
      <x:c r="W57" s="18" t="str"/>
      <x:c r="X57" s="18" t="str"/>
      <x:c r="Y57" s="20" t="n">
        <x:v>88</x:v>
      </x:c>
      <x:c r="Z57" s="19" t="str">
        <x:f>IFERROR(TODAY()-DATEVALUE(C57),"")</x:f>
      </x:c>
      <x:c r="AA57" s="21" t="n">
        <x:f>ROUND(COUNTA(A57:K57)/11*100,0)</x:f>
        <x:v>100</x:v>
      </x:c>
      <x:c r="AB57" s="18" t="str">
        <x:v>ACLED API</x:v>
      </x:c>
      <x:c r="AC57" s="22" t="str">
        <x:v>https://acleddata.com/api/acled/read</x:v>
      </x:c>
      <x:c r="AD57" s="18" t="n">
        <x:v>46272.704938055555</x:v>
      </x:c>
      <x:c r="AE57" s="18" t="n">
        <x:v>46272.704938055555</x:v>
      </x:c>
      <x:c r="AF57" s="18" t="str">
        <x:v>unconfirmed</x:v>
      </x:c>
      <x:c r="AG57" s="18" t="str">
        <x:v>PARTIAL_NO_DATE</x:v>
      </x:c>
    </x:row>
    <x:row r="58">
      <x:c r="A58" s="18" t="str">
        <x:v>NYT-01-430058095314312a</x:v>
      </x:c>
      <x:c r="B58" s="18" t="str">
        <x:v>Afghanistan — Taliban vs ISKP</x:v>
      </x:c>
      <x:c r="C58" s="18" t="str"/>
      <x:c r="D58" s="18" t="str"/>
      <x:c r="E58" s="18" t="str"/>
      <x:c r="F58" s="18" t="str">
        <x:v>active</x:v>
      </x:c>
      <x:c r="G58" s="18" t="str">
        <x:v>Jihadist insurgency</x:v>
      </x:c>
      <x:c r="H58" s="18" t="str">
        <x:v>South Asia</x:v>
      </x:c>
      <x:c r="I58" s="18" t="str">
        <x:v>Afghanistan — Taliban vs ISKP</x:v>
      </x:c>
      <x:c r="J58" s="20" t="str"/>
      <x:c r="K58" s="18" t="str"/>
      <x:c r="L58" s="18" t="str">
        <x:v>South Asia</x:v>
      </x:c>
      <x:c r="M58" s="18" t="str">
        <x:v>active</x:v>
      </x:c>
      <x:c r="N58" s="18" t="str">
        <x:v>Afghanistan — Taliban vs ISKP</x:v>
      </x:c>
      <x:c r="O58" s="18" t="str">
        <x:v>Jihadist insurgency</x:v>
      </x:c>
      <x:c r="P58" s="18" t="str">
        <x:v>Medium</x:v>
      </x:c>
      <x:c r="Q58" s="18" t="str">
        <x:v>ISKP mounts periodic mass-casualty attacks against the Taliban government and minorities.</x:v>
      </x:c>
      <x:c r="R58" s="18" t="n">
        <x:v>2021</x:v>
      </x:c>
      <x:c r="S58" s="18" t="str">
        <x:v>state</x:v>
      </x:c>
      <x:c r="T58" s="18" t="str">
        <x:v>Stable</x:v>
      </x:c>
      <x:c r="U58" s="18" t="str">
        <x:v>DEFINED_TERMINAL_OR_FEED_SCOPE</x:v>
      </x:c>
      <x:c r="V58" s="18" t="str">
        <x:v>geopolitics_war_tracker.json — published records loaded</x:v>
      </x:c>
      <x:c r="W58" s="18" t="str"/>
      <x:c r="X58" s="18" t="str"/>
      <x:c r="Y58" s="20" t="n">
        <x:v>88</x:v>
      </x:c>
      <x:c r="Z58" s="19" t="str">
        <x:f>IFERROR(TODAY()-DATEVALUE(C58),"")</x:f>
      </x:c>
      <x:c r="AA58" s="21" t="n">
        <x:f>ROUND(COUNTA(A58:K58)/11*100,0)</x:f>
        <x:v>100</x:v>
      </x:c>
      <x:c r="AB58" s="18" t="str">
        <x:v>ACLED API</x:v>
      </x:c>
      <x:c r="AC58" s="22" t="str">
        <x:v>https://acleddata.com/api/acled/read</x:v>
      </x:c>
      <x:c r="AD58" s="18" t="n">
        <x:v>46272.704938055555</x:v>
      </x:c>
      <x:c r="AE58" s="18" t="n">
        <x:v>46272.704938055555</x:v>
      </x:c>
      <x:c r="AF58" s="18" t="str">
        <x:v>unconfirmed</x:v>
      </x:c>
      <x:c r="AG58" s="18" t="str">
        <x:v>PARTIAL_NO_DATE</x:v>
      </x:c>
    </x:row>
    <x:row r="59">
      <x:c r="A59" s="18" t="str">
        <x:v>NYT-01-63b6b10297b3876e</x:v>
      </x:c>
      <x:c r="B59" s="18" t="str">
        <x:v>Afghanistan–Pakistan (TTP/border)</x:v>
      </x:c>
      <x:c r="C59" s="18" t="str"/>
      <x:c r="D59" s="18" t="str"/>
      <x:c r="E59" s="18" t="str"/>
      <x:c r="F59" s="18" t="str">
        <x:v>active</x:v>
      </x:c>
      <x:c r="G59" s="18" t="str">
        <x:v>Insurgency</x:v>
      </x:c>
      <x:c r="H59" s="18" t="str">
        <x:v>South Asia</x:v>
      </x:c>
      <x:c r="I59" s="18" t="str">
        <x:v>Afghanistan–Pakistan (TTP/border)</x:v>
      </x:c>
      <x:c r="J59" s="20" t="str"/>
      <x:c r="K59" s="18" t="str"/>
      <x:c r="L59" s="18" t="str">
        <x:v>South Asia</x:v>
      </x:c>
      <x:c r="M59" s="18" t="str">
        <x:v>active</x:v>
      </x:c>
      <x:c r="N59" s="18" t="str">
        <x:v>Afghanistan–Pakistan (TTP/border)</x:v>
      </x:c>
      <x:c r="O59" s="18" t="str">
        <x:v>Insurgency</x:v>
      </x:c>
      <x:c r="P59" s="18" t="str">
        <x:v>High</x:v>
      </x:c>
      <x:c r="Q59" s="18" t="str">
        <x:v>TTP attacks surged from Afghan soil; Islamabad–Kabul relations deteriorated with cross-border strikes.</x:v>
      </x:c>
      <x:c r="R59" s="18" t="n">
        <x:v>2021</x:v>
      </x:c>
      <x:c r="S59" s="18" t="str">
        <x:v>state</x:v>
      </x:c>
      <x:c r="T59" s="18" t="str">
        <x:v>Escalating</x:v>
      </x:c>
      <x:c r="U59" s="18" t="str">
        <x:v>DEFINED_TERMINAL_OR_FEED_SCOPE</x:v>
      </x:c>
      <x:c r="V59" s="18" t="str">
        <x:v>geopolitics_war_tracker.json — published records loaded</x:v>
      </x:c>
      <x:c r="W59" s="18" t="str"/>
      <x:c r="X59" s="18" t="str"/>
      <x:c r="Y59" s="20" t="n">
        <x:v>88</x:v>
      </x:c>
      <x:c r="Z59" s="19" t="str">
        <x:f>IFERROR(TODAY()-DATEVALUE(C59),"")</x:f>
      </x:c>
      <x:c r="AA59" s="21" t="n">
        <x:f>ROUND(COUNTA(A59:K59)/11*100,0)</x:f>
        <x:v>100</x:v>
      </x:c>
      <x:c r="AB59" s="18" t="str">
        <x:v>ACLED API</x:v>
      </x:c>
      <x:c r="AC59" s="22" t="str">
        <x:v>https://acleddata.com/api/acled/read</x:v>
      </x:c>
      <x:c r="AD59" s="18" t="n">
        <x:v>46272.704938055555</x:v>
      </x:c>
      <x:c r="AE59" s="18" t="n">
        <x:v>46272.704938055555</x:v>
      </x:c>
      <x:c r="AF59" s="18" t="str">
        <x:v>unconfirmed</x:v>
      </x:c>
      <x:c r="AG59" s="18" t="str">
        <x:v>PARTIAL_NO_DATE</x:v>
      </x:c>
    </x:row>
    <x:row r="60">
      <x:c r="A60" s="18" t="str">
        <x:v>NYT-01-a51b2d9653e1f6cf</x:v>
      </x:c>
      <x:c r="B60" s="18" t="str">
        <x:v>Pakistan — Balochistan insurgency</x:v>
      </x:c>
      <x:c r="C60" s="18" t="str"/>
      <x:c r="D60" s="18" t="str"/>
      <x:c r="E60" s="18" t="str"/>
      <x:c r="F60" s="18" t="str">
        <x:v>active</x:v>
      </x:c>
      <x:c r="G60" s="18" t="str">
        <x:v>Separatist insurgency</x:v>
      </x:c>
      <x:c r="H60" s="18" t="str">
        <x:v>South Asia</x:v>
      </x:c>
      <x:c r="I60" s="18" t="str">
        <x:v>Pakistan — Balochistan insurgency</x:v>
      </x:c>
      <x:c r="J60" s="20" t="str"/>
      <x:c r="K60" s="18" t="str"/>
      <x:c r="L60" s="18" t="str">
        <x:v>South Asia</x:v>
      </x:c>
      <x:c r="M60" s="18" t="str">
        <x:v>active</x:v>
      </x:c>
      <x:c r="N60" s="18" t="str">
        <x:v>Pakistan — Balochistan insurgency</x:v>
      </x:c>
      <x:c r="O60" s="18" t="str">
        <x:v>Separatist insurgency</x:v>
      </x:c>
      <x:c r="P60" s="18" t="str">
        <x:v>Medium</x:v>
      </x:c>
      <x:c r="Q60" s="18" t="str">
        <x:v>Baloch separatists escalated attacks on security forces and Chinese/CPEC interests.</x:v>
      </x:c>
      <x:c r="R60" s="18" t="n">
        <x:v>2004</x:v>
      </x:c>
      <x:c r="S60" s="18" t="str">
        <x:v>state</x:v>
      </x:c>
      <x:c r="T60" s="18" t="str">
        <x:v>Escalating</x:v>
      </x:c>
      <x:c r="U60" s="18" t="str">
        <x:v>DEFINED_TERMINAL_OR_FEED_SCOPE</x:v>
      </x:c>
      <x:c r="V60" s="18" t="str">
        <x:v>geopolitics_war_tracker.json — published records loaded</x:v>
      </x:c>
      <x:c r="W60" s="18" t="str"/>
      <x:c r="X60" s="18" t="str"/>
      <x:c r="Y60" s="20" t="n">
        <x:v>88</x:v>
      </x:c>
      <x:c r="Z60" s="19" t="str">
        <x:f>IFERROR(TODAY()-DATEVALUE(C60),"")</x:f>
      </x:c>
      <x:c r="AA60" s="21" t="n">
        <x:f>ROUND(COUNTA(A60:K60)/11*100,0)</x:f>
        <x:v>100</x:v>
      </x:c>
      <x:c r="AB60" s="18" t="str">
        <x:v>ACLED API</x:v>
      </x:c>
      <x:c r="AC60" s="22" t="str">
        <x:v>https://acleddata.com/api/acled/read</x:v>
      </x:c>
      <x:c r="AD60" s="18" t="n">
        <x:v>46272.704938055555</x:v>
      </x:c>
      <x:c r="AE60" s="18" t="n">
        <x:v>46272.704938055555</x:v>
      </x:c>
      <x:c r="AF60" s="18" t="str">
        <x:v>unconfirmed</x:v>
      </x:c>
      <x:c r="AG60" s="18" t="str">
        <x:v>PARTIAL_NO_DATE</x:v>
      </x:c>
    </x:row>
    <x:row r="61">
      <x:c r="A61" s="18" t="str">
        <x:v>NYT-01-619055fdaad80ea5</x:v>
      </x:c>
      <x:c r="B61" s="18" t="str">
        <x:v>India — Manipur ethnic conflict</x:v>
      </x:c>
      <x:c r="C61" s="18" t="str"/>
      <x:c r="D61" s="18" t="str"/>
      <x:c r="E61" s="18" t="str"/>
      <x:c r="F61" s="18" t="str">
        <x:v>active</x:v>
      </x:c>
      <x:c r="G61" s="18" t="str">
        <x:v>Communal / ethnic</x:v>
      </x:c>
      <x:c r="H61" s="18" t="str">
        <x:v>South Asia</x:v>
      </x:c>
      <x:c r="I61" s="18" t="str">
        <x:v>India — Manipur ethnic conflict</x:v>
      </x:c>
      <x:c r="J61" s="20" t="str"/>
      <x:c r="K61" s="18" t="str"/>
      <x:c r="L61" s="18" t="str">
        <x:v>South Asia</x:v>
      </x:c>
      <x:c r="M61" s="18" t="str">
        <x:v>active</x:v>
      </x:c>
      <x:c r="N61" s="18" t="str">
        <x:v>India — Manipur ethnic conflict</x:v>
      </x:c>
      <x:c r="O61" s="18" t="str">
        <x:v>Communal / ethnic</x:v>
      </x:c>
      <x:c r="P61" s="18" t="str">
        <x:v>Medium</x:v>
      </x:c>
      <x:c r="Q61" s="18" t="str">
        <x:v>Meitei–Kuki violence displaced tens of thousands; the state remains effectively partitioned.</x:v>
      </x:c>
      <x:c r="R61" s="18" t="n">
        <x:v>2023</x:v>
      </x:c>
      <x:c r="S61" s="18" t="str">
        <x:v>state</x:v>
      </x:c>
      <x:c r="T61" s="18" t="str">
        <x:v>Stable</x:v>
      </x:c>
      <x:c r="U61" s="18" t="str">
        <x:v>DEFINED_TERMINAL_OR_FEED_SCOPE</x:v>
      </x:c>
      <x:c r="V61" s="18" t="str">
        <x:v>geopolitics_war_tracker.json — published records loaded</x:v>
      </x:c>
      <x:c r="W61" s="18" t="str"/>
      <x:c r="X61" s="18" t="str"/>
      <x:c r="Y61" s="20" t="n">
        <x:v>88</x:v>
      </x:c>
      <x:c r="Z61" s="19" t="str">
        <x:f>IFERROR(TODAY()-DATEVALUE(C61),"")</x:f>
      </x:c>
      <x:c r="AA61" s="21" t="n">
        <x:f>ROUND(COUNTA(A61:K61)/11*100,0)</x:f>
        <x:v>100</x:v>
      </x:c>
      <x:c r="AB61" s="18" t="str">
        <x:v>ACLED API</x:v>
      </x:c>
      <x:c r="AC61" s="22" t="str">
        <x:v>https://acleddata.com/api/acled/read</x:v>
      </x:c>
      <x:c r="AD61" s="18" t="n">
        <x:v>46272.704938055555</x:v>
      </x:c>
      <x:c r="AE61" s="18" t="n">
        <x:v>46272.704938055555</x:v>
      </x:c>
      <x:c r="AF61" s="18" t="str">
        <x:v>unconfirmed</x:v>
      </x:c>
      <x:c r="AG61" s="18" t="str">
        <x:v>PARTIAL_NO_DATE</x:v>
      </x:c>
    </x:row>
    <x:row r="62">
      <x:c r="A62" s="18" t="str">
        <x:v>NYT-01-73493a4fe817f6e3</x:v>
      </x:c>
      <x:c r="B62" s="18" t="str">
        <x:v>India — Naxalite (Maoist)</x:v>
      </x:c>
      <x:c r="C62" s="18" t="str"/>
      <x:c r="D62" s="18" t="str"/>
      <x:c r="E62" s="18" t="str"/>
      <x:c r="F62" s="18" t="str">
        <x:v>low-intensity</x:v>
      </x:c>
      <x:c r="G62" s="18" t="str">
        <x:v>Insurgency</x:v>
      </x:c>
      <x:c r="H62" s="18" t="str">
        <x:v>South Asia</x:v>
      </x:c>
      <x:c r="I62" s="18" t="str">
        <x:v>India — Naxalite (Maoist)</x:v>
      </x:c>
      <x:c r="J62" s="20" t="str"/>
      <x:c r="K62" s="18" t="str"/>
      <x:c r="L62" s="18" t="str">
        <x:v>South Asia</x:v>
      </x:c>
      <x:c r="M62" s="18" t="str">
        <x:v>low-intensity</x:v>
      </x:c>
      <x:c r="N62" s="18" t="str">
        <x:v>India — Naxalite (Maoist)</x:v>
      </x:c>
      <x:c r="O62" s="18" t="str">
        <x:v>Insurgency</x:v>
      </x:c>
      <x:c r="P62" s="18" t="str">
        <x:v>Low</x:v>
      </x:c>
      <x:c r="Q62" s="18" t="str">
        <x:v>Maoist insurgency is at a historic low, confined to shrinking pockets of central India under a stated 2026 elimination goal.</x:v>
      </x:c>
      <x:c r="R62" s="18" t="n">
        <x:v>1967</x:v>
      </x:c>
      <x:c r="S62" s="18" t="str">
        <x:v>state</x:v>
      </x:c>
      <x:c r="T62" s="18" t="str">
        <x:v>Easing</x:v>
      </x:c>
      <x:c r="U62" s="18" t="str">
        <x:v>DEFINED_TERMINAL_OR_FEED_SCOPE</x:v>
      </x:c>
      <x:c r="V62" s="18" t="str">
        <x:v>geopolitics_war_tracker.json — published records loaded</x:v>
      </x:c>
      <x:c r="W62" s="18" t="str"/>
      <x:c r="X62" s="18" t="str"/>
      <x:c r="Y62" s="20" t="n">
        <x:v>88</x:v>
      </x:c>
      <x:c r="Z62" s="19" t="str">
        <x:f>IFERROR(TODAY()-DATEVALUE(C62),"")</x:f>
      </x:c>
      <x:c r="AA62" s="21" t="n">
        <x:f>ROUND(COUNTA(A62:K62)/11*100,0)</x:f>
        <x:v>100</x:v>
      </x:c>
      <x:c r="AB62" s="18" t="str">
        <x:v>ACLED API</x:v>
      </x:c>
      <x:c r="AC62" s="22" t="str">
        <x:v>https://acleddata.com/api/acled/read</x:v>
      </x:c>
      <x:c r="AD62" s="18" t="n">
        <x:v>46272.704938055555</x:v>
      </x:c>
      <x:c r="AE62" s="18" t="n">
        <x:v>46272.704938055555</x:v>
      </x:c>
      <x:c r="AF62" s="18" t="str">
        <x:v>unconfirmed</x:v>
      </x:c>
      <x:c r="AG62" s="18" t="str">
        <x:v>PARTIAL_NO_DATE</x:v>
      </x:c>
    </x:row>
    <x:row r="63">
      <x:c r="A63" s="18" t="str">
        <x:v>NYT-01-e25ed40cbe1737b7</x:v>
      </x:c>
      <x:c r="B63" s="18" t="str">
        <x:v>India — J&amp;K militancy</x:v>
      </x:c>
      <x:c r="C63" s="18" t="str"/>
      <x:c r="D63" s="18" t="str"/>
      <x:c r="E63" s="18" t="str"/>
      <x:c r="F63" s="18" t="str">
        <x:v>low-intensity</x:v>
      </x:c>
      <x:c r="G63" s="18" t="str">
        <x:v>Insurgency</x:v>
      </x:c>
      <x:c r="H63" s="18" t="str">
        <x:v>South Asia</x:v>
      </x:c>
      <x:c r="I63" s="18" t="str">
        <x:v>India — J&amp;K militancy</x:v>
      </x:c>
      <x:c r="J63" s="20" t="str"/>
      <x:c r="K63" s="18" t="str"/>
      <x:c r="L63" s="18" t="str">
        <x:v>South Asia</x:v>
      </x:c>
      <x:c r="M63" s="18" t="str">
        <x:v>low-intensity</x:v>
      </x:c>
      <x:c r="N63" s="18" t="str">
        <x:v>India — J&amp;K militancy</x:v>
      </x:c>
      <x:c r="O63" s="18" t="str">
        <x:v>Insurgency</x:v>
      </x:c>
      <x:c r="P63" s="18" t="str">
        <x:v>Low</x:v>
      </x:c>
      <x:c r="Q63" s="18" t="str">
        <x:v>Militancy has ebbed but periodic attacks and infiltration continue post-2019 reorganisation.</x:v>
      </x:c>
      <x:c r="R63" s="18" t="n">
        <x:v>1989</x:v>
      </x:c>
      <x:c r="S63" s="18" t="str">
        <x:v>state</x:v>
      </x:c>
      <x:c r="T63" s="18" t="str">
        <x:v>Stable</x:v>
      </x:c>
      <x:c r="U63" s="18" t="str">
        <x:v>DEFINED_TERMINAL_OR_FEED_SCOPE</x:v>
      </x:c>
      <x:c r="V63" s="18" t="str">
        <x:v>geopolitics_war_tracker.json — published records loaded</x:v>
      </x:c>
      <x:c r="W63" s="18" t="str"/>
      <x:c r="X63" s="18" t="str"/>
      <x:c r="Y63" s="20" t="n">
        <x:v>88</x:v>
      </x:c>
      <x:c r="Z63" s="19" t="str">
        <x:f>IFERROR(TODAY()-DATEVALUE(C63),"")</x:f>
      </x:c>
      <x:c r="AA63" s="21" t="n">
        <x:f>ROUND(COUNTA(A63:K63)/11*100,0)</x:f>
        <x:v>100</x:v>
      </x:c>
      <x:c r="AB63" s="18" t="str">
        <x:v>ACLED API</x:v>
      </x:c>
      <x:c r="AC63" s="22" t="str">
        <x:v>https://acleddata.com/api/acled/read</x:v>
      </x:c>
      <x:c r="AD63" s="18" t="n">
        <x:v>46272.704938055555</x:v>
      </x:c>
      <x:c r="AE63" s="18" t="n">
        <x:v>46272.704938055555</x:v>
      </x:c>
      <x:c r="AF63" s="18" t="str">
        <x:v>unconfirmed</x:v>
      </x:c>
      <x:c r="AG63" s="18" t="str">
        <x:v>PARTIAL_NO_DATE</x:v>
      </x:c>
    </x:row>
    <x:row r="64">
      <x:c r="A64" s="18" t="str">
        <x:v>NYT-01-d129a61e639acb04</x:v>
      </x:c>
      <x:c r="B64" s="18" t="str">
        <x:v>Pakistan–Iran border strikes</x:v>
      </x:c>
      <x:c r="C64" s="18" t="str"/>
      <x:c r="D64" s="18" t="str"/>
      <x:c r="E64" s="18" t="str"/>
      <x:c r="F64" s="18" t="str">
        <x:v>ceasefire fragile</x:v>
      </x:c>
      <x:c r="G64" s="18" t="str">
        <x:v>Interstate standoff</x:v>
      </x:c>
      <x:c r="H64" s="18" t="str">
        <x:v>South Asia</x:v>
      </x:c>
      <x:c r="I64" s="18" t="str">
        <x:v>Pakistan–Iran border strikes</x:v>
      </x:c>
      <x:c r="J64" s="20" t="str"/>
      <x:c r="K64" s="18" t="str"/>
      <x:c r="L64" s="18" t="str">
        <x:v>South Asia</x:v>
      </x:c>
      <x:c r="M64" s="18" t="str">
        <x:v>ceasefire fragile</x:v>
      </x:c>
      <x:c r="N64" s="18" t="str">
        <x:v>Pakistan–Iran border strikes</x:v>
      </x:c>
      <x:c r="O64" s="18" t="str">
        <x:v>Interstate standoff</x:v>
      </x:c>
      <x:c r="P64" s="18" t="str">
        <x:v>Medium</x:v>
      </x:c>
      <x:c r="Q64" s="18" t="str">
        <x:v>Tit-for-tat strikes on militant havens in 2024 were quickly de-escalated diplomatically.</x:v>
      </x:c>
      <x:c r="R64" s="18" t="n">
        <x:v>2024</x:v>
      </x:c>
      <x:c r="S64" s="18" t="str">
        <x:v>state</x:v>
      </x:c>
      <x:c r="T64" s="18" t="str">
        <x:v>Easing</x:v>
      </x:c>
      <x:c r="U64" s="18" t="str">
        <x:v>DEFINED_TERMINAL_OR_FEED_SCOPE</x:v>
      </x:c>
      <x:c r="V64" s="18" t="str">
        <x:v>geopolitics_war_tracker.json — published records loaded</x:v>
      </x:c>
      <x:c r="W64" s="18" t="str"/>
      <x:c r="X64" s="18" t="str"/>
      <x:c r="Y64" s="20" t="n">
        <x:v>88</x:v>
      </x:c>
      <x:c r="Z64" s="19" t="str">
        <x:f>IFERROR(TODAY()-DATEVALUE(C64),"")</x:f>
      </x:c>
      <x:c r="AA64" s="21" t="n">
        <x:f>ROUND(COUNTA(A64:K64)/11*100,0)</x:f>
        <x:v>100</x:v>
      </x:c>
      <x:c r="AB64" s="18" t="str">
        <x:v>ACLED API</x:v>
      </x:c>
      <x:c r="AC64" s="22" t="str">
        <x:v>https://acleddata.com/api/acled/read</x:v>
      </x:c>
      <x:c r="AD64" s="18" t="n">
        <x:v>46272.704938055555</x:v>
      </x:c>
      <x:c r="AE64" s="18" t="n">
        <x:v>46272.704938055555</x:v>
      </x:c>
      <x:c r="AF64" s="18" t="str">
        <x:v>unconfirmed</x:v>
      </x:c>
      <x:c r="AG64" s="18" t="str">
        <x:v>PARTIAL_NO_DATE</x:v>
      </x:c>
    </x:row>
    <x:row r="65">
      <x:c r="A65" s="18" t="str">
        <x:v>NYT-01-8d58fc38b6996d84</x:v>
      </x:c>
      <x:c r="B65" s="18" t="str">
        <x:v>Bangladesh — Political instability</x:v>
      </x:c>
      <x:c r="C65" s="18" t="str"/>
      <x:c r="D65" s="18" t="str"/>
      <x:c r="E65" s="18" t="str"/>
      <x:c r="F65" s="18" t="str">
        <x:v>under review</x:v>
      </x:c>
      <x:c r="G65" s="18" t="str">
        <x:v>Political crisis</x:v>
      </x:c>
      <x:c r="H65" s="18" t="str">
        <x:v>South Asia</x:v>
      </x:c>
      <x:c r="I65" s="18" t="str">
        <x:v>Bangladesh — Political instability</x:v>
      </x:c>
      <x:c r="J65" s="20" t="str"/>
      <x:c r="K65" s="18" t="str"/>
      <x:c r="L65" s="18" t="str">
        <x:v>South Asia</x:v>
      </x:c>
      <x:c r="M65" s="18" t="str">
        <x:v>under review</x:v>
      </x:c>
      <x:c r="N65" s="18" t="str">
        <x:v>Bangladesh — Political instability</x:v>
      </x:c>
      <x:c r="O65" s="18" t="str">
        <x:v>Political crisis</x:v>
      </x:c>
      <x:c r="P65" s="18" t="str">
        <x:v>Low</x:v>
      </x:c>
      <x:c r="Q65" s="18" t="str">
        <x:v>An interim government took over after mass protests ousted the prime minister; transition contested.</x:v>
      </x:c>
      <x:c r="R65" s="18" t="n">
        <x:v>2024</x:v>
      </x:c>
      <x:c r="S65" s="18" t="str">
        <x:v>state</x:v>
      </x:c>
      <x:c r="T65" s="18" t="str">
        <x:v>Stable</x:v>
      </x:c>
      <x:c r="U65" s="18" t="str">
        <x:v>DEFINED_TERMINAL_OR_FEED_SCOPE</x:v>
      </x:c>
      <x:c r="V65" s="18" t="str">
        <x:v>geopolitics_war_tracker.json — published records loaded</x:v>
      </x:c>
      <x:c r="W65" s="18" t="str"/>
      <x:c r="X65" s="18" t="str"/>
      <x:c r="Y65" s="20" t="n">
        <x:v>88</x:v>
      </x:c>
      <x:c r="Z65" s="19" t="str">
        <x:f>IFERROR(TODAY()-DATEVALUE(C65),"")</x:f>
      </x:c>
      <x:c r="AA65" s="21" t="n">
        <x:f>ROUND(COUNTA(A65:K65)/11*100,0)</x:f>
        <x:v>100</x:v>
      </x:c>
      <x:c r="AB65" s="18" t="str">
        <x:v>ACLED API</x:v>
      </x:c>
      <x:c r="AC65" s="22" t="str">
        <x:v>https://acleddata.com/api/acled/read</x:v>
      </x:c>
      <x:c r="AD65" s="18" t="n">
        <x:v>46272.704938055555</x:v>
      </x:c>
      <x:c r="AE65" s="18" t="n">
        <x:v>46272.704938055555</x:v>
      </x:c>
      <x:c r="AF65" s="18" t="str">
        <x:v>unconfirmed</x:v>
      </x:c>
      <x:c r="AG65" s="18" t="str">
        <x:v>PARTIAL_NO_DATE</x:v>
      </x:c>
    </x:row>
    <x:row r="66">
      <x:c r="A66" s="18" t="str">
        <x:v>NYT-01-91ae5961f11c50bd</x:v>
      </x:c>
      <x:c r="B66" s="18" t="str">
        <x:v>India–Nepal (Kalapani)</x:v>
      </x:c>
      <x:c r="C66" s="18" t="str"/>
      <x:c r="D66" s="18" t="str"/>
      <x:c r="E66" s="18" t="str"/>
      <x:c r="F66" s="18" t="str">
        <x:v>frozen</x:v>
      </x:c>
      <x:c r="G66" s="18" t="str">
        <x:v>Territorial dispute</x:v>
      </x:c>
      <x:c r="H66" s="18" t="str">
        <x:v>South Asia</x:v>
      </x:c>
      <x:c r="I66" s="18" t="str">
        <x:v>India–Nepal (Kalapani)</x:v>
      </x:c>
      <x:c r="J66" s="20" t="str"/>
      <x:c r="K66" s="18" t="str"/>
      <x:c r="L66" s="18" t="str">
        <x:v>South Asia</x:v>
      </x:c>
      <x:c r="M66" s="18" t="str">
        <x:v>frozen</x:v>
      </x:c>
      <x:c r="N66" s="18" t="str">
        <x:v>India–Nepal (Kalapani)</x:v>
      </x:c>
      <x:c r="O66" s="18" t="str">
        <x:v>Territorial dispute</x:v>
      </x:c>
      <x:c r="P66" s="18" t="str">
        <x:v>Low</x:v>
      </x:c>
      <x:c r="Q66" s="18" t="str">
        <x:v>Overlapping Himalayan boundary claims remain unresolved but non-violent.</x:v>
      </x:c>
      <x:c r="R66" s="18" t="n">
        <x:v>2020</x:v>
      </x:c>
      <x:c r="S66" s="18" t="str">
        <x:v>state</x:v>
      </x:c>
      <x:c r="T66" s="18" t="str">
        <x:v>Stable</x:v>
      </x:c>
      <x:c r="U66" s="18" t="str">
        <x:v>DEFINED_TERMINAL_OR_FEED_SCOPE</x:v>
      </x:c>
      <x:c r="V66" s="18" t="str">
        <x:v>geopolitics_war_tracker.json — published records loaded</x:v>
      </x:c>
      <x:c r="W66" s="18" t="str"/>
      <x:c r="X66" s="18" t="str"/>
      <x:c r="Y66" s="20" t="n">
        <x:v>88</x:v>
      </x:c>
      <x:c r="Z66" s="19" t="str">
        <x:f>IFERROR(TODAY()-DATEVALUE(C66),"")</x:f>
      </x:c>
      <x:c r="AA66" s="21" t="n">
        <x:f>ROUND(COUNTA(A66:K66)/11*100,0)</x:f>
        <x:v>100</x:v>
      </x:c>
      <x:c r="AB66" s="18" t="str">
        <x:v>ACLED API</x:v>
      </x:c>
      <x:c r="AC66" s="22" t="str">
        <x:v>https://acleddata.com/api/acled/read</x:v>
      </x:c>
      <x:c r="AD66" s="18" t="n">
        <x:v>46272.704938055555</x:v>
      </x:c>
      <x:c r="AE66" s="18" t="n">
        <x:v>46272.704938055555</x:v>
      </x:c>
      <x:c r="AF66" s="18" t="str">
        <x:v>unconfirmed</x:v>
      </x:c>
      <x:c r="AG66" s="18" t="str">
        <x:v>PARTIAL_NO_DATE</x:v>
      </x:c>
    </x:row>
    <x:row r="67">
      <x:c r="A67" s="18" t="str">
        <x:v>NYT-01-3a57ba6c60f2149d</x:v>
      </x:c>
      <x:c r="B67" s="18" t="str">
        <x:v>China–Bhutan border</x:v>
      </x:c>
      <x:c r="C67" s="18" t="str"/>
      <x:c r="D67" s="18" t="str"/>
      <x:c r="E67" s="18" t="str"/>
      <x:c r="F67" s="18" t="str">
        <x:v>under review</x:v>
      </x:c>
      <x:c r="G67" s="18" t="str">
        <x:v>Territorial dispute</x:v>
      </x:c>
      <x:c r="H67" s="18" t="str">
        <x:v>South Asia</x:v>
      </x:c>
      <x:c r="I67" s="18" t="str">
        <x:v>China–Bhutan border</x:v>
      </x:c>
      <x:c r="J67" s="20" t="str"/>
      <x:c r="K67" s="18" t="str"/>
      <x:c r="L67" s="18" t="str">
        <x:v>South Asia</x:v>
      </x:c>
      <x:c r="M67" s="18" t="str">
        <x:v>under review</x:v>
      </x:c>
      <x:c r="N67" s="18" t="str">
        <x:v>China–Bhutan border</x:v>
      </x:c>
      <x:c r="O67" s="18" t="str">
        <x:v>Territorial dispute</x:v>
      </x:c>
      <x:c r="P67" s="18" t="str">
        <x:v>Low</x:v>
      </x:c>
      <x:c r="Q67" s="18" t="str">
        <x:v>Boundary talks continue amid Chinese construction in disputed areas that concern India.</x:v>
      </x:c>
      <x:c r="R67" s="18" t="n">
        <x:v>1984</x:v>
      </x:c>
      <x:c r="S67" s="18" t="str">
        <x:v>state</x:v>
      </x:c>
      <x:c r="T67" s="18" t="str">
        <x:v>Stable</x:v>
      </x:c>
      <x:c r="U67" s="18" t="str">
        <x:v>DEFINED_TERMINAL_OR_FEED_SCOPE</x:v>
      </x:c>
      <x:c r="V67" s="18" t="str">
        <x:v>geopolitics_war_tracker.json — published records loaded</x:v>
      </x:c>
      <x:c r="W67" s="18" t="str"/>
      <x:c r="X67" s="18" t="str"/>
      <x:c r="Y67" s="20" t="n">
        <x:v>88</x:v>
      </x:c>
      <x:c r="Z67" s="19" t="str">
        <x:f>IFERROR(TODAY()-DATEVALUE(C67),"")</x:f>
      </x:c>
      <x:c r="AA67" s="21" t="n">
        <x:f>ROUND(COUNTA(A67:K67)/11*100,0)</x:f>
        <x:v>100</x:v>
      </x:c>
      <x:c r="AB67" s="18" t="str">
        <x:v>ACLED API</x:v>
      </x:c>
      <x:c r="AC67" s="22" t="str">
        <x:v>https://acleddata.com/api/acled/read</x:v>
      </x:c>
      <x:c r="AD67" s="18" t="n">
        <x:v>46272.704938055555</x:v>
      </x:c>
      <x:c r="AE67" s="18" t="n">
        <x:v>46272.704938055555</x:v>
      </x:c>
      <x:c r="AF67" s="18" t="str">
        <x:v>unconfirmed</x:v>
      </x:c>
      <x:c r="AG67" s="18" t="str">
        <x:v>PARTIAL_NO_DATE</x:v>
      </x:c>
    </x:row>
    <x:row r="68">
      <x:c r="A68" s="18" t="str">
        <x:v>NYT-01-7fd707c3cf682362</x:v>
      </x:c>
      <x:c r="B68" s="18" t="str">
        <x:v>Myanmar — Civil War</x:v>
      </x:c>
      <x:c r="C68" s="18" t="str"/>
      <x:c r="D68" s="18" t="str"/>
      <x:c r="E68" s="18" t="str"/>
      <x:c r="F68" s="18" t="str">
        <x:v>active</x:v>
      </x:c>
      <x:c r="G68" s="18" t="str">
        <x:v>Civil war</x:v>
      </x:c>
      <x:c r="H68" s="18" t="str">
        <x:v>Southeast Asia</x:v>
      </x:c>
      <x:c r="I68" s="18" t="str">
        <x:v>Myanmar — Civil War</x:v>
      </x:c>
      <x:c r="J68" s="20" t="str"/>
      <x:c r="K68" s="18" t="str"/>
      <x:c r="L68" s="18" t="str">
        <x:v>Southeast Asia</x:v>
      </x:c>
      <x:c r="M68" s="18" t="str">
        <x:v>active</x:v>
      </x:c>
      <x:c r="N68" s="18" t="str">
        <x:v>Myanmar — Civil War</x:v>
      </x:c>
      <x:c r="O68" s="18" t="str">
        <x:v>Civil war</x:v>
      </x:c>
      <x:c r="P68" s="18" t="str">
        <x:v>High</x:v>
      </x:c>
      <x:c r="Q68" s="18" t="str">
        <x:v>Post-coup junta is losing ground to a broad ethnic-resistance and PDF alliance across multiple fronts.</x:v>
      </x:c>
      <x:c r="R68" s="18" t="str">
        <x:v>February 2021</x:v>
      </x:c>
      <x:c r="S68" s="18" t="str">
        <x:v>state</x:v>
      </x:c>
      <x:c r="T68" s="18" t="str">
        <x:v>Escalating</x:v>
      </x:c>
      <x:c r="U68" s="18" t="str">
        <x:v>DEFINED_TERMINAL_OR_FEED_SCOPE</x:v>
      </x:c>
      <x:c r="V68" s="18" t="str">
        <x:v>geopolitics_war_tracker.json — published records loaded</x:v>
      </x:c>
      <x:c r="W68" s="18" t="str"/>
      <x:c r="X68" s="18" t="str"/>
      <x:c r="Y68" s="20" t="n">
        <x:v>88</x:v>
      </x:c>
      <x:c r="Z68" s="19" t="str">
        <x:f>IFERROR(TODAY()-DATEVALUE(C68),"")</x:f>
      </x:c>
      <x:c r="AA68" s="21" t="n">
        <x:f>ROUND(COUNTA(A68:K68)/11*100,0)</x:f>
        <x:v>100</x:v>
      </x:c>
      <x:c r="AB68" s="18" t="str">
        <x:v>ACLED API</x:v>
      </x:c>
      <x:c r="AC68" s="22" t="str">
        <x:v>https://acleddata.com/api/acled/read</x:v>
      </x:c>
      <x:c r="AD68" s="18" t="n">
        <x:v>46272.704938055555</x:v>
      </x:c>
      <x:c r="AE68" s="18" t="n">
        <x:v>46272.704938055555</x:v>
      </x:c>
      <x:c r="AF68" s="18" t="str">
        <x:v>unconfirmed</x:v>
      </x:c>
      <x:c r="AG68" s="18" t="str">
        <x:v>PARTIAL_NO_DATE</x:v>
      </x:c>
    </x:row>
    <x:row r="69">
      <x:c r="A69" s="18" t="str">
        <x:v>NYT-01-514c88348971578b</x:v>
      </x:c>
      <x:c r="B69" s="18" t="str">
        <x:v>Philippines — NPA insurgency</x:v>
      </x:c>
      <x:c r="C69" s="18" t="str"/>
      <x:c r="D69" s="18" t="str"/>
      <x:c r="E69" s="18" t="str"/>
      <x:c r="F69" s="18" t="str">
        <x:v>low-intensity</x:v>
      </x:c>
      <x:c r="G69" s="18" t="str">
        <x:v>Insurgency</x:v>
      </x:c>
      <x:c r="H69" s="18" t="str">
        <x:v>Southeast Asia</x:v>
      </x:c>
      <x:c r="I69" s="18" t="str">
        <x:v>Philippines — NPA insurgency</x:v>
      </x:c>
      <x:c r="J69" s="20" t="str"/>
      <x:c r="K69" s="18" t="str"/>
      <x:c r="L69" s="18" t="str">
        <x:v>Southeast Asia</x:v>
      </x:c>
      <x:c r="M69" s="18" t="str">
        <x:v>low-intensity</x:v>
      </x:c>
      <x:c r="N69" s="18" t="str">
        <x:v>Philippines — NPA insurgency</x:v>
      </x:c>
      <x:c r="O69" s="18" t="str">
        <x:v>Insurgency</x:v>
      </x:c>
      <x:c r="P69" s="18" t="str">
        <x:v>Low</x:v>
      </x:c>
      <x:c r="Q69" s="18" t="str">
        <x:v>The communist NPA is much weakened; localised clashes and peace overtures continue.</x:v>
      </x:c>
      <x:c r="R69" s="18" t="n">
        <x:v>1969</x:v>
      </x:c>
      <x:c r="S69" s="18" t="str">
        <x:v>state</x:v>
      </x:c>
      <x:c r="T69" s="18" t="str">
        <x:v>Easing</x:v>
      </x:c>
      <x:c r="U69" s="18" t="str">
        <x:v>DEFINED_TERMINAL_OR_FEED_SCOPE</x:v>
      </x:c>
      <x:c r="V69" s="18" t="str">
        <x:v>geopolitics_war_tracker.json — published records loaded</x:v>
      </x:c>
      <x:c r="W69" s="18" t="str"/>
      <x:c r="X69" s="18" t="str"/>
      <x:c r="Y69" s="20" t="n">
        <x:v>88</x:v>
      </x:c>
      <x:c r="Z69" s="19" t="str">
        <x:f>IFERROR(TODAY()-DATEVALUE(C69),"")</x:f>
      </x:c>
      <x:c r="AA69" s="21" t="n">
        <x:f>ROUND(COUNTA(A69:K69)/11*100,0)</x:f>
        <x:v>100</x:v>
      </x:c>
      <x:c r="AB69" s="18" t="str">
        <x:v>ACLED API</x:v>
      </x:c>
      <x:c r="AC69" s="22" t="str">
        <x:v>https://acleddata.com/api/acled/read</x:v>
      </x:c>
      <x:c r="AD69" s="18" t="n">
        <x:v>46272.704938055555</x:v>
      </x:c>
      <x:c r="AE69" s="18" t="n">
        <x:v>46272.704938055555</x:v>
      </x:c>
      <x:c r="AF69" s="18" t="str">
        <x:v>unconfirmed</x:v>
      </x:c>
      <x:c r="AG69" s="18" t="str">
        <x:v>PARTIAL_NO_DATE</x:v>
      </x:c>
    </x:row>
    <x:row r="70">
      <x:c r="A70" s="18" t="str">
        <x:v>NYT-01-95f24f0fc8c5552e</x:v>
      </x:c>
      <x:c r="B70" s="18" t="str">
        <x:v>Philippines — Mindanao (ASG/BIFF)</x:v>
      </x:c>
      <x:c r="C70" s="18" t="str"/>
      <x:c r="D70" s="18" t="str"/>
      <x:c r="E70" s="18" t="str"/>
      <x:c r="F70" s="18" t="str">
        <x:v>low-intensity</x:v>
      </x:c>
      <x:c r="G70" s="18" t="str">
        <x:v>Jihadist insurgency</x:v>
      </x:c>
      <x:c r="H70" s="18" t="str">
        <x:v>Southeast Asia</x:v>
      </x:c>
      <x:c r="I70" s="18" t="str">
        <x:v>Philippines — Mindanao (ASG/BIFF)</x:v>
      </x:c>
      <x:c r="J70" s="20" t="str"/>
      <x:c r="K70" s="18" t="str"/>
      <x:c r="L70" s="18" t="str">
        <x:v>Southeast Asia</x:v>
      </x:c>
      <x:c r="M70" s="18" t="str">
        <x:v>low-intensity</x:v>
      </x:c>
      <x:c r="N70" s="18" t="str">
        <x:v>Philippines — Mindanao (ASG/BIFF)</x:v>
      </x:c>
      <x:c r="O70" s="18" t="str">
        <x:v>Jihadist insurgency</x:v>
      </x:c>
      <x:c r="P70" s="18" t="str">
        <x:v>Low</x:v>
      </x:c>
      <x:c r="Q70" s="18" t="str">
        <x:v>BARMM autonomy has reduced violence; splinter militant cells persist.</x:v>
      </x:c>
      <x:c r="R70" s="18" t="n">
        <x:v>1969</x:v>
      </x:c>
      <x:c r="S70" s="18" t="str">
        <x:v>state</x:v>
      </x:c>
      <x:c r="T70" s="18" t="str">
        <x:v>Easing</x:v>
      </x:c>
      <x:c r="U70" s="18" t="str">
        <x:v>DEFINED_TERMINAL_OR_FEED_SCOPE</x:v>
      </x:c>
      <x:c r="V70" s="18" t="str">
        <x:v>geopolitics_war_tracker.json — published records loaded</x:v>
      </x:c>
      <x:c r="W70" s="18" t="str"/>
      <x:c r="X70" s="18" t="str"/>
      <x:c r="Y70" s="20" t="n">
        <x:v>88</x:v>
      </x:c>
      <x:c r="Z70" s="19" t="str">
        <x:f>IFERROR(TODAY()-DATEVALUE(C70),"")</x:f>
      </x:c>
      <x:c r="AA70" s="21" t="n">
        <x:f>ROUND(COUNTA(A70:K70)/11*100,0)</x:f>
        <x:v>100</x:v>
      </x:c>
      <x:c r="AB70" s="18" t="str">
        <x:v>ACLED API</x:v>
      </x:c>
      <x:c r="AC70" s="22" t="str">
        <x:v>https://acleddata.com/api/acled/read</x:v>
      </x:c>
      <x:c r="AD70" s="18" t="n">
        <x:v>46272.704938055555</x:v>
      </x:c>
      <x:c r="AE70" s="18" t="n">
        <x:v>46272.704938055555</x:v>
      </x:c>
      <x:c r="AF70" s="18" t="str">
        <x:v>unconfirmed</x:v>
      </x:c>
      <x:c r="AG70" s="18" t="str">
        <x:v>PARTIAL_NO_DATE</x:v>
      </x:c>
    </x:row>
    <x:row r="71">
      <x:c r="A71" s="18" t="str">
        <x:v>NYT-01-a8c193ae18423543</x:v>
      </x:c>
      <x:c r="B71" s="18" t="str">
        <x:v>Thailand — South (Patani)</x:v>
      </x:c>
      <x:c r="C71" s="18" t="str"/>
      <x:c r="D71" s="18" t="str"/>
      <x:c r="E71" s="18" t="str"/>
      <x:c r="F71" s="18" t="str">
        <x:v>active</x:v>
      </x:c>
      <x:c r="G71" s="18" t="str">
        <x:v>Separatist insurgency</x:v>
      </x:c>
      <x:c r="H71" s="18" t="str">
        <x:v>Southeast Asia</x:v>
      </x:c>
      <x:c r="I71" s="18" t="str">
        <x:v>Thailand — South (Patani)</x:v>
      </x:c>
      <x:c r="J71" s="20" t="str"/>
      <x:c r="K71" s="18" t="str"/>
      <x:c r="L71" s="18" t="str">
        <x:v>Southeast Asia</x:v>
      </x:c>
      <x:c r="M71" s="18" t="str">
        <x:v>active</x:v>
      </x:c>
      <x:c r="N71" s="18" t="str">
        <x:v>Thailand — South (Patani)</x:v>
      </x:c>
      <x:c r="O71" s="18" t="str">
        <x:v>Separatist insurgency</x:v>
      </x:c>
      <x:c r="P71" s="18" t="str">
        <x:v>Low</x:v>
      </x:c>
      <x:c r="Q71" s="18" t="str">
        <x:v>A low-grade Malay-Muslim insurgency continues in the deep south amid on-off talks.</x:v>
      </x:c>
      <x:c r="R71" s="18" t="n">
        <x:v>2004</x:v>
      </x:c>
      <x:c r="S71" s="18" t="str">
        <x:v>state</x:v>
      </x:c>
      <x:c r="T71" s="18" t="str">
        <x:v>Stable</x:v>
      </x:c>
      <x:c r="U71" s="18" t="str">
        <x:v>DEFINED_TERMINAL_OR_FEED_SCOPE</x:v>
      </x:c>
      <x:c r="V71" s="18" t="str">
        <x:v>geopolitics_war_tracker.json — published records loaded</x:v>
      </x:c>
      <x:c r="W71" s="18" t="str"/>
      <x:c r="X71" s="18" t="str"/>
      <x:c r="Y71" s="20" t="n">
        <x:v>88</x:v>
      </x:c>
      <x:c r="Z71" s="19" t="str">
        <x:f>IFERROR(TODAY()-DATEVALUE(C71),"")</x:f>
      </x:c>
      <x:c r="AA71" s="21" t="n">
        <x:f>ROUND(COUNTA(A71:K71)/11*100,0)</x:f>
        <x:v>100</x:v>
      </x:c>
      <x:c r="AB71" s="18" t="str">
        <x:v>ACLED API</x:v>
      </x:c>
      <x:c r="AC71" s="22" t="str">
        <x:v>https://acleddata.com/api/acled/read</x:v>
      </x:c>
      <x:c r="AD71" s="18" t="n">
        <x:v>46272.704938055555</x:v>
      </x:c>
      <x:c r="AE71" s="18" t="n">
        <x:v>46272.704938055555</x:v>
      </x:c>
      <x:c r="AF71" s="18" t="str">
        <x:v>unconfirmed</x:v>
      </x:c>
      <x:c r="AG71" s="18" t="str">
        <x:v>PARTIAL_NO_DATE</x:v>
      </x:c>
    </x:row>
    <x:row r="72">
      <x:c r="A72" s="18" t="str">
        <x:v>NYT-01-0dae79ad76f8683c</x:v>
      </x:c>
      <x:c r="B72" s="18" t="str">
        <x:v>Indonesia — Papua</x:v>
      </x:c>
      <x:c r="C72" s="18" t="str"/>
      <x:c r="D72" s="18" t="str"/>
      <x:c r="E72" s="18" t="str"/>
      <x:c r="F72" s="18" t="str">
        <x:v>active</x:v>
      </x:c>
      <x:c r="G72" s="18" t="str">
        <x:v>Separatist insurgency</x:v>
      </x:c>
      <x:c r="H72" s="18" t="str">
        <x:v>Southeast Asia</x:v>
      </x:c>
      <x:c r="I72" s="18" t="str">
        <x:v>Indonesia — Papua</x:v>
      </x:c>
      <x:c r="J72" s="20" t="str"/>
      <x:c r="K72" s="18" t="str"/>
      <x:c r="L72" s="18" t="str">
        <x:v>Southeast Asia</x:v>
      </x:c>
      <x:c r="M72" s="18" t="str">
        <x:v>active</x:v>
      </x:c>
      <x:c r="N72" s="18" t="str">
        <x:v>Indonesia — Papua</x:v>
      </x:c>
      <x:c r="O72" s="18" t="str">
        <x:v>Separatist insurgency</x:v>
      </x:c>
      <x:c r="P72" s="18" t="str">
        <x:v>Low</x:v>
      </x:c>
      <x:c r="Q72" s="18" t="str">
        <x:v>West Papua liberation fighters clash with security forces; access tightly restricted.</x:v>
      </x:c>
      <x:c r="R72" s="18" t="n">
        <x:v>1963</x:v>
      </x:c>
      <x:c r="S72" s="18" t="str">
        <x:v>state</x:v>
      </x:c>
      <x:c r="T72" s="18" t="str">
        <x:v>Stable</x:v>
      </x:c>
      <x:c r="U72" s="18" t="str">
        <x:v>DEFINED_TERMINAL_OR_FEED_SCOPE</x:v>
      </x:c>
      <x:c r="V72" s="18" t="str">
        <x:v>geopolitics_war_tracker.json — published records loaded</x:v>
      </x:c>
      <x:c r="W72" s="18" t="str"/>
      <x:c r="X72" s="18" t="str"/>
      <x:c r="Y72" s="20" t="n">
        <x:v>88</x:v>
      </x:c>
      <x:c r="Z72" s="19" t="str">
        <x:f>IFERROR(TODAY()-DATEVALUE(C72),"")</x:f>
      </x:c>
      <x:c r="AA72" s="21" t="n">
        <x:f>ROUND(COUNTA(A72:K72)/11*100,0)</x:f>
        <x:v>100</x:v>
      </x:c>
      <x:c r="AB72" s="18" t="str">
        <x:v>ACLED API</x:v>
      </x:c>
      <x:c r="AC72" s="22" t="str">
        <x:v>https://acleddata.com/api/acled/read</x:v>
      </x:c>
      <x:c r="AD72" s="18" t="n">
        <x:v>46272.704938055555</x:v>
      </x:c>
      <x:c r="AE72" s="18" t="n">
        <x:v>46272.704938055555</x:v>
      </x:c>
      <x:c r="AF72" s="18" t="str">
        <x:v>unconfirmed</x:v>
      </x:c>
      <x:c r="AG72" s="18" t="str">
        <x:v>PARTIAL_NO_DATE</x:v>
      </x:c>
    </x:row>
    <x:row r="73">
      <x:c r="A73" s="18" t="str">
        <x:v>NYT-01-fd77809ba69ab517</x:v>
      </x:c>
      <x:c r="B73" s="18" t="str">
        <x:v>Taiwan Strait tensions</x:v>
      </x:c>
      <x:c r="C73" s="18" t="str"/>
      <x:c r="D73" s="18" t="str"/>
      <x:c r="E73" s="18" t="str"/>
      <x:c r="F73" s="18" t="str">
        <x:v>under review</x:v>
      </x:c>
      <x:c r="G73" s="18" t="str">
        <x:v>Interstate standoff</x:v>
      </x:c>
      <x:c r="H73" s="18" t="str">
        <x:v>East Asia</x:v>
      </x:c>
      <x:c r="I73" s="18" t="str">
        <x:v>Taiwan Strait tensions</x:v>
      </x:c>
      <x:c r="J73" s="20" t="str"/>
      <x:c r="K73" s="18" t="str"/>
      <x:c r="L73" s="18" t="str">
        <x:v>East Asia</x:v>
      </x:c>
      <x:c r="M73" s="18" t="str">
        <x:v>under review</x:v>
      </x:c>
      <x:c r="N73" s="18" t="str">
        <x:v>Taiwan Strait tensions</x:v>
      </x:c>
      <x:c r="O73" s="18" t="str">
        <x:v>Interstate standoff</x:v>
      </x:c>
      <x:c r="P73" s="18" t="str">
        <x:v>High</x:v>
      </x:c>
      <x:c r="Q73" s="18" t="str">
        <x:v>Record PLA air and naval incursions and drills raise cross-strait invasion and blockade concerns.</x:v>
      </x:c>
      <x:c r="R73" s="18" t="str">
        <x:v>1949 (escalated 2022)</x:v>
      </x:c>
      <x:c r="S73" s="18" t="str">
        <x:v>state</x:v>
      </x:c>
      <x:c r="T73" s="18" t="str">
        <x:v>Escalating</x:v>
      </x:c>
      <x:c r="U73" s="18" t="str">
        <x:v>DEFINED_TERMINAL_OR_FEED_SCOPE</x:v>
      </x:c>
      <x:c r="V73" s="18" t="str">
        <x:v>geopolitics_war_tracker.json — published records loaded</x:v>
      </x:c>
      <x:c r="W73" s="18" t="str"/>
      <x:c r="X73" s="18" t="str"/>
      <x:c r="Y73" s="20" t="n">
        <x:v>88</x:v>
      </x:c>
      <x:c r="Z73" s="19" t="str">
        <x:f>IFERROR(TODAY()-DATEVALUE(C73),"")</x:f>
      </x:c>
      <x:c r="AA73" s="21" t="n">
        <x:f>ROUND(COUNTA(A73:K73)/11*100,0)</x:f>
        <x:v>100</x:v>
      </x:c>
      <x:c r="AB73" s="18" t="str">
        <x:v>ACLED API</x:v>
      </x:c>
      <x:c r="AC73" s="22" t="str">
        <x:v>https://acleddata.com/api/acled/read</x:v>
      </x:c>
      <x:c r="AD73" s="18" t="n">
        <x:v>46272.704938055555</x:v>
      </x:c>
      <x:c r="AE73" s="18" t="n">
        <x:v>46272.704938055555</x:v>
      </x:c>
      <x:c r="AF73" s="18" t="str">
        <x:v>unconfirmed</x:v>
      </x:c>
      <x:c r="AG73" s="18" t="str">
        <x:v>PARTIAL_NO_DATE</x:v>
      </x:c>
    </x:row>
    <x:row r="74">
      <x:c r="A74" s="18" t="str">
        <x:v>NYT-01-eb8d163d2a774d91</x:v>
      </x:c>
      <x:c r="B74" s="18" t="str">
        <x:v>Korean Peninsula (DPRK)</x:v>
      </x:c>
      <x:c r="C74" s="18" t="str"/>
      <x:c r="D74" s="18" t="str"/>
      <x:c r="E74" s="18" t="str"/>
      <x:c r="F74" s="18" t="str">
        <x:v>frozen</x:v>
      </x:c>
      <x:c r="G74" s="18" t="str">
        <x:v>Interstate standoff</x:v>
      </x:c>
      <x:c r="H74" s="18" t="str">
        <x:v>East Asia</x:v>
      </x:c>
      <x:c r="I74" s="18" t="str">
        <x:v>Korean Peninsula (DPRK)</x:v>
      </x:c>
      <x:c r="J74" s="20" t="str"/>
      <x:c r="K74" s="18" t="str"/>
      <x:c r="L74" s="18" t="str">
        <x:v>East Asia</x:v>
      </x:c>
      <x:c r="M74" s="18" t="str">
        <x:v>frozen</x:v>
      </x:c>
      <x:c r="N74" s="18" t="str">
        <x:v>Korean Peninsula (DPRK)</x:v>
      </x:c>
      <x:c r="O74" s="18" t="str">
        <x:v>Interstate standoff</x:v>
      </x:c>
      <x:c r="P74" s="18" t="str">
        <x:v>Medium</x:v>
      </x:c>
      <x:c r="Q74" s="18" t="str">
        <x:v>North Korean missile tests, a scrapped inter-Korean posture and DPRK–Russia alignment heighten risk.</x:v>
      </x:c>
      <x:c r="R74" s="18" t="n">
        <x:v>1950</x:v>
      </x:c>
      <x:c r="S74" s="18" t="str">
        <x:v>state</x:v>
      </x:c>
      <x:c r="T74" s="18" t="str">
        <x:v>Escalating</x:v>
      </x:c>
      <x:c r="U74" s="18" t="str">
        <x:v>DEFINED_TERMINAL_OR_FEED_SCOPE</x:v>
      </x:c>
      <x:c r="V74" s="18" t="str">
        <x:v>geopolitics_war_tracker.json — published records loaded</x:v>
      </x:c>
      <x:c r="W74" s="18" t="str"/>
      <x:c r="X74" s="18" t="str"/>
      <x:c r="Y74" s="20" t="n">
        <x:v>88</x:v>
      </x:c>
      <x:c r="Z74" s="19" t="str">
        <x:f>IFERROR(TODAY()-DATEVALUE(C74),"")</x:f>
      </x:c>
      <x:c r="AA74" s="21" t="n">
        <x:f>ROUND(COUNTA(A74:K74)/11*100,0)</x:f>
        <x:v>100</x:v>
      </x:c>
      <x:c r="AB74" s="18" t="str">
        <x:v>ACLED API</x:v>
      </x:c>
      <x:c r="AC74" s="22" t="str">
        <x:v>https://acleddata.com/api/acled/read</x:v>
      </x:c>
      <x:c r="AD74" s="18" t="n">
        <x:v>46272.704938055555</x:v>
      </x:c>
      <x:c r="AE74" s="18" t="n">
        <x:v>46272.704938055555</x:v>
      </x:c>
      <x:c r="AF74" s="18" t="str">
        <x:v>unconfirmed</x:v>
      </x:c>
      <x:c r="AG74" s="18" t="str">
        <x:v>PARTIAL_NO_DATE</x:v>
      </x:c>
    </x:row>
    <x:row r="75">
      <x:c r="A75" s="18" t="str">
        <x:v>NYT-01-54d19ad5f57b4390</x:v>
      </x:c>
      <x:c r="B75" s="18" t="str">
        <x:v>South China Sea disputes</x:v>
      </x:c>
      <x:c r="C75" s="18" t="str"/>
      <x:c r="D75" s="18" t="str"/>
      <x:c r="E75" s="18" t="str"/>
      <x:c r="F75" s="18" t="str">
        <x:v>active</x:v>
      </x:c>
      <x:c r="G75" s="18" t="str">
        <x:v>Maritime dispute</x:v>
      </x:c>
      <x:c r="H75" s="18" t="str">
        <x:v>East Asia</x:v>
      </x:c>
      <x:c r="I75" s="18" t="str">
        <x:v>South China Sea disputes</x:v>
      </x:c>
      <x:c r="J75" s="20" t="str"/>
      <x:c r="K75" s="18" t="str"/>
      <x:c r="L75" s="18" t="str">
        <x:v>East Asia</x:v>
      </x:c>
      <x:c r="M75" s="18" t="str">
        <x:v>active</x:v>
      </x:c>
      <x:c r="N75" s="18" t="str">
        <x:v>South China Sea disputes</x:v>
      </x:c>
      <x:c r="O75" s="18" t="str">
        <x:v>Maritime dispute</x:v>
      </x:c>
      <x:c r="P75" s="18" t="str">
        <x:v>Medium</x:v>
      </x:c>
      <x:c r="Q75" s="18" t="str">
        <x:v>China–Philippines standoffs at Second Thomas/Scarborough Shoals recur amid competing claims.</x:v>
      </x:c>
      <x:c r="R75" s="18" t="n">
        <x:v>2012</x:v>
      </x:c>
      <x:c r="S75" s="18" t="str">
        <x:v>state</x:v>
      </x:c>
      <x:c r="T75" s="18" t="str">
        <x:v>Escalating</x:v>
      </x:c>
      <x:c r="U75" s="18" t="str">
        <x:v>DEFINED_TERMINAL_OR_FEED_SCOPE</x:v>
      </x:c>
      <x:c r="V75" s="18" t="str">
        <x:v>geopolitics_war_tracker.json — published records loaded</x:v>
      </x:c>
      <x:c r="W75" s="18" t="str"/>
      <x:c r="X75" s="18" t="str"/>
      <x:c r="Y75" s="20" t="n">
        <x:v>88</x:v>
      </x:c>
      <x:c r="Z75" s="19" t="str">
        <x:f>IFERROR(TODAY()-DATEVALUE(C75),"")</x:f>
      </x:c>
      <x:c r="AA75" s="21" t="n">
        <x:f>ROUND(COUNTA(A75:K75)/11*100,0)</x:f>
        <x:v>100</x:v>
      </x:c>
      <x:c r="AB75" s="18" t="str">
        <x:v>ACLED API</x:v>
      </x:c>
      <x:c r="AC75" s="22" t="str">
        <x:v>https://acleddata.com/api/acled/read</x:v>
      </x:c>
      <x:c r="AD75" s="18" t="n">
        <x:v>46272.704938055555</x:v>
      </x:c>
      <x:c r="AE75" s="18" t="n">
        <x:v>46272.704938055555</x:v>
      </x:c>
      <x:c r="AF75" s="18" t="str">
        <x:v>unconfirmed</x:v>
      </x:c>
      <x:c r="AG75" s="18" t="str">
        <x:v>PARTIAL_NO_DATE</x:v>
      </x:c>
    </x:row>
    <x:row r="76">
      <x:c r="A76" s="18" t="str">
        <x:v>NYT-01-80fbebb6735d4596</x:v>
      </x:c>
      <x:c r="B76" s="18" t="str">
        <x:v>Senkaku/Diaoyu (China–Japan)</x:v>
      </x:c>
      <x:c r="C76" s="18" t="str"/>
      <x:c r="D76" s="18" t="str"/>
      <x:c r="E76" s="18" t="str"/>
      <x:c r="F76" s="18" t="str">
        <x:v>under review</x:v>
      </x:c>
      <x:c r="G76" s="18" t="str">
        <x:v>Maritime dispute</x:v>
      </x:c>
      <x:c r="H76" s="18" t="str">
        <x:v>East Asia</x:v>
      </x:c>
      <x:c r="I76" s="18" t="str">
        <x:v>Senkaku/Diaoyu (China–Japan)</x:v>
      </x:c>
      <x:c r="J76" s="20" t="str"/>
      <x:c r="K76" s="18" t="str"/>
      <x:c r="L76" s="18" t="str">
        <x:v>East Asia</x:v>
      </x:c>
      <x:c r="M76" s="18" t="str">
        <x:v>under review</x:v>
      </x:c>
      <x:c r="N76" s="18" t="str">
        <x:v>Senkaku/Diaoyu (China–Japan)</x:v>
      </x:c>
      <x:c r="O76" s="18" t="str">
        <x:v>Maritime dispute</x:v>
      </x:c>
      <x:c r="P76" s="18" t="str">
        <x:v>Low</x:v>
      </x:c>
      <x:c r="Q76" s="18" t="str">
        <x:v>Chinese coast-guard patrols near Japan-administered islands sustain a simmering dispute.</x:v>
      </x:c>
      <x:c r="R76" s="18" t="n">
        <x:v>2012</x:v>
      </x:c>
      <x:c r="S76" s="18" t="str">
        <x:v>state</x:v>
      </x:c>
      <x:c r="T76" s="18" t="str">
        <x:v>Stable</x:v>
      </x:c>
      <x:c r="U76" s="18" t="str">
        <x:v>DEFINED_TERMINAL_OR_FEED_SCOPE</x:v>
      </x:c>
      <x:c r="V76" s="18" t="str">
        <x:v>geopolitics_war_tracker.json — published records loaded</x:v>
      </x:c>
      <x:c r="W76" s="18" t="str"/>
      <x:c r="X76" s="18" t="str"/>
      <x:c r="Y76" s="20" t="n">
        <x:v>88</x:v>
      </x:c>
      <x:c r="Z76" s="19" t="str">
        <x:f>IFERROR(TODAY()-DATEVALUE(C76),"")</x:f>
      </x:c>
      <x:c r="AA76" s="21" t="n">
        <x:f>ROUND(COUNTA(A76:K76)/11*100,0)</x:f>
        <x:v>100</x:v>
      </x:c>
      <x:c r="AB76" s="18" t="str">
        <x:v>ACLED API</x:v>
      </x:c>
      <x:c r="AC76" s="22" t="str">
        <x:v>https://acleddata.com/api/acled/read</x:v>
      </x:c>
      <x:c r="AD76" s="18" t="n">
        <x:v>46272.704938055555</x:v>
      </x:c>
      <x:c r="AE76" s="18" t="n">
        <x:v>46272.704938055555</x:v>
      </x:c>
      <x:c r="AF76" s="18" t="str">
        <x:v>unconfirmed</x:v>
      </x:c>
      <x:c r="AG76" s="18" t="str">
        <x:v>PARTIAL_NO_DATE</x:v>
      </x:c>
    </x:row>
    <x:row r="77">
      <x:c r="A77" s="18" t="str">
        <x:v>NYT-01-e0a89e4dd0498ebf</x:v>
      </x:c>
      <x:c r="B77" s="18" t="str">
        <x:v>Japan–Russia (Kuril Islands)</x:v>
      </x:c>
      <x:c r="C77" s="18" t="str"/>
      <x:c r="D77" s="18" t="str"/>
      <x:c r="E77" s="18" t="str"/>
      <x:c r="F77" s="18" t="str">
        <x:v>frozen</x:v>
      </x:c>
      <x:c r="G77" s="18" t="str">
        <x:v>Territorial dispute</x:v>
      </x:c>
      <x:c r="H77" s="18" t="str">
        <x:v>East Asia</x:v>
      </x:c>
      <x:c r="I77" s="18" t="str">
        <x:v>Japan–Russia (Kuril Islands)</x:v>
      </x:c>
      <x:c r="J77" s="20" t="str"/>
      <x:c r="K77" s="18" t="str"/>
      <x:c r="L77" s="18" t="str">
        <x:v>East Asia</x:v>
      </x:c>
      <x:c r="M77" s="18" t="str">
        <x:v>frozen</x:v>
      </x:c>
      <x:c r="N77" s="18" t="str">
        <x:v>Japan–Russia (Kuril Islands)</x:v>
      </x:c>
      <x:c r="O77" s="18" t="str">
        <x:v>Territorial dispute</x:v>
      </x:c>
      <x:c r="P77" s="18" t="str">
        <x:v>Low</x:v>
      </x:c>
      <x:c r="Q77" s="18" t="str">
        <x:v>No WWII peace treaty; the dispute hardened further after 2022.</x:v>
      </x:c>
      <x:c r="R77" s="18" t="n">
        <x:v>1945</x:v>
      </x:c>
      <x:c r="S77" s="18" t="str">
        <x:v>state</x:v>
      </x:c>
      <x:c r="T77" s="18" t="str">
        <x:v>Stable</x:v>
      </x:c>
      <x:c r="U77" s="18" t="str">
        <x:v>DEFINED_TERMINAL_OR_FEED_SCOPE</x:v>
      </x:c>
      <x:c r="V77" s="18" t="str">
        <x:v>geopolitics_war_tracker.json — published records loaded</x:v>
      </x:c>
      <x:c r="W77" s="18" t="str"/>
      <x:c r="X77" s="18" t="str"/>
      <x:c r="Y77" s="20" t="n">
        <x:v>88</x:v>
      </x:c>
      <x:c r="Z77" s="19" t="str">
        <x:f>IFERROR(TODAY()-DATEVALUE(C77),"")</x:f>
      </x:c>
      <x:c r="AA77" s="21" t="n">
        <x:f>ROUND(COUNTA(A77:K77)/11*100,0)</x:f>
        <x:v>100</x:v>
      </x:c>
      <x:c r="AB77" s="18" t="str">
        <x:v>ACLED API</x:v>
      </x:c>
      <x:c r="AC77" s="22" t="str">
        <x:v>https://acleddata.com/api/acled/read</x:v>
      </x:c>
      <x:c r="AD77" s="18" t="n">
        <x:v>46272.704938055555</x:v>
      </x:c>
      <x:c r="AE77" s="18" t="n">
        <x:v>46272.704938055555</x:v>
      </x:c>
      <x:c r="AF77" s="18" t="str">
        <x:v>unconfirmed</x:v>
      </x:c>
      <x:c r="AG77" s="18" t="str">
        <x:v>PARTIAL_NO_DATE</x:v>
      </x:c>
    </x:row>
    <x:row r="78">
      <x:c r="A78" s="18" t="str">
        <x:v>NYT-01-eedd565c8586884e</x:v>
      </x:c>
      <x:c r="B78" s="18" t="str">
        <x:v>Mexico — Cartel war</x:v>
      </x:c>
      <x:c r="C78" s="18" t="str"/>
      <x:c r="D78" s="18" t="str"/>
      <x:c r="E78" s="18" t="str"/>
      <x:c r="F78" s="18" t="str">
        <x:v>active</x:v>
      </x:c>
      <x:c r="G78" s="18" t="str">
        <x:v>Criminal insurgency</x:v>
      </x:c>
      <x:c r="H78" s="18" t="str">
        <x:v>North America</x:v>
      </x:c>
      <x:c r="I78" s="18" t="str">
        <x:v>Mexico — Cartel war</x:v>
      </x:c>
      <x:c r="J78" s="20" t="str"/>
      <x:c r="K78" s="18" t="str"/>
      <x:c r="L78" s="18" t="str">
        <x:v>North America</x:v>
      </x:c>
      <x:c r="M78" s="18" t="str">
        <x:v>active</x:v>
      </x:c>
      <x:c r="N78" s="18" t="str">
        <x:v>Mexico — Cartel war</x:v>
      </x:c>
      <x:c r="O78" s="18" t="str">
        <x:v>Criminal insurgency</x:v>
      </x:c>
      <x:c r="P78" s="18" t="str">
        <x:v>High</x:v>
      </x:c>
      <x:c r="Q78" s="18" t="str">
        <x:v>Cartel fragmentation drives homicides, disappearances and fentanyl trafficking; a militarised response continues.</x:v>
      </x:c>
      <x:c r="R78" s="18" t="n">
        <x:v>2006</x:v>
      </x:c>
      <x:c r="S78" s="18" t="str">
        <x:v>state</x:v>
      </x:c>
      <x:c r="T78" s="18" t="str">
        <x:v>Stable</x:v>
      </x:c>
      <x:c r="U78" s="18" t="str">
        <x:v>DEFINED_TERMINAL_OR_FEED_SCOPE</x:v>
      </x:c>
      <x:c r="V78" s="18" t="str">
        <x:v>geopolitics_war_tracker.json — published records loaded</x:v>
      </x:c>
      <x:c r="W78" s="18" t="str"/>
      <x:c r="X78" s="18" t="str"/>
      <x:c r="Y78" s="20" t="n">
        <x:v>88</x:v>
      </x:c>
      <x:c r="Z78" s="19" t="str">
        <x:f>IFERROR(TODAY()-DATEVALUE(C78),"")</x:f>
      </x:c>
      <x:c r="AA78" s="21" t="n">
        <x:f>ROUND(COUNTA(A78:K78)/11*100,0)</x:f>
        <x:v>100</x:v>
      </x:c>
      <x:c r="AB78" s="18" t="str">
        <x:v>ACLED API</x:v>
      </x:c>
      <x:c r="AC78" s="22" t="str">
        <x:v>https://acleddata.com/api/acled/read</x:v>
      </x:c>
      <x:c r="AD78" s="18" t="n">
        <x:v>46272.704938055555</x:v>
      </x:c>
      <x:c r="AE78" s="18" t="n">
        <x:v>46272.704938055555</x:v>
      </x:c>
      <x:c r="AF78" s="18" t="str">
        <x:v>unconfirmed</x:v>
      </x:c>
      <x:c r="AG78" s="18" t="str">
        <x:v>PARTIAL_NO_DATE</x:v>
      </x:c>
    </x:row>
    <x:row r="79">
      <x:c r="A79" s="18" t="str">
        <x:v>NYT-01-b818de423a87a021</x:v>
      </x:c>
      <x:c r="B79" s="18" t="str">
        <x:v>Haiti — Gang crisis</x:v>
      </x:c>
      <x:c r="C79" s="18" t="str"/>
      <x:c r="D79" s="18" t="str"/>
      <x:c r="E79" s="18" t="str"/>
      <x:c r="F79" s="18" t="str">
        <x:v>active</x:v>
      </x:c>
      <x:c r="G79" s="18" t="str">
        <x:v>Criminal / state collapse</x:v>
      </x:c>
      <x:c r="H79" s="18" t="str">
        <x:v>Caribbean</x:v>
      </x:c>
      <x:c r="I79" s="18" t="str">
        <x:v>Haiti — Gang crisis</x:v>
      </x:c>
      <x:c r="J79" s="20" t="str"/>
      <x:c r="K79" s="18" t="str"/>
      <x:c r="L79" s="18" t="str">
        <x:v>Caribbean</x:v>
      </x:c>
      <x:c r="M79" s="18" t="str">
        <x:v>active</x:v>
      </x:c>
      <x:c r="N79" s="18" t="str">
        <x:v>Haiti — Gang crisis</x:v>
      </x:c>
      <x:c r="O79" s="18" t="str">
        <x:v>Criminal / state collapse</x:v>
      </x:c>
      <x:c r="P79" s="18" t="str">
        <x:v>Critical</x:v>
      </x:c>
      <x:c r="Q79" s="18" t="str">
        <x:v>Armed gangs control most of the capital; a Kenya-led multinational mission struggles to restore order.</x:v>
      </x:c>
      <x:c r="R79" s="18" t="n">
        <x:v>2021</x:v>
      </x:c>
      <x:c r="S79" s="18" t="str">
        <x:v>state</x:v>
      </x:c>
      <x:c r="T79" s="18" t="str">
        <x:v>Escalating</x:v>
      </x:c>
      <x:c r="U79" s="18" t="str">
        <x:v>DEFINED_TERMINAL_OR_FEED_SCOPE</x:v>
      </x:c>
      <x:c r="V79" s="18" t="str">
        <x:v>geopolitics_war_tracker.json — published records loaded</x:v>
      </x:c>
      <x:c r="W79" s="18" t="str"/>
      <x:c r="X79" s="18" t="str"/>
      <x:c r="Y79" s="20" t="n">
        <x:v>88</x:v>
      </x:c>
      <x:c r="Z79" s="19" t="str">
        <x:f>IFERROR(TODAY()-DATEVALUE(C79),"")</x:f>
      </x:c>
      <x:c r="AA79" s="21" t="n">
        <x:f>ROUND(COUNTA(A79:K79)/11*100,0)</x:f>
        <x:v>100</x:v>
      </x:c>
      <x:c r="AB79" s="18" t="str">
        <x:v>ACLED API</x:v>
      </x:c>
      <x:c r="AC79" s="22" t="str">
        <x:v>https://acleddata.com/api/acled/read</x:v>
      </x:c>
      <x:c r="AD79" s="18" t="n">
        <x:v>46272.704938055555</x:v>
      </x:c>
      <x:c r="AE79" s="18" t="n">
        <x:v>46272.704938055555</x:v>
      </x:c>
      <x:c r="AF79" s="18" t="str">
        <x:v>unconfirmed</x:v>
      </x:c>
      <x:c r="AG79" s="18" t="str">
        <x:v>PARTIAL_NO_DATE</x:v>
      </x:c>
    </x:row>
    <x:row r="80">
      <x:c r="A80" s="18" t="str">
        <x:v>NYT-01-804e6405c509b3c1</x:v>
      </x:c>
      <x:c r="B80" s="18" t="str">
        <x:v>Colombia — ELN / FARC dissidents</x:v>
      </x:c>
      <x:c r="C80" s="18" t="str"/>
      <x:c r="D80" s="18" t="str"/>
      <x:c r="E80" s="18" t="str"/>
      <x:c r="F80" s="18" t="str">
        <x:v>ceasefire fragile</x:v>
      </x:c>
      <x:c r="G80" s="18" t="str">
        <x:v>Insurgency</x:v>
      </x:c>
      <x:c r="H80" s="18" t="str">
        <x:v>South America</x:v>
      </x:c>
      <x:c r="I80" s="18" t="str">
        <x:v>Colombia — ELN / FARC dissidents</x:v>
      </x:c>
      <x:c r="J80" s="20" t="str"/>
      <x:c r="K80" s="18" t="str"/>
      <x:c r="L80" s="18" t="str">
        <x:v>South America</x:v>
      </x:c>
      <x:c r="M80" s="18" t="str">
        <x:v>ceasefire fragile</x:v>
      </x:c>
      <x:c r="N80" s="18" t="str">
        <x:v>Colombia — ELN / FARC dissidents</x:v>
      </x:c>
      <x:c r="O80" s="18" t="str">
        <x:v>Insurgency</x:v>
      </x:c>
      <x:c r="P80" s="18" t="str">
        <x:v>Medium</x:v>
      </x:c>
      <x:c r="Q80" s="18" t="str">
        <x:v>'Total Peace' talks stall as ELN and FARC-dissident factions fight over coca and mining economies.</x:v>
      </x:c>
      <x:c r="R80" s="18" t="n">
        <x:v>1964</x:v>
      </x:c>
      <x:c r="S80" s="18" t="str">
        <x:v>state</x:v>
      </x:c>
      <x:c r="T80" s="18" t="str">
        <x:v>Stable</x:v>
      </x:c>
      <x:c r="U80" s="18" t="str">
        <x:v>DEFINED_TERMINAL_OR_FEED_SCOPE</x:v>
      </x:c>
      <x:c r="V80" s="18" t="str">
        <x:v>geopolitics_war_tracker.json — published records loaded</x:v>
      </x:c>
      <x:c r="W80" s="18" t="str"/>
      <x:c r="X80" s="18" t="str"/>
      <x:c r="Y80" s="20" t="n">
        <x:v>88</x:v>
      </x:c>
      <x:c r="Z80" s="19" t="str">
        <x:f>IFERROR(TODAY()-DATEVALUE(C80),"")</x:f>
      </x:c>
      <x:c r="AA80" s="21" t="n">
        <x:f>ROUND(COUNTA(A80:K80)/11*100,0)</x:f>
        <x:v>100</x:v>
      </x:c>
      <x:c r="AB80" s="18" t="str">
        <x:v>ACLED API</x:v>
      </x:c>
      <x:c r="AC80" s="22" t="str">
        <x:v>https://acleddata.com/api/acled/read</x:v>
      </x:c>
      <x:c r="AD80" s="18" t="n">
        <x:v>46272.704938055555</x:v>
      </x:c>
      <x:c r="AE80" s="18" t="n">
        <x:v>46272.704938055555</x:v>
      </x:c>
      <x:c r="AF80" s="18" t="str">
        <x:v>unconfirmed</x:v>
      </x:c>
      <x:c r="AG80" s="18" t="str">
        <x:v>PARTIAL_NO_DATE</x:v>
      </x:c>
    </x:row>
    <x:row r="81">
      <x:c r="A81" s="18" t="str">
        <x:v>NYT-01-e7e68afa08f56b0e</x:v>
      </x:c>
      <x:c r="B81" s="18" t="str">
        <x:v>Venezuela–Guyana (Essequibo)</x:v>
      </x:c>
      <x:c r="C81" s="18" t="str"/>
      <x:c r="D81" s="18" t="str"/>
      <x:c r="E81" s="18" t="str"/>
      <x:c r="F81" s="18" t="str">
        <x:v>under review</x:v>
      </x:c>
      <x:c r="G81" s="18" t="str">
        <x:v>Territorial dispute</x:v>
      </x:c>
      <x:c r="H81" s="18" t="str">
        <x:v>South America</x:v>
      </x:c>
      <x:c r="I81" s="18" t="str">
        <x:v>Venezuela–Guyana (Essequibo)</x:v>
      </x:c>
      <x:c r="J81" s="20" t="str"/>
      <x:c r="K81" s="18" t="str"/>
      <x:c r="L81" s="18" t="str">
        <x:v>South America</x:v>
      </x:c>
      <x:c r="M81" s="18" t="str">
        <x:v>under review</x:v>
      </x:c>
      <x:c r="N81" s="18" t="str">
        <x:v>Venezuela–Guyana (Essequibo)</x:v>
      </x:c>
      <x:c r="O81" s="18" t="str">
        <x:v>Territorial dispute</x:v>
      </x:c>
      <x:c r="P81" s="18" t="str">
        <x:v>Medium</x:v>
      </x:c>
      <x:c r="Q81" s="18" t="str">
        <x:v>Caracas revived a claim to two-thirds of Guyana around the oil-rich Essequibo, prompting a regional standoff.</x:v>
      </x:c>
      <x:c r="R81" s="18" t="n">
        <x:v>2023</x:v>
      </x:c>
      <x:c r="S81" s="18" t="str">
        <x:v>state</x:v>
      </x:c>
      <x:c r="T81" s="18" t="str">
        <x:v>Escalating</x:v>
      </x:c>
      <x:c r="U81" s="18" t="str">
        <x:v>DEFINED_TERMINAL_OR_FEED_SCOPE</x:v>
      </x:c>
      <x:c r="V81" s="18" t="str">
        <x:v>geopolitics_war_tracker.json — published records loaded</x:v>
      </x:c>
      <x:c r="W81" s="18" t="str"/>
      <x:c r="X81" s="18" t="str"/>
      <x:c r="Y81" s="20" t="n">
        <x:v>88</x:v>
      </x:c>
      <x:c r="Z81" s="19" t="str">
        <x:f>IFERROR(TODAY()-DATEVALUE(C81),"")</x:f>
      </x:c>
      <x:c r="AA81" s="21" t="n">
        <x:f>ROUND(COUNTA(A81:K81)/11*100,0)</x:f>
        <x:v>100</x:v>
      </x:c>
      <x:c r="AB81" s="18" t="str">
        <x:v>ACLED API</x:v>
      </x:c>
      <x:c r="AC81" s="22" t="str">
        <x:v>https://acleddata.com/api/acled/read</x:v>
      </x:c>
      <x:c r="AD81" s="18" t="n">
        <x:v>46272.704938055555</x:v>
      </x:c>
      <x:c r="AE81" s="18" t="n">
        <x:v>46272.704938055555</x:v>
      </x:c>
      <x:c r="AF81" s="18" t="str">
        <x:v>unconfirmed</x:v>
      </x:c>
      <x:c r="AG81" s="18" t="str">
        <x:v>PARTIAL_NO_DATE</x:v>
      </x:c>
    </x:row>
    <x:row r="82">
      <x:c r="A82" s="18" t="str">
        <x:v>NYT-01-31f6a476b679b5b5</x:v>
      </x:c>
      <x:c r="B82" s="18" t="str">
        <x:v>Ecuador — Narco violence</x:v>
      </x:c>
      <x:c r="C82" s="18" t="str"/>
      <x:c r="D82" s="18" t="str"/>
      <x:c r="E82" s="18" t="str"/>
      <x:c r="F82" s="18" t="str">
        <x:v>active</x:v>
      </x:c>
      <x:c r="G82" s="18" t="str">
        <x:v>Criminal insurgency</x:v>
      </x:c>
      <x:c r="H82" s="18" t="str">
        <x:v>South America</x:v>
      </x:c>
      <x:c r="I82" s="18" t="str">
        <x:v>Ecuador — Narco violence</x:v>
      </x:c>
      <x:c r="J82" s="20" t="str"/>
      <x:c r="K82" s="18" t="str"/>
      <x:c r="L82" s="18" t="str">
        <x:v>South America</x:v>
      </x:c>
      <x:c r="M82" s="18" t="str">
        <x:v>active</x:v>
      </x:c>
      <x:c r="N82" s="18" t="str">
        <x:v>Ecuador — Narco violence</x:v>
      </x:c>
      <x:c r="O82" s="18" t="str">
        <x:v>Criminal insurgency</x:v>
      </x:c>
      <x:c r="P82" s="18" t="str">
        <x:v>High</x:v>
      </x:c>
      <x:c r="Q82" s="18" t="str">
        <x:v>A declared 'internal armed conflict' against gangs after prison takeovers and a TV-station siege.</x:v>
      </x:c>
      <x:c r="R82" s="18" t="n">
        <x:v>2024</x:v>
      </x:c>
      <x:c r="S82" s="18" t="str">
        <x:v>state</x:v>
      </x:c>
      <x:c r="T82" s="18" t="str">
        <x:v>Escalating</x:v>
      </x:c>
      <x:c r="U82" s="18" t="str">
        <x:v>DEFINED_TERMINAL_OR_FEED_SCOPE</x:v>
      </x:c>
      <x:c r="V82" s="18" t="str">
        <x:v>geopolitics_war_tracker.json — published records loaded</x:v>
      </x:c>
      <x:c r="W82" s="18" t="str"/>
      <x:c r="X82" s="18" t="str"/>
      <x:c r="Y82" s="20" t="n">
        <x:v>88</x:v>
      </x:c>
      <x:c r="Z82" s="19" t="str">
        <x:f>IFERROR(TODAY()-DATEVALUE(C82),"")</x:f>
      </x:c>
      <x:c r="AA82" s="21" t="n">
        <x:f>ROUND(COUNTA(A82:K82)/11*100,0)</x:f>
        <x:v>100</x:v>
      </x:c>
      <x:c r="AB82" s="18" t="str">
        <x:v>ACLED API</x:v>
      </x:c>
      <x:c r="AC82" s="22" t="str">
        <x:v>https://acleddata.com/api/acled/read</x:v>
      </x:c>
      <x:c r="AD82" s="18" t="n">
        <x:v>46272.704938055555</x:v>
      </x:c>
      <x:c r="AE82" s="18" t="n">
        <x:v>46272.704938055555</x:v>
      </x:c>
      <x:c r="AF82" s="18" t="str">
        <x:v>unconfirmed</x:v>
      </x:c>
      <x:c r="AG82" s="18" t="str">
        <x:v>PARTIAL_NO_DATE</x:v>
      </x:c>
    </x:row>
    <x:row r="83">
      <x:c r="A83" s="18" t="str">
        <x:v>NYT-01-a613541aa1448880</x:v>
      </x:c>
      <x:c r="B83" s="18" t="str">
        <x:v>Venezuela — Political crisis</x:v>
      </x:c>
      <x:c r="C83" s="18" t="str"/>
      <x:c r="D83" s="18" t="str"/>
      <x:c r="E83" s="18" t="str"/>
      <x:c r="F83" s="18" t="str">
        <x:v>under review</x:v>
      </x:c>
      <x:c r="G83" s="18" t="str">
        <x:v>Political crisis</x:v>
      </x:c>
      <x:c r="H83" s="18" t="str">
        <x:v>South America</x:v>
      </x:c>
      <x:c r="I83" s="18" t="str">
        <x:v>Venezuela — Political crisis</x:v>
      </x:c>
      <x:c r="J83" s="20" t="str"/>
      <x:c r="K83" s="18" t="str"/>
      <x:c r="L83" s="18" t="str">
        <x:v>South America</x:v>
      </x:c>
      <x:c r="M83" s="18" t="str">
        <x:v>under review</x:v>
      </x:c>
      <x:c r="N83" s="18" t="str">
        <x:v>Venezuela — Political crisis</x:v>
      </x:c>
      <x:c r="O83" s="18" t="str">
        <x:v>Political crisis</x:v>
      </x:c>
      <x:c r="P83" s="18" t="str">
        <x:v>Medium</x:v>
      </x:c>
      <x:c r="Q83" s="18" t="str">
        <x:v>A disputed 2024 election deepened the standoff between Maduro and the opposition amid emigration.</x:v>
      </x:c>
      <x:c r="R83" s="18" t="n">
        <x:v>2024</x:v>
      </x:c>
      <x:c r="S83" s="18" t="str">
        <x:v>state</x:v>
      </x:c>
      <x:c r="T83" s="18" t="str">
        <x:v>Escalating</x:v>
      </x:c>
      <x:c r="U83" s="18" t="str">
        <x:v>DEFINED_TERMINAL_OR_FEED_SCOPE</x:v>
      </x:c>
      <x:c r="V83" s="18" t="str">
        <x:v>geopolitics_war_tracker.json — published records loaded</x:v>
      </x:c>
      <x:c r="W83" s="18" t="str"/>
      <x:c r="X83" s="18" t="str"/>
      <x:c r="Y83" s="20" t="n">
        <x:v>88</x:v>
      </x:c>
      <x:c r="Z83" s="19" t="str">
        <x:f>IFERROR(TODAY()-DATEVALUE(C83),"")</x:f>
      </x:c>
      <x:c r="AA83" s="21" t="n">
        <x:f>ROUND(COUNTA(A83:K83)/11*100,0)</x:f>
        <x:v>100</x:v>
      </x:c>
      <x:c r="AB83" s="18" t="str">
        <x:v>ACLED API</x:v>
      </x:c>
      <x:c r="AC83" s="22" t="str">
        <x:v>https://acleddata.com/api/acled/read</x:v>
      </x:c>
      <x:c r="AD83" s="18" t="n">
        <x:v>46272.704938055555</x:v>
      </x:c>
      <x:c r="AE83" s="18" t="n">
        <x:v>46272.704938055555</x:v>
      </x:c>
      <x:c r="AF83" s="18" t="str">
        <x:v>unconfirmed</x:v>
      </x:c>
      <x:c r="AG83" s="18" t="str">
        <x:v>PARTIAL_NO_DATE</x:v>
      </x:c>
    </x:row>
    <x:row r="84">
      <x:c r="A84" s="18" t="str">
        <x:v>NYT-01-04532feeb6977474</x:v>
      </x:c>
      <x:c r="B84" s="18" t="str">
        <x:v>Brazil — Militia &amp; faction violence</x:v>
      </x:c>
      <x:c r="C84" s="18" t="str"/>
      <x:c r="D84" s="18" t="str"/>
      <x:c r="E84" s="18" t="str"/>
      <x:c r="F84" s="18" t="str">
        <x:v>active</x:v>
      </x:c>
      <x:c r="G84" s="18" t="str">
        <x:v>Criminal</x:v>
      </x:c>
      <x:c r="H84" s="18" t="str">
        <x:v>South America</x:v>
      </x:c>
      <x:c r="I84" s="18" t="str">
        <x:v>Brazil — Militia &amp; faction violence</x:v>
      </x:c>
      <x:c r="J84" s="20" t="str"/>
      <x:c r="K84" s="18" t="str"/>
      <x:c r="L84" s="18" t="str">
        <x:v>South America</x:v>
      </x:c>
      <x:c r="M84" s="18" t="str">
        <x:v>active</x:v>
      </x:c>
      <x:c r="N84" s="18" t="str">
        <x:v>Brazil — Militia &amp; faction violence</x:v>
      </x:c>
      <x:c r="O84" s="18" t="str">
        <x:v>Criminal</x:v>
      </x:c>
      <x:c r="P84" s="18" t="str">
        <x:v>Medium</x:v>
      </x:c>
      <x:c r="Q84" s="18" t="str">
        <x:v>Rio militias and the PCC/CV drug factions contest territory in major cities.</x:v>
      </x:c>
      <x:c r="R84" s="18" t="n">
        <x:v>2010</x:v>
      </x:c>
      <x:c r="S84" s="18" t="str">
        <x:v>state</x:v>
      </x:c>
      <x:c r="T84" s="18" t="str">
        <x:v>Stable</x:v>
      </x:c>
      <x:c r="U84" s="18" t="str">
        <x:v>DEFINED_TERMINAL_OR_FEED_SCOPE</x:v>
      </x:c>
      <x:c r="V84" s="18" t="str">
        <x:v>geopolitics_war_tracker.json — published records loaded</x:v>
      </x:c>
      <x:c r="W84" s="18" t="str"/>
      <x:c r="X84" s="18" t="str"/>
      <x:c r="Y84" s="20" t="n">
        <x:v>88</x:v>
      </x:c>
      <x:c r="Z84" s="19" t="str">
        <x:f>IFERROR(TODAY()-DATEVALUE(C84),"")</x:f>
      </x:c>
      <x:c r="AA84" s="21" t="n">
        <x:f>ROUND(COUNTA(A84:K84)/11*100,0)</x:f>
        <x:v>100</x:v>
      </x:c>
      <x:c r="AB84" s="18" t="str">
        <x:v>ACLED API</x:v>
      </x:c>
      <x:c r="AC84" s="22" t="str">
        <x:v>https://acleddata.com/api/acled/read</x:v>
      </x:c>
      <x:c r="AD84" s="18" t="n">
        <x:v>46272.704938055555</x:v>
      </x:c>
      <x:c r="AE84" s="18" t="n">
        <x:v>46272.704938055555</x:v>
      </x:c>
      <x:c r="AF84" s="18" t="str">
        <x:v>unconfirmed</x:v>
      </x:c>
      <x:c r="AG84" s="18" t="str">
        <x:v>PARTIAL_NO_DATE</x:v>
      </x:c>
    </x:row>
    <x:row r="85">
      <x:c r="A85" s="18" t="str">
        <x:v>NYT-01-ff9ceb8a0e56939e</x:v>
      </x:c>
      <x:c r="B85" s="18" t="str">
        <x:v>Central America — El Salvador crackdown</x:v>
      </x:c>
      <x:c r="C85" s="18" t="str"/>
      <x:c r="D85" s="18" t="str"/>
      <x:c r="E85" s="18" t="str"/>
      <x:c r="F85" s="18" t="str">
        <x:v>under review</x:v>
      </x:c>
      <x:c r="G85" s="18" t="str">
        <x:v>Criminal / state</x:v>
      </x:c>
      <x:c r="H85" s="18" t="str">
        <x:v>Central America</x:v>
      </x:c>
      <x:c r="I85" s="18" t="str">
        <x:v>Central America — El Salvador crackdown</x:v>
      </x:c>
      <x:c r="J85" s="20" t="str"/>
      <x:c r="K85" s="18" t="str"/>
      <x:c r="L85" s="18" t="str">
        <x:v>Central America</x:v>
      </x:c>
      <x:c r="M85" s="18" t="str">
        <x:v>under review</x:v>
      </x:c>
      <x:c r="N85" s="18" t="str">
        <x:v>Central America — El Salvador crackdown</x:v>
      </x:c>
      <x:c r="O85" s="18" t="str">
        <x:v>Criminal / state</x:v>
      </x:c>
      <x:c r="P85" s="18" t="str">
        <x:v>Medium</x:v>
      </x:c>
      <x:c r="Q85" s="18" t="str">
        <x:v>A prolonged state of exception slashed gang homicides amid mass-detention rights concerns.</x:v>
      </x:c>
      <x:c r="R85" s="18" t="n">
        <x:v>2022</x:v>
      </x:c>
      <x:c r="S85" s="18" t="str">
        <x:v>state</x:v>
      </x:c>
      <x:c r="T85" s="18" t="str">
        <x:v>Easing</x:v>
      </x:c>
      <x:c r="U85" s="18" t="str">
        <x:v>DEFINED_TERMINAL_OR_FEED_SCOPE</x:v>
      </x:c>
      <x:c r="V85" s="18" t="str">
        <x:v>geopolitics_war_tracker.json — published records loaded</x:v>
      </x:c>
      <x:c r="W85" s="18" t="str"/>
      <x:c r="X85" s="18" t="str"/>
      <x:c r="Y85" s="20" t="n">
        <x:v>88</x:v>
      </x:c>
      <x:c r="Z85" s="19" t="str">
        <x:f>IFERROR(TODAY()-DATEVALUE(C85),"")</x:f>
      </x:c>
      <x:c r="AA85" s="21" t="n">
        <x:f>ROUND(COUNTA(A85:K85)/11*100,0)</x:f>
        <x:v>100</x:v>
      </x:c>
      <x:c r="AB85" s="18" t="str">
        <x:v>ACLED API</x:v>
      </x:c>
      <x:c r="AC85" s="22" t="str">
        <x:v>https://acleddata.com/api/acled/read</x:v>
      </x:c>
      <x:c r="AD85" s="18" t="n">
        <x:v>46272.704938055555</x:v>
      </x:c>
      <x:c r="AE85" s="18" t="n">
        <x:v>46272.704938055555</x:v>
      </x:c>
      <x:c r="AF85" s="18" t="str">
        <x:v>unconfirmed</x:v>
      </x:c>
      <x:c r="AG85" s="18" t="str">
        <x:v>PARTIAL_NO_DATE</x:v>
      </x:c>
    </x:row>
    <x:row r="86">
      <x:c r="A86" s="18" t="str">
        <x:v>NYT-01-2af110b9421b8249</x:v>
      </x:c>
      <x:c r="B86" s="18" t="str">
        <x:v>Honduras — Gang violence</x:v>
      </x:c>
      <x:c r="C86" s="18" t="str"/>
      <x:c r="D86" s="18" t="str"/>
      <x:c r="E86" s="18" t="str"/>
      <x:c r="F86" s="18" t="str">
        <x:v>active</x:v>
      </x:c>
      <x:c r="G86" s="18" t="str">
        <x:v>Criminal</x:v>
      </x:c>
      <x:c r="H86" s="18" t="str">
        <x:v>Central America</x:v>
      </x:c>
      <x:c r="I86" s="18" t="str">
        <x:v>Honduras — Gang violence</x:v>
      </x:c>
      <x:c r="J86" s="20" t="str"/>
      <x:c r="K86" s="18" t="str"/>
      <x:c r="L86" s="18" t="str">
        <x:v>Central America</x:v>
      </x:c>
      <x:c r="M86" s="18" t="str">
        <x:v>active</x:v>
      </x:c>
      <x:c r="N86" s="18" t="str">
        <x:v>Honduras — Gang violence</x:v>
      </x:c>
      <x:c r="O86" s="18" t="str">
        <x:v>Criminal</x:v>
      </x:c>
      <x:c r="P86" s="18" t="str">
        <x:v>Medium</x:v>
      </x:c>
      <x:c r="Q86" s="18" t="str">
        <x:v>MS-13 and Barrio 18 drive violence; a state of exception is in force.</x:v>
      </x:c>
      <x:c r="R86" s="18" t="n">
        <x:v>2010</x:v>
      </x:c>
      <x:c r="S86" s="18" t="str">
        <x:v>state</x:v>
      </x:c>
      <x:c r="T86" s="18" t="str">
        <x:v>Stable</x:v>
      </x:c>
      <x:c r="U86" s="18" t="str">
        <x:v>DEFINED_TERMINAL_OR_FEED_SCOPE</x:v>
      </x:c>
      <x:c r="V86" s="18" t="str">
        <x:v>geopolitics_war_tracker.json — published records loaded</x:v>
      </x:c>
      <x:c r="W86" s="18" t="str"/>
      <x:c r="X86" s="18" t="str"/>
      <x:c r="Y86" s="20" t="n">
        <x:v>88</x:v>
      </x:c>
      <x:c r="Z86" s="19" t="str">
        <x:f>IFERROR(TODAY()-DATEVALUE(C86),"")</x:f>
      </x:c>
      <x:c r="AA86" s="21" t="n">
        <x:f>ROUND(COUNTA(A86:K86)/11*100,0)</x:f>
        <x:v>100</x:v>
      </x:c>
      <x:c r="AB86" s="18" t="str">
        <x:v>ACLED API</x:v>
      </x:c>
      <x:c r="AC86" s="22" t="str">
        <x:v>https://acleddata.com/api/acled/read</x:v>
      </x:c>
      <x:c r="AD86" s="18" t="n">
        <x:v>46272.704938055555</x:v>
      </x:c>
      <x:c r="AE86" s="18" t="n">
        <x:v>46272.704938055555</x:v>
      </x:c>
      <x:c r="AF86" s="18" t="str">
        <x:v>unconfirmed</x:v>
      </x:c>
      <x:c r="AG86" s="18" t="str">
        <x:v>PARTIAL_NO_DATE</x:v>
      </x:c>
    </x:row>
    <x:row r="87">
      <x:c r="A87" s="18" t="str">
        <x:v>NYT-01-e645d46412c5c8ea</x:v>
      </x:c>
      <x:c r="B87" s="18" t="str">
        <x:v>Nicaragua — Repression</x:v>
      </x:c>
      <x:c r="C87" s="18" t="str"/>
      <x:c r="D87" s="18" t="str"/>
      <x:c r="E87" s="18" t="str"/>
      <x:c r="F87" s="18" t="str">
        <x:v>low-intensity</x:v>
      </x:c>
      <x:c r="G87" s="18" t="str">
        <x:v>Political crisis</x:v>
      </x:c>
      <x:c r="H87" s="18" t="str">
        <x:v>Central America</x:v>
      </x:c>
      <x:c r="I87" s="18" t="str">
        <x:v>Nicaragua — Repression</x:v>
      </x:c>
      <x:c r="J87" s="20" t="str"/>
      <x:c r="K87" s="18" t="str"/>
      <x:c r="L87" s="18" t="str">
        <x:v>Central America</x:v>
      </x:c>
      <x:c r="M87" s="18" t="str">
        <x:v>low-intensity</x:v>
      </x:c>
      <x:c r="N87" s="18" t="str">
        <x:v>Nicaragua — Repression</x:v>
      </x:c>
      <x:c r="O87" s="18" t="str">
        <x:v>Political crisis</x:v>
      </x:c>
      <x:c r="P87" s="18" t="str">
        <x:v>Low</x:v>
      </x:c>
      <x:c r="Q87" s="18" t="str">
        <x:v>Post-2018 crackdown entrenched authoritarian rule and mass exile of the opposition.</x:v>
      </x:c>
      <x:c r="R87" s="18" t="n">
        <x:v>2018</x:v>
      </x:c>
      <x:c r="S87" s="18" t="str">
        <x:v>state</x:v>
      </x:c>
      <x:c r="T87" s="18" t="str">
        <x:v>Stable</x:v>
      </x:c>
      <x:c r="U87" s="18" t="str">
        <x:v>DEFINED_TERMINAL_OR_FEED_SCOPE</x:v>
      </x:c>
      <x:c r="V87" s="18" t="str">
        <x:v>geopolitics_war_tracker.json — published records loaded</x:v>
      </x:c>
      <x:c r="W87" s="18" t="str"/>
      <x:c r="X87" s="18" t="str"/>
      <x:c r="Y87" s="20" t="n">
        <x:v>88</x:v>
      </x:c>
      <x:c r="Z87" s="19" t="str">
        <x:f>IFERROR(TODAY()-DATEVALUE(C87),"")</x:f>
      </x:c>
      <x:c r="AA87" s="21" t="n">
        <x:f>ROUND(COUNTA(A87:K87)/11*100,0)</x:f>
        <x:v>100</x:v>
      </x:c>
      <x:c r="AB87" s="18" t="str">
        <x:v>ACLED API</x:v>
      </x:c>
      <x:c r="AC87" s="22" t="str">
        <x:v>https://acleddata.com/api/acled/read</x:v>
      </x:c>
      <x:c r="AD87" s="18" t="n">
        <x:v>46272.704938055555</x:v>
      </x:c>
      <x:c r="AE87" s="18" t="n">
        <x:v>46272.704938055555</x:v>
      </x:c>
      <x:c r="AF87" s="18" t="str">
        <x:v>unconfirmed</x:v>
      </x:c>
      <x:c r="AG87" s="18" t="str">
        <x:v>PARTIAL_NO_DATE</x:v>
      </x:c>
    </x:row>
    <x:row r="88">
      <x:c r="A88" s="18" t="str">
        <x:v>NYT-01-ec22706bd97b9f48</x:v>
      </x:c>
      <x:c r="B88" s="18" t="str">
        <x:v>Peru — Political unrest</x:v>
      </x:c>
      <x:c r="C88" s="18" t="str"/>
      <x:c r="D88" s="18" t="str"/>
      <x:c r="E88" s="18" t="str"/>
      <x:c r="F88" s="18" t="str">
        <x:v>low-intensity</x:v>
      </x:c>
      <x:c r="G88" s="18" t="str">
        <x:v>Political crisis</x:v>
      </x:c>
      <x:c r="H88" s="18" t="str">
        <x:v>South America</x:v>
      </x:c>
      <x:c r="I88" s="18" t="str">
        <x:v>Peru — Political unrest</x:v>
      </x:c>
      <x:c r="J88" s="20" t="str"/>
      <x:c r="K88" s="18" t="str"/>
      <x:c r="L88" s="18" t="str">
        <x:v>South America</x:v>
      </x:c>
      <x:c r="M88" s="18" t="str">
        <x:v>low-intensity</x:v>
      </x:c>
      <x:c r="N88" s="18" t="str">
        <x:v>Peru — Political unrest</x:v>
      </x:c>
      <x:c r="O88" s="18" t="str">
        <x:v>Political crisis</x:v>
      </x:c>
      <x:c r="P88" s="18" t="str">
        <x:v>Low</x:v>
      </x:c>
      <x:c r="Q88" s="18" t="str">
        <x:v>Recurrent protests and instability since the 2022 presidential crisis, especially in the south.</x:v>
      </x:c>
      <x:c r="R88" s="18" t="n">
        <x:v>2022</x:v>
      </x:c>
      <x:c r="S88" s="18" t="str">
        <x:v>state</x:v>
      </x:c>
      <x:c r="T88" s="18" t="str">
        <x:v>Stable</x:v>
      </x:c>
      <x:c r="U88" s="18" t="str">
        <x:v>DEFINED_TERMINAL_OR_FEED_SCOPE</x:v>
      </x:c>
      <x:c r="V88" s="18" t="str">
        <x:v>geopolitics_war_tracker.json — published records loaded</x:v>
      </x:c>
      <x:c r="W88" s="18" t="str"/>
      <x:c r="X88" s="18" t="str"/>
      <x:c r="Y88" s="20" t="n">
        <x:v>88</x:v>
      </x:c>
      <x:c r="Z88" s="19" t="str">
        <x:f>IFERROR(TODAY()-DATEVALUE(C88),"")</x:f>
      </x:c>
      <x:c r="AA88" s="21" t="n">
        <x:f>ROUND(COUNTA(A88:K88)/11*100,0)</x:f>
        <x:v>100</x:v>
      </x:c>
      <x:c r="AB88" s="18" t="str">
        <x:v>ACLED API</x:v>
      </x:c>
      <x:c r="AC88" s="22" t="str">
        <x:v>https://acleddata.com/api/acled/read</x:v>
      </x:c>
      <x:c r="AD88" s="18" t="n">
        <x:v>46272.704938055555</x:v>
      </x:c>
      <x:c r="AE88" s="18" t="n">
        <x:v>46272.704938055555</x:v>
      </x:c>
      <x:c r="AF88" s="18" t="str">
        <x:v>unconfirmed</x:v>
      </x:c>
      <x:c r="AG88" s="18" t="str">
        <x:v>PARTIAL_NO_DATE</x:v>
      </x:c>
    </x:row>
    <x:row r="89">
      <x:c r="A89" s="18" t="str">
        <x:v>NYT-01-87d9684e24cc53d1</x:v>
      </x:c>
      <x:c r="B89" s="18" t="str">
        <x:v>Chile — Araucanía (Mapuche)</x:v>
      </x:c>
      <x:c r="C89" s="18" t="str"/>
      <x:c r="D89" s="18" t="str"/>
      <x:c r="E89" s="18" t="str"/>
      <x:c r="F89" s="18" t="str">
        <x:v>low-intensity</x:v>
      </x:c>
      <x:c r="G89" s="18" t="str">
        <x:v>Land / separatist</x:v>
      </x:c>
      <x:c r="H89" s="18" t="str">
        <x:v>South America</x:v>
      </x:c>
      <x:c r="I89" s="18" t="str">
        <x:v>Chile — Araucanía (Mapuche)</x:v>
      </x:c>
      <x:c r="J89" s="20" t="str"/>
      <x:c r="K89" s="18" t="str"/>
      <x:c r="L89" s="18" t="str">
        <x:v>South America</x:v>
      </x:c>
      <x:c r="M89" s="18" t="str">
        <x:v>low-intensity</x:v>
      </x:c>
      <x:c r="N89" s="18" t="str">
        <x:v>Chile — Araucanía (Mapuche)</x:v>
      </x:c>
      <x:c r="O89" s="18" t="str">
        <x:v>Land / separatist</x:v>
      </x:c>
      <x:c r="P89" s="18" t="str">
        <x:v>Low</x:v>
      </x:c>
      <x:c r="Q89" s="18" t="str">
        <x:v>Mapuche land conflict with forestry firms and the state sees periodic arson and clashes.</x:v>
      </x:c>
      <x:c r="R89" s="18" t="n">
        <x:v>2008</x:v>
      </x:c>
      <x:c r="S89" s="18" t="str">
        <x:v>state</x:v>
      </x:c>
      <x:c r="T89" s="18" t="str">
        <x:v>Stable</x:v>
      </x:c>
      <x:c r="U89" s="18" t="str">
        <x:v>DEFINED_TERMINAL_OR_FEED_SCOPE</x:v>
      </x:c>
      <x:c r="V89" s="18" t="str">
        <x:v>geopolitics_war_tracker.json — published records loaded</x:v>
      </x:c>
      <x:c r="W89" s="18" t="str"/>
      <x:c r="X89" s="18" t="str"/>
      <x:c r="Y89" s="20" t="n">
        <x:v>88</x:v>
      </x:c>
      <x:c r="Z89" s="19" t="str">
        <x:f>IFERROR(TODAY()-DATEVALUE(C89),"")</x:f>
      </x:c>
      <x:c r="AA89" s="21" t="n">
        <x:f>ROUND(COUNTA(A89:K89)/11*100,0)</x:f>
        <x:v>100</x:v>
      </x:c>
      <x:c r="AB89" s="18" t="str">
        <x:v>ACLED API</x:v>
      </x:c>
      <x:c r="AC89" s="22" t="str">
        <x:v>https://acleddata.com/api/acled/read</x:v>
      </x:c>
      <x:c r="AD89" s="18" t="n">
        <x:v>46272.704938055555</x:v>
      </x:c>
      <x:c r="AE89" s="18" t="n">
        <x:v>46272.704938055555</x:v>
      </x:c>
      <x:c r="AF89" s="18" t="str">
        <x:v>unconfirmed</x:v>
      </x:c>
      <x:c r="AG89" s="18" t="str">
        <x:v>PARTIAL_NO_DATE</x:v>
      </x:c>
    </x:row>
    <x:row r="90">
      <x:c r="A90" s="18" t="str">
        <x:v>NYT-01-0656a87e580b93bb</x:v>
      </x:c>
      <x:c r="B90" s="18" t="str">
        <x:v>Kosovo–Serbia tensions</x:v>
      </x:c>
      <x:c r="C90" s="18" t="str"/>
      <x:c r="D90" s="18" t="str"/>
      <x:c r="E90" s="18" t="str"/>
      <x:c r="F90" s="18" t="str">
        <x:v>under review</x:v>
      </x:c>
      <x:c r="G90" s="18" t="str">
        <x:v>Ethnic / territorial</x:v>
      </x:c>
      <x:c r="H90" s="18" t="str">
        <x:v>Europe</x:v>
      </x:c>
      <x:c r="I90" s="18" t="str">
        <x:v>Kosovo–Serbia tensions</x:v>
      </x:c>
      <x:c r="J90" s="20" t="str"/>
      <x:c r="K90" s="18" t="str"/>
      <x:c r="L90" s="18" t="str">
        <x:v>Europe</x:v>
      </x:c>
      <x:c r="M90" s="18" t="str">
        <x:v>under review</x:v>
      </x:c>
      <x:c r="N90" s="18" t="str">
        <x:v>Kosovo–Serbia tensions</x:v>
      </x:c>
      <x:c r="O90" s="18" t="str">
        <x:v>Ethnic / territorial</x:v>
      </x:c>
      <x:c r="P90" s="18" t="str">
        <x:v>Medium</x:v>
      </x:c>
      <x:c r="Q90" s="18" t="str">
        <x:v>Serb-majority north sees recurrent violence; EU-facilitated normalisation is stalled.</x:v>
      </x:c>
      <x:c r="R90" s="18" t="str">
        <x:v>2008 (flare 2023)</x:v>
      </x:c>
      <x:c r="S90" s="18" t="str">
        <x:v>state</x:v>
      </x:c>
      <x:c r="T90" s="18" t="str">
        <x:v>Escalating</x:v>
      </x:c>
      <x:c r="U90" s="18" t="str">
        <x:v>DEFINED_TERMINAL_OR_FEED_SCOPE</x:v>
      </x:c>
      <x:c r="V90" s="18" t="str">
        <x:v>geopolitics_war_tracker.json — published records loaded</x:v>
      </x:c>
      <x:c r="W90" s="18" t="str"/>
      <x:c r="X90" s="18" t="str"/>
      <x:c r="Y90" s="20" t="n">
        <x:v>88</x:v>
      </x:c>
      <x:c r="Z90" s="19" t="str">
        <x:f>IFERROR(TODAY()-DATEVALUE(C90),"")</x:f>
      </x:c>
      <x:c r="AA90" s="21" t="n">
        <x:f>ROUND(COUNTA(A90:K90)/11*100,0)</x:f>
        <x:v>100</x:v>
      </x:c>
      <x:c r="AB90" s="18" t="str">
        <x:v>ACLED API</x:v>
      </x:c>
      <x:c r="AC90" s="22" t="str">
        <x:v>https://acleddata.com/api/acled/read</x:v>
      </x:c>
      <x:c r="AD90" s="18" t="n">
        <x:v>46272.704938055555</x:v>
      </x:c>
      <x:c r="AE90" s="18" t="n">
        <x:v>46272.704938055555</x:v>
      </x:c>
      <x:c r="AF90" s="18" t="str">
        <x:v>unconfirmed</x:v>
      </x:c>
      <x:c r="AG90" s="18" t="str">
        <x:v>PARTIAL_NO_DATE</x:v>
      </x:c>
    </x:row>
    <x:row r="91">
      <x:c r="A91" s="18" t="str">
        <x:v>NYT-01-7023553e6af9ee09</x:v>
      </x:c>
      <x:c r="B91" s="18" t="str">
        <x:v>Cyprus — Division</x:v>
      </x:c>
      <x:c r="C91" s="18" t="str"/>
      <x:c r="D91" s="18" t="str"/>
      <x:c r="E91" s="18" t="str"/>
      <x:c r="F91" s="18" t="str">
        <x:v>frozen</x:v>
      </x:c>
      <x:c r="G91" s="18" t="str">
        <x:v>Frozen conflict</x:v>
      </x:c>
      <x:c r="H91" s="18" t="str">
        <x:v>Europe</x:v>
      </x:c>
      <x:c r="I91" s="18" t="str">
        <x:v>Cyprus — Division</x:v>
      </x:c>
      <x:c r="J91" s="20" t="str"/>
      <x:c r="K91" s="18" t="str"/>
      <x:c r="L91" s="18" t="str">
        <x:v>Europe</x:v>
      </x:c>
      <x:c r="M91" s="18" t="str">
        <x:v>frozen</x:v>
      </x:c>
      <x:c r="N91" s="18" t="str">
        <x:v>Cyprus — Division</x:v>
      </x:c>
      <x:c r="O91" s="18" t="str">
        <x:v>Frozen conflict</x:v>
      </x:c>
      <x:c r="P91" s="18" t="str">
        <x:v>Low</x:v>
      </x:c>
      <x:c r="Q91" s="18" t="str">
        <x:v>The island stays split between the Republic and the Turkish-Cypriot north; talks dormant.</x:v>
      </x:c>
      <x:c r="R91" s="18" t="n">
        <x:v>1974</x:v>
      </x:c>
      <x:c r="S91" s="18" t="str">
        <x:v>state</x:v>
      </x:c>
      <x:c r="T91" s="18" t="str">
        <x:v>Stable</x:v>
      </x:c>
      <x:c r="U91" s="18" t="str">
        <x:v>DEFINED_TERMINAL_OR_FEED_SCOPE</x:v>
      </x:c>
      <x:c r="V91" s="18" t="str">
        <x:v>geopolitics_war_tracker.json — published records loaded</x:v>
      </x:c>
      <x:c r="W91" s="18" t="str"/>
      <x:c r="X91" s="18" t="str"/>
      <x:c r="Y91" s="20" t="n">
        <x:v>88</x:v>
      </x:c>
      <x:c r="Z91" s="19" t="str">
        <x:f>IFERROR(TODAY()-DATEVALUE(C91),"")</x:f>
      </x:c>
      <x:c r="AA91" s="21" t="n">
        <x:f>ROUND(COUNTA(A91:K91)/11*100,0)</x:f>
        <x:v>100</x:v>
      </x:c>
      <x:c r="AB91" s="18" t="str">
        <x:v>ACLED API</x:v>
      </x:c>
      <x:c r="AC91" s="22" t="str">
        <x:v>https://acleddata.com/api/acled/read</x:v>
      </x:c>
      <x:c r="AD91" s="18" t="n">
        <x:v>46272.704938055555</x:v>
      </x:c>
      <x:c r="AE91" s="18" t="n">
        <x:v>46272.704938055555</x:v>
      </x:c>
      <x:c r="AF91" s="18" t="str">
        <x:v>unconfirmed</x:v>
      </x:c>
      <x:c r="AG91" s="18" t="str">
        <x:v>PARTIAL_NO_DATE</x:v>
      </x:c>
    </x:row>
    <x:row r="92">
      <x:c r="A92" s="18" t="str">
        <x:v>NYT-01-a16420cc521d054a</x:v>
      </x:c>
      <x:c r="B92" s="18" t="str">
        <x:v>Bosnia — Republika Srpska</x:v>
      </x:c>
      <x:c r="C92" s="18" t="str"/>
      <x:c r="D92" s="18" t="str"/>
      <x:c r="E92" s="18" t="str"/>
      <x:c r="F92" s="18" t="str">
        <x:v>under review</x:v>
      </x:c>
      <x:c r="G92" s="18" t="str">
        <x:v>Political / secession</x:v>
      </x:c>
      <x:c r="H92" s="18" t="str">
        <x:v>Europe</x:v>
      </x:c>
      <x:c r="I92" s="18" t="str">
        <x:v>Bosnia — Republika Srpska</x:v>
      </x:c>
      <x:c r="J92" s="20" t="str"/>
      <x:c r="K92" s="18" t="str"/>
      <x:c r="L92" s="18" t="str">
        <x:v>Europe</x:v>
      </x:c>
      <x:c r="M92" s="18" t="str">
        <x:v>under review</x:v>
      </x:c>
      <x:c r="N92" s="18" t="str">
        <x:v>Bosnia — Republika Srpska</x:v>
      </x:c>
      <x:c r="O92" s="18" t="str">
        <x:v>Political / secession</x:v>
      </x:c>
      <x:c r="P92" s="18" t="str">
        <x:v>Low</x:v>
      </x:c>
      <x:c r="Q92" s="18" t="str">
        <x:v>Serb-entity secessionist rhetoric and institutional defiance strain the Dayton settlement.</x:v>
      </x:c>
      <x:c r="R92" s="18" t="n">
        <x:v>1995</x:v>
      </x:c>
      <x:c r="S92" s="18" t="str">
        <x:v>state</x:v>
      </x:c>
      <x:c r="T92" s="18" t="str">
        <x:v>Stable</x:v>
      </x:c>
      <x:c r="U92" s="18" t="str">
        <x:v>DEFINED_TERMINAL_OR_FEED_SCOPE</x:v>
      </x:c>
      <x:c r="V92" s="18" t="str">
        <x:v>geopolitics_war_tracker.json — published records loaded</x:v>
      </x:c>
      <x:c r="W92" s="18" t="str"/>
      <x:c r="X92" s="18" t="str"/>
      <x:c r="Y92" s="20" t="n">
        <x:v>88</x:v>
      </x:c>
      <x:c r="Z92" s="19" t="str">
        <x:f>IFERROR(TODAY()-DATEVALUE(C92),"")</x:f>
      </x:c>
      <x:c r="AA92" s="21" t="n">
        <x:f>ROUND(COUNTA(A92:K92)/11*100,0)</x:f>
        <x:v>100</x:v>
      </x:c>
      <x:c r="AB92" s="18" t="str">
        <x:v>ACLED API</x:v>
      </x:c>
      <x:c r="AC92" s="22" t="str">
        <x:v>https://acleddata.com/api/acled/read</x:v>
      </x:c>
      <x:c r="AD92" s="18" t="n">
        <x:v>46272.704938055555</x:v>
      </x:c>
      <x:c r="AE92" s="18" t="n">
        <x:v>46272.704938055555</x:v>
      </x:c>
      <x:c r="AF92" s="18" t="str">
        <x:v>unconfirmed</x:v>
      </x:c>
      <x:c r="AG92" s="18" t="str">
        <x:v>PARTIAL_NO_DATE</x:v>
      </x:c>
    </x:row>
    <x:row r="93">
      <x:c r="A93" s="18" t="str">
        <x:v>NYT-01-86e51dc5c55e661c</x:v>
      </x:c>
      <x:c r="B93" s="18" t="str">
        <x:v>Greece–Turkey (Aegean/EEZ)</x:v>
      </x:c>
      <x:c r="C93" s="18" t="str"/>
      <x:c r="D93" s="18" t="str"/>
      <x:c r="E93" s="18" t="str"/>
      <x:c r="F93" s="18" t="str">
        <x:v>under review</x:v>
      </x:c>
      <x:c r="G93" s="18" t="str">
        <x:v>Maritime dispute</x:v>
      </x:c>
      <x:c r="H93" s="18" t="str">
        <x:v>Europe</x:v>
      </x:c>
      <x:c r="I93" s="18" t="str">
        <x:v>Greece–Turkey (Aegean/EEZ)</x:v>
      </x:c>
      <x:c r="J93" s="20" t="str"/>
      <x:c r="K93" s="18" t="str"/>
      <x:c r="L93" s="18" t="str">
        <x:v>Europe</x:v>
      </x:c>
      <x:c r="M93" s="18" t="str">
        <x:v>under review</x:v>
      </x:c>
      <x:c r="N93" s="18" t="str">
        <x:v>Greece–Turkey (Aegean/EEZ)</x:v>
      </x:c>
      <x:c r="O93" s="18" t="str">
        <x:v>Maritime dispute</x:v>
      </x:c>
      <x:c r="P93" s="18" t="str">
        <x:v>Medium</x:v>
      </x:c>
      <x:c r="Q93" s="18" t="str">
        <x:v>Overlapping airspace and maritime-zone claims persist despite a recent diplomatic thaw.</x:v>
      </x:c>
      <x:c r="R93" s="18" t="n">
        <x:v>1996</x:v>
      </x:c>
      <x:c r="S93" s="18" t="str">
        <x:v>state</x:v>
      </x:c>
      <x:c r="T93" s="18" t="str">
        <x:v>Stable</x:v>
      </x:c>
      <x:c r="U93" s="18" t="str">
        <x:v>DEFINED_TERMINAL_OR_FEED_SCOPE</x:v>
      </x:c>
      <x:c r="V93" s="18" t="str">
        <x:v>geopolitics_war_tracker.json — published records loaded</x:v>
      </x:c>
      <x:c r="W93" s="18" t="str"/>
      <x:c r="X93" s="18" t="str"/>
      <x:c r="Y93" s="20" t="n">
        <x:v>88</x:v>
      </x:c>
      <x:c r="Z93" s="19" t="str">
        <x:f>IFERROR(TODAY()-DATEVALUE(C93),"")</x:f>
      </x:c>
      <x:c r="AA93" s="21" t="n">
        <x:f>ROUND(COUNTA(A93:K93)/11*100,0)</x:f>
        <x:v>100</x:v>
      </x:c>
      <x:c r="AB93" s="18" t="str">
        <x:v>ACLED API</x:v>
      </x:c>
      <x:c r="AC93" s="22" t="str">
        <x:v>https://acleddata.com/api/acled/read</x:v>
      </x:c>
      <x:c r="AD93" s="18" t="n">
        <x:v>46272.704938055555</x:v>
      </x:c>
      <x:c r="AE93" s="18" t="n">
        <x:v>46272.704938055555</x:v>
      </x:c>
      <x:c r="AF93" s="18" t="str">
        <x:v>unconfirmed</x:v>
      </x:c>
      <x:c r="AG93" s="18" t="str">
        <x:v>PARTIAL_NO_DATE</x:v>
      </x:c>
    </x:row>
    <x:row r="94">
      <x:c r="A94" s="18" t="str">
        <x:v>NYT-01-32b50c55e7f90f58</x:v>
      </x:c>
      <x:c r="B94" s="18" t="str">
        <x:v>Spain — Catalonia</x:v>
      </x:c>
      <x:c r="C94" s="18" t="str"/>
      <x:c r="D94" s="18" t="str"/>
      <x:c r="E94" s="18" t="str"/>
      <x:c r="F94" s="18" t="str">
        <x:v>frozen</x:v>
      </x:c>
      <x:c r="G94" s="18" t="str">
        <x:v>Separatist (political)</x:v>
      </x:c>
      <x:c r="H94" s="18" t="str">
        <x:v>Europe</x:v>
      </x:c>
      <x:c r="I94" s="18" t="str">
        <x:v>Spain — Catalonia</x:v>
      </x:c>
      <x:c r="J94" s="20" t="str"/>
      <x:c r="K94" s="18" t="str"/>
      <x:c r="L94" s="18" t="str">
        <x:v>Europe</x:v>
      </x:c>
      <x:c r="M94" s="18" t="str">
        <x:v>frozen</x:v>
      </x:c>
      <x:c r="N94" s="18" t="str">
        <x:v>Spain — Catalonia</x:v>
      </x:c>
      <x:c r="O94" s="18" t="str">
        <x:v>Separatist (political)</x:v>
      </x:c>
      <x:c r="P94" s="18" t="str">
        <x:v>Low</x:v>
      </x:c>
      <x:c r="Q94" s="18" t="str">
        <x:v>The independence push has cooled into a political/amnesty track after 2017.</x:v>
      </x:c>
      <x:c r="R94" s="18" t="n">
        <x:v>2017</x:v>
      </x:c>
      <x:c r="S94" s="18" t="str">
        <x:v>state</x:v>
      </x:c>
      <x:c r="T94" s="18" t="str">
        <x:v>Easing</x:v>
      </x:c>
      <x:c r="U94" s="18" t="str">
        <x:v>DEFINED_TERMINAL_OR_FEED_SCOPE</x:v>
      </x:c>
      <x:c r="V94" s="18" t="str">
        <x:v>geopolitics_war_tracker.json — published records loaded</x:v>
      </x:c>
      <x:c r="W94" s="18" t="str"/>
      <x:c r="X94" s="18" t="str"/>
      <x:c r="Y94" s="20" t="n">
        <x:v>88</x:v>
      </x:c>
      <x:c r="Z94" s="19" t="str">
        <x:f>IFERROR(TODAY()-DATEVALUE(C94),"")</x:f>
      </x:c>
      <x:c r="AA94" s="21" t="n">
        <x:f>ROUND(COUNTA(A94:K94)/11*100,0)</x:f>
        <x:v>100</x:v>
      </x:c>
      <x:c r="AB94" s="18" t="str">
        <x:v>ACLED API</x:v>
      </x:c>
      <x:c r="AC94" s="22" t="str">
        <x:v>https://acleddata.com/api/acled/read</x:v>
      </x:c>
      <x:c r="AD94" s="18" t="n">
        <x:v>46272.704938055555</x:v>
      </x:c>
      <x:c r="AE94" s="18" t="n">
        <x:v>46272.704938055555</x:v>
      </x:c>
      <x:c r="AF94" s="18" t="str">
        <x:v>unconfirmed</x:v>
      </x:c>
      <x:c r="AG94" s="18" t="str">
        <x:v>PARTIAL_NO_DATE</x:v>
      </x:c>
    </x:row>
    <x:row r="95">
      <x:c r="A95" s="18" t="str">
        <x:v>NYT-01-b9977d4247a2ad14</x:v>
      </x:c>
      <x:c r="B95" s="18" t="str">
        <x:v>Tajikistan–Kyrgyzstan border</x:v>
      </x:c>
      <x:c r="C95" s="18" t="str"/>
      <x:c r="D95" s="18" t="str"/>
      <x:c r="E95" s="18" t="str"/>
      <x:c r="F95" s="18" t="str">
        <x:v>ceasefire fragile</x:v>
      </x:c>
      <x:c r="G95" s="18" t="str">
        <x:v>Border dispute</x:v>
      </x:c>
      <x:c r="H95" s="18" t="str">
        <x:v>Central Asia</x:v>
      </x:c>
      <x:c r="I95" s="18" t="str">
        <x:v>Tajikistan–Kyrgyzstan border</x:v>
      </x:c>
      <x:c r="J95" s="20" t="str"/>
      <x:c r="K95" s="18" t="str"/>
      <x:c r="L95" s="18" t="str">
        <x:v>Central Asia</x:v>
      </x:c>
      <x:c r="M95" s="18" t="str">
        <x:v>ceasefire fragile</x:v>
      </x:c>
      <x:c r="N95" s="18" t="str">
        <x:v>Tajikistan–Kyrgyzstan border</x:v>
      </x:c>
      <x:c r="O95" s="18" t="str">
        <x:v>Border dispute</x:v>
      </x:c>
      <x:c r="P95" s="18" t="str">
        <x:v>Low</x:v>
      </x:c>
      <x:c r="Q95" s="18" t="str">
        <x:v>Deadly 2021–22 clashes gave way to a delimitation deal reducing tensions.</x:v>
      </x:c>
      <x:c r="R95" s="18" t="n">
        <x:v>2021</x:v>
      </x:c>
      <x:c r="S95" s="18" t="str">
        <x:v>state</x:v>
      </x:c>
      <x:c r="T95" s="18" t="str">
        <x:v>Easing</x:v>
      </x:c>
      <x:c r="U95" s="18" t="str">
        <x:v>DEFINED_TERMINAL_OR_FEED_SCOPE</x:v>
      </x:c>
      <x:c r="V95" s="18" t="str">
        <x:v>geopolitics_war_tracker.json — published records loaded</x:v>
      </x:c>
      <x:c r="W95" s="18" t="str"/>
      <x:c r="X95" s="18" t="str"/>
      <x:c r="Y95" s="20" t="n">
        <x:v>88</x:v>
      </x:c>
      <x:c r="Z95" s="19" t="str">
        <x:f>IFERROR(TODAY()-DATEVALUE(C95),"")</x:f>
      </x:c>
      <x:c r="AA95" s="21" t="n">
        <x:f>ROUND(COUNTA(A95:K95)/11*100,0)</x:f>
        <x:v>100</x:v>
      </x:c>
      <x:c r="AB95" s="18" t="str">
        <x:v>ACLED API</x:v>
      </x:c>
      <x:c r="AC95" s="22" t="str">
        <x:v>https://acleddata.com/api/acled/read</x:v>
      </x:c>
      <x:c r="AD95" s="18" t="n">
        <x:v>46272.704938055555</x:v>
      </x:c>
      <x:c r="AE95" s="18" t="n">
        <x:v>46272.704938055555</x:v>
      </x:c>
      <x:c r="AF95" s="18" t="str">
        <x:v>unconfirmed</x:v>
      </x:c>
      <x:c r="AG95" s="18" t="str">
        <x:v>PARTIAL_NO_DATE</x:v>
      </x:c>
    </x:row>
    <x:row r="96">
      <x:c r="A96" s="18" t="str">
        <x:v>NYT-01-c648ee6ec1257d1f</x:v>
      </x:c>
      <x:c r="B96" s="18" t="str">
        <x:v>Afghanistan–Iran (water/border)</x:v>
      </x:c>
      <x:c r="C96" s="18" t="str"/>
      <x:c r="D96" s="18" t="str"/>
      <x:c r="E96" s="18" t="str"/>
      <x:c r="F96" s="18" t="str">
        <x:v>under review</x:v>
      </x:c>
      <x:c r="G96" s="18" t="str">
        <x:v>Interstate standoff</x:v>
      </x:c>
      <x:c r="H96" s="18" t="str">
        <x:v>Central Asia</x:v>
      </x:c>
      <x:c r="I96" s="18" t="str">
        <x:v>Afghanistan–Iran (water/border)</x:v>
      </x:c>
      <x:c r="J96" s="20" t="str"/>
      <x:c r="K96" s="18" t="str"/>
      <x:c r="L96" s="18" t="str">
        <x:v>Central Asia</x:v>
      </x:c>
      <x:c r="M96" s="18" t="str">
        <x:v>under review</x:v>
      </x:c>
      <x:c r="N96" s="18" t="str">
        <x:v>Afghanistan–Iran (water/border)</x:v>
      </x:c>
      <x:c r="O96" s="18" t="str">
        <x:v>Interstate standoff</x:v>
      </x:c>
      <x:c r="P96" s="18" t="str">
        <x:v>Low</x:v>
      </x:c>
      <x:c r="Q96" s="18" t="str">
        <x:v>Helmand water-rights disputes and border skirmishes recur with the Taliban government.</x:v>
      </x:c>
      <x:c r="R96" s="18" t="n">
        <x:v>2023</x:v>
      </x:c>
      <x:c r="S96" s="18" t="str">
        <x:v>state</x:v>
      </x:c>
      <x:c r="T96" s="18" t="str">
        <x:v>Stable</x:v>
      </x:c>
      <x:c r="U96" s="18" t="str">
        <x:v>DEFINED_TERMINAL_OR_FEED_SCOPE</x:v>
      </x:c>
      <x:c r="V96" s="18" t="str">
        <x:v>geopolitics_war_tracker.json — published records loaded</x:v>
      </x:c>
      <x:c r="W96" s="18" t="str"/>
      <x:c r="X96" s="18" t="str"/>
      <x:c r="Y96" s="20" t="n">
        <x:v>88</x:v>
      </x:c>
      <x:c r="Z96" s="19" t="str">
        <x:f>IFERROR(TODAY()-DATEVALUE(C96),"")</x:f>
      </x:c>
      <x:c r="AA96" s="21" t="n">
        <x:f>ROUND(COUNTA(A96:K96)/11*100,0)</x:f>
        <x:v>100</x:v>
      </x:c>
      <x:c r="AB96" s="18" t="str">
        <x:v>ACLED API</x:v>
      </x:c>
      <x:c r="AC96" s="22" t="str">
        <x:v>https://acleddata.com/api/acled/read</x:v>
      </x:c>
      <x:c r="AD96" s="18" t="n">
        <x:v>46272.704938055555</x:v>
      </x:c>
      <x:c r="AE96" s="18" t="n">
        <x:v>46272.704938055555</x:v>
      </x:c>
      <x:c r="AF96" s="18" t="str">
        <x:v>unconfirmed</x:v>
      </x:c>
      <x:c r="AG96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aead274a5414659"/>
  <x:tableParts count="1">
    <x:tablePart xmlns:r="http://schemas.openxmlformats.org/officeDocument/2006/relationships" r:id="R5acf9fa56d4945d7"/>
  </x:tableParts>
</x:worksheet>
</file>