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204eb3932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4 Global Commodities" sheetId="1" r:id="R87e01690bc68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c58c2b55b42a3" /><Relationship Type="http://schemas.openxmlformats.org/officeDocument/2006/relationships/theme" Target="/xl/theme/theme1.xml" Id="R271c4b0a81624a20" /><Relationship Type="http://schemas.openxmlformats.org/officeDocument/2006/relationships/sharedStrings" Target="/xl/sharedStrings.xml" Id="Re175a1d02a4b4896" /><Relationship Type="http://schemas.openxmlformats.org/officeDocument/2006/relationships/worksheet" Target="/xl/worksheets/sheet1.xml" Id="R87e01690bc6842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2af6b7513a4598" /><Relationship Type="http://schemas.openxmlformats.org/officeDocument/2006/relationships/chart" Target="/xl/drawings/charts/chart2.xml" Id="R29afaa835c554a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Daily returns and volatility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'F14 Global Commodities'!$BC$3</c:f>
              <c:strCache>
                <c:ptCount val="0"/>
              </c:strCache>
            </c:strRef>
          </c:cat>
          <c:val>
            <c:numRef>
              <c:f>'F14 Global Commodities'!$BD$3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Top gainers and losers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'F14 Global Commodities'!$BF$3</c:f>
              <c:strCache>
                <c:ptCount val="0"/>
              </c:strCache>
            </c:strRef>
          </c:cat>
          <c:val>
            <c:numRef>
              <c:f>'F14 Global Commodities'!$BG$3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2af6b7513a4598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afaa835c554a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14_clean_917536" displayName="T_global_14_clean_917536" ref="A8:AB32" headerRowCount="1" totalsRowCount="0" totalsRowShown="0">
  <x:tableColumns count="28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0"/>
    <x:tableColumn id="13" name="1"/>
    <x:tableColumn id="14" name="2"/>
    <x:tableColumn id="15" name="3"/>
    <x:tableColumn id="16" name="coverage_status"/>
    <x:tableColumn id="17" name="coverage_scope"/>
    <x:tableColumn id="18" name="coverage_start"/>
    <x:tableColumn id="19" name="coverage_end"/>
    <x:tableColumn id="20" name="universe_count"/>
    <x:tableColumn id="21" name="record_age_days"/>
    <x:tableColumn id="22" name="record_completeness_pct"/>
    <x:tableColumn id="23" name="source_provider"/>
    <x:tableColumn id="24" name="source_url"/>
    <x:tableColumn id="25" name="source_published_at"/>
    <x:tableColumn id="26" name="source_retrieved_at"/>
    <x:tableColumn id="27" name="provenance"/>
    <x:tableColumn id="28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d12fbdd16a40ba" /><Relationship Type="http://schemas.openxmlformats.org/officeDocument/2006/relationships/table" Target="/xl/tables/table1.xml" Id="R256ffda7a54c41d9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8" hidden="0" customWidth="1"/>
    <x:col min="24" max="24" width="42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5" customHeight="1">
      <x:c r="A1" s="4" t="str">
        <x:v>Global Commodities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24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Unclassified</x:v>
      </x:c>
      <x:c r="BD3" s="18" t="n">
        <x:v>24</x:v>
      </x:c>
      <x:c r="BF3" s="18" t="str">
        <x:v>Unclassified</x:v>
      </x:c>
      <x:c r="BG3" s="18" t="n">
        <x:v>24</x:v>
      </x:c>
    </x:row>
    <x:row r="4">
      <x:c r="A4" s="9" t="str">
        <x:v>Records</x:v>
      </x:c>
      <x:c r="B4" s="10" t="n">
        <x:v>24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0</x:v>
      </x:c>
      <x:c r="M8" s="15" t="str">
        <x:v>1</x:v>
      </x:c>
      <x:c r="N8" s="15" t="str">
        <x:v>2</x:v>
      </x:c>
      <x:c r="O8" s="15" t="str">
        <x:v>3</x:v>
      </x:c>
      <x:c r="P8" s="15" t="str">
        <x:v>coverage_status</x:v>
      </x:c>
      <x:c r="Q8" s="15" t="str">
        <x:v>coverage_scope</x:v>
      </x:c>
      <x:c r="R8" s="15" t="str">
        <x:v>coverage_start</x:v>
      </x:c>
      <x:c r="S8" s="15" t="str">
        <x:v>coverage_end</x:v>
      </x:c>
      <x:c r="T8" s="15" t="str">
        <x:v>universe_count</x:v>
      </x:c>
      <x:c r="U8" s="15" t="str">
        <x:v>record_age_days</x:v>
      </x:c>
      <x:c r="V8" s="15" t="str">
        <x:v>record_completeness_pct</x:v>
      </x:c>
      <x:c r="W8" s="15" t="str">
        <x:v>source_provider</x:v>
      </x:c>
      <x:c r="X8" s="15" t="str">
        <x:v>source_url</x:v>
      </x:c>
      <x:c r="Y8" s="15" t="str">
        <x:v>source_published_at</x:v>
      </x:c>
      <x:c r="Z8" s="15" t="str">
        <x:v>source_retrieved_at</x:v>
      </x:c>
      <x:c r="AA8" s="15" t="str">
        <x:v>provenance</x:v>
      </x:c>
      <x:c r="AB8" s="15" t="str">
        <x:v>quality_status</x:v>
      </x:c>
    </x:row>
    <x:row r="9">
      <x:c r="A9" s="18" t="str">
        <x:v>NYT-14-f00f80c30c5a3e3a</x:v>
      </x:c>
      <x:c r="B9" s="18" t="str">
        <x:v>Global Commodities source coverage</x:v>
      </x:c>
      <x:c r="C9" s="18" t="str"/>
      <x:c r="D9" s="18" t="str"/>
      <x:c r="E9" s="18" t="str"/>
      <x:c r="F9" s="18" t="str"/>
      <x:c r="G9" s="18" t="str"/>
      <x:c r="H9" s="18" t="str"/>
      <x:c r="I9" s="18" t="str"/>
      <x:c r="J9" s="20" t="str"/>
      <x:c r="K9" s="18" t="str"/>
      <x:c r="L9" s="18" t="str">
        <x:v>Brent crude</x:v>
      </x:c>
      <x:c r="M9" s="18" t="str">
        <x:v>$90.4</x:v>
      </x:c>
      <x:c r="N9" s="18" t="str">
        <x:v>+4.1%</x:v>
      </x:c>
      <x:c r="O9" s="18" t="n">
        <x:v>82</x:v>
      </x:c>
      <x:c r="P9" s="18" t="str">
        <x:v>DEFINED_TERMINAL_OR_FEED_SCOPE</x:v>
      </x:c>
      <x:c r="Q9" s="18" t="str">
        <x:v>geo_commodities.json — published records loaded</x:v>
      </x:c>
      <x:c r="R9" s="18" t="str"/>
      <x:c r="S9" s="18" t="str"/>
      <x:c r="T9" s="20" t="n">
        <x:v>24</x:v>
      </x:c>
      <x:c r="U9" s="19" t="str">
        <x:f>IFERROR(TODAY()-DATEVALUE(C9),"")</x:f>
      </x:c>
      <x:c r="V9" s="21" t="n">
        <x:f>ROUND(COUNTA(A9:K9)/11*100,0)</x:f>
        <x:v>100</x:v>
      </x:c>
      <x:c r="W9" s="18" t="str">
        <x:v>Barchart OnDemand</x:v>
      </x:c>
      <x:c r="X9" s="22" t="str">
        <x:v>https://ondemand.websol.barchart.com/getQuote.json</x:v>
      </x:c>
      <x:c r="Y9" s="18" t="str">
        <x:v>2026-07</x:v>
      </x:c>
      <x:c r="Z9" s="18" t="str">
        <x:v>2026-07</x:v>
      </x:c>
      <x:c r="AA9" s="18" t="str">
        <x:v>unconfirmed</x:v>
      </x:c>
      <x:c r="AB9" s="18" t="str">
        <x:v>PARTIAL_NO_DATE</x:v>
      </x:c>
    </x:row>
    <x:row r="10">
      <x:c r="A10" s="18" t="str">
        <x:v>NYT-14-65c3b7b1f968f0f1</x:v>
      </x:c>
      <x:c r="B10" s="18" t="str">
        <x:v>Global Commodities source coverage</x:v>
      </x:c>
      <x:c r="C10" s="18" t="str"/>
      <x:c r="D10" s="18" t="str"/>
      <x:c r="E10" s="18" t="str"/>
      <x:c r="F10" s="18" t="str"/>
      <x:c r="G10" s="18" t="str"/>
      <x:c r="H10" s="18" t="str"/>
      <x:c r="I10" s="18" t="str"/>
      <x:c r="J10" s="20" t="str"/>
      <x:c r="K10" s="18" t="str"/>
      <x:c r="L10" s="18" t="str">
        <x:v>WTI crude</x:v>
      </x:c>
      <x:c r="M10" s="18" t="str">
        <x:v>$86.2</x:v>
      </x:c>
      <x:c r="N10" s="18" t="str">
        <x:v>+3.8%</x:v>
      </x:c>
      <x:c r="O10" s="18" t="n">
        <x:v>78</x:v>
      </x:c>
      <x:c r="P10" s="18" t="str">
        <x:v>DEFINED_TERMINAL_OR_FEED_SCOPE</x:v>
      </x:c>
      <x:c r="Q10" s="18" t="str">
        <x:v>geo_commodities.json — published records loaded</x:v>
      </x:c>
      <x:c r="R10" s="18" t="str"/>
      <x:c r="S10" s="18" t="str"/>
      <x:c r="T10" s="20" t="n">
        <x:v>24</x:v>
      </x:c>
      <x:c r="U10" s="19" t="str">
        <x:f>IFERROR(TODAY()-DATEVALUE(C10),"")</x:f>
      </x:c>
      <x:c r="V10" s="21" t="n">
        <x:f>ROUND(COUNTA(A10:K10)/11*100,0)</x:f>
        <x:v>100</x:v>
      </x:c>
      <x:c r="W10" s="18" t="str">
        <x:v>Barchart OnDemand</x:v>
      </x:c>
      <x:c r="X10" s="22" t="str">
        <x:v>https://ondemand.websol.barchart.com/getQuote.json</x:v>
      </x:c>
      <x:c r="Y10" s="18" t="str">
        <x:v>2026-07</x:v>
      </x:c>
      <x:c r="Z10" s="18" t="str">
        <x:v>2026-07</x:v>
      </x:c>
      <x:c r="AA10" s="18" t="str">
        <x:v>unconfirmed</x:v>
      </x:c>
      <x:c r="AB10" s="18" t="str">
        <x:v>PARTIAL_NO_DATE</x:v>
      </x:c>
    </x:row>
    <x:row r="11">
      <x:c r="A11" s="18" t="str">
        <x:v>NYT-14-32a379f92592e2c7</x:v>
      </x:c>
      <x:c r="B11" s="18" t="str">
        <x:v>Global Commodities source coverage</x:v>
      </x:c>
      <x:c r="C11" s="18" t="str"/>
      <x:c r="D11" s="18" t="str"/>
      <x:c r="E11" s="18" t="str"/>
      <x:c r="F11" s="18" t="str"/>
      <x:c r="G11" s="18" t="str"/>
      <x:c r="H11" s="18" t="str"/>
      <x:c r="I11" s="18" t="str"/>
      <x:c r="J11" s="20" t="str"/>
      <x:c r="K11" s="18" t="str"/>
      <x:c r="L11" s="18" t="str">
        <x:v>TTF nat gas</x:v>
      </x:c>
      <x:c r="M11" s="18" t="str">
        <x:v>€34/MWh</x:v>
      </x:c>
      <x:c r="N11" s="18" t="str">
        <x:v>+6.2%</x:v>
      </x:c>
      <x:c r="O11" s="18" t="n">
        <x:v>61</x:v>
      </x:c>
      <x:c r="P11" s="18" t="str">
        <x:v>DEFINED_TERMINAL_OR_FEED_SCOPE</x:v>
      </x:c>
      <x:c r="Q11" s="18" t="str">
        <x:v>geo_commodities.json — published records loaded</x:v>
      </x:c>
      <x:c r="R11" s="18" t="str"/>
      <x:c r="S11" s="18" t="str"/>
      <x:c r="T11" s="20" t="n">
        <x:v>24</x:v>
      </x:c>
      <x:c r="U11" s="19" t="str">
        <x:f>IFERROR(TODAY()-DATEVALUE(C11),"")</x:f>
      </x:c>
      <x:c r="V11" s="21" t="n">
        <x:f>ROUND(COUNTA(A11:K11)/11*100,0)</x:f>
        <x:v>100</x:v>
      </x:c>
      <x:c r="W11" s="18" t="str">
        <x:v>Barchart OnDemand</x:v>
      </x:c>
      <x:c r="X11" s="22" t="str">
        <x:v>https://ondemand.websol.barchart.com/getQuote.json</x:v>
      </x:c>
      <x:c r="Y11" s="18" t="str">
        <x:v>2026-07</x:v>
      </x:c>
      <x:c r="Z11" s="18" t="str">
        <x:v>2026-07</x:v>
      </x:c>
      <x:c r="AA11" s="18" t="str">
        <x:v>unconfirmed</x:v>
      </x:c>
      <x:c r="AB11" s="18" t="str">
        <x:v>PARTIAL_NO_DATE</x:v>
      </x:c>
    </x:row>
    <x:row r="12">
      <x:c r="A12" s="18" t="str">
        <x:v>NYT-14-68e6c1809c51d0c3</x:v>
      </x:c>
      <x:c r="B12" s="18" t="str">
        <x:v>Global Commodities source coverage</x:v>
      </x:c>
      <x:c r="C12" s="18" t="str"/>
      <x:c r="D12" s="18" t="str"/>
      <x:c r="E12" s="18" t="str"/>
      <x:c r="F12" s="18" t="str"/>
      <x:c r="G12" s="18" t="str"/>
      <x:c r="H12" s="18" t="str"/>
      <x:c r="I12" s="18" t="str"/>
      <x:c r="J12" s="20" t="str"/>
      <x:c r="K12" s="18" t="str"/>
      <x:c r="L12" s="18" t="str">
        <x:v>US Henry Hub</x:v>
      </x:c>
      <x:c r="M12" s="18" t="str">
        <x:v>$3.7/MMBtu</x:v>
      </x:c>
      <x:c r="N12" s="18" t="str">
        <x:v>+2.1%</x:v>
      </x:c>
      <x:c r="O12" s="18" t="n">
        <x:v>44</x:v>
      </x:c>
      <x:c r="P12" s="18" t="str">
        <x:v>DEFINED_TERMINAL_OR_FEED_SCOPE</x:v>
      </x:c>
      <x:c r="Q12" s="18" t="str">
        <x:v>geo_commodities.json — published records loaded</x:v>
      </x:c>
      <x:c r="R12" s="18" t="str"/>
      <x:c r="S12" s="18" t="str"/>
      <x:c r="T12" s="20" t="n">
        <x:v>24</x:v>
      </x:c>
      <x:c r="U12" s="19" t="str">
        <x:f>IFERROR(TODAY()-DATEVALUE(C12),"")</x:f>
      </x:c>
      <x:c r="V12" s="21" t="n">
        <x:f>ROUND(COUNTA(A12:K12)/11*100,0)</x:f>
        <x:v>100</x:v>
      </x:c>
      <x:c r="W12" s="18" t="str">
        <x:v>Barchart OnDemand</x:v>
      </x:c>
      <x:c r="X12" s="22" t="str">
        <x:v>https://ondemand.websol.barchart.com/getQuote.json</x:v>
      </x:c>
      <x:c r="Y12" s="18" t="str">
        <x:v>2026-07</x:v>
      </x:c>
      <x:c r="Z12" s="18" t="str">
        <x:v>2026-07</x:v>
      </x:c>
      <x:c r="AA12" s="18" t="str">
        <x:v>unconfirmed</x:v>
      </x:c>
      <x:c r="AB12" s="18" t="str">
        <x:v>PARTIAL_NO_DATE</x:v>
      </x:c>
    </x:row>
    <x:row r="13">
      <x:c r="A13" s="18" t="str">
        <x:v>NYT-14-d46ff9e2644e38a9</x:v>
      </x:c>
      <x:c r="B13" s="18" t="str">
        <x:v>Global Commodities source coverage</x:v>
      </x:c>
      <x:c r="C13" s="18" t="str"/>
      <x:c r="D13" s="18" t="str"/>
      <x:c r="E13" s="18" t="str"/>
      <x:c r="F13" s="18" t="str"/>
      <x:c r="G13" s="18" t="str"/>
      <x:c r="H13" s="18" t="str"/>
      <x:c r="I13" s="18" t="str"/>
      <x:c r="J13" s="20" t="str"/>
      <x:c r="K13" s="18" t="str"/>
      <x:c r="L13" s="18" t="str">
        <x:v>Thermal coal</x:v>
      </x:c>
      <x:c r="M13" s="18" t="str">
        <x:v>$142/t</x:v>
      </x:c>
      <x:c r="N13" s="18" t="str">
        <x:v>+1.1%</x:v>
      </x:c>
      <x:c r="O13" s="18" t="n">
        <x:v>40</x:v>
      </x:c>
      <x:c r="P13" s="18" t="str">
        <x:v>DEFINED_TERMINAL_OR_FEED_SCOPE</x:v>
      </x:c>
      <x:c r="Q13" s="18" t="str">
        <x:v>geo_commodities.json — published records loaded</x:v>
      </x:c>
      <x:c r="R13" s="18" t="str"/>
      <x:c r="S13" s="18" t="str"/>
      <x:c r="T13" s="20" t="n">
        <x:v>24</x:v>
      </x:c>
      <x:c r="U13" s="19" t="str">
        <x:f>IFERROR(TODAY()-DATEVALUE(C13),"")</x:f>
      </x:c>
      <x:c r="V13" s="21" t="n">
        <x:f>ROUND(COUNTA(A13:K13)/11*100,0)</x:f>
        <x:v>100</x:v>
      </x:c>
      <x:c r="W13" s="18" t="str">
        <x:v>Barchart OnDemand</x:v>
      </x:c>
      <x:c r="X13" s="22" t="str">
        <x:v>https://ondemand.websol.barchart.com/getQuote.json</x:v>
      </x:c>
      <x:c r="Y13" s="18" t="str">
        <x:v>2026-07</x:v>
      </x:c>
      <x:c r="Z13" s="18" t="str">
        <x:v>2026-07</x:v>
      </x:c>
      <x:c r="AA13" s="18" t="str">
        <x:v>unconfirmed</x:v>
      </x:c>
      <x:c r="AB13" s="18" t="str">
        <x:v>PARTIAL_NO_DATE</x:v>
      </x:c>
    </x:row>
    <x:row r="14">
      <x:c r="A14" s="18" t="str">
        <x:v>NYT-14-1b2b1389486e764a</x:v>
      </x:c>
      <x:c r="B14" s="18" t="str">
        <x:v>Global Commodities source coverage</x:v>
      </x:c>
      <x:c r="C14" s="18" t="str"/>
      <x:c r="D14" s="18" t="str"/>
      <x:c r="E14" s="18" t="str"/>
      <x:c r="F14" s="18" t="str"/>
      <x:c r="G14" s="18" t="str"/>
      <x:c r="H14" s="18" t="str"/>
      <x:c r="I14" s="18" t="str"/>
      <x:c r="J14" s="20" t="str"/>
      <x:c r="K14" s="18" t="str"/>
      <x:c r="L14" s="18" t="str">
        <x:v>Uranium</x:v>
      </x:c>
      <x:c r="M14" s="18" t="str">
        <x:v>$88/lb</x:v>
      </x:c>
      <x:c r="N14" s="18" t="str">
        <x:v>+2.4%</x:v>
      </x:c>
      <x:c r="O14" s="18" t="n">
        <x:v>66</x:v>
      </x:c>
      <x:c r="P14" s="18" t="str">
        <x:v>DEFINED_TERMINAL_OR_FEED_SCOPE</x:v>
      </x:c>
      <x:c r="Q14" s="18" t="str">
        <x:v>geo_commodities.json — published records loaded</x:v>
      </x:c>
      <x:c r="R14" s="18" t="str"/>
      <x:c r="S14" s="18" t="str"/>
      <x:c r="T14" s="20" t="n">
        <x:v>24</x:v>
      </x:c>
      <x:c r="U14" s="19" t="str">
        <x:f>IFERROR(TODAY()-DATEVALUE(C14),"")</x:f>
      </x:c>
      <x:c r="V14" s="21" t="n">
        <x:f>ROUND(COUNTA(A14:K14)/11*100,0)</x:f>
        <x:v>100</x:v>
      </x:c>
      <x:c r="W14" s="18" t="str">
        <x:v>Barchart OnDemand</x:v>
      </x:c>
      <x:c r="X14" s="22" t="str">
        <x:v>https://ondemand.websol.barchart.com/getQuote.json</x:v>
      </x:c>
      <x:c r="Y14" s="18" t="str">
        <x:v>2026-07</x:v>
      </x:c>
      <x:c r="Z14" s="18" t="str">
        <x:v>2026-07</x:v>
      </x:c>
      <x:c r="AA14" s="18" t="str">
        <x:v>unconfirmed</x:v>
      </x:c>
      <x:c r="AB14" s="18" t="str">
        <x:v>PARTIAL_NO_DATE</x:v>
      </x:c>
    </x:row>
    <x:row r="15">
      <x:c r="A15" s="18" t="str">
        <x:v>NYT-14-d2b9eec85eac97a8</x:v>
      </x:c>
      <x:c r="B15" s="18" t="str">
        <x:v>Global Commodities source coverage</x:v>
      </x:c>
      <x:c r="C15" s="18" t="str"/>
      <x:c r="D15" s="18" t="str"/>
      <x:c r="E15" s="18" t="str"/>
      <x:c r="F15" s="18" t="str"/>
      <x:c r="G15" s="18" t="str"/>
      <x:c r="H15" s="18" t="str"/>
      <x:c r="I15" s="18" t="str"/>
      <x:c r="J15" s="20" t="str"/>
      <x:c r="K15" s="18" t="str"/>
      <x:c r="L15" s="18" t="str">
        <x:v>Copper</x:v>
      </x:c>
      <x:c r="M15" s="18" t="str">
        <x:v>$9,850/t</x:v>
      </x:c>
      <x:c r="N15" s="18" t="str">
        <x:v>+1.9%</x:v>
      </x:c>
      <x:c r="O15" s="18" t="n">
        <x:v>72</x:v>
      </x:c>
      <x:c r="P15" s="18" t="str">
        <x:v>DEFINED_TERMINAL_OR_FEED_SCOPE</x:v>
      </x:c>
      <x:c r="Q15" s="18" t="str">
        <x:v>geo_commodities.json — published records loaded</x:v>
      </x:c>
      <x:c r="R15" s="18" t="str"/>
      <x:c r="S15" s="18" t="str"/>
      <x:c r="T15" s="20" t="n">
        <x:v>24</x:v>
      </x:c>
      <x:c r="U15" s="19" t="str">
        <x:f>IFERROR(TODAY()-DATEVALUE(C15),"")</x:f>
      </x:c>
      <x:c r="V15" s="21" t="n">
        <x:f>ROUND(COUNTA(A15:K15)/11*100,0)</x:f>
        <x:v>100</x:v>
      </x:c>
      <x:c r="W15" s="18" t="str">
        <x:v>Barchart OnDemand</x:v>
      </x:c>
      <x:c r="X15" s="22" t="str">
        <x:v>https://ondemand.websol.barchart.com/getQuote.json</x:v>
      </x:c>
      <x:c r="Y15" s="18" t="str">
        <x:v>2026-07</x:v>
      </x:c>
      <x:c r="Z15" s="18" t="str">
        <x:v>2026-07</x:v>
      </x:c>
      <x:c r="AA15" s="18" t="str">
        <x:v>unconfirmed</x:v>
      </x:c>
      <x:c r="AB15" s="18" t="str">
        <x:v>PARTIAL_NO_DATE</x:v>
      </x:c>
    </x:row>
    <x:row r="16">
      <x:c r="A16" s="18" t="str">
        <x:v>NYT-14-1786f2655826ea9e</x:v>
      </x:c>
      <x:c r="B16" s="18" t="str">
        <x:v>Global Commodities source coverage</x:v>
      </x:c>
      <x:c r="C16" s="18" t="str"/>
      <x:c r="D16" s="18" t="str"/>
      <x:c r="E16" s="18" t="str"/>
      <x:c r="F16" s="18" t="str"/>
      <x:c r="G16" s="18" t="str"/>
      <x:c r="H16" s="18" t="str"/>
      <x:c r="I16" s="18" t="str"/>
      <x:c r="J16" s="20" t="str"/>
      <x:c r="K16" s="18" t="str"/>
      <x:c r="L16" s="18" t="str">
        <x:v>Aluminium</x:v>
      </x:c>
      <x:c r="M16" s="18" t="str">
        <x:v>$2,540/t</x:v>
      </x:c>
      <x:c r="N16" s="18" t="str">
        <x:v>+0.8%</x:v>
      </x:c>
      <x:c r="O16" s="18" t="n">
        <x:v>48</x:v>
      </x:c>
      <x:c r="P16" s="18" t="str">
        <x:v>DEFINED_TERMINAL_OR_FEED_SCOPE</x:v>
      </x:c>
      <x:c r="Q16" s="18" t="str">
        <x:v>geo_commodities.json — published records loaded</x:v>
      </x:c>
      <x:c r="R16" s="18" t="str"/>
      <x:c r="S16" s="18" t="str"/>
      <x:c r="T16" s="20" t="n">
        <x:v>24</x:v>
      </x:c>
      <x:c r="U16" s="19" t="str">
        <x:f>IFERROR(TODAY()-DATEVALUE(C16),"")</x:f>
      </x:c>
      <x:c r="V16" s="21" t="n">
        <x:f>ROUND(COUNTA(A16:K16)/11*100,0)</x:f>
        <x:v>100</x:v>
      </x:c>
      <x:c r="W16" s="18" t="str">
        <x:v>Barchart OnDemand</x:v>
      </x:c>
      <x:c r="X16" s="22" t="str">
        <x:v>https://ondemand.websol.barchart.com/getQuote.json</x:v>
      </x:c>
      <x:c r="Y16" s="18" t="str">
        <x:v>2026-07</x:v>
      </x:c>
      <x:c r="Z16" s="18" t="str">
        <x:v>2026-07</x:v>
      </x:c>
      <x:c r="AA16" s="18" t="str">
        <x:v>unconfirmed</x:v>
      </x:c>
      <x:c r="AB16" s="18" t="str">
        <x:v>PARTIAL_NO_DATE</x:v>
      </x:c>
    </x:row>
    <x:row r="17">
      <x:c r="A17" s="18" t="str">
        <x:v>NYT-14-2de963881d380f6a</x:v>
      </x:c>
      <x:c r="B17" s="18" t="str">
        <x:v>Global Commodities source coverage</x:v>
      </x:c>
      <x:c r="C17" s="18" t="str"/>
      <x:c r="D17" s="18" t="str"/>
      <x:c r="E17" s="18" t="str"/>
      <x:c r="F17" s="18" t="str"/>
      <x:c r="G17" s="18" t="str"/>
      <x:c r="H17" s="18" t="str"/>
      <x:c r="I17" s="18" t="str"/>
      <x:c r="J17" s="20" t="str"/>
      <x:c r="K17" s="18" t="str"/>
      <x:c r="L17" s="18" t="str">
        <x:v>Nickel</x:v>
      </x:c>
      <x:c r="M17" s="18" t="str">
        <x:v>$17,200/t</x:v>
      </x:c>
      <x:c r="N17" s="18" t="str">
        <x:v>-1.2%</x:v>
      </x:c>
      <x:c r="O17" s="18" t="n">
        <x:v>40</x:v>
      </x:c>
      <x:c r="P17" s="18" t="str">
        <x:v>DEFINED_TERMINAL_OR_FEED_SCOPE</x:v>
      </x:c>
      <x:c r="Q17" s="18" t="str">
        <x:v>geo_commodities.json — published records loaded</x:v>
      </x:c>
      <x:c r="R17" s="18" t="str"/>
      <x:c r="S17" s="18" t="str"/>
      <x:c r="T17" s="20" t="n">
        <x:v>24</x:v>
      </x:c>
      <x:c r="U17" s="19" t="str">
        <x:f>IFERROR(TODAY()-DATEVALUE(C17),"")</x:f>
      </x:c>
      <x:c r="V17" s="21" t="n">
        <x:f>ROUND(COUNTA(A17:K17)/11*100,0)</x:f>
        <x:v>100</x:v>
      </x:c>
      <x:c r="W17" s="18" t="str">
        <x:v>Barchart OnDemand</x:v>
      </x:c>
      <x:c r="X17" s="22" t="str">
        <x:v>https://ondemand.websol.barchart.com/getQuote.json</x:v>
      </x:c>
      <x:c r="Y17" s="18" t="str">
        <x:v>2026-07</x:v>
      </x:c>
      <x:c r="Z17" s="18" t="str">
        <x:v>2026-07</x:v>
      </x:c>
      <x:c r="AA17" s="18" t="str">
        <x:v>unconfirmed</x:v>
      </x:c>
      <x:c r="AB17" s="18" t="str">
        <x:v>PARTIAL_NO_DATE</x:v>
      </x:c>
    </x:row>
    <x:row r="18">
      <x:c r="A18" s="18" t="str">
        <x:v>NYT-14-be83bdf449e4f66b</x:v>
      </x:c>
      <x:c r="B18" s="18" t="str">
        <x:v>Global Commodities source coverage</x:v>
      </x:c>
      <x:c r="C18" s="18" t="str"/>
      <x:c r="D18" s="18" t="str"/>
      <x:c r="E18" s="18" t="str"/>
      <x:c r="F18" s="18" t="str"/>
      <x:c r="G18" s="18" t="str"/>
      <x:c r="H18" s="18" t="str"/>
      <x:c r="I18" s="18" t="str"/>
      <x:c r="J18" s="20" t="str"/>
      <x:c r="K18" s="18" t="str"/>
      <x:c r="L18" s="18" t="str">
        <x:v>Zinc</x:v>
      </x:c>
      <x:c r="M18" s="18" t="str">
        <x:v>$2,880/t</x:v>
      </x:c>
      <x:c r="N18" s="18" t="str">
        <x:v>+0.6%</x:v>
      </x:c>
      <x:c r="O18" s="18" t="n">
        <x:v>44</x:v>
      </x:c>
      <x:c r="P18" s="18" t="str">
        <x:v>DEFINED_TERMINAL_OR_FEED_SCOPE</x:v>
      </x:c>
      <x:c r="Q18" s="18" t="str">
        <x:v>geo_commodities.json — published records loaded</x:v>
      </x:c>
      <x:c r="R18" s="18" t="str"/>
      <x:c r="S18" s="18" t="str"/>
      <x:c r="T18" s="20" t="n">
        <x:v>24</x:v>
      </x:c>
      <x:c r="U18" s="19" t="str">
        <x:f>IFERROR(TODAY()-DATEVALUE(C18),"")</x:f>
      </x:c>
      <x:c r="V18" s="21" t="n">
        <x:f>ROUND(COUNTA(A18:K18)/11*100,0)</x:f>
        <x:v>100</x:v>
      </x:c>
      <x:c r="W18" s="18" t="str">
        <x:v>Barchart OnDemand</x:v>
      </x:c>
      <x:c r="X18" s="22" t="str">
        <x:v>https://ondemand.websol.barchart.com/getQuote.json</x:v>
      </x:c>
      <x:c r="Y18" s="18" t="str">
        <x:v>2026-07</x:v>
      </x:c>
      <x:c r="Z18" s="18" t="str">
        <x:v>2026-07</x:v>
      </x:c>
      <x:c r="AA18" s="18" t="str">
        <x:v>unconfirmed</x:v>
      </x:c>
      <x:c r="AB18" s="18" t="str">
        <x:v>PARTIAL_NO_DATE</x:v>
      </x:c>
    </x:row>
    <x:row r="19">
      <x:c r="A19" s="18" t="str">
        <x:v>NYT-14-e4a4f3f55da0f4cd</x:v>
      </x:c>
      <x:c r="B19" s="18" t="str">
        <x:v>Global Commodities source coverage</x:v>
      </x:c>
      <x:c r="C19" s="18" t="str"/>
      <x:c r="D19" s="18" t="str"/>
      <x:c r="E19" s="18" t="str"/>
      <x:c r="F19" s="18" t="str"/>
      <x:c r="G19" s="18" t="str"/>
      <x:c r="H19" s="18" t="str"/>
      <x:c r="I19" s="18" t="str"/>
      <x:c r="J19" s="20" t="str"/>
      <x:c r="K19" s="18" t="str"/>
      <x:c r="L19" s="18" t="str">
        <x:v>Lead</x:v>
      </x:c>
      <x:c r="M19" s="18" t="str">
        <x:v>$2,120/t</x:v>
      </x:c>
      <x:c r="N19" s="18" t="str">
        <x:v>+0.3%</x:v>
      </x:c>
      <x:c r="O19" s="18" t="n">
        <x:v>36</x:v>
      </x:c>
      <x:c r="P19" s="18" t="str">
        <x:v>DEFINED_TERMINAL_OR_FEED_SCOPE</x:v>
      </x:c>
      <x:c r="Q19" s="18" t="str">
        <x:v>geo_commodities.json — published records loaded</x:v>
      </x:c>
      <x:c r="R19" s="18" t="str"/>
      <x:c r="S19" s="18" t="str"/>
      <x:c r="T19" s="20" t="n">
        <x:v>24</x:v>
      </x:c>
      <x:c r="U19" s="19" t="str">
        <x:f>IFERROR(TODAY()-DATEVALUE(C19),"")</x:f>
      </x:c>
      <x:c r="V19" s="21" t="n">
        <x:f>ROUND(COUNTA(A19:K19)/11*100,0)</x:f>
        <x:v>100</x:v>
      </x:c>
      <x:c r="W19" s="18" t="str">
        <x:v>Barchart OnDemand</x:v>
      </x:c>
      <x:c r="X19" s="22" t="str">
        <x:v>https://ondemand.websol.barchart.com/getQuote.json</x:v>
      </x:c>
      <x:c r="Y19" s="18" t="str">
        <x:v>2026-07</x:v>
      </x:c>
      <x:c r="Z19" s="18" t="str">
        <x:v>2026-07</x:v>
      </x:c>
      <x:c r="AA19" s="18" t="str">
        <x:v>unconfirmed</x:v>
      </x:c>
      <x:c r="AB19" s="18" t="str">
        <x:v>PARTIAL_NO_DATE</x:v>
      </x:c>
    </x:row>
    <x:row r="20">
      <x:c r="A20" s="18" t="str">
        <x:v>NYT-14-cf7f651a870a7ead</x:v>
      </x:c>
      <x:c r="B20" s="18" t="str">
        <x:v>Global Commodities source coverage</x:v>
      </x:c>
      <x:c r="C20" s="18" t="str"/>
      <x:c r="D20" s="18" t="str"/>
      <x:c r="E20" s="18" t="str"/>
      <x:c r="F20" s="18" t="str"/>
      <x:c r="G20" s="18" t="str"/>
      <x:c r="H20" s="18" t="str"/>
      <x:c r="I20" s="18" t="str"/>
      <x:c r="J20" s="20" t="str"/>
      <x:c r="K20" s="18" t="str"/>
      <x:c r="L20" s="18" t="str">
        <x:v>Tin</x:v>
      </x:c>
      <x:c r="M20" s="18" t="str">
        <x:v>$31,500/t</x:v>
      </x:c>
      <x:c r="N20" s="18" t="str">
        <x:v>+2.7%</x:v>
      </x:c>
      <x:c r="O20" s="18" t="n">
        <x:v>58</x:v>
      </x:c>
      <x:c r="P20" s="18" t="str">
        <x:v>DEFINED_TERMINAL_OR_FEED_SCOPE</x:v>
      </x:c>
      <x:c r="Q20" s="18" t="str">
        <x:v>geo_commodities.json — published records loaded</x:v>
      </x:c>
      <x:c r="R20" s="18" t="str"/>
      <x:c r="S20" s="18" t="str"/>
      <x:c r="T20" s="20" t="n">
        <x:v>24</x:v>
      </x:c>
      <x:c r="U20" s="19" t="str">
        <x:f>IFERROR(TODAY()-DATEVALUE(C20),"")</x:f>
      </x:c>
      <x:c r="V20" s="21" t="n">
        <x:f>ROUND(COUNTA(A20:K20)/11*100,0)</x:f>
        <x:v>100</x:v>
      </x:c>
      <x:c r="W20" s="18" t="str">
        <x:v>Barchart OnDemand</x:v>
      </x:c>
      <x:c r="X20" s="22" t="str">
        <x:v>https://ondemand.websol.barchart.com/getQuote.json</x:v>
      </x:c>
      <x:c r="Y20" s="18" t="str">
        <x:v>2026-07</x:v>
      </x:c>
      <x:c r="Z20" s="18" t="str">
        <x:v>2026-07</x:v>
      </x:c>
      <x:c r="AA20" s="18" t="str">
        <x:v>unconfirmed</x:v>
      </x:c>
      <x:c r="AB20" s="18" t="str">
        <x:v>PARTIAL_NO_DATE</x:v>
      </x:c>
    </x:row>
    <x:row r="21">
      <x:c r="A21" s="18" t="str">
        <x:v>NYT-14-9fe71314f7604e8c</x:v>
      </x:c>
      <x:c r="B21" s="18" t="str">
        <x:v>Global Commodities source coverage</x:v>
      </x:c>
      <x:c r="C21" s="18" t="str"/>
      <x:c r="D21" s="18" t="str"/>
      <x:c r="E21" s="18" t="str"/>
      <x:c r="F21" s="18" t="str"/>
      <x:c r="G21" s="18" t="str"/>
      <x:c r="H21" s="18" t="str"/>
      <x:c r="I21" s="18" t="str"/>
      <x:c r="J21" s="20" t="str"/>
      <x:c r="K21" s="18" t="str"/>
      <x:c r="L21" s="18" t="str">
        <x:v>Gold</x:v>
      </x:c>
      <x:c r="M21" s="18" t="str">
        <x:v>$2,720/oz</x:v>
      </x:c>
      <x:c r="N21" s="18" t="str">
        <x:v>+0.9%</x:v>
      </x:c>
      <x:c r="O21" s="18" t="n">
        <x:v>88</x:v>
      </x:c>
      <x:c r="P21" s="18" t="str">
        <x:v>DEFINED_TERMINAL_OR_FEED_SCOPE</x:v>
      </x:c>
      <x:c r="Q21" s="18" t="str">
        <x:v>geo_commodities.json — published records loaded</x:v>
      </x:c>
      <x:c r="R21" s="18" t="str"/>
      <x:c r="S21" s="18" t="str"/>
      <x:c r="T21" s="20" t="n">
        <x:v>24</x:v>
      </x:c>
      <x:c r="U21" s="19" t="str">
        <x:f>IFERROR(TODAY()-DATEVALUE(C21),"")</x:f>
      </x:c>
      <x:c r="V21" s="21" t="n">
        <x:f>ROUND(COUNTA(A21:K21)/11*100,0)</x:f>
        <x:v>100</x:v>
      </x:c>
      <x:c r="W21" s="18" t="str">
        <x:v>Barchart OnDemand</x:v>
      </x:c>
      <x:c r="X21" s="22" t="str">
        <x:v>https://ondemand.websol.barchart.com/getQuote.json</x:v>
      </x:c>
      <x:c r="Y21" s="18" t="str">
        <x:v>2026-07</x:v>
      </x:c>
      <x:c r="Z21" s="18" t="str">
        <x:v>2026-07</x:v>
      </x:c>
      <x:c r="AA21" s="18" t="str">
        <x:v>unconfirmed</x:v>
      </x:c>
      <x:c r="AB21" s="18" t="str">
        <x:v>PARTIAL_NO_DATE</x:v>
      </x:c>
    </x:row>
    <x:row r="22">
      <x:c r="A22" s="18" t="str">
        <x:v>NYT-14-da6579af2d67eeb3</x:v>
      </x:c>
      <x:c r="B22" s="18" t="str">
        <x:v>Global Commodities source coverage</x:v>
      </x:c>
      <x:c r="C22" s="18" t="str"/>
      <x:c r="D22" s="18" t="str"/>
      <x:c r="E22" s="18" t="str"/>
      <x:c r="F22" s="18" t="str"/>
      <x:c r="G22" s="18" t="str"/>
      <x:c r="H22" s="18" t="str"/>
      <x:c r="I22" s="18" t="str"/>
      <x:c r="J22" s="20" t="str"/>
      <x:c r="K22" s="18" t="str"/>
      <x:c r="L22" s="18" t="str">
        <x:v>Silver</x:v>
      </x:c>
      <x:c r="M22" s="18" t="str">
        <x:v>$33/oz</x:v>
      </x:c>
      <x:c r="N22" s="18" t="str">
        <x:v>+1.4%</x:v>
      </x:c>
      <x:c r="O22" s="18" t="n">
        <x:v>70</x:v>
      </x:c>
      <x:c r="P22" s="18" t="str">
        <x:v>DEFINED_TERMINAL_OR_FEED_SCOPE</x:v>
      </x:c>
      <x:c r="Q22" s="18" t="str">
        <x:v>geo_commodities.json — published records loaded</x:v>
      </x:c>
      <x:c r="R22" s="18" t="str"/>
      <x:c r="S22" s="18" t="str"/>
      <x:c r="T22" s="20" t="n">
        <x:v>24</x:v>
      </x:c>
      <x:c r="U22" s="19" t="str">
        <x:f>IFERROR(TODAY()-DATEVALUE(C22),"")</x:f>
      </x:c>
      <x:c r="V22" s="21" t="n">
        <x:f>ROUND(COUNTA(A22:K22)/11*100,0)</x:f>
        <x:v>100</x:v>
      </x:c>
      <x:c r="W22" s="18" t="str">
        <x:v>Barchart OnDemand</x:v>
      </x:c>
      <x:c r="X22" s="22" t="str">
        <x:v>https://ondemand.websol.barchart.com/getQuote.json</x:v>
      </x:c>
      <x:c r="Y22" s="18" t="str">
        <x:v>2026-07</x:v>
      </x:c>
      <x:c r="Z22" s="18" t="str">
        <x:v>2026-07</x:v>
      </x:c>
      <x:c r="AA22" s="18" t="str">
        <x:v>unconfirmed</x:v>
      </x:c>
      <x:c r="AB22" s="18" t="str">
        <x:v>PARTIAL_NO_DATE</x:v>
      </x:c>
    </x:row>
    <x:row r="23">
      <x:c r="A23" s="18" t="str">
        <x:v>NYT-14-a47a1a9ada6c80ba</x:v>
      </x:c>
      <x:c r="B23" s="18" t="str">
        <x:v>Global Commodities source coverage</x:v>
      </x:c>
      <x:c r="C23" s="18" t="str"/>
      <x:c r="D23" s="18" t="str"/>
      <x:c r="E23" s="18" t="str"/>
      <x:c r="F23" s="18" t="str"/>
      <x:c r="G23" s="18" t="str"/>
      <x:c r="H23" s="18" t="str"/>
      <x:c r="I23" s="18" t="str"/>
      <x:c r="J23" s="20" t="str"/>
      <x:c r="K23" s="18" t="str"/>
      <x:c r="L23" s="18" t="str">
        <x:v>Platinum</x:v>
      </x:c>
      <x:c r="M23" s="18" t="str">
        <x:v>$1,010/oz</x:v>
      </x:c>
      <x:c r="N23" s="18" t="str">
        <x:v>+0.5%</x:v>
      </x:c>
      <x:c r="O23" s="18" t="n">
        <x:v>46</x:v>
      </x:c>
      <x:c r="P23" s="18" t="str">
        <x:v>DEFINED_TERMINAL_OR_FEED_SCOPE</x:v>
      </x:c>
      <x:c r="Q23" s="18" t="str">
        <x:v>geo_commodities.json — published records loaded</x:v>
      </x:c>
      <x:c r="R23" s="18" t="str"/>
      <x:c r="S23" s="18" t="str"/>
      <x:c r="T23" s="20" t="n">
        <x:v>24</x:v>
      </x:c>
      <x:c r="U23" s="19" t="str">
        <x:f>IFERROR(TODAY()-DATEVALUE(C23),"")</x:f>
      </x:c>
      <x:c r="V23" s="21" t="n">
        <x:f>ROUND(COUNTA(A23:K23)/11*100,0)</x:f>
        <x:v>100</x:v>
      </x:c>
      <x:c r="W23" s="18" t="str">
        <x:v>Barchart OnDemand</x:v>
      </x:c>
      <x:c r="X23" s="22" t="str">
        <x:v>https://ondemand.websol.barchart.com/getQuote.json</x:v>
      </x:c>
      <x:c r="Y23" s="18" t="str">
        <x:v>2026-07</x:v>
      </x:c>
      <x:c r="Z23" s="18" t="str">
        <x:v>2026-07</x:v>
      </x:c>
      <x:c r="AA23" s="18" t="str">
        <x:v>unconfirmed</x:v>
      </x:c>
      <x:c r="AB23" s="18" t="str">
        <x:v>PARTIAL_NO_DATE</x:v>
      </x:c>
    </x:row>
    <x:row r="24">
      <x:c r="A24" s="18" t="str">
        <x:v>NYT-14-19a6280b174e4ba0</x:v>
      </x:c>
      <x:c r="B24" s="18" t="str">
        <x:v>Global Commodities source coverage</x:v>
      </x:c>
      <x:c r="C24" s="18" t="str"/>
      <x:c r="D24" s="18" t="str"/>
      <x:c r="E24" s="18" t="str"/>
      <x:c r="F24" s="18" t="str"/>
      <x:c r="G24" s="18" t="str"/>
      <x:c r="H24" s="18" t="str"/>
      <x:c r="I24" s="18" t="str"/>
      <x:c r="J24" s="20" t="str"/>
      <x:c r="K24" s="18" t="str"/>
      <x:c r="L24" s="18" t="str">
        <x:v>Palladium</x:v>
      </x:c>
      <x:c r="M24" s="18" t="str">
        <x:v>$1,040/oz</x:v>
      </x:c>
      <x:c r="N24" s="18" t="str">
        <x:v>-0.7%</x:v>
      </x:c>
      <x:c r="O24" s="18" t="n">
        <x:v>38</x:v>
      </x:c>
      <x:c r="P24" s="18" t="str">
        <x:v>DEFINED_TERMINAL_OR_FEED_SCOPE</x:v>
      </x:c>
      <x:c r="Q24" s="18" t="str">
        <x:v>geo_commodities.json — published records loaded</x:v>
      </x:c>
      <x:c r="R24" s="18" t="str"/>
      <x:c r="S24" s="18" t="str"/>
      <x:c r="T24" s="20" t="n">
        <x:v>24</x:v>
      </x:c>
      <x:c r="U24" s="19" t="str">
        <x:f>IFERROR(TODAY()-DATEVALUE(C24),"")</x:f>
      </x:c>
      <x:c r="V24" s="21" t="n">
        <x:f>ROUND(COUNTA(A24:K24)/11*100,0)</x:f>
        <x:v>100</x:v>
      </x:c>
      <x:c r="W24" s="18" t="str">
        <x:v>Barchart OnDemand</x:v>
      </x:c>
      <x:c r="X24" s="22" t="str">
        <x:v>https://ondemand.websol.barchart.com/getQuote.json</x:v>
      </x:c>
      <x:c r="Y24" s="18" t="str">
        <x:v>2026-07</x:v>
      </x:c>
      <x:c r="Z24" s="18" t="str">
        <x:v>2026-07</x:v>
      </x:c>
      <x:c r="AA24" s="18" t="str">
        <x:v>unconfirmed</x:v>
      </x:c>
      <x:c r="AB24" s="18" t="str">
        <x:v>PARTIAL_NO_DATE</x:v>
      </x:c>
    </x:row>
    <x:row r="25">
      <x:c r="A25" s="18" t="str">
        <x:v>NYT-14-b26bd3531e78b6a5</x:v>
      </x:c>
      <x:c r="B25" s="18" t="str">
        <x:v>Global Commodities source coverage</x:v>
      </x:c>
      <x:c r="C25" s="18" t="str"/>
      <x:c r="D25" s="18" t="str"/>
      <x:c r="E25" s="18" t="str"/>
      <x:c r="F25" s="18" t="str"/>
      <x:c r="G25" s="18" t="str"/>
      <x:c r="H25" s="18" t="str"/>
      <x:c r="I25" s="18" t="str"/>
      <x:c r="J25" s="20" t="str"/>
      <x:c r="K25" s="18" t="str"/>
      <x:c r="L25" s="18" t="str">
        <x:v>Wheat</x:v>
      </x:c>
      <x:c r="M25" s="18" t="str">
        <x:v>$6.10/bu</x:v>
      </x:c>
      <x:c r="N25" s="18" t="str">
        <x:v>+1.8%</x:v>
      </x:c>
      <x:c r="O25" s="18" t="n">
        <x:v>52</x:v>
      </x:c>
      <x:c r="P25" s="18" t="str">
        <x:v>DEFINED_TERMINAL_OR_FEED_SCOPE</x:v>
      </x:c>
      <x:c r="Q25" s="18" t="str">
        <x:v>geo_commodities.json — published records loaded</x:v>
      </x:c>
      <x:c r="R25" s="18" t="str"/>
      <x:c r="S25" s="18" t="str"/>
      <x:c r="T25" s="20" t="n">
        <x:v>24</x:v>
      </x:c>
      <x:c r="U25" s="19" t="str">
        <x:f>IFERROR(TODAY()-DATEVALUE(C25),"")</x:f>
      </x:c>
      <x:c r="V25" s="21" t="n">
        <x:f>ROUND(COUNTA(A25:K25)/11*100,0)</x:f>
        <x:v>100</x:v>
      </x:c>
      <x:c r="W25" s="18" t="str">
        <x:v>Barchart OnDemand</x:v>
      </x:c>
      <x:c r="X25" s="22" t="str">
        <x:v>https://ondemand.websol.barchart.com/getQuote.json</x:v>
      </x:c>
      <x:c r="Y25" s="18" t="str">
        <x:v>2026-07</x:v>
      </x:c>
      <x:c r="Z25" s="18" t="str">
        <x:v>2026-07</x:v>
      </x:c>
      <x:c r="AA25" s="18" t="str">
        <x:v>unconfirmed</x:v>
      </x:c>
      <x:c r="AB25" s="18" t="str">
        <x:v>PARTIAL_NO_DATE</x:v>
      </x:c>
    </x:row>
    <x:row r="26">
      <x:c r="A26" s="18" t="str">
        <x:v>NYT-14-f221ca67e8b54634</x:v>
      </x:c>
      <x:c r="B26" s="18" t="str">
        <x:v>Global Commodities source coverage</x:v>
      </x:c>
      <x:c r="C26" s="18" t="str"/>
      <x:c r="D26" s="18" t="str"/>
      <x:c r="E26" s="18" t="str"/>
      <x:c r="F26" s="18" t="str"/>
      <x:c r="G26" s="18" t="str"/>
      <x:c r="H26" s="18" t="str"/>
      <x:c r="I26" s="18" t="str"/>
      <x:c r="J26" s="20" t="str"/>
      <x:c r="K26" s="18" t="str"/>
      <x:c r="L26" s="18" t="str">
        <x:v>Corn</x:v>
      </x:c>
      <x:c r="M26" s="18" t="str">
        <x:v>$4.35/bu</x:v>
      </x:c>
      <x:c r="N26" s="18" t="str">
        <x:v>+0.6%</x:v>
      </x:c>
      <x:c r="O26" s="18" t="n">
        <x:v>40</x:v>
      </x:c>
      <x:c r="P26" s="18" t="str">
        <x:v>DEFINED_TERMINAL_OR_FEED_SCOPE</x:v>
      </x:c>
      <x:c r="Q26" s="18" t="str">
        <x:v>geo_commodities.json — published records loaded</x:v>
      </x:c>
      <x:c r="R26" s="18" t="str"/>
      <x:c r="S26" s="18" t="str"/>
      <x:c r="T26" s="20" t="n">
        <x:v>24</x:v>
      </x:c>
      <x:c r="U26" s="19" t="str">
        <x:f>IFERROR(TODAY()-DATEVALUE(C26),"")</x:f>
      </x:c>
      <x:c r="V26" s="21" t="n">
        <x:f>ROUND(COUNTA(A26:K26)/11*100,0)</x:f>
        <x:v>100</x:v>
      </x:c>
      <x:c r="W26" s="18" t="str">
        <x:v>Barchart OnDemand</x:v>
      </x:c>
      <x:c r="X26" s="22" t="str">
        <x:v>https://ondemand.websol.barchart.com/getQuote.json</x:v>
      </x:c>
      <x:c r="Y26" s="18" t="str">
        <x:v>2026-07</x:v>
      </x:c>
      <x:c r="Z26" s="18" t="str">
        <x:v>2026-07</x:v>
      </x:c>
      <x:c r="AA26" s="18" t="str">
        <x:v>unconfirmed</x:v>
      </x:c>
      <x:c r="AB26" s="18" t="str">
        <x:v>PARTIAL_NO_DATE</x:v>
      </x:c>
    </x:row>
    <x:row r="27">
      <x:c r="A27" s="18" t="str">
        <x:v>NYT-14-5e637586fa07e55d</x:v>
      </x:c>
      <x:c r="B27" s="18" t="str">
        <x:v>Global Commodities source coverage</x:v>
      </x:c>
      <x:c r="C27" s="18" t="str"/>
      <x:c r="D27" s="18" t="str"/>
      <x:c r="E27" s="18" t="str"/>
      <x:c r="F27" s="18" t="str"/>
      <x:c r="G27" s="18" t="str"/>
      <x:c r="H27" s="18" t="str"/>
      <x:c r="I27" s="18" t="str"/>
      <x:c r="J27" s="20" t="str"/>
      <x:c r="K27" s="18" t="str"/>
      <x:c r="L27" s="18" t="str">
        <x:v>Soybeans</x:v>
      </x:c>
      <x:c r="M27" s="18" t="str">
        <x:v>$10.70/bu</x:v>
      </x:c>
      <x:c r="N27" s="18" t="str">
        <x:v>+0.9%</x:v>
      </x:c>
      <x:c r="O27" s="18" t="n">
        <x:v>46</x:v>
      </x:c>
      <x:c r="P27" s="18" t="str">
        <x:v>DEFINED_TERMINAL_OR_FEED_SCOPE</x:v>
      </x:c>
      <x:c r="Q27" s="18" t="str">
        <x:v>geo_commodities.json — published records loaded</x:v>
      </x:c>
      <x:c r="R27" s="18" t="str"/>
      <x:c r="S27" s="18" t="str"/>
      <x:c r="T27" s="20" t="n">
        <x:v>24</x:v>
      </x:c>
      <x:c r="U27" s="19" t="str">
        <x:f>IFERROR(TODAY()-DATEVALUE(C27),"")</x:f>
      </x:c>
      <x:c r="V27" s="21" t="n">
        <x:f>ROUND(COUNTA(A27:K27)/11*100,0)</x:f>
        <x:v>100</x:v>
      </x:c>
      <x:c r="W27" s="18" t="str">
        <x:v>Barchart OnDemand</x:v>
      </x:c>
      <x:c r="X27" s="22" t="str">
        <x:v>https://ondemand.websol.barchart.com/getQuote.json</x:v>
      </x:c>
      <x:c r="Y27" s="18" t="str">
        <x:v>2026-07</x:v>
      </x:c>
      <x:c r="Z27" s="18" t="str">
        <x:v>2026-07</x:v>
      </x:c>
      <x:c r="AA27" s="18" t="str">
        <x:v>unconfirmed</x:v>
      </x:c>
      <x:c r="AB27" s="18" t="str">
        <x:v>PARTIAL_NO_DATE</x:v>
      </x:c>
    </x:row>
    <x:row r="28">
      <x:c r="A28" s="18" t="str">
        <x:v>NYT-14-1570c10bdf6b7612</x:v>
      </x:c>
      <x:c r="B28" s="18" t="str">
        <x:v>Global Commodities source coverage</x:v>
      </x:c>
      <x:c r="C28" s="18" t="str"/>
      <x:c r="D28" s="18" t="str"/>
      <x:c r="E28" s="18" t="str"/>
      <x:c r="F28" s="18" t="str"/>
      <x:c r="G28" s="18" t="str"/>
      <x:c r="H28" s="18" t="str"/>
      <x:c r="I28" s="18" t="str"/>
      <x:c r="J28" s="20" t="str"/>
      <x:c r="K28" s="18" t="str"/>
      <x:c r="L28" s="18" t="str">
        <x:v>Palm oil</x:v>
      </x:c>
      <x:c r="M28" s="18" t="str">
        <x:v>MYR 4,300/t</x:v>
      </x:c>
      <x:c r="N28" s="18" t="str">
        <x:v>+2.2%</x:v>
      </x:c>
      <x:c r="O28" s="18" t="n">
        <x:v>55</x:v>
      </x:c>
      <x:c r="P28" s="18" t="str">
        <x:v>DEFINED_TERMINAL_OR_FEED_SCOPE</x:v>
      </x:c>
      <x:c r="Q28" s="18" t="str">
        <x:v>geo_commodities.json — published records loaded</x:v>
      </x:c>
      <x:c r="R28" s="18" t="str"/>
      <x:c r="S28" s="18" t="str"/>
      <x:c r="T28" s="20" t="n">
        <x:v>24</x:v>
      </x:c>
      <x:c r="U28" s="19" t="str">
        <x:f>IFERROR(TODAY()-DATEVALUE(C28),"")</x:f>
      </x:c>
      <x:c r="V28" s="21" t="n">
        <x:f>ROUND(COUNTA(A28:K28)/11*100,0)</x:f>
        <x:v>100</x:v>
      </x:c>
      <x:c r="W28" s="18" t="str">
        <x:v>Barchart OnDemand</x:v>
      </x:c>
      <x:c r="X28" s="22" t="str">
        <x:v>https://ondemand.websol.barchart.com/getQuote.json</x:v>
      </x:c>
      <x:c r="Y28" s="18" t="str">
        <x:v>2026-07</x:v>
      </x:c>
      <x:c r="Z28" s="18" t="str">
        <x:v>2026-07</x:v>
      </x:c>
      <x:c r="AA28" s="18" t="str">
        <x:v>unconfirmed</x:v>
      </x:c>
      <x:c r="AB28" s="18" t="str">
        <x:v>PARTIAL_NO_DATE</x:v>
      </x:c>
    </x:row>
    <x:row r="29">
      <x:c r="A29" s="18" t="str">
        <x:v>NYT-14-c6e286556347f116</x:v>
      </x:c>
      <x:c r="B29" s="18" t="str">
        <x:v>Global Commodities source coverage</x:v>
      </x:c>
      <x:c r="C29" s="18" t="str"/>
      <x:c r="D29" s="18" t="str"/>
      <x:c r="E29" s="18" t="str"/>
      <x:c r="F29" s="18" t="str"/>
      <x:c r="G29" s="18" t="str"/>
      <x:c r="H29" s="18" t="str"/>
      <x:c r="I29" s="18" t="str"/>
      <x:c r="J29" s="20" t="str"/>
      <x:c r="K29" s="18" t="str"/>
      <x:c r="L29" s="18" t="str">
        <x:v>Sugar</x:v>
      </x:c>
      <x:c r="M29" s="18" t="str">
        <x:v>$0.21/lb</x:v>
      </x:c>
      <x:c r="N29" s="18" t="str">
        <x:v>-0.4%</x:v>
      </x:c>
      <x:c r="O29" s="18" t="n">
        <x:v>34</x:v>
      </x:c>
      <x:c r="P29" s="18" t="str">
        <x:v>DEFINED_TERMINAL_OR_FEED_SCOPE</x:v>
      </x:c>
      <x:c r="Q29" s="18" t="str">
        <x:v>geo_commodities.json — published records loaded</x:v>
      </x:c>
      <x:c r="R29" s="18" t="str"/>
      <x:c r="S29" s="18" t="str"/>
      <x:c r="T29" s="20" t="n">
        <x:v>24</x:v>
      </x:c>
      <x:c r="U29" s="19" t="str">
        <x:f>IFERROR(TODAY()-DATEVALUE(C29),"")</x:f>
      </x:c>
      <x:c r="V29" s="21" t="n">
        <x:f>ROUND(COUNTA(A29:K29)/11*100,0)</x:f>
        <x:v>100</x:v>
      </x:c>
      <x:c r="W29" s="18" t="str">
        <x:v>Barchart OnDemand</x:v>
      </x:c>
      <x:c r="X29" s="22" t="str">
        <x:v>https://ondemand.websol.barchart.com/getQuote.json</x:v>
      </x:c>
      <x:c r="Y29" s="18" t="str">
        <x:v>2026-07</x:v>
      </x:c>
      <x:c r="Z29" s="18" t="str">
        <x:v>2026-07</x:v>
      </x:c>
      <x:c r="AA29" s="18" t="str">
        <x:v>unconfirmed</x:v>
      </x:c>
      <x:c r="AB29" s="18" t="str">
        <x:v>PARTIAL_NO_DATE</x:v>
      </x:c>
    </x:row>
    <x:row r="30">
      <x:c r="A30" s="18" t="str">
        <x:v>NYT-14-4e6fc16047d00787</x:v>
      </x:c>
      <x:c r="B30" s="18" t="str">
        <x:v>Global Commodities source coverage</x:v>
      </x:c>
      <x:c r="C30" s="18" t="str"/>
      <x:c r="D30" s="18" t="str"/>
      <x:c r="E30" s="18" t="str"/>
      <x:c r="F30" s="18" t="str"/>
      <x:c r="G30" s="18" t="str"/>
      <x:c r="H30" s="18" t="str"/>
      <x:c r="I30" s="18" t="str"/>
      <x:c r="J30" s="20" t="str"/>
      <x:c r="K30" s="18" t="str"/>
      <x:c r="L30" s="18" t="str">
        <x:v>Cocoa</x:v>
      </x:c>
      <x:c r="M30" s="18" t="str">
        <x:v>$8,900/t</x:v>
      </x:c>
      <x:c r="N30" s="18" t="str">
        <x:v>+3.1%</x:v>
      </x:c>
      <x:c r="O30" s="18" t="n">
        <x:v>76</x:v>
      </x:c>
      <x:c r="P30" s="18" t="str">
        <x:v>DEFINED_TERMINAL_OR_FEED_SCOPE</x:v>
      </x:c>
      <x:c r="Q30" s="18" t="str">
        <x:v>geo_commodities.json — published records loaded</x:v>
      </x:c>
      <x:c r="R30" s="18" t="str"/>
      <x:c r="S30" s="18" t="str"/>
      <x:c r="T30" s="20" t="n">
        <x:v>24</x:v>
      </x:c>
      <x:c r="U30" s="19" t="str">
        <x:f>IFERROR(TODAY()-DATEVALUE(C30),"")</x:f>
      </x:c>
      <x:c r="V30" s="21" t="n">
        <x:f>ROUND(COUNTA(A30:K30)/11*100,0)</x:f>
        <x:v>100</x:v>
      </x:c>
      <x:c r="W30" s="18" t="str">
        <x:v>Barchart OnDemand</x:v>
      </x:c>
      <x:c r="X30" s="22" t="str">
        <x:v>https://ondemand.websol.barchart.com/getQuote.json</x:v>
      </x:c>
      <x:c r="Y30" s="18" t="str">
        <x:v>2026-07</x:v>
      </x:c>
      <x:c r="Z30" s="18" t="str">
        <x:v>2026-07</x:v>
      </x:c>
      <x:c r="AA30" s="18" t="str">
        <x:v>unconfirmed</x:v>
      </x:c>
      <x:c r="AB30" s="18" t="str">
        <x:v>PARTIAL_NO_DATE</x:v>
      </x:c>
    </x:row>
    <x:row r="31">
      <x:c r="A31" s="18" t="str">
        <x:v>NYT-14-cde00dfbdbfc34a4</x:v>
      </x:c>
      <x:c r="B31" s="18" t="str">
        <x:v>Global Commodities source coverage</x:v>
      </x:c>
      <x:c r="C31" s="18" t="str"/>
      <x:c r="D31" s="18" t="str"/>
      <x:c r="E31" s="18" t="str"/>
      <x:c r="F31" s="18" t="str"/>
      <x:c r="G31" s="18" t="str"/>
      <x:c r="H31" s="18" t="str"/>
      <x:c r="I31" s="18" t="str"/>
      <x:c r="J31" s="20" t="str"/>
      <x:c r="K31" s="18" t="str"/>
      <x:c r="L31" s="18" t="str">
        <x:v>Coffee (Arabica)</x:v>
      </x:c>
      <x:c r="M31" s="18" t="str">
        <x:v>$3.20/lb</x:v>
      </x:c>
      <x:c r="N31" s="18" t="str">
        <x:v>+2.6%</x:v>
      </x:c>
      <x:c r="O31" s="18" t="n">
        <x:v>72</x:v>
      </x:c>
      <x:c r="P31" s="18" t="str">
        <x:v>DEFINED_TERMINAL_OR_FEED_SCOPE</x:v>
      </x:c>
      <x:c r="Q31" s="18" t="str">
        <x:v>geo_commodities.json — published records loaded</x:v>
      </x:c>
      <x:c r="R31" s="18" t="str"/>
      <x:c r="S31" s="18" t="str"/>
      <x:c r="T31" s="20" t="n">
        <x:v>24</x:v>
      </x:c>
      <x:c r="U31" s="19" t="str">
        <x:f>IFERROR(TODAY()-DATEVALUE(C31),"")</x:f>
      </x:c>
      <x:c r="V31" s="21" t="n">
        <x:f>ROUND(COUNTA(A31:K31)/11*100,0)</x:f>
        <x:v>100</x:v>
      </x:c>
      <x:c r="W31" s="18" t="str">
        <x:v>Barchart OnDemand</x:v>
      </x:c>
      <x:c r="X31" s="22" t="str">
        <x:v>https://ondemand.websol.barchart.com/getQuote.json</x:v>
      </x:c>
      <x:c r="Y31" s="18" t="str">
        <x:v>2026-07</x:v>
      </x:c>
      <x:c r="Z31" s="18" t="str">
        <x:v>2026-07</x:v>
      </x:c>
      <x:c r="AA31" s="18" t="str">
        <x:v>unconfirmed</x:v>
      </x:c>
      <x:c r="AB31" s="18" t="str">
        <x:v>PARTIAL_NO_DATE</x:v>
      </x:c>
    </x:row>
    <x:row r="32">
      <x:c r="A32" s="18" t="str">
        <x:v>NYT-14-70c4ed61f0075e13</x:v>
      </x:c>
      <x:c r="B32" s="18" t="str">
        <x:v>Global Commodities source coverage</x:v>
      </x:c>
      <x:c r="C32" s="18" t="str"/>
      <x:c r="D32" s="18" t="str"/>
      <x:c r="E32" s="18" t="str"/>
      <x:c r="F32" s="18" t="str"/>
      <x:c r="G32" s="18" t="str"/>
      <x:c r="H32" s="18" t="str"/>
      <x:c r="I32" s="18" t="str"/>
      <x:c r="J32" s="20" t="str"/>
      <x:c r="K32" s="18" t="str"/>
      <x:c r="L32" s="18" t="str">
        <x:v>Cotton</x:v>
      </x:c>
      <x:c r="M32" s="18" t="str">
        <x:v>$0.72/lb</x:v>
      </x:c>
      <x:c r="N32" s="18" t="str">
        <x:v>+0.2%</x:v>
      </x:c>
      <x:c r="O32" s="18" t="n">
        <x:v>30</x:v>
      </x:c>
      <x:c r="P32" s="18" t="str">
        <x:v>DEFINED_TERMINAL_OR_FEED_SCOPE</x:v>
      </x:c>
      <x:c r="Q32" s="18" t="str">
        <x:v>geo_commodities.json — published records loaded</x:v>
      </x:c>
      <x:c r="R32" s="18" t="str"/>
      <x:c r="S32" s="18" t="str"/>
      <x:c r="T32" s="20" t="n">
        <x:v>24</x:v>
      </x:c>
      <x:c r="U32" s="19" t="str">
        <x:f>IFERROR(TODAY()-DATEVALUE(C32),"")</x:f>
      </x:c>
      <x:c r="V32" s="21" t="n">
        <x:f>ROUND(COUNTA(A32:K32)/11*100,0)</x:f>
        <x:v>100</x:v>
      </x:c>
      <x:c r="W32" s="18" t="str">
        <x:v>Barchart OnDemand</x:v>
      </x:c>
      <x:c r="X32" s="22" t="str">
        <x:v>https://ondemand.websol.barchart.com/getQuote.json</x:v>
      </x:c>
      <x:c r="Y32" s="18" t="str">
        <x:v>2026-07</x:v>
      </x:c>
      <x:c r="Z32" s="18" t="str">
        <x:v>2026-07</x:v>
      </x:c>
      <x:c r="AA32" s="18" t="str">
        <x:v>unconfirmed</x:v>
      </x:c>
      <x:c r="AB32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cd12fbdd16a40ba"/>
  <x:tableParts count="1">
    <x:tablePart xmlns:r="http://schemas.openxmlformats.org/officeDocument/2006/relationships" r:id="R256ffda7a54c41d9"/>
  </x:tableParts>
</x:worksheet>
</file>