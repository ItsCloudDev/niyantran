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48bcc1af0f47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16 Energy" sheetId="1" r:id="Rb5886614d2af43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#,##0.00"/>
    <x:numFmt numFmtId="202" formatCode="0.00"/>
  </x:numFmts>
  <x:fonts count="7">
    <x:font>
      <x:sz val="11"/>
      <x:name val="Carlito"/>
    </x:font>
    <x:font>
      <x:sz val="9"/>
      <x:color rgb="FF1F2937"/>
      <x:name val="Arial"/>
    </x:font>
    <x:font>
      <x:b/>
      <x:sz val="15"/>
      <x:color rgb="FF264653"/>
      <x:name val="Arial"/>
    </x:font>
    <x:font>
      <x:i/>
      <x:sz val="9"/>
      <x:color rgb="FF666666"/>
      <x:name val="Arial"/>
    </x:font>
    <x:font>
      <x:b/>
      <x:sz val="9"/>
      <x:color rgb="FF1F2937"/>
      <x:name val="Arial"/>
    </x:font>
    <x:font>
      <x:b/>
      <x:sz val="9"/>
      <x:color rgb="FFFFFFFF"/>
      <x:name val="Arial"/>
    </x:font>
    <x:font>
      <x:sz val="9"/>
      <x:color rgb="FF0563C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8F5EE"/>
      </x:patternFill>
    </x:fill>
    <x:fill>
      <x:patternFill patternType="solid">
        <x:fgColor rgb="FF264653"/>
      </x:patternFill>
    </x:fill>
  </x:fills>
  <x:borders count="3">
    <x:border/>
    <x:border>
      <x:bottom style="medium">
        <x:color rgb="FF26465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2" xfId="0" applyNumberFormat="1" applyFont="1" applyFill="1" applyBorder="1"/>
    <x:xf numFmtId="200" fontId="4" fillId="2" borderId="2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2" xfId="0" applyNumberFormat="1" applyFont="1" applyFill="1" applyBorder="1"/>
    <x:xf numFmtId="0" fontId="5" fillId="3" borderId="2" xfId="0" applyNumberFormat="1" applyFont="1" applyFill="1" applyBorder="1" applyAlignment="1">
      <x:alignment wrapText="1"/>
    </x:xf>
    <x:xf numFmtId="0" fontId="5" fillId="3" borderId="2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vertical="top" wrapText="1"/>
    </x:xf>
    <x:xf numFmtId="200" fontId="1" fillId="0" borderId="2" xfId="0" applyNumberFormat="1" applyFont="1" applyFill="1" applyBorder="1" applyAlignment="1">
      <x:alignment vertical="top" wrapText="1"/>
    </x:xf>
    <x:xf numFmtId="201" fontId="1" fillId="0" borderId="2" xfId="0" applyNumberFormat="1" applyFont="1" applyFill="1" applyBorder="1" applyAlignment="1">
      <x:alignment vertical="top" wrapText="1"/>
    </x:xf>
    <x:xf numFmtId="202" fontId="1" fillId="0" borderId="2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14d7dc94034161" /><Relationship Type="http://schemas.openxmlformats.org/officeDocument/2006/relationships/theme" Target="/xl/theme/theme1.xml" Id="R26f7f5f10a5446a1" /><Relationship Type="http://schemas.openxmlformats.org/officeDocument/2006/relationships/sharedStrings" Target="/xl/sharedStrings.xml" Id="R06162bbb4bde4f2c" /><Relationship Type="http://schemas.openxmlformats.org/officeDocument/2006/relationships/worksheet" Target="/xl/worksheets/sheet1.xml" Id="Rb5886614d2af439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75999999442445b" /><Relationship Type="http://schemas.openxmlformats.org/officeDocument/2006/relationships/chart" Target="/xl/drawings/charts/chart2.xml" Id="R7c03e8c34af14f2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Reserve concentration by mineral — records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Records</c:v>
          </c:tx>
          <c:cat>
            <c:strRef>
              <c:f>'F16 Energy'!$BC$3:$BC$4</c:f>
              <c:strCache>
                <c:ptCount val="0"/>
              </c:strCache>
            </c:strRef>
          </c:cat>
          <c:val>
            <c:numRef>
              <c:f>'F16 Energy'!$BD$3:$BD$4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Price and supply-risk trend — record count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grouping val="clustered"/>
        <c:varyColors val="0"/>
        <c:ser>
          <c:idx val="0"/>
          <c:order val="0"/>
          <c:tx>
            <c:v>record count</c:v>
          </c:tx>
          <c:cat>
            <c:strRef>
              <c:f>'F16 Energy'!$BF$3:$BF$14</c:f>
              <c:strCache>
                <c:ptCount val="0"/>
              </c:strCache>
            </c:strRef>
          </c:cat>
          <c:val>
            <c:numRef>
              <c:f>'F16 Energy'!$BG$3:$BG$14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16</xdr:col>
      <xdr:colOff>0</xdr:colOff>
      <xdr:row>1</xdr:row>
      <xdr:rowOff>0</xdr:rowOff>
    </xdr:from>
    <xdr:to>
      <xdr:col>23</xdr:col>
      <xdr:colOff>0</xdr:colOff>
      <xdr:row>12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75999999442445b"/>
        </a:graphicData>
      </a:graphic>
    </xdr:graphicFrame>
    <xdr:clientData/>
  </xdr:twoCellAnchor>
  <xdr:twoCellAnchor>
    <xdr:from>
      <xdr:col>23</xdr:col>
      <xdr:colOff>0</xdr:colOff>
      <xdr:row>1</xdr:row>
      <xdr:rowOff>0</xdr:rowOff>
    </xdr:from>
    <xdr:to>
      <xdr:col>31</xdr:col>
      <xdr:colOff>0</xdr:colOff>
      <xdr:row>12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c03e8c34af14f2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_global_16_clean_1d3975" displayName="T_global_16_clean_1d3975" ref="A8:AJ22" headerRowCount="1" totalsRowCount="0" totalsRowShown="0">
  <x:tableColumns count="36">
    <x:tableColumn id="1" name="record_id"/>
    <x:tableColumn id="2" name="record_title"/>
    <x:tableColumn id="3" name="record_date"/>
    <x:tableColumn id="4" name="year"/>
    <x:tableColumn id="5" name="month"/>
    <x:tableColumn id="6" name="status"/>
    <x:tableColumn id="7" name="category"/>
    <x:tableColumn id="8" name="geography"/>
    <x:tableColumn id="9" name="primary_entity"/>
    <x:tableColumn id="10" name="metric_value"/>
    <x:tableColumn id="11" name="metric_unit"/>
    <x:tableColumn id="12" name="region"/>
    <x:tableColumn id="13" name="title"/>
    <x:tableColumn id="14" name="china_share"/>
    <x:tableColumn id="15" name="id"/>
    <x:tableColumn id="16" name="intensity"/>
    <x:tableColumn id="17" name="lat"/>
    <x:tableColumn id="18" name="lon"/>
    <x:tableColumn id="19" name="name"/>
    <x:tableColumn id="20" name="note"/>
    <x:tableColumn id="21" name="sources"/>
    <x:tableColumn id="22" name="top_producers"/>
    <x:tableColumn id="23" name="use"/>
    <x:tableColumn id="24" name="coverage_status"/>
    <x:tableColumn id="25" name="coverage_scope"/>
    <x:tableColumn id="26" name="coverage_start"/>
    <x:tableColumn id="27" name="coverage_end"/>
    <x:tableColumn id="28" name="universe_count"/>
    <x:tableColumn id="29" name="record_age_days"/>
    <x:tableColumn id="30" name="record_completeness_pct"/>
    <x:tableColumn id="31" name="source_provider"/>
    <x:tableColumn id="32" name="source_url"/>
    <x:tableColumn id="33" name="source_published_at"/>
    <x:tableColumn id="34" name="source_retrieved_at"/>
    <x:tableColumn id="35" name="provenance"/>
    <x:tableColumn id="36" name="quality_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6e8fe1e78114d34" /><Relationship Type="http://schemas.openxmlformats.org/officeDocument/2006/relationships/table" Target="/xl/tables/table1.xml" Id="Rd170a2cc229b47f0" /></Relationships>
</file>

<file path=xl/worksheets/sheet1.xml><?xml version="1.0" encoding="utf-8"?>
<x:worksheet xmlns:x="http://schemas.openxmlformats.org/spreadsheetml/2006/main">
  <x:sheetPr>
    <x:tabColor rgb="FF264653"/>
  </x:sheetPr>
  <x:sheetViews>
    <x:sheetView showGridLines="0" workbookViewId="0">
      <x:pane xSplit="3" ySplit="8" topLeftCell="D9" activePane="bottomRight" state="frozen"/>
    </x:sheetView>
  </x:sheetViews>
  <x:sheetFormatPr defaultRowHeight="15"/>
  <x:cols>
    <x:col min="1" max="1" width="18" hidden="0" customWidth="1"/>
    <x:col min="2" max="2" width="32" hidden="0" customWidth="1"/>
    <x:col min="3" max="3" width="16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24" hidden="0" customWidth="1"/>
    <x:col min="9" max="9" width="24" hidden="0" customWidth="1"/>
    <x:col min="10" max="10" width="15" hidden="0" customWidth="1"/>
    <x:col min="11" max="11" width="15" hidden="0" customWidth="1"/>
    <x:col min="12" max="12" width="15" hidden="0" customWidth="1"/>
    <x:col min="13" max="13" width="32" hidden="0" customWidth="1"/>
    <x:col min="14" max="14" width="15" hidden="0" customWidth="1"/>
    <x:col min="15" max="15" width="18" hidden="0" customWidth="1"/>
    <x:col min="16" max="16" width="15" hidden="0" customWidth="1"/>
    <x:col min="17" max="17" width="15" hidden="0" customWidth="1"/>
    <x:col min="18" max="18" width="15" hidden="0" customWidth="1"/>
    <x:col min="19" max="19" width="32" hidden="0" customWidth="1"/>
    <x:col min="20" max="20" width="18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8" hidden="0" customWidth="1"/>
    <x:col min="32" max="32" width="42" hidden="0" customWidth="1"/>
    <x:col min="33" max="33" width="15" hidden="0" customWidth="1"/>
    <x:col min="34" max="34" width="15" hidden="0" customWidth="1"/>
    <x:col min="35" max="35" width="15" hidden="0" customWidth="1"/>
    <x:col min="36" max="36" width="15" hidden="0" customWidth="1"/>
  </x:cols>
  <x:sheetData>
    <x:row r="1" ht="25" customHeight="1">
      <x:c r="A1" s="4" t="str">
        <x:v>Energy</x:v>
      </x:c>
      <x:c r="B1" s="4"/>
      <x:c r="C1" s="4"/>
      <x:c r="D1" s="4"/>
      <x:c r="E1" s="4"/>
      <x:c r="F1" s="4"/>
      <x:c r="G1" s="4"/>
      <x:c r="H1" s="4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</x:row>
    <x:row r="2" ht="30" customHeight="1">
      <x:c r="A2" s="6" t="str">
        <x:v>14 enrichment records • DEFINED_TERMINAL_OR_FEED_SCOPE • refreshed 2026-09-10</x:v>
      </x:c>
      <x:c r="B2" s="6"/>
      <x:c r="C2" s="6"/>
      <x:c r="D2" s="6"/>
      <x:c r="E2" s="6"/>
      <x:c r="F2" s="6"/>
      <x:c r="G2" s="6"/>
      <x:c r="H2" s="6"/>
      <x:c r="BC2" s="15" t="str">
        <x:v>Category / status</x:v>
      </x:c>
      <x:c r="BD2" s="15" t="str">
        <x:v>Records</x:v>
      </x:c>
      <x:c r="BF2" s="15" t="str">
        <x:v>Entity</x:v>
      </x:c>
      <x:c r="BG2" s="15" t="str">
        <x:v>record count</x:v>
      </x:c>
    </x:row>
    <x:row r="3">
      <x:c r="BC3" s="18" t="str">
        <x:v>active</x:v>
      </x:c>
      <x:c r="BD3" s="18" t="n">
        <x:v>9</x:v>
      </x:c>
      <x:c r="BF3" s="18" t="str">
        <x:v>Lithium</x:v>
      </x:c>
      <x:c r="BG3" s="18" t="n">
        <x:v>1</x:v>
      </x:c>
    </x:row>
    <x:row r="4">
      <x:c r="A4" s="9" t="str">
        <x:v>Records</x:v>
      </x:c>
      <x:c r="B4" s="10" t="n">
        <x:v>14</x:v>
      </x:c>
      <x:c r="C4" s="9" t="str">
        <x:v>Dated records</x:v>
      </x:c>
      <x:c r="D4" s="10" t="n">
        <x:v>0</x:v>
      </x:c>
      <x:c r="E4" s="9" t="str">
        <x:v>Sources</x:v>
      </x:c>
      <x:c r="F4" s="10" t="n">
        <x:v>1</x:v>
      </x:c>
      <x:c r="G4" s="9" t="str">
        <x:v>Freshest record</x:v>
      </x:c>
      <x:c r="H4" s="9" t="str"/>
      <x:c r="BC4" s="18" t="str">
        <x:v>escalating</x:v>
      </x:c>
      <x:c r="BD4" s="18" t="n">
        <x:v>5</x:v>
      </x:c>
      <x:c r="BF4" s="18" t="str">
        <x:v>Cobalt</x:v>
      </x:c>
      <x:c r="BG4" s="18" t="n">
        <x:v>1</x:v>
      </x:c>
    </x:row>
    <x:row r="5">
      <x:c r="BF5" s="18" t="str">
        <x:v>Nickel</x:v>
      </x:c>
      <x:c r="BG5" s="18" t="n">
        <x:v>1</x:v>
      </x:c>
    </x:row>
    <x:row r="6">
      <x:c r="BF6" s="18" t="str">
        <x:v>Rare earths (REEs)</x:v>
      </x:c>
      <x:c r="BG6" s="18" t="n">
        <x:v>1</x:v>
      </x:c>
    </x:row>
    <x:row r="7">
      <x:c r="BF7" s="18" t="str">
        <x:v>Uranium</x:v>
      </x:c>
      <x:c r="BG7" s="18" t="n">
        <x:v>1</x:v>
      </x:c>
    </x:row>
    <x:row r="8" ht="30" customHeight="1">
      <x:c r="A8" s="15" t="str">
        <x:v>record_id</x:v>
      </x:c>
      <x:c r="B8" s="15" t="str">
        <x:v>record_title</x:v>
      </x:c>
      <x:c r="C8" s="15" t="str">
        <x:v>record_date</x:v>
      </x:c>
      <x:c r="D8" s="15" t="str">
        <x:v>year</x:v>
      </x:c>
      <x:c r="E8" s="15" t="str">
        <x:v>month</x:v>
      </x:c>
      <x:c r="F8" s="15" t="str">
        <x:v>status</x:v>
      </x:c>
      <x:c r="G8" s="15" t="str">
        <x:v>category</x:v>
      </x:c>
      <x:c r="H8" s="15" t="str">
        <x:v>geography</x:v>
      </x:c>
      <x:c r="I8" s="15" t="str">
        <x:v>primary_entity</x:v>
      </x:c>
      <x:c r="J8" s="15" t="str">
        <x:v>metric_value</x:v>
      </x:c>
      <x:c r="K8" s="15" t="str">
        <x:v>metric_unit</x:v>
      </x:c>
      <x:c r="L8" s="15" t="str">
        <x:v>region</x:v>
      </x:c>
      <x:c r="M8" s="15" t="str">
        <x:v>title</x:v>
      </x:c>
      <x:c r="N8" s="15" t="str">
        <x:v>china_share</x:v>
      </x:c>
      <x:c r="O8" s="15" t="str">
        <x:v>id</x:v>
      </x:c>
      <x:c r="P8" s="15" t="str">
        <x:v>intensity</x:v>
      </x:c>
      <x:c r="Q8" s="15" t="str">
        <x:v>lat</x:v>
      </x:c>
      <x:c r="R8" s="15" t="str">
        <x:v>lon</x:v>
      </x:c>
      <x:c r="S8" s="15" t="str">
        <x:v>name</x:v>
      </x:c>
      <x:c r="T8" s="15" t="str">
        <x:v>note</x:v>
      </x:c>
      <x:c r="U8" s="15" t="str">
        <x:v>sources</x:v>
      </x:c>
      <x:c r="V8" s="15" t="str">
        <x:v>top_producers</x:v>
      </x:c>
      <x:c r="W8" s="15" t="str">
        <x:v>use</x:v>
      </x:c>
      <x:c r="X8" s="15" t="str">
        <x:v>coverage_status</x:v>
      </x:c>
      <x:c r="Y8" s="15" t="str">
        <x:v>coverage_scope</x:v>
      </x:c>
      <x:c r="Z8" s="15" t="str">
        <x:v>coverage_start</x:v>
      </x:c>
      <x:c r="AA8" s="15" t="str">
        <x:v>coverage_end</x:v>
      </x:c>
      <x:c r="AB8" s="15" t="str">
        <x:v>universe_count</x:v>
      </x:c>
      <x:c r="AC8" s="15" t="str">
        <x:v>record_age_days</x:v>
      </x:c>
      <x:c r="AD8" s="15" t="str">
        <x:v>record_completeness_pct</x:v>
      </x:c>
      <x:c r="AE8" s="15" t="str">
        <x:v>source_provider</x:v>
      </x:c>
      <x:c r="AF8" s="15" t="str">
        <x:v>source_url</x:v>
      </x:c>
      <x:c r="AG8" s="15" t="str">
        <x:v>source_published_at</x:v>
      </x:c>
      <x:c r="AH8" s="15" t="str">
        <x:v>source_retrieved_at</x:v>
      </x:c>
      <x:c r="AI8" s="15" t="str">
        <x:v>provenance</x:v>
      </x:c>
      <x:c r="AJ8" s="15" t="str">
        <x:v>quality_status</x:v>
      </x:c>
      <x:c r="BF8" s="18" t="str">
        <x:v>Gallium &amp; Germanium</x:v>
      </x:c>
      <x:c r="BG8" s="18" t="n">
        <x:v>1</x:v>
      </x:c>
    </x:row>
    <x:row r="9">
      <x:c r="A9" s="18" t="str">
        <x:v>NYT-16-d09f9aa7eed266da</x:v>
      </x:c>
      <x:c r="B9" s="18" t="str">
        <x:v>Lithium</x:v>
      </x:c>
      <x:c r="C9" s="18" t="str"/>
      <x:c r="D9" s="18" t="str"/>
      <x:c r="E9" s="18" t="str"/>
      <x:c r="F9" s="18" t="str">
        <x:v>active</x:v>
      </x:c>
      <x:c r="G9" s="18" t="str"/>
      <x:c r="H9" s="18" t="str">
        <x:v>Battery metals</x:v>
      </x:c>
      <x:c r="I9" s="18" t="str">
        <x:v>Lithium</x:v>
      </x:c>
      <x:c r="J9" s="20" t="str"/>
      <x:c r="K9" s="18" t="str"/>
      <x:c r="L9" s="18" t="str">
        <x:v>Battery metals</x:v>
      </x:c>
      <x:c r="M9" s="18" t="str">
        <x:v>Lithium</x:v>
      </x:c>
      <x:c r="N9" s="18" t="str">
        <x:v>~60% refining</x:v>
      </x:c>
      <x:c r="O9" s="18" t="str">
        <x:v>li</x:v>
      </x:c>
      <x:c r="P9" s="18" t="n">
        <x:v>74</x:v>
      </x:c>
      <x:c r="Q9" s="18" t="n">
        <x:v>-23.5</x:v>
      </x:c>
      <x:c r="R9" s="18" t="n">
        <x:v>-67</x:v>
      </x:c>
      <x:c r="S9" s="18" t="str">
        <x:v>Lithium</x:v>
      </x:c>
      <x:c r="T9" s="18" t="str">
        <x:v>Price recovering after 2024 glut; refining concentration is the choke.</x:v>
      </x:c>
      <x:c r="U9" s="18" t="str">
        <x:v>USGS; https://www.usgs.gov/; IEA; https://www.iea.org/</x:v>
      </x:c>
      <x:c r="V9" s="18" t="str">
        <x:v>Australia, Chile, China</x:v>
      </x:c>
      <x:c r="W9" s="18" t="str">
        <x:v>EV &amp; grid batteries</x:v>
      </x:c>
      <x:c r="X9" s="18" t="str">
        <x:v>DEFINED_TERMINAL_OR_FEED_SCOPE</x:v>
      </x:c>
      <x:c r="Y9" s="18" t="str">
        <x:v>geo_energy.json — published records loaded</x:v>
      </x:c>
      <x:c r="Z9" s="18" t="str"/>
      <x:c r="AA9" s="18" t="str"/>
      <x:c r="AB9" s="20" t="n">
        <x:v>14</x:v>
      </x:c>
      <x:c r="AC9" s="19" t="str">
        <x:f>IFERROR(TODAY()-DATEVALUE(C9),"")</x:f>
      </x:c>
      <x:c r="AD9" s="21" t="n">
        <x:f>ROUND(COUNTA(A9:K9)/11*100,0)</x:f>
        <x:v>100</x:v>
      </x:c>
      <x:c r="AE9" s="18" t="str">
        <x:v>US EIA Open Data v2</x:v>
      </x:c>
      <x:c r="AF9" s="22" t="str">
        <x:v>https://api.eia.gov/v2/international/data/</x:v>
      </x:c>
      <x:c r="AG9" s="18" t="str">
        <x:v>2026-07</x:v>
      </x:c>
      <x:c r="AH9" s="18" t="str">
        <x:v>2026-07</x:v>
      </x:c>
      <x:c r="AI9" s="18" t="str">
        <x:v>unconfirmed</x:v>
      </x:c>
      <x:c r="AJ9" s="18" t="str">
        <x:v>PARTIAL_NO_DATE</x:v>
      </x:c>
      <x:c r="BF9" s="18" t="str">
        <x:v>Copper</x:v>
      </x:c>
      <x:c r="BG9" s="18" t="n">
        <x:v>1</x:v>
      </x:c>
    </x:row>
    <x:row r="10">
      <x:c r="A10" s="18" t="str">
        <x:v>NYT-16-d9d96eb2947080e4</x:v>
      </x:c>
      <x:c r="B10" s="18" t="str">
        <x:v>Cobalt</x:v>
      </x:c>
      <x:c r="C10" s="18" t="str"/>
      <x:c r="D10" s="18" t="str"/>
      <x:c r="E10" s="18" t="str"/>
      <x:c r="F10" s="18" t="str">
        <x:v>active</x:v>
      </x:c>
      <x:c r="G10" s="18" t="str"/>
      <x:c r="H10" s="18" t="str">
        <x:v>Battery metals</x:v>
      </x:c>
      <x:c r="I10" s="18" t="str">
        <x:v>Cobalt</x:v>
      </x:c>
      <x:c r="J10" s="20" t="str"/>
      <x:c r="K10" s="18" t="str"/>
      <x:c r="L10" s="18" t="str">
        <x:v>Battery metals</x:v>
      </x:c>
      <x:c r="M10" s="18" t="str">
        <x:v>Cobalt</x:v>
      </x:c>
      <x:c r="N10" s="18" t="str">
        <x:v>~75% refining</x:v>
      </x:c>
      <x:c r="O10" s="18" t="str">
        <x:v>co</x:v>
      </x:c>
      <x:c r="P10" s="18" t="n">
        <x:v>70</x:v>
      </x:c>
      <x:c r="Q10" s="18" t="n">
        <x:v>-10.7</x:v>
      </x:c>
      <x:c r="R10" s="18" t="n">
        <x:v>25.5</x:v>
      </x:c>
      <x:c r="S10" s="18" t="str">
        <x:v>Cobalt</x:v>
      </x:c>
      <x:c r="T10" s="18" t="str">
        <x:v>DRC supply + Chinese refining = high concentration risk.</x:v>
      </x:c>
      <x:c r="U10" s="18" t="str">
        <x:v>USGS; https://www.usgs.gov/</x:v>
      </x:c>
      <x:c r="V10" s="18" t="str">
        <x:v>DR Congo (~70%)</x:v>
      </x:c>
      <x:c r="W10" s="18" t="str">
        <x:v>Battery cathodes, superalloys</x:v>
      </x:c>
      <x:c r="X10" s="18" t="str">
        <x:v>DEFINED_TERMINAL_OR_FEED_SCOPE</x:v>
      </x:c>
      <x:c r="Y10" s="18" t="str">
        <x:v>geo_energy.json — published records loaded</x:v>
      </x:c>
      <x:c r="Z10" s="18" t="str"/>
      <x:c r="AA10" s="18" t="str"/>
      <x:c r="AB10" s="20" t="n">
        <x:v>14</x:v>
      </x:c>
      <x:c r="AC10" s="19" t="str">
        <x:f>IFERROR(TODAY()-DATEVALUE(C10),"")</x:f>
      </x:c>
      <x:c r="AD10" s="21" t="n">
        <x:f>ROUND(COUNTA(A10:K10)/11*100,0)</x:f>
        <x:v>100</x:v>
      </x:c>
      <x:c r="AE10" s="18" t="str">
        <x:v>US EIA Open Data v2</x:v>
      </x:c>
      <x:c r="AF10" s="22" t="str">
        <x:v>https://api.eia.gov/v2/international/data/</x:v>
      </x:c>
      <x:c r="AG10" s="18" t="str">
        <x:v>2026-07</x:v>
      </x:c>
      <x:c r="AH10" s="18" t="str">
        <x:v>2026-07</x:v>
      </x:c>
      <x:c r="AI10" s="18" t="str">
        <x:v>unconfirmed</x:v>
      </x:c>
      <x:c r="AJ10" s="18" t="str">
        <x:v>PARTIAL_NO_DATE</x:v>
      </x:c>
      <x:c r="BF10" s="18" t="str">
        <x:v>Graphite</x:v>
      </x:c>
      <x:c r="BG10" s="18" t="n">
        <x:v>1</x:v>
      </x:c>
    </x:row>
    <x:row r="11">
      <x:c r="A11" s="18" t="str">
        <x:v>NYT-16-b41fcb7e9ef8d7ba</x:v>
      </x:c>
      <x:c r="B11" s="18" t="str">
        <x:v>Nickel</x:v>
      </x:c>
      <x:c r="C11" s="18" t="str"/>
      <x:c r="D11" s="18" t="str"/>
      <x:c r="E11" s="18" t="str"/>
      <x:c r="F11" s="18" t="str">
        <x:v>active</x:v>
      </x:c>
      <x:c r="G11" s="18" t="str"/>
      <x:c r="H11" s="18" t="str">
        <x:v>Battery metals</x:v>
      </x:c>
      <x:c r="I11" s="18" t="str">
        <x:v>Nickel</x:v>
      </x:c>
      <x:c r="J11" s="20" t="str"/>
      <x:c r="K11" s="18" t="str"/>
      <x:c r="L11" s="18" t="str">
        <x:v>Battery metals</x:v>
      </x:c>
      <x:c r="M11" s="18" t="str">
        <x:v>Nickel</x:v>
      </x:c>
      <x:c r="N11" s="18" t="str">
        <x:v>heavy Indonesian JV</x:v>
      </x:c>
      <x:c r="O11" s="18" t="str">
        <x:v>ni</x:v>
      </x:c>
      <x:c r="P11" s="18" t="n">
        <x:v>63</x:v>
      </x:c>
      <x:c r="Q11" s="18" t="n">
        <x:v>-2.5</x:v>
      </x:c>
      <x:c r="R11" s="18" t="n">
        <x:v>121</x:v>
      </x:c>
      <x:c r="S11" s="18" t="str">
        <x:v>Nickel</x:v>
      </x:c>
      <x:c r="T11" s="18" t="str">
        <x:v>Indonesia flooded market; class-1 battery-grade still tight.</x:v>
      </x:c>
      <x:c r="U11" s="18" t="str">
        <x:v>IEA; https://www.iea.org/</x:v>
      </x:c>
      <x:c r="V11" s="18" t="str">
        <x:v>Indonesia (~50%), Philippines</x:v>
      </x:c>
      <x:c r="W11" s="18" t="str">
        <x:v>Stainless steel, batteries</x:v>
      </x:c>
      <x:c r="X11" s="18" t="str">
        <x:v>DEFINED_TERMINAL_OR_FEED_SCOPE</x:v>
      </x:c>
      <x:c r="Y11" s="18" t="str">
        <x:v>geo_energy.json — published records loaded</x:v>
      </x:c>
      <x:c r="Z11" s="18" t="str"/>
      <x:c r="AA11" s="18" t="str"/>
      <x:c r="AB11" s="20" t="n">
        <x:v>14</x:v>
      </x:c>
      <x:c r="AC11" s="19" t="str">
        <x:f>IFERROR(TODAY()-DATEVALUE(C11),"")</x:f>
      </x:c>
      <x:c r="AD11" s="21" t="n">
        <x:f>ROUND(COUNTA(A11:K11)/11*100,0)</x:f>
        <x:v>100</x:v>
      </x:c>
      <x:c r="AE11" s="18" t="str">
        <x:v>US EIA Open Data v2</x:v>
      </x:c>
      <x:c r="AF11" s="22" t="str">
        <x:v>https://api.eia.gov/v2/international/data/</x:v>
      </x:c>
      <x:c r="AG11" s="18" t="str">
        <x:v>2026-07</x:v>
      </x:c>
      <x:c r="AH11" s="18" t="str">
        <x:v>2026-07</x:v>
      </x:c>
      <x:c r="AI11" s="18" t="str">
        <x:v>unconfirmed</x:v>
      </x:c>
      <x:c r="AJ11" s="18" t="str">
        <x:v>PARTIAL_NO_DATE</x:v>
      </x:c>
      <x:c r="BF11" s="18" t="str">
        <x:v>Manganese</x:v>
      </x:c>
      <x:c r="BG11" s="18" t="n">
        <x:v>1</x:v>
      </x:c>
    </x:row>
    <x:row r="12">
      <x:c r="A12" s="18" t="str">
        <x:v>NYT-16-b7a72f064dca5f0a</x:v>
      </x:c>
      <x:c r="B12" s="18" t="str">
        <x:v>Rare earths (REEs)</x:v>
      </x:c>
      <x:c r="C12" s="18" t="str"/>
      <x:c r="D12" s="18" t="str"/>
      <x:c r="E12" s="18" t="str"/>
      <x:c r="F12" s="18" t="str">
        <x:v>escalating</x:v>
      </x:c>
      <x:c r="G12" s="18" t="str"/>
      <x:c r="H12" s="18" t="str">
        <x:v>Strategic</x:v>
      </x:c>
      <x:c r="I12" s="18" t="str">
        <x:v>Rare earths (REEs)</x:v>
      </x:c>
      <x:c r="J12" s="20" t="str"/>
      <x:c r="K12" s="18" t="str"/>
      <x:c r="L12" s="18" t="str">
        <x:v>Strategic</x:v>
      </x:c>
      <x:c r="M12" s="18" t="str">
        <x:v>Rare earths (REEs)</x:v>
      </x:c>
      <x:c r="N12" s="18" t="str">
        <x:v>~90% processing</x:v>
      </x:c>
      <x:c r="O12" s="18" t="str">
        <x:v>ree</x:v>
      </x:c>
      <x:c r="P12" s="18" t="n">
        <x:v>86</x:v>
      </x:c>
      <x:c r="Q12" s="18" t="n">
        <x:v>41.8</x:v>
      </x:c>
      <x:c r="R12" s="18" t="n">
        <x:v>109.9</x:v>
      </x:c>
      <x:c r="S12" s="18" t="str">
        <x:v>Rare earths (REEs)</x:v>
      </x:c>
      <x:c r="T12" s="18" t="str">
        <x:v>China export-control lever on Nd/Dy/Ga/Ge; West racing to build capacity.</x:v>
      </x:c>
      <x:c r="U12" s="18" t="str">
        <x:v>USGS; https://www.usgs.gov/; IEA; https://www.iea.org/</x:v>
      </x:c>
      <x:c r="V12" s="18" t="str">
        <x:v>China (~60% mine, ~90% refine)</x:v>
      </x:c>
      <x:c r="W12" s="18" t="str">
        <x:v>Magnets, defence, EVs, wind</x:v>
      </x:c>
      <x:c r="X12" s="18" t="str">
        <x:v>DEFINED_TERMINAL_OR_FEED_SCOPE</x:v>
      </x:c>
      <x:c r="Y12" s="18" t="str">
        <x:v>geo_energy.json — published records loaded</x:v>
      </x:c>
      <x:c r="Z12" s="18" t="str"/>
      <x:c r="AA12" s="18" t="str"/>
      <x:c r="AB12" s="20" t="n">
        <x:v>14</x:v>
      </x:c>
      <x:c r="AC12" s="19" t="str">
        <x:f>IFERROR(TODAY()-DATEVALUE(C12),"")</x:f>
      </x:c>
      <x:c r="AD12" s="21" t="n">
        <x:f>ROUND(COUNTA(A12:K12)/11*100,0)</x:f>
        <x:v>100</x:v>
      </x:c>
      <x:c r="AE12" s="18" t="str">
        <x:v>US EIA Open Data v2</x:v>
      </x:c>
      <x:c r="AF12" s="22" t="str">
        <x:v>https://api.eia.gov/v2/international/data/</x:v>
      </x:c>
      <x:c r="AG12" s="18" t="str">
        <x:v>2026-07</x:v>
      </x:c>
      <x:c r="AH12" s="18" t="str">
        <x:v>2026-07</x:v>
      </x:c>
      <x:c r="AI12" s="18" t="str">
        <x:v>unconfirmed</x:v>
      </x:c>
      <x:c r="AJ12" s="18" t="str">
        <x:v>PARTIAL_NO_DATE</x:v>
      </x:c>
      <x:c r="BF12" s="18" t="str">
        <x:v>Platinum-group (PGMs)</x:v>
      </x:c>
      <x:c r="BG12" s="18" t="n">
        <x:v>1</x:v>
      </x:c>
    </x:row>
    <x:row r="13">
      <x:c r="A13" s="18" t="str">
        <x:v>NYT-16-24ecef4f0ccad4a1</x:v>
      </x:c>
      <x:c r="B13" s="18" t="str">
        <x:v>Uranium</x:v>
      </x:c>
      <x:c r="C13" s="18" t="str"/>
      <x:c r="D13" s="18" t="str"/>
      <x:c r="E13" s="18" t="str"/>
      <x:c r="F13" s="18" t="str">
        <x:v>active</x:v>
      </x:c>
      <x:c r="G13" s="18" t="str"/>
      <x:c r="H13" s="18" t="str">
        <x:v>Nuclear fuel</x:v>
      </x:c>
      <x:c r="I13" s="18" t="str">
        <x:v>Uranium</x:v>
      </x:c>
      <x:c r="J13" s="20" t="str"/>
      <x:c r="K13" s="18" t="str"/>
      <x:c r="L13" s="18" t="str">
        <x:v>Nuclear fuel</x:v>
      </x:c>
      <x:c r="M13" s="18" t="str">
        <x:v>Uranium</x:v>
      </x:c>
      <x:c r="N13" s="18" t="str">
        <x:v>growing enrichment</x:v>
      </x:c>
      <x:c r="O13" s="18" t="str">
        <x:v>u</x:v>
      </x:c>
      <x:c r="P13" s="18" t="n">
        <x:v>66</x:v>
      </x:c>
      <x:c r="Q13" s="18" t="n">
        <x:v>47</x:v>
      </x:c>
      <x:c r="R13" s="18" t="n">
        <x:v>68</x:v>
      </x:c>
      <x:c r="S13" s="18" t="str">
        <x:v>Uranium</x:v>
      </x:c>
      <x:c r="T13" s="18" t="str">
        <x:v>Nuclear revival + Russia enrichment reliance drove prices up.</x:v>
      </x:c>
      <x:c r="U13" s="18" t="str">
        <x:v>World Nuclear Assoc.; https://world-nuclear.org/</x:v>
      </x:c>
      <x:c r="V13" s="18" t="str">
        <x:v>Kazakhstan (~40%), Canada, Namibia</x:v>
      </x:c>
      <x:c r="W13" s="18" t="str">
        <x:v>Nuclear power</x:v>
      </x:c>
      <x:c r="X13" s="18" t="str">
        <x:v>DEFINED_TERMINAL_OR_FEED_SCOPE</x:v>
      </x:c>
      <x:c r="Y13" s="18" t="str">
        <x:v>geo_energy.json — published records loaded</x:v>
      </x:c>
      <x:c r="Z13" s="18" t="str"/>
      <x:c r="AA13" s="18" t="str"/>
      <x:c r="AB13" s="20" t="n">
        <x:v>14</x:v>
      </x:c>
      <x:c r="AC13" s="19" t="str">
        <x:f>IFERROR(TODAY()-DATEVALUE(C13),"")</x:f>
      </x:c>
      <x:c r="AD13" s="21" t="n">
        <x:f>ROUND(COUNTA(A13:K13)/11*100,0)</x:f>
        <x:v>100</x:v>
      </x:c>
      <x:c r="AE13" s="18" t="str">
        <x:v>US EIA Open Data v2</x:v>
      </x:c>
      <x:c r="AF13" s="22" t="str">
        <x:v>https://api.eia.gov/v2/international/data/</x:v>
      </x:c>
      <x:c r="AG13" s="18" t="str">
        <x:v>2026-07</x:v>
      </x:c>
      <x:c r="AH13" s="18" t="str">
        <x:v>2026-07</x:v>
      </x:c>
      <x:c r="AI13" s="18" t="str">
        <x:v>unconfirmed</x:v>
      </x:c>
      <x:c r="AJ13" s="18" t="str">
        <x:v>PARTIAL_NO_DATE</x:v>
      </x:c>
      <x:c r="BF13" s="18" t="str">
        <x:v>Antimony</x:v>
      </x:c>
      <x:c r="BG13" s="18" t="n">
        <x:v>1</x:v>
      </x:c>
    </x:row>
    <x:row r="14">
      <x:c r="A14" s="18" t="str">
        <x:v>NYT-16-3a4c2750dca41b05</x:v>
      </x:c>
      <x:c r="B14" s="18" t="str">
        <x:v>Gallium &amp; Germanium</x:v>
      </x:c>
      <x:c r="C14" s="18" t="str"/>
      <x:c r="D14" s="18" t="str"/>
      <x:c r="E14" s="18" t="str"/>
      <x:c r="F14" s="18" t="str">
        <x:v>escalating</x:v>
      </x:c>
      <x:c r="G14" s="18" t="str"/>
      <x:c r="H14" s="18" t="str">
        <x:v>Semiconductor</x:v>
      </x:c>
      <x:c r="I14" s="18" t="str">
        <x:v>Gallium &amp; Germanium</x:v>
      </x:c>
      <x:c r="J14" s="20" t="str"/>
      <x:c r="K14" s="18" t="str"/>
      <x:c r="L14" s="18" t="str">
        <x:v>Semiconductor</x:v>
      </x:c>
      <x:c r="M14" s="18" t="str">
        <x:v>Gallium &amp; Germanium</x:v>
      </x:c>
      <x:c r="N14" s="18" t="str">
        <x:v>near-monopoly</x:v>
      </x:c>
      <x:c r="O14" s="18" t="str">
        <x:v>ga</x:v>
      </x:c>
      <x:c r="P14" s="18" t="n">
        <x:v>80</x:v>
      </x:c>
      <x:c r="Q14" s="18" t="n">
        <x:v>34.3</x:v>
      </x:c>
      <x:c r="R14" s="18" t="n">
        <x:v>108.9</x:v>
      </x:c>
      <x:c r="S14" s="18" t="str">
        <x:v>Gallium &amp; Germanium</x:v>
      </x:c>
      <x:c r="T14" s="18" t="str">
        <x:v>China imposed export licensing in 2023–24; direct chip-war lever.</x:v>
      </x:c>
      <x:c r="U14" s="18" t="str">
        <x:v>USGS; https://www.usgs.gov/</x:v>
      </x:c>
      <x:c r="V14" s="18" t="str">
        <x:v>China (~80–98%)</x:v>
      </x:c>
      <x:c r="W14" s="18" t="str">
        <x:v>Chips, optics, defence</x:v>
      </x:c>
      <x:c r="X14" s="18" t="str">
        <x:v>DEFINED_TERMINAL_OR_FEED_SCOPE</x:v>
      </x:c>
      <x:c r="Y14" s="18" t="str">
        <x:v>geo_energy.json — published records loaded</x:v>
      </x:c>
      <x:c r="Z14" s="18" t="str"/>
      <x:c r="AA14" s="18" t="str"/>
      <x:c r="AB14" s="20" t="n">
        <x:v>14</x:v>
      </x:c>
      <x:c r="AC14" s="19" t="str">
        <x:f>IFERROR(TODAY()-DATEVALUE(C14),"")</x:f>
      </x:c>
      <x:c r="AD14" s="21" t="n">
        <x:f>ROUND(COUNTA(A14:K14)/11*100,0)</x:f>
        <x:v>100</x:v>
      </x:c>
      <x:c r="AE14" s="18" t="str">
        <x:v>US EIA Open Data v2</x:v>
      </x:c>
      <x:c r="AF14" s="22" t="str">
        <x:v>https://api.eia.gov/v2/international/data/</x:v>
      </x:c>
      <x:c r="AG14" s="18" t="str">
        <x:v>2026-07</x:v>
      </x:c>
      <x:c r="AH14" s="18" t="str">
        <x:v>2026-07</x:v>
      </x:c>
      <x:c r="AI14" s="18" t="str">
        <x:v>unconfirmed</x:v>
      </x:c>
      <x:c r="AJ14" s="18" t="str">
        <x:v>PARTIAL_NO_DATE</x:v>
      </x:c>
      <x:c r="BF14" s="18" t="str">
        <x:v>Tin</x:v>
      </x:c>
      <x:c r="BG14" s="18" t="n">
        <x:v>1</x:v>
      </x:c>
    </x:row>
    <x:row r="15">
      <x:c r="A15" s="18" t="str">
        <x:v>NYT-16-00f52515de3f4986</x:v>
      </x:c>
      <x:c r="B15" s="18" t="str">
        <x:v>Copper</x:v>
      </x:c>
      <x:c r="C15" s="18" t="str"/>
      <x:c r="D15" s="18" t="str"/>
      <x:c r="E15" s="18" t="str"/>
      <x:c r="F15" s="18" t="str">
        <x:v>active</x:v>
      </x:c>
      <x:c r="G15" s="18" t="str"/>
      <x:c r="H15" s="18" t="str">
        <x:v>Base / energy-transition</x:v>
      </x:c>
      <x:c r="I15" s="18" t="str">
        <x:v>Copper</x:v>
      </x:c>
      <x:c r="J15" s="20" t="str"/>
      <x:c r="K15" s="18" t="str"/>
      <x:c r="L15" s="18" t="str">
        <x:v>Base / energy-transition</x:v>
      </x:c>
      <x:c r="M15" s="18" t="str">
        <x:v>Copper</x:v>
      </x:c>
      <x:c r="N15" s="18" t="str">
        <x:v>~40% smelting</x:v>
      </x:c>
      <x:c r="O15" s="18" t="str">
        <x:v>cu</x:v>
      </x:c>
      <x:c r="P15" s="18" t="n">
        <x:v>68</x:v>
      </x:c>
      <x:c r="Q15" s="18" t="n">
        <x:v>-24</x:v>
      </x:c>
      <x:c r="R15" s="18" t="n">
        <x:v>-69</x:v>
      </x:c>
      <x:c r="S15" s="18" t="str">
        <x:v>Copper</x:v>
      </x:c>
      <x:c r="T15" s="18" t="str">
        <x:v>Structural deficit looming as electrification demand outpaces supply.</x:v>
      </x:c>
      <x:c r="U15" s="18" t="str">
        <x:v>USGS; https://www.usgs.gov/</x:v>
      </x:c>
      <x:c r="V15" s="18" t="str">
        <x:v>Chile, Peru, DR Congo</x:v>
      </x:c>
      <x:c r="W15" s="18" t="str">
        <x:v>Grid, EVs, everything electric</x:v>
      </x:c>
      <x:c r="X15" s="18" t="str">
        <x:v>DEFINED_TERMINAL_OR_FEED_SCOPE</x:v>
      </x:c>
      <x:c r="Y15" s="18" t="str">
        <x:v>geo_energy.json — published records loaded</x:v>
      </x:c>
      <x:c r="Z15" s="18" t="str"/>
      <x:c r="AA15" s="18" t="str"/>
      <x:c r="AB15" s="20" t="n">
        <x:v>14</x:v>
      </x:c>
      <x:c r="AC15" s="19" t="str">
        <x:f>IFERROR(TODAY()-DATEVALUE(C15),"")</x:f>
      </x:c>
      <x:c r="AD15" s="21" t="n">
        <x:f>ROUND(COUNTA(A15:K15)/11*100,0)</x:f>
        <x:v>100</x:v>
      </x:c>
      <x:c r="AE15" s="18" t="str">
        <x:v>US EIA Open Data v2</x:v>
      </x:c>
      <x:c r="AF15" s="22" t="str">
        <x:v>https://api.eia.gov/v2/international/data/</x:v>
      </x:c>
      <x:c r="AG15" s="18" t="str">
        <x:v>2026-07</x:v>
      </x:c>
      <x:c r="AH15" s="18" t="str">
        <x:v>2026-07</x:v>
      </x:c>
      <x:c r="AI15" s="18" t="str">
        <x:v>unconfirmed</x:v>
      </x:c>
      <x:c r="AJ15" s="18" t="str">
        <x:v>PARTIAL_NO_DATE</x:v>
      </x:c>
    </x:row>
    <x:row r="16">
      <x:c r="A16" s="18" t="str">
        <x:v>NYT-16-8ccad3fe86267025</x:v>
      </x:c>
      <x:c r="B16" s="18" t="str">
        <x:v>Graphite</x:v>
      </x:c>
      <x:c r="C16" s="18" t="str"/>
      <x:c r="D16" s="18" t="str"/>
      <x:c r="E16" s="18" t="str"/>
      <x:c r="F16" s="18" t="str">
        <x:v>escalating</x:v>
      </x:c>
      <x:c r="G16" s="18" t="str"/>
      <x:c r="H16" s="18" t="str">
        <x:v>Battery anodes</x:v>
      </x:c>
      <x:c r="I16" s="18" t="str">
        <x:v>Graphite</x:v>
      </x:c>
      <x:c r="J16" s="20" t="str"/>
      <x:c r="K16" s="18" t="str"/>
      <x:c r="L16" s="18" t="str">
        <x:v>Battery anodes</x:v>
      </x:c>
      <x:c r="M16" s="18" t="str">
        <x:v>Graphite</x:v>
      </x:c>
      <x:c r="N16" s="18" t="str">
        <x:v>~90% processing</x:v>
      </x:c>
      <x:c r="O16" s="18" t="str">
        <x:v>graphite</x:v>
      </x:c>
      <x:c r="P16" s="18" t="n">
        <x:v>72</x:v>
      </x:c>
      <x:c r="Q16" s="18" t="n">
        <x:v>34.3</x:v>
      </x:c>
      <x:c r="R16" s="18" t="n">
        <x:v>108.9</x:v>
      </x:c>
      <x:c r="S16" s="18" t="str">
        <x:v>Graphite</x:v>
      </x:c>
      <x:c r="T16" s="18" t="str">
        <x:v>China imposed export licensing; anode chokehold on batteries.</x:v>
      </x:c>
      <x:c r="U16" s="18" t="str">
        <x:v>USGS; https://www.usgs.gov/</x:v>
      </x:c>
      <x:c r="V16" s="18" t="str">
        <x:v>China (~65% mine, ~90% anode)</x:v>
      </x:c>
      <x:c r="W16" s="18" t="str">
        <x:v>Battery anodes</x:v>
      </x:c>
      <x:c r="X16" s="18" t="str">
        <x:v>DEFINED_TERMINAL_OR_FEED_SCOPE</x:v>
      </x:c>
      <x:c r="Y16" s="18" t="str">
        <x:v>geo_energy.json — published records loaded</x:v>
      </x:c>
      <x:c r="Z16" s="18" t="str"/>
      <x:c r="AA16" s="18" t="str"/>
      <x:c r="AB16" s="20" t="n">
        <x:v>14</x:v>
      </x:c>
      <x:c r="AC16" s="19" t="str">
        <x:f>IFERROR(TODAY()-DATEVALUE(C16),"")</x:f>
      </x:c>
      <x:c r="AD16" s="21" t="n">
        <x:f>ROUND(COUNTA(A16:K16)/11*100,0)</x:f>
        <x:v>100</x:v>
      </x:c>
      <x:c r="AE16" s="18" t="str">
        <x:v>US EIA Open Data v2</x:v>
      </x:c>
      <x:c r="AF16" s="22" t="str">
        <x:v>https://api.eia.gov/v2/international/data/</x:v>
      </x:c>
      <x:c r="AG16" s="18" t="str">
        <x:v>2026-07</x:v>
      </x:c>
      <x:c r="AH16" s="18" t="str">
        <x:v>2026-07</x:v>
      </x:c>
      <x:c r="AI16" s="18" t="str">
        <x:v>unconfirmed</x:v>
      </x:c>
      <x:c r="AJ16" s="18" t="str">
        <x:v>PARTIAL_NO_DATE</x:v>
      </x:c>
    </x:row>
    <x:row r="17">
      <x:c r="A17" s="18" t="str">
        <x:v>NYT-16-e7ccb34bf58b24cb</x:v>
      </x:c>
      <x:c r="B17" s="18" t="str">
        <x:v>Manganese</x:v>
      </x:c>
      <x:c r="C17" s="18" t="str"/>
      <x:c r="D17" s="18" t="str"/>
      <x:c r="E17" s="18" t="str"/>
      <x:c r="F17" s="18" t="str">
        <x:v>active</x:v>
      </x:c>
      <x:c r="G17" s="18" t="str"/>
      <x:c r="H17" s="18" t="str">
        <x:v>Steel / batteries</x:v>
      </x:c>
      <x:c r="I17" s="18" t="str">
        <x:v>Manganese</x:v>
      </x:c>
      <x:c r="J17" s="20" t="str"/>
      <x:c r="K17" s="18" t="str"/>
      <x:c r="L17" s="18" t="str">
        <x:v>Steel / batteries</x:v>
      </x:c>
      <x:c r="M17" s="18" t="str">
        <x:v>Manganese</x:v>
      </x:c>
      <x:c r="N17" s="18" t="str">
        <x:v>dominant processing</x:v>
      </x:c>
      <x:c r="O17" s="18" t="str">
        <x:v>mn</x:v>
      </x:c>
      <x:c r="P17" s="18" t="n">
        <x:v>52</x:v>
      </x:c>
      <x:c r="Q17" s="18" t="n">
        <x:v>-26</x:v>
      </x:c>
      <x:c r="R17" s="18" t="n">
        <x:v>24</x:v>
      </x:c>
      <x:c r="S17" s="18" t="str">
        <x:v>Manganese</x:v>
      </x:c>
      <x:c r="T17" s="18" t="str">
        <x:v>High-purity battery grade concentrated in China.</x:v>
      </x:c>
      <x:c r="U17" s="18" t="str">
        <x:v>USGS; https://www.usgs.gov/</x:v>
      </x:c>
      <x:c r="V17" s="18" t="str">
        <x:v>South Africa, Gabon, Australia</x:v>
      </x:c>
      <x:c r="W17" s="18" t="str">
        <x:v>Steel, battery cathodes</x:v>
      </x:c>
      <x:c r="X17" s="18" t="str">
        <x:v>DEFINED_TERMINAL_OR_FEED_SCOPE</x:v>
      </x:c>
      <x:c r="Y17" s="18" t="str">
        <x:v>geo_energy.json — published records loaded</x:v>
      </x:c>
      <x:c r="Z17" s="18" t="str"/>
      <x:c r="AA17" s="18" t="str"/>
      <x:c r="AB17" s="20" t="n">
        <x:v>14</x:v>
      </x:c>
      <x:c r="AC17" s="19" t="str">
        <x:f>IFERROR(TODAY()-DATEVALUE(C17),"")</x:f>
      </x:c>
      <x:c r="AD17" s="21" t="n">
        <x:f>ROUND(COUNTA(A17:K17)/11*100,0)</x:f>
        <x:v>100</x:v>
      </x:c>
      <x:c r="AE17" s="18" t="str">
        <x:v>US EIA Open Data v2</x:v>
      </x:c>
      <x:c r="AF17" s="22" t="str">
        <x:v>https://api.eia.gov/v2/international/data/</x:v>
      </x:c>
      <x:c r="AG17" s="18" t="str">
        <x:v>2026-07</x:v>
      </x:c>
      <x:c r="AH17" s="18" t="str">
        <x:v>2026-07</x:v>
      </x:c>
      <x:c r="AI17" s="18" t="str">
        <x:v>unconfirmed</x:v>
      </x:c>
      <x:c r="AJ17" s="18" t="str">
        <x:v>PARTIAL_NO_DATE</x:v>
      </x:c>
    </x:row>
    <x:row r="18">
      <x:c r="A18" s="18" t="str">
        <x:v>NYT-16-a006f277dc78cc46</x:v>
      </x:c>
      <x:c r="B18" s="18" t="str">
        <x:v>Platinum-group (PGMs)</x:v>
      </x:c>
      <x:c r="C18" s="18" t="str"/>
      <x:c r="D18" s="18" t="str"/>
      <x:c r="E18" s="18" t="str"/>
      <x:c r="F18" s="18" t="str">
        <x:v>active</x:v>
      </x:c>
      <x:c r="G18" s="18" t="str"/>
      <x:c r="H18" s="18" t="str">
        <x:v>Catalysts / H2</x:v>
      </x:c>
      <x:c r="I18" s="18" t="str">
        <x:v>Platinum-group (PGMs)</x:v>
      </x:c>
      <x:c r="J18" s="20" t="str"/>
      <x:c r="K18" s="18" t="str"/>
      <x:c r="L18" s="18" t="str">
        <x:v>Catalysts / H2</x:v>
      </x:c>
      <x:c r="M18" s="18" t="str">
        <x:v>Platinum-group (PGMs)</x:v>
      </x:c>
      <x:c r="N18" s="18" t="str">
        <x:v>low</x:v>
      </x:c>
      <x:c r="O18" s="18" t="str">
        <x:v>pgm</x:v>
      </x:c>
      <x:c r="P18" s="18" t="n">
        <x:v>58</x:v>
      </x:c>
      <x:c r="Q18" s="18" t="n">
        <x:v>-25.7</x:v>
      </x:c>
      <x:c r="R18" s="18" t="n">
        <x:v>27.2</x:v>
      </x:c>
      <x:c r="S18" s="18" t="str">
        <x:v>Platinum-group (PGMs)</x:v>
      </x:c>
      <x:c r="T18" s="18" t="str">
        <x:v>SA + Russia = ~80%; hydrogen economy demand driver.</x:v>
      </x:c>
      <x:c r="U18" s="18" t="str">
        <x:v>USGS; https://www.usgs.gov/</x:v>
      </x:c>
      <x:c r="V18" s="18" t="str">
        <x:v>South Africa, Russia</x:v>
      </x:c>
      <x:c r="W18" s="18" t="str">
        <x:v>Catalysts, hydrogen electrolysers</x:v>
      </x:c>
      <x:c r="X18" s="18" t="str">
        <x:v>DEFINED_TERMINAL_OR_FEED_SCOPE</x:v>
      </x:c>
      <x:c r="Y18" s="18" t="str">
        <x:v>geo_energy.json — published records loaded</x:v>
      </x:c>
      <x:c r="Z18" s="18" t="str"/>
      <x:c r="AA18" s="18" t="str"/>
      <x:c r="AB18" s="20" t="n">
        <x:v>14</x:v>
      </x:c>
      <x:c r="AC18" s="19" t="str">
        <x:f>IFERROR(TODAY()-DATEVALUE(C18),"")</x:f>
      </x:c>
      <x:c r="AD18" s="21" t="n">
        <x:f>ROUND(COUNTA(A18:K18)/11*100,0)</x:f>
        <x:v>100</x:v>
      </x:c>
      <x:c r="AE18" s="18" t="str">
        <x:v>US EIA Open Data v2</x:v>
      </x:c>
      <x:c r="AF18" s="22" t="str">
        <x:v>https://api.eia.gov/v2/international/data/</x:v>
      </x:c>
      <x:c r="AG18" s="18" t="str">
        <x:v>2026-07</x:v>
      </x:c>
      <x:c r="AH18" s="18" t="str">
        <x:v>2026-07</x:v>
      </x:c>
      <x:c r="AI18" s="18" t="str">
        <x:v>unconfirmed</x:v>
      </x:c>
      <x:c r="AJ18" s="18" t="str">
        <x:v>PARTIAL_NO_DATE</x:v>
      </x:c>
    </x:row>
    <x:row r="19">
      <x:c r="A19" s="18" t="str">
        <x:v>NYT-16-08bf4e542239b4e3</x:v>
      </x:c>
      <x:c r="B19" s="18" t="str">
        <x:v>Antimony</x:v>
      </x:c>
      <x:c r="C19" s="18" t="str"/>
      <x:c r="D19" s="18" t="str"/>
      <x:c r="E19" s="18" t="str"/>
      <x:c r="F19" s="18" t="str">
        <x:v>escalating</x:v>
      </x:c>
      <x:c r="G19" s="18" t="str"/>
      <x:c r="H19" s="18" t="str">
        <x:v>Defence / flame-retardant</x:v>
      </x:c>
      <x:c r="I19" s="18" t="str">
        <x:v>Antimony</x:v>
      </x:c>
      <x:c r="J19" s="20" t="str"/>
      <x:c r="K19" s="18" t="str"/>
      <x:c r="L19" s="18" t="str">
        <x:v>Defence / flame-retardant</x:v>
      </x:c>
      <x:c r="M19" s="18" t="str">
        <x:v>Antimony</x:v>
      </x:c>
      <x:c r="N19" s="18" t="str">
        <x:v>dominant + export curbs</x:v>
      </x:c>
      <x:c r="O19" s="18" t="str">
        <x:v>sb</x:v>
      </x:c>
      <x:c r="P19" s="18" t="n">
        <x:v>74</x:v>
      </x:c>
      <x:c r="Q19" s="18" t="n">
        <x:v>27</x:v>
      </x:c>
      <x:c r="R19" s="18" t="n">
        <x:v>111</x:v>
      </x:c>
      <x:c r="S19" s="18" t="str">
        <x:v>Antimony</x:v>
      </x:c>
      <x:c r="T19" s="18" t="str">
        <x:v>China restricted exports 2024; defence-critical squeeze.</x:v>
      </x:c>
      <x:c r="U19" s="18" t="str">
        <x:v>USGS; https://www.usgs.gov/</x:v>
      </x:c>
      <x:c r="V19" s="18" t="str">
        <x:v>China (~50%+)</x:v>
      </x:c>
      <x:c r="W19" s="18" t="str">
        <x:v>Munitions, semiconductors, flame retardants</x:v>
      </x:c>
      <x:c r="X19" s="18" t="str">
        <x:v>DEFINED_TERMINAL_OR_FEED_SCOPE</x:v>
      </x:c>
      <x:c r="Y19" s="18" t="str">
        <x:v>geo_energy.json — published records loaded</x:v>
      </x:c>
      <x:c r="Z19" s="18" t="str"/>
      <x:c r="AA19" s="18" t="str"/>
      <x:c r="AB19" s="20" t="n">
        <x:v>14</x:v>
      </x:c>
      <x:c r="AC19" s="19" t="str">
        <x:f>IFERROR(TODAY()-DATEVALUE(C19),"")</x:f>
      </x:c>
      <x:c r="AD19" s="21" t="n">
        <x:f>ROUND(COUNTA(A19:K19)/11*100,0)</x:f>
        <x:v>100</x:v>
      </x:c>
      <x:c r="AE19" s="18" t="str">
        <x:v>US EIA Open Data v2</x:v>
      </x:c>
      <x:c r="AF19" s="22" t="str">
        <x:v>https://api.eia.gov/v2/international/data/</x:v>
      </x:c>
      <x:c r="AG19" s="18" t="str">
        <x:v>2026-07</x:v>
      </x:c>
      <x:c r="AH19" s="18" t="str">
        <x:v>2026-07</x:v>
      </x:c>
      <x:c r="AI19" s="18" t="str">
        <x:v>unconfirmed</x:v>
      </x:c>
      <x:c r="AJ19" s="18" t="str">
        <x:v>PARTIAL_NO_DATE</x:v>
      </x:c>
    </x:row>
    <x:row r="20">
      <x:c r="A20" s="18" t="str">
        <x:v>NYT-16-5f6f3a35fb296358</x:v>
      </x:c>
      <x:c r="B20" s="18" t="str">
        <x:v>Tin</x:v>
      </x:c>
      <x:c r="C20" s="18" t="str"/>
      <x:c r="D20" s="18" t="str"/>
      <x:c r="E20" s="18" t="str"/>
      <x:c r="F20" s="18" t="str">
        <x:v>active</x:v>
      </x:c>
      <x:c r="G20" s="18" t="str"/>
      <x:c r="H20" s="18" t="str">
        <x:v>Electronics solder</x:v>
      </x:c>
      <x:c r="I20" s="18" t="str">
        <x:v>Tin</x:v>
      </x:c>
      <x:c r="J20" s="20" t="str"/>
      <x:c r="K20" s="18" t="str"/>
      <x:c r="L20" s="18" t="str">
        <x:v>Electronics solder</x:v>
      </x:c>
      <x:c r="M20" s="18" t="str">
        <x:v>Tin</x:v>
      </x:c>
      <x:c r="N20" s="18" t="str">
        <x:v>high</x:v>
      </x:c>
      <x:c r="O20" s="18" t="str">
        <x:v>sn</x:v>
      </x:c>
      <x:c r="P20" s="18" t="n">
        <x:v>50</x:v>
      </x:c>
      <x:c r="Q20" s="18" t="n">
        <x:v>-2.5</x:v>
      </x:c>
      <x:c r="R20" s="18" t="n">
        <x:v>106</x:v>
      </x:c>
      <x:c r="S20" s="18" t="str">
        <x:v>Tin</x:v>
      </x:c>
      <x:c r="T20" s="18" t="str">
        <x:v>Myanmar Wa-region mine suspensions tightened the market.</x:v>
      </x:c>
      <x:c r="U20" s="18" t="str">
        <x:v>USGS; https://www.usgs.gov/</x:v>
      </x:c>
      <x:c r="V20" s="18" t="str">
        <x:v>China, Indonesia, Myanmar</x:v>
      </x:c>
      <x:c r="W20" s="18" t="str">
        <x:v>Solder (all electronics)</x:v>
      </x:c>
      <x:c r="X20" s="18" t="str">
        <x:v>DEFINED_TERMINAL_OR_FEED_SCOPE</x:v>
      </x:c>
      <x:c r="Y20" s="18" t="str">
        <x:v>geo_energy.json — published records loaded</x:v>
      </x:c>
      <x:c r="Z20" s="18" t="str"/>
      <x:c r="AA20" s="18" t="str"/>
      <x:c r="AB20" s="20" t="n">
        <x:v>14</x:v>
      </x:c>
      <x:c r="AC20" s="19" t="str">
        <x:f>IFERROR(TODAY()-DATEVALUE(C20),"")</x:f>
      </x:c>
      <x:c r="AD20" s="21" t="n">
        <x:f>ROUND(COUNTA(A20:K20)/11*100,0)</x:f>
        <x:v>100</x:v>
      </x:c>
      <x:c r="AE20" s="18" t="str">
        <x:v>US EIA Open Data v2</x:v>
      </x:c>
      <x:c r="AF20" s="22" t="str">
        <x:v>https://api.eia.gov/v2/international/data/</x:v>
      </x:c>
      <x:c r="AG20" s="18" t="str">
        <x:v>2026-07</x:v>
      </x:c>
      <x:c r="AH20" s="18" t="str">
        <x:v>2026-07</x:v>
      </x:c>
      <x:c r="AI20" s="18" t="str">
        <x:v>unconfirmed</x:v>
      </x:c>
      <x:c r="AJ20" s="18" t="str">
        <x:v>PARTIAL_NO_DATE</x:v>
      </x:c>
    </x:row>
    <x:row r="21">
      <x:c r="A21" s="18" t="str">
        <x:v>NYT-16-01bc9781c1ba0992</x:v>
      </x:c>
      <x:c r="B21" s="18" t="str">
        <x:v>Tungsten</x:v>
      </x:c>
      <x:c r="C21" s="18" t="str"/>
      <x:c r="D21" s="18" t="str"/>
      <x:c r="E21" s="18" t="str"/>
      <x:c r="F21" s="18" t="str">
        <x:v>escalating</x:v>
      </x:c>
      <x:c r="G21" s="18" t="str"/>
      <x:c r="H21" s="18" t="str">
        <x:v>Defence / tooling</x:v>
      </x:c>
      <x:c r="I21" s="18" t="str">
        <x:v>Tungsten</x:v>
      </x:c>
      <x:c r="J21" s="20" t="str"/>
      <x:c r="K21" s="18" t="str"/>
      <x:c r="L21" s="18" t="str">
        <x:v>Defence / tooling</x:v>
      </x:c>
      <x:c r="M21" s="18" t="str">
        <x:v>Tungsten</x:v>
      </x:c>
      <x:c r="N21" s="18" t="str">
        <x:v>dominant + curbs</x:v>
      </x:c>
      <x:c r="O21" s="18" t="str">
        <x:v>w</x:v>
      </x:c>
      <x:c r="P21" s="18" t="n">
        <x:v>66</x:v>
      </x:c>
      <x:c r="Q21" s="18" t="n">
        <x:v>30</x:v>
      </x:c>
      <x:c r="R21" s="18" t="n">
        <x:v>110</x:v>
      </x:c>
      <x:c r="S21" s="18" t="str">
        <x:v>Tungsten</x:v>
      </x:c>
      <x:c r="T21" s="18" t="str">
        <x:v>China added to export-control list; defence supply risk.</x:v>
      </x:c>
      <x:c r="U21" s="18" t="str">
        <x:v>USGS; https://www.usgs.gov/</x:v>
      </x:c>
      <x:c r="V21" s="18" t="str">
        <x:v>China (~80%)</x:v>
      </x:c>
      <x:c r="W21" s="18" t="str">
        <x:v>Armour-piercing, cutting tools, chips</x:v>
      </x:c>
      <x:c r="X21" s="18" t="str">
        <x:v>DEFINED_TERMINAL_OR_FEED_SCOPE</x:v>
      </x:c>
      <x:c r="Y21" s="18" t="str">
        <x:v>geo_energy.json — published records loaded</x:v>
      </x:c>
      <x:c r="Z21" s="18" t="str"/>
      <x:c r="AA21" s="18" t="str"/>
      <x:c r="AB21" s="20" t="n">
        <x:v>14</x:v>
      </x:c>
      <x:c r="AC21" s="19" t="str">
        <x:f>IFERROR(TODAY()-DATEVALUE(C21),"")</x:f>
      </x:c>
      <x:c r="AD21" s="21" t="n">
        <x:f>ROUND(COUNTA(A21:K21)/11*100,0)</x:f>
        <x:v>100</x:v>
      </x:c>
      <x:c r="AE21" s="18" t="str">
        <x:v>US EIA Open Data v2</x:v>
      </x:c>
      <x:c r="AF21" s="22" t="str">
        <x:v>https://api.eia.gov/v2/international/data/</x:v>
      </x:c>
      <x:c r="AG21" s="18" t="str">
        <x:v>2026-07</x:v>
      </x:c>
      <x:c r="AH21" s="18" t="str">
        <x:v>2026-07</x:v>
      </x:c>
      <x:c r="AI21" s="18" t="str">
        <x:v>unconfirmed</x:v>
      </x:c>
      <x:c r="AJ21" s="18" t="str">
        <x:v>PARTIAL_NO_DATE</x:v>
      </x:c>
    </x:row>
    <x:row r="22">
      <x:c r="A22" s="18" t="str">
        <x:v>NYT-16-2d7f19d3fc1b44f2</x:v>
      </x:c>
      <x:c r="B22" s="18" t="str">
        <x:v>Phosphate</x:v>
      </x:c>
      <x:c r="C22" s="18" t="str"/>
      <x:c r="D22" s="18" t="str"/>
      <x:c r="E22" s="18" t="str"/>
      <x:c r="F22" s="18" t="str">
        <x:v>active</x:v>
      </x:c>
      <x:c r="G22" s="18" t="str"/>
      <x:c r="H22" s="18" t="str">
        <x:v>Food security</x:v>
      </x:c>
      <x:c r="I22" s="18" t="str">
        <x:v>Phosphate</x:v>
      </x:c>
      <x:c r="J22" s="20" t="str"/>
      <x:c r="K22" s="18" t="str"/>
      <x:c r="L22" s="18" t="str">
        <x:v>Food security</x:v>
      </x:c>
      <x:c r="M22" s="18" t="str">
        <x:v>Phosphate</x:v>
      </x:c>
      <x:c r="N22" s="18" t="str">
        <x:v>export limits</x:v>
      </x:c>
      <x:c r="O22" s="18" t="str">
        <x:v>phosphate</x:v>
      </x:c>
      <x:c r="P22" s="18" t="n">
        <x:v>48</x:v>
      </x:c>
      <x:c r="Q22" s="18" t="n">
        <x:v>32</x:v>
      </x:c>
      <x:c r="R22" s="18" t="n">
        <x:v>-6</x:v>
      </x:c>
      <x:c r="S22" s="18" t="str">
        <x:v>Phosphate</x:v>
      </x:c>
      <x:c r="T22" s="18" t="str">
        <x:v>Morocco holds most reserves; China curbed exports (food-security lever).</x:v>
      </x:c>
      <x:c r="U22" s="18" t="str">
        <x:v>USGS; https://www.usgs.gov/</x:v>
      </x:c>
      <x:c r="V22" s="18" t="str">
        <x:v>Morocco (~70% reserves), China</x:v>
      </x:c>
      <x:c r="W22" s="18" t="str">
        <x:v>Fertiliser (food supply)</x:v>
      </x:c>
      <x:c r="X22" s="18" t="str">
        <x:v>DEFINED_TERMINAL_OR_FEED_SCOPE</x:v>
      </x:c>
      <x:c r="Y22" s="18" t="str">
        <x:v>geo_energy.json — published records loaded</x:v>
      </x:c>
      <x:c r="Z22" s="18" t="str"/>
      <x:c r="AA22" s="18" t="str"/>
      <x:c r="AB22" s="20" t="n">
        <x:v>14</x:v>
      </x:c>
      <x:c r="AC22" s="19" t="str">
        <x:f>IFERROR(TODAY()-DATEVALUE(C22),"")</x:f>
      </x:c>
      <x:c r="AD22" s="21" t="n">
        <x:f>ROUND(COUNTA(A22:K22)/11*100,0)</x:f>
        <x:v>100</x:v>
      </x:c>
      <x:c r="AE22" s="18" t="str">
        <x:v>US EIA Open Data v2</x:v>
      </x:c>
      <x:c r="AF22" s="22" t="str">
        <x:v>https://api.eia.gov/v2/international/data/</x:v>
      </x:c>
      <x:c r="AG22" s="18" t="str">
        <x:v>2026-07</x:v>
      </x:c>
      <x:c r="AH22" s="18" t="str">
        <x:v>2026-07</x:v>
      </x:c>
      <x:c r="AI22" s="18" t="str">
        <x:v>unconfirmed</x:v>
      </x:c>
      <x:c r="AJ22" s="18" t="str">
        <x:v>PARTIAL_NO_DATE</x:v>
      </x:c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d6e8fe1e78114d34"/>
  <x:tableParts count="1">
    <x:tablePart xmlns:r="http://schemas.openxmlformats.org/officeDocument/2006/relationships" r:id="Rd170a2cc229b47f0"/>
  </x:tableParts>
</x:worksheet>
</file>