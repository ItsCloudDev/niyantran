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24c242767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5 Carbon Border (CBAM) Watch" sheetId="1" r:id="Rcc582d04fadd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A9D8F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A9D8F"/>
      </x:patternFill>
    </x:fill>
  </x:fills>
  <x:borders count="3">
    <x:border/>
    <x:border>
      <x:bottom style="medium">
        <x:color rgb="FF2A9D8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4481caaac41fe" /><Relationship Type="http://schemas.openxmlformats.org/officeDocument/2006/relationships/theme" Target="/xl/theme/theme1.xml" Id="Ra098a1753ed748ac" /><Relationship Type="http://schemas.openxmlformats.org/officeDocument/2006/relationships/sharedStrings" Target="/xl/sharedStrings.xml" Id="R4c4bb1555cd34f4f" /><Relationship Type="http://schemas.openxmlformats.org/officeDocument/2006/relationships/worksheet" Target="/xl/worksheets/sheet1.xml" Id="Rcc582d04fadd48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8dc71d77e04f48" /><Relationship Type="http://schemas.openxmlformats.org/officeDocument/2006/relationships/chart" Target="/xl/drawings/charts/chart2.xml" Id="R77efc1f1a5d54a24" /><Relationship Type="http://schemas.openxmlformats.org/officeDocument/2006/relationships/chart" Target="/xl/drawings/charts/chart3.xml" Id="R184fe3bd8fde4e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CBAM milestones and deadlines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'F55 Carbon Border (CBAM) Watch'!$AZ$3:$AZ$9</c:f>
              <c:strCache>
                <c:ptCount val="0"/>
              </c:strCache>
            </c:strRef>
          </c:cat>
          <c:val>
            <c:numRef>
              <c:f>'F55 Carbon Border (CBAM) Watch'!$BA$3:$BA$9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Exposure by sector and country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'F55 Carbon Border (CBAM) Watch'!$BC$3</c:f>
              <c:strCache>
                <c:ptCount val="0"/>
              </c:strCache>
            </c:strRef>
          </c:cat>
          <c:val>
            <c:numRef>
              <c:f>'F55 Carbon Border (CBAM) Watch'!$BD$3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Embedded-emissions intensity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'F55 Carbon Border (CBAM) Watch'!$BF$3:$BF$5</c:f>
              <c:strCache>
                <c:ptCount val="0"/>
              </c:strCache>
            </c:strRef>
          </c:cat>
          <c:val>
            <c:numRef>
              <c:f>'F55 Carbon Border (CBAM) Watch'!$BG$3:$BG$5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8dc71d77e04f48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efc1f1a5d54a24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4fe3bd8fde4e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arbon_55_clean_06cd0e" displayName="T_carbon_55_clean_06cd0e" ref="A8:AB15" headerRowCount="1" totalsRowCount="0" totalsRowShown="0">
  <x:tableColumns count="2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date"/>
    <x:tableColumn id="13" name="jurisdiction"/>
    <x:tableColumn id="14" name="id"/>
    <x:tableColumn id="15" name="milestone"/>
    <x:tableColumn id="16" name="coverage_status"/>
    <x:tableColumn id="17" name="coverage_scope"/>
    <x:tableColumn id="18" name="coverage_start"/>
    <x:tableColumn id="19" name="coverage_end"/>
    <x:tableColumn id="20" name="universe_count"/>
    <x:tableColumn id="21" name="record_age_days"/>
    <x:tableColumn id="22" name="record_completeness_pct"/>
    <x:tableColumn id="23" name="source_provider"/>
    <x:tableColumn id="24" name="source_url"/>
    <x:tableColumn id="25" name="source_published_at"/>
    <x:tableColumn id="26" name="source_retrieved_at"/>
    <x:tableColumn id="27" name="provenance"/>
    <x:tableColumn id="2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c98948ccec449d" /><Relationship Type="http://schemas.openxmlformats.org/officeDocument/2006/relationships/table" Target="/xl/tables/table1.xml" Id="R747c64171638480b" /></Relationships>
</file>

<file path=xl/worksheets/sheet1.xml><?xml version="1.0" encoding="utf-8"?>
<x:worksheet xmlns:x="http://schemas.openxmlformats.org/spreadsheetml/2006/main">
  <x:sheetPr>
    <x:tabColor rgb="FF2A9D8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8" hidden="0" customWidth="1"/>
    <x:col min="24" max="24" width="4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5" customHeight="1">
      <x:c r="A1" s="4" t="str">
        <x:v>Carbon Border (CBAM) Watch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7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2023-05-17</x:v>
      </x:c>
      <x:c r="BA3" s="18" t="n">
        <x:v>1</x:v>
      </x:c>
      <x:c r="BC3" s="18" t="str">
        <x:v>Unclassified</x:v>
      </x:c>
      <x:c r="BD3" s="18" t="n">
        <x:v>7</x:v>
      </x:c>
      <x:c r="BF3" s="18" t="str">
        <x:v>European Union</x:v>
      </x:c>
      <x:c r="BG3" s="18" t="n">
        <x:v>5</x:v>
      </x:c>
    </x:row>
    <x:row r="4">
      <x:c r="A4" s="9" t="str">
        <x:v>Records</x:v>
      </x:c>
      <x:c r="B4" s="10" t="n">
        <x:v>7</x:v>
      </x:c>
      <x:c r="C4" s="9" t="str">
        <x:v>Dated records</x:v>
      </x:c>
      <x:c r="D4" s="10" t="n">
        <x:v>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2026-01-01</x:v>
      </x:c>
      <x:c r="AZ4" s="18" t="str">
        <x:v>2023-10-01</x:v>
      </x:c>
      <x:c r="BA4" s="18" t="n">
        <x:v>1</x:v>
      </x:c>
      <x:c r="BF4" s="18" t="str">
        <x:v>United Kingdom</x:v>
      </x:c>
      <x:c r="BG4" s="18" t="n">
        <x:v>1</x:v>
      </x:c>
    </x:row>
    <x:row r="5">
      <x:c r="AZ5" s="18" t="str">
        <x:v>2023-12-18</x:v>
      </x:c>
      <x:c r="BA5" s="18" t="n">
        <x:v>1</x:v>
      </x:c>
      <x:c r="BF5" s="18" t="str">
        <x:v>India</x:v>
      </x:c>
      <x:c r="BG5" s="18" t="n">
        <x:v>1</x:v>
      </x:c>
    </x:row>
    <x:row r="6">
      <x:c r="AZ6" s="18" t="str">
        <x:v>2024-01-31</x:v>
      </x:c>
      <x:c r="BA6" s="18" t="n">
        <x:v>1</x:v>
      </x:c>
    </x:row>
    <x:row r="7">
      <x:c r="AZ7" s="18" t="str">
        <x:v>2024-05-15</x:v>
      </x:c>
      <x:c r="BA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date</x:v>
      </x:c>
      <x:c r="M8" s="15" t="str">
        <x:v>jurisdiction</x:v>
      </x:c>
      <x:c r="N8" s="15" t="str">
        <x:v>id</x:v>
      </x:c>
      <x:c r="O8" s="15" t="str">
        <x:v>milestone</x:v>
      </x:c>
      <x:c r="P8" s="15" t="str">
        <x:v>coverage_status</x:v>
      </x:c>
      <x:c r="Q8" s="15" t="str">
        <x:v>coverage_scope</x:v>
      </x:c>
      <x:c r="R8" s="15" t="str">
        <x:v>coverage_start</x:v>
      </x:c>
      <x:c r="S8" s="15" t="str">
        <x:v>coverage_end</x:v>
      </x:c>
      <x:c r="T8" s="15" t="str">
        <x:v>universe_count</x:v>
      </x:c>
      <x:c r="U8" s="15" t="str">
        <x:v>record_age_days</x:v>
      </x:c>
      <x:c r="V8" s="15" t="str">
        <x:v>record_completeness_pct</x:v>
      </x:c>
      <x:c r="W8" s="15" t="str">
        <x:v>source_provider</x:v>
      </x:c>
      <x:c r="X8" s="15" t="str">
        <x:v>source_url</x:v>
      </x:c>
      <x:c r="Y8" s="15" t="str">
        <x:v>source_published_at</x:v>
      </x:c>
      <x:c r="Z8" s="15" t="str">
        <x:v>source_retrieved_at</x:v>
      </x:c>
      <x:c r="AA8" s="15" t="str">
        <x:v>provenance</x:v>
      </x:c>
      <x:c r="AB8" s="15" t="str">
        <x:v>quality_status</x:v>
      </x:c>
      <x:c r="AZ8" s="18" t="str">
        <x:v>2025-02-26</x:v>
      </x:c>
      <x:c r="BA8" s="18" t="n">
        <x:v>1</x:v>
      </x:c>
    </x:row>
    <x:row r="9">
      <x:c r="A9" s="18" t="str">
        <x:v>NYT-55-fc3d90f289455056</x:v>
      </x:c>
      <x:c r="B9" s="18" t="str">
        <x:v>EU CBAM regulation enters into force</x:v>
      </x:c>
      <x:c r="C9" s="18" t="str">
        <x:v>2023-05-17</x:v>
      </x:c>
      <x:c r="D9" s="18" t="n">
        <x:v>2023</x:v>
      </x:c>
      <x:c r="E9" s="18" t="str">
        <x:v>2023-05</x:v>
      </x:c>
      <x:c r="F9" s="18" t="str"/>
      <x:c r="G9" s="18" t="str"/>
      <x:c r="H9" s="18" t="str">
        <x:v>European Union</x:v>
      </x:c>
      <x:c r="I9" s="18" t="str">
        <x:v>European Union</x:v>
      </x:c>
      <x:c r="J9" s="20" t="str"/>
      <x:c r="K9" s="18" t="str"/>
      <x:c r="L9" s="18" t="str">
        <x:v>2023-05-17</x:v>
      </x:c>
      <x:c r="M9" s="18" t="str">
        <x:v>European Union</x:v>
      </x:c>
      <x:c r="N9" s="18" t="str">
        <x:v>1</x:v>
      </x:c>
      <x:c r="O9" s="18" t="str">
        <x:v>EU CBAM regulation enters into force</x:v>
      </x:c>
      <x:c r="P9" s="18" t="str">
        <x:v>DEFINED_TERMINAL_OR_FEED_SCOPE</x:v>
      </x:c>
      <x:c r="Q9" s="18" t="str">
        <x:v>climate_cbam_watch.json — published records loaded</x:v>
      </x:c>
      <x:c r="R9" s="18" t="str"/>
      <x:c r="S9" s="18" t="str"/>
      <x:c r="T9" s="20" t="n">
        <x:v>7</x:v>
      </x:c>
      <x:c r="U9" s="19" t="n">
        <x:f>IFERROR(TODAY()-DATEVALUE(C9),"")</x:f>
        <x:v>1212</x:v>
      </x:c>
      <x:c r="V9" s="21" t="n">
        <x:f>ROUND(COUNTA(A9:K9)/11*100,0)</x:f>
        <x:v>100</x:v>
      </x:c>
      <x:c r="W9" s="18" t="str">
        <x:v>EUR-Lex/CELLAR</x:v>
      </x:c>
      <x:c r="X9" s="22" t="str">
        <x:v>https://eur-lex.europa.eu/legal-content/EN/TXT/?uri=CELEX%3A32023R0956</x:v>
      </x:c>
      <x:c r="Y9" s="18" t="str">
        <x:v>2023-05-17</x:v>
      </x:c>
      <x:c r="Z9" s="18" t="n">
        <x:v>46275.114583333336</x:v>
      </x:c>
      <x:c r="AA9" s="18" t="str">
        <x:v>retained_terminal</x:v>
      </x:c>
      <x:c r="AB9" s="18" t="str">
        <x:v>READY</x:v>
      </x:c>
      <x:c r="AZ9" s="18" t="str">
        <x:v>2026-01-01</x:v>
      </x:c>
      <x:c r="BA9" s="18" t="n">
        <x:v>1</x:v>
      </x:c>
    </x:row>
    <x:row r="10">
      <x:c r="A10" s="18" t="str">
        <x:v>NYT-55-28db1c81f33073c8</x:v>
      </x:c>
      <x:c r="B10" s="18" t="str">
        <x:v>CBAM transitional period begins</x:v>
      </x:c>
      <x:c r="C10" s="18" t="str">
        <x:v>2023-10-01</x:v>
      </x:c>
      <x:c r="D10" s="18" t="n">
        <x:v>2023</x:v>
      </x:c>
      <x:c r="E10" s="18" t="str">
        <x:v>2023-10</x:v>
      </x:c>
      <x:c r="F10" s="18" t="str"/>
      <x:c r="G10" s="18" t="str"/>
      <x:c r="H10" s="18" t="str">
        <x:v>European Union</x:v>
      </x:c>
      <x:c r="I10" s="18" t="str">
        <x:v>European Union</x:v>
      </x:c>
      <x:c r="J10" s="20" t="str"/>
      <x:c r="K10" s="18" t="str"/>
      <x:c r="L10" s="18" t="str">
        <x:v>2023-10-01</x:v>
      </x:c>
      <x:c r="M10" s="18" t="str">
        <x:v>European Union</x:v>
      </x:c>
      <x:c r="N10" s="18" t="str">
        <x:v>2</x:v>
      </x:c>
      <x:c r="O10" s="18" t="str">
        <x:v>CBAM transitional period begins</x:v>
      </x:c>
      <x:c r="P10" s="18" t="str">
        <x:v>DEFINED_TERMINAL_OR_FEED_SCOPE</x:v>
      </x:c>
      <x:c r="Q10" s="18" t="str">
        <x:v>climate_cbam_watch.json — published records loaded</x:v>
      </x:c>
      <x:c r="R10" s="18" t="str"/>
      <x:c r="S10" s="18" t="str"/>
      <x:c r="T10" s="20" t="n">
        <x:v>7</x:v>
      </x:c>
      <x:c r="U10" s="19" t="n">
        <x:f>IFERROR(TODAY()-DATEVALUE(C10),"")</x:f>
        <x:v>1075</x:v>
      </x:c>
      <x:c r="V10" s="21" t="n">
        <x:f>ROUND(COUNTA(A10:K10)/11*100,0)</x:f>
        <x:v>100</x:v>
      </x:c>
      <x:c r="W10" s="18" t="str">
        <x:v>EUR-Lex/CELLAR</x:v>
      </x:c>
      <x:c r="X10" s="22" t="str">
        <x:v>https://taxation-customs.ec.europa.eu/carbon-border-adjustment-mechanism_en</x:v>
      </x:c>
      <x:c r="Y10" s="18" t="str">
        <x:v>2023-10-01</x:v>
      </x:c>
      <x:c r="Z10" s="18" t="n">
        <x:v>46275.114583333336</x:v>
      </x:c>
      <x:c r="AA10" s="18" t="str">
        <x:v>retained_terminal</x:v>
      </x:c>
      <x:c r="AB10" s="18" t="str">
        <x:v>READY</x:v>
      </x:c>
    </x:row>
    <x:row r="11">
      <x:c r="A11" s="18" t="str">
        <x:v>NYT-55-9add1f5e75f7030a</x:v>
      </x:c>
      <x:c r="B11" s="18" t="str">
        <x:v>First CBAM reporting deadline</x:v>
      </x:c>
      <x:c r="C11" s="18" t="str">
        <x:v>2024-01-31</x:v>
      </x:c>
      <x:c r="D11" s="18" t="n">
        <x:v>2024</x:v>
      </x:c>
      <x:c r="E11" s="18" t="str">
        <x:v>2024-01</x:v>
      </x:c>
      <x:c r="F11" s="18" t="str"/>
      <x:c r="G11" s="18" t="str"/>
      <x:c r="H11" s="18" t="str">
        <x:v>European Union</x:v>
      </x:c>
      <x:c r="I11" s="18" t="str">
        <x:v>European Union</x:v>
      </x:c>
      <x:c r="J11" s="20" t="str"/>
      <x:c r="K11" s="18" t="str"/>
      <x:c r="L11" s="18" t="str">
        <x:v>2024-01-31</x:v>
      </x:c>
      <x:c r="M11" s="18" t="str">
        <x:v>European Union</x:v>
      </x:c>
      <x:c r="N11" s="18" t="str">
        <x:v>3</x:v>
      </x:c>
      <x:c r="O11" s="18" t="str">
        <x:v>First CBAM reporting deadline</x:v>
      </x:c>
      <x:c r="P11" s="18" t="str">
        <x:v>DEFINED_TERMINAL_OR_FEED_SCOPE</x:v>
      </x:c>
      <x:c r="Q11" s="18" t="str">
        <x:v>climate_cbam_watch.json — published records loaded</x:v>
      </x:c>
      <x:c r="R11" s="18" t="str"/>
      <x:c r="S11" s="18" t="str"/>
      <x:c r="T11" s="20" t="n">
        <x:v>7</x:v>
      </x:c>
      <x:c r="U11" s="19" t="n">
        <x:f>IFERROR(TODAY()-DATEVALUE(C11),"")</x:f>
        <x:v>953</x:v>
      </x:c>
      <x:c r="V11" s="21" t="n">
        <x:f>ROUND(COUNTA(A11:K11)/11*100,0)</x:f>
        <x:v>100</x:v>
      </x:c>
      <x:c r="W11" s="18" t="str">
        <x:v>EUR-Lex/CELLAR</x:v>
      </x:c>
      <x:c r="X11" s="22" t="str">
        <x:v>https://taxation-customs.ec.europa.eu/carbon-border-adjustment-mechanism_en</x:v>
      </x:c>
      <x:c r="Y11" s="18" t="str">
        <x:v>2024-01-31</x:v>
      </x:c>
      <x:c r="Z11" s="18" t="n">
        <x:v>46275.114583333336</x:v>
      </x:c>
      <x:c r="AA11" s="18" t="str">
        <x:v>retained_terminal</x:v>
      </x:c>
      <x:c r="AB11" s="18" t="str">
        <x:v>READY</x:v>
      </x:c>
    </x:row>
    <x:row r="12">
      <x:c r="A12" s="18" t="str">
        <x:v>NYT-55-1246d624b0d7d965</x:v>
      </x:c>
      <x:c r="B12" s="18" t="str">
        <x:v>CBAM 'Omnibus I' simplification proposed</x:v>
      </x:c>
      <x:c r="C12" s="18" t="str">
        <x:v>2025-02-26</x:v>
      </x:c>
      <x:c r="D12" s="18" t="n">
        <x:v>2025</x:v>
      </x:c>
      <x:c r="E12" s="18" t="str">
        <x:v>2025-02</x:v>
      </x:c>
      <x:c r="F12" s="18" t="str"/>
      <x:c r="G12" s="18" t="str"/>
      <x:c r="H12" s="18" t="str">
        <x:v>European Union</x:v>
      </x:c>
      <x:c r="I12" s="18" t="str">
        <x:v>European Union</x:v>
      </x:c>
      <x:c r="J12" s="20" t="str"/>
      <x:c r="K12" s="18" t="str"/>
      <x:c r="L12" s="18" t="str">
        <x:v>2025-02-26</x:v>
      </x:c>
      <x:c r="M12" s="18" t="str">
        <x:v>European Union</x:v>
      </x:c>
      <x:c r="N12" s="18" t="str">
        <x:v>4</x:v>
      </x:c>
      <x:c r="O12" s="18" t="str">
        <x:v>CBAM 'Omnibus I' simplification proposed</x:v>
      </x:c>
      <x:c r="P12" s="18" t="str">
        <x:v>DEFINED_TERMINAL_OR_FEED_SCOPE</x:v>
      </x:c>
      <x:c r="Q12" s="18" t="str">
        <x:v>climate_cbam_watch.json — published records loaded</x:v>
      </x:c>
      <x:c r="R12" s="18" t="str"/>
      <x:c r="S12" s="18" t="str"/>
      <x:c r="T12" s="20" t="n">
        <x:v>7</x:v>
      </x:c>
      <x:c r="U12" s="19" t="n">
        <x:f>IFERROR(TODAY()-DATEVALUE(C12),"")</x:f>
        <x:v>561</x:v>
      </x:c>
      <x:c r="V12" s="21" t="n">
        <x:f>ROUND(COUNTA(A12:K12)/11*100,0)</x:f>
        <x:v>100</x:v>
      </x:c>
      <x:c r="W12" s="18" t="str">
        <x:v>EUR-Lex/CELLAR</x:v>
      </x:c>
      <x:c r="X12" s="22" t="str">
        <x:v>https://taxation-customs.ec.europa.eu/carbon-border-adjustment-mechanism_en</x:v>
      </x:c>
      <x:c r="Y12" s="18" t="str">
        <x:v>2025-02-26</x:v>
      </x:c>
      <x:c r="Z12" s="18" t="n">
        <x:v>46275.114583333336</x:v>
      </x:c>
      <x:c r="AA12" s="18" t="str">
        <x:v>retained_terminal</x:v>
      </x:c>
      <x:c r="AB12" s="18" t="str">
        <x:v>READY</x:v>
      </x:c>
    </x:row>
    <x:row r="13">
      <x:c r="A13" s="18" t="str">
        <x:v>NYT-55-9a480392f7663644</x:v>
      </x:c>
      <x:c r="B13" s="18" t="str">
        <x:v>CBAM definitive regime starts</x:v>
      </x:c>
      <x:c r="C13" s="18" t="str">
        <x:v>2026-01-01</x:v>
      </x:c>
      <x:c r="D13" s="18" t="n">
        <x:v>2026</x:v>
      </x:c>
      <x:c r="E13" s="18" t="str">
        <x:v>2026-01</x:v>
      </x:c>
      <x:c r="F13" s="18" t="str"/>
      <x:c r="G13" s="18" t="str"/>
      <x:c r="H13" s="18" t="str">
        <x:v>European Union</x:v>
      </x:c>
      <x:c r="I13" s="18" t="str">
        <x:v>European Union</x:v>
      </x:c>
      <x:c r="J13" s="20" t="str"/>
      <x:c r="K13" s="18" t="str"/>
      <x:c r="L13" s="18" t="str">
        <x:v>2026-01-01</x:v>
      </x:c>
      <x:c r="M13" s="18" t="str">
        <x:v>European Union</x:v>
      </x:c>
      <x:c r="N13" s="18" t="str">
        <x:v>5</x:v>
      </x:c>
      <x:c r="O13" s="18" t="str">
        <x:v>CBAM definitive regime starts</x:v>
      </x:c>
      <x:c r="P13" s="18" t="str">
        <x:v>DEFINED_TERMINAL_OR_FEED_SCOPE</x:v>
      </x:c>
      <x:c r="Q13" s="18" t="str">
        <x:v>climate_cbam_watch.json — published records loaded</x:v>
      </x:c>
      <x:c r="R13" s="18" t="str"/>
      <x:c r="S13" s="18" t="str"/>
      <x:c r="T13" s="20" t="n">
        <x:v>7</x:v>
      </x:c>
      <x:c r="U13" s="19" t="n">
        <x:f>IFERROR(TODAY()-DATEVALUE(C13),"")</x:f>
        <x:v>252</x:v>
      </x:c>
      <x:c r="V13" s="21" t="n">
        <x:f>ROUND(COUNTA(A13:K13)/11*100,0)</x:f>
        <x:v>100</x:v>
      </x:c>
      <x:c r="W13" s="18" t="str">
        <x:v>EUR-Lex/CELLAR</x:v>
      </x:c>
      <x:c r="X13" s="22" t="str">
        <x:v>https://taxation-customs.ec.europa.eu/carbon-border-adjustment-mechanism_en</x:v>
      </x:c>
      <x:c r="Y13" s="18" t="str">
        <x:v>2026-01-01</x:v>
      </x:c>
      <x:c r="Z13" s="18" t="n">
        <x:v>46275.114583333336</x:v>
      </x:c>
      <x:c r="AA13" s="18" t="str">
        <x:v>retained_terminal</x:v>
      </x:c>
      <x:c r="AB13" s="18" t="str">
        <x:v>READY</x:v>
      </x:c>
    </x:row>
    <x:row r="14">
      <x:c r="A14" s="18" t="str">
        <x:v>NYT-55-c45ada2f08dc9a57</x:v>
      </x:c>
      <x:c r="B14" s="18" t="str">
        <x:v>UK confirms its own CBAM</x:v>
      </x:c>
      <x:c r="C14" s="18" t="str">
        <x:v>2023-12-18</x:v>
      </x:c>
      <x:c r="D14" s="18" t="n">
        <x:v>2023</x:v>
      </x:c>
      <x:c r="E14" s="18" t="str">
        <x:v>2023-12</x:v>
      </x:c>
      <x:c r="F14" s="18" t="str"/>
      <x:c r="G14" s="18" t="str"/>
      <x:c r="H14" s="18" t="str">
        <x:v>United Kingdom</x:v>
      </x:c>
      <x:c r="I14" s="18" t="str">
        <x:v>United Kingdom</x:v>
      </x:c>
      <x:c r="J14" s="20" t="str"/>
      <x:c r="K14" s="18" t="str"/>
      <x:c r="L14" s="18" t="str">
        <x:v>2023-12-18</x:v>
      </x:c>
      <x:c r="M14" s="18" t="str">
        <x:v>United Kingdom</x:v>
      </x:c>
      <x:c r="N14" s="18" t="str">
        <x:v>6</x:v>
      </x:c>
      <x:c r="O14" s="18" t="str">
        <x:v>UK confirms its own CBAM</x:v>
      </x:c>
      <x:c r="P14" s="18" t="str">
        <x:v>DEFINED_TERMINAL_OR_FEED_SCOPE</x:v>
      </x:c>
      <x:c r="Q14" s="18" t="str">
        <x:v>climate_cbam_watch.json — published records loaded</x:v>
      </x:c>
      <x:c r="R14" s="18" t="str"/>
      <x:c r="S14" s="18" t="str"/>
      <x:c r="T14" s="20" t="n">
        <x:v>7</x:v>
      </x:c>
      <x:c r="U14" s="19" t="n">
        <x:f>IFERROR(TODAY()-DATEVALUE(C14),"")</x:f>
        <x:v>997</x:v>
      </x:c>
      <x:c r="V14" s="21" t="n">
        <x:f>ROUND(COUNTA(A14:K14)/11*100,0)</x:f>
        <x:v>100</x:v>
      </x:c>
      <x:c r="W14" s="18" t="str">
        <x:v>EUR-Lex/CELLAR</x:v>
      </x:c>
      <x:c r="X14" s="22" t="str">
        <x:v>https://www.gov.uk/government/consultations/addressing-carbon-leakage-risk-to-support-decarbonisation</x:v>
      </x:c>
      <x:c r="Y14" s="18" t="str">
        <x:v>2023-12-18</x:v>
      </x:c>
      <x:c r="Z14" s="18" t="n">
        <x:v>46275.114583333336</x:v>
      </x:c>
      <x:c r="AA14" s="18" t="str">
        <x:v>retained_terminal</x:v>
      </x:c>
      <x:c r="AB14" s="18" t="str">
        <x:v>READY</x:v>
      </x:c>
    </x:row>
    <x:row r="15">
      <x:c r="A15" s="18" t="str">
        <x:v>NYT-55-8ca679a2dbd89d63</x:v>
      </x:c>
      <x:c r="B15" s="18" t="str">
        <x:v>India-EU CBAM consultations</x:v>
      </x:c>
      <x:c r="C15" s="18" t="str">
        <x:v>2024-05-15</x:v>
      </x:c>
      <x:c r="D15" s="18" t="n">
        <x:v>2024</x:v>
      </x:c>
      <x:c r="E15" s="18" t="str">
        <x:v>2024-05</x:v>
      </x:c>
      <x:c r="F15" s="18" t="str"/>
      <x:c r="G15" s="18" t="str"/>
      <x:c r="H15" s="18" t="str">
        <x:v>India</x:v>
      </x:c>
      <x:c r="I15" s="18" t="str">
        <x:v>India</x:v>
      </x:c>
      <x:c r="J15" s="20" t="str"/>
      <x:c r="K15" s="18" t="str"/>
      <x:c r="L15" s="18" t="str">
        <x:v>2024-05-15</x:v>
      </x:c>
      <x:c r="M15" s="18" t="str">
        <x:v>India</x:v>
      </x:c>
      <x:c r="N15" s="18" t="str">
        <x:v>7</x:v>
      </x:c>
      <x:c r="O15" s="18" t="str">
        <x:v>India-EU CBAM consultations</x:v>
      </x:c>
      <x:c r="P15" s="18" t="str">
        <x:v>DEFINED_TERMINAL_OR_FEED_SCOPE</x:v>
      </x:c>
      <x:c r="Q15" s="18" t="str">
        <x:v>climate_cbam_watch.json — published records loaded</x:v>
      </x:c>
      <x:c r="R15" s="18" t="str"/>
      <x:c r="S15" s="18" t="str"/>
      <x:c r="T15" s="20" t="n">
        <x:v>7</x:v>
      </x:c>
      <x:c r="U15" s="19" t="n">
        <x:f>IFERROR(TODAY()-DATEVALUE(C15),"")</x:f>
        <x:v>848</x:v>
      </x:c>
      <x:c r="V15" s="21" t="n">
        <x:f>ROUND(COUNTA(A15:K15)/11*100,0)</x:f>
        <x:v>100</x:v>
      </x:c>
      <x:c r="W15" s="18" t="str">
        <x:v>EUR-Lex/CELLAR</x:v>
      </x:c>
      <x:c r="X15" s="22" t="str">
        <x:v>https://commerce.gov.in/</x:v>
      </x:c>
      <x:c r="Y15" s="18" t="str">
        <x:v>2024-05-15</x:v>
      </x:c>
      <x:c r="Z15" s="18" t="n">
        <x:v>46275.114583333336</x:v>
      </x:c>
      <x:c r="AA15" s="18" t="str">
        <x:v>retained_terminal</x:v>
      </x:c>
      <x:c r="AB15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7c98948ccec449d"/>
  <x:tableParts count="1">
    <x:tablePart xmlns:r="http://schemas.openxmlformats.org/officeDocument/2006/relationships" r:id="R747c64171638480b"/>
  </x:tableParts>
</x:worksheet>
</file>