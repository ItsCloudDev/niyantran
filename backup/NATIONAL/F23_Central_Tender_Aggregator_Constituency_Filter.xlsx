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ec5aef562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23 Central Tender Aggregator +" sheetId="1" r:id="R8db51a0e5187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1F4E78"/>
      </x:patternFill>
    </x:fill>
  </x:fills>
  <x:borders count="3">
    <x:border/>
    <x:border>
      <x:bottom style="medium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79ffacff94f20" /><Relationship Type="http://schemas.openxmlformats.org/officeDocument/2006/relationships/theme" Target="/xl/theme/theme1.xml" Id="R46aca4fe422e4512" /><Relationship Type="http://schemas.openxmlformats.org/officeDocument/2006/relationships/sharedStrings" Target="/xl/sharedStrings.xml" Id="R467a53984323481d" /><Relationship Type="http://schemas.openxmlformats.org/officeDocument/2006/relationships/worksheet" Target="/xl/worksheets/sheet1.xml" Id="R8db51a0e51874a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ea2001074043c5" /><Relationship Type="http://schemas.openxmlformats.org/officeDocument/2006/relationships/chart" Target="/xl/drawings/charts/chart2.xml" Id="Rc13945e5cd7145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Tenders by ministry and sector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'F23 Central Tender Aggregator +'!$BC$3</c:f>
              <c:strCache>
                <c:ptCount val="0"/>
              </c:strCache>
            </c:strRef>
          </c:cat>
          <c:val>
            <c:numRef>
              <c:f>'F23 Central Tender Aggregator +'!$BD$3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Closing-date opportunity pipeline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'F23 Central Tender Aggregator +'!$BF$3</c:f>
              <c:strCache>
                <c:ptCount val="0"/>
              </c:strCache>
            </c:strRef>
          </c:cat>
          <c:val>
            <c:numRef>
              <c:f>'F23 Central Tender Aggregator +'!$BG$3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ea2001074043c5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3945e5cd7145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national_23_clean_7ef228" displayName="T_national_23_clean_7ef228" ref="A8:AA18" headerRowCount="1" totalsRowCount="0" totalsRowShown="0">
  <x:tableColumns count="27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deadline"/>
    <x:tableColumn id="13" name="id"/>
    <x:tableColumn id="14" name="tender_title"/>
    <x:tableColumn id="15" name="coverage_status"/>
    <x:tableColumn id="16" name="coverage_scope"/>
    <x:tableColumn id="17" name="coverage_start"/>
    <x:tableColumn id="18" name="coverage_end"/>
    <x:tableColumn id="19" name="universe_count"/>
    <x:tableColumn id="20" name="record_age_days"/>
    <x:tableColumn id="21" name="record_completeness_pct"/>
    <x:tableColumn id="22" name="source_provider"/>
    <x:tableColumn id="23" name="source_url"/>
    <x:tableColumn id="24" name="source_published_at"/>
    <x:tableColumn id="25" name="source_retrieved_at"/>
    <x:tableColumn id="26" name="provenance"/>
    <x:tableColumn id="27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b3cfd37a1b4874" /><Relationship Type="http://schemas.openxmlformats.org/officeDocument/2006/relationships/table" Target="/xl/tables/table1.xml" Id="Re046f844630e4bc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4" max="14" width="32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8" hidden="0" customWidth="1"/>
    <x:col min="23" max="23" width="42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25" customHeight="1">
      <x:c r="A1" s="4" t="str">
        <x:v>Central Tender Aggregator + Constituency Filter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Open</x:v>
      </x:c>
      <x:c r="BD3" s="18" t="n">
        <x:v>10</x:v>
      </x:c>
      <x:c r="BF3" s="18" t="str">
        <x:v>Unclassified</x:v>
      </x:c>
      <x:c r="BG3" s="18" t="n">
        <x:v>10</x:v>
      </x:c>
    </x:row>
    <x:row r="4">
      <x:c r="A4" s="9" t="str">
        <x:v>Records</x:v>
      </x:c>
      <x:c r="B4" s="10" t="n">
        <x:v>10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deadline</x:v>
      </x:c>
      <x:c r="M8" s="15" t="str">
        <x:v>id</x:v>
      </x:c>
      <x:c r="N8" s="15" t="str">
        <x:v>tender_title</x:v>
      </x:c>
      <x:c r="O8" s="15" t="str">
        <x:v>coverage_status</x:v>
      </x:c>
      <x:c r="P8" s="15" t="str">
        <x:v>coverage_scope</x:v>
      </x:c>
      <x:c r="Q8" s="15" t="str">
        <x:v>coverage_start</x:v>
      </x:c>
      <x:c r="R8" s="15" t="str">
        <x:v>coverage_end</x:v>
      </x:c>
      <x:c r="S8" s="15" t="str">
        <x:v>universe_count</x:v>
      </x:c>
      <x:c r="T8" s="15" t="str">
        <x:v>record_age_days</x:v>
      </x:c>
      <x:c r="U8" s="15" t="str">
        <x:v>record_completeness_pct</x:v>
      </x:c>
      <x:c r="V8" s="15" t="str">
        <x:v>source_provider</x:v>
      </x:c>
      <x:c r="W8" s="15" t="str">
        <x:v>source_url</x:v>
      </x:c>
      <x:c r="X8" s="15" t="str">
        <x:v>source_published_at</x:v>
      </x:c>
      <x:c r="Y8" s="15" t="str">
        <x:v>source_retrieved_at</x:v>
      </x:c>
      <x:c r="Z8" s="15" t="str">
        <x:v>provenance</x:v>
      </x:c>
      <x:c r="AA8" s="15" t="str">
        <x:v>quality_status</x:v>
      </x:c>
    </x:row>
    <x:row r="9">
      <x:c r="A9" s="18" t="str">
        <x:v>NYT-23-cd05a48b33d473aa</x:v>
      </x:c>
      <x:c r="B9" s="18" t="str">
        <x:v>Central Tender Aggregator + Constituency Filter source coverage</x:v>
      </x:c>
      <x:c r="C9" s="18" t="str"/>
      <x:c r="D9" s="18" t="str"/>
      <x:c r="E9" s="18" t="str"/>
      <x:c r="F9" s="18" t="str">
        <x:v>Open</x:v>
      </x:c>
      <x:c r="G9" s="18" t="str"/>
      <x:c r="H9" s="18" t="str"/>
      <x:c r="I9" s="18" t="str"/>
      <x:c r="J9" s="20" t="str"/>
      <x:c r="K9" s="18" t="str"/>
      <x:c r="L9" s="18" t="str">
        <x:v>13-Jul-2026 03:00 PM</x:v>
      </x:c>
      <x:c r="M9" s="18" t="str">
        <x:v>1</x:v>
      </x:c>
      <x:c r="N9" s="18" t="str">
        <x:v>1. M/o various schemes under NA.II (EZ).SH-    Providing, fixing and installation of piezometer with digital water level recorded (DWLR) at already existing RWH under the jurisdiction of Sub-Division-II.</x:v>
      </x:c>
      <x:c r="O9" s="18" t="str">
        <x:v>DEFINED_TERMINAL_OR_FEED_SCOPE</x:v>
      </x:c>
      <x:c r="P9" s="18" t="str">
        <x:v>national_tender_aggregator.json — published records loaded</x:v>
      </x:c>
      <x:c r="Q9" s="18" t="str"/>
      <x:c r="R9" s="18" t="str"/>
      <x:c r="S9" s="20" t="n">
        <x:v>10</x:v>
      </x:c>
      <x:c r="T9" s="19" t="str">
        <x:f>IFERROR(TODAY()-DATEVALUE(C9),"")</x:f>
      </x:c>
      <x:c r="U9" s="21" t="n">
        <x:f>ROUND(COUNTA(A9:K9)/11*100,0)</x:f>
        <x:v>100</x:v>
      </x:c>
      <x:c r="V9" s="18" t="str">
        <x:v>CPPP eProcure</x:v>
      </x:c>
      <x:c r="W9" s="22" t="str">
        <x:v>https://eprocure.gov.in/eprocure/app?component=%24DirectLink&amp;page=Home&amp;service=direct&amp;session=T&amp;sp=S053AdMX6DVPTsD93WAtjJA%3D%3D</x:v>
      </x:c>
      <x:c r="X9" s="18" t="str"/>
      <x:c r="Y9" s="18" t="n">
        <x:v>46275.114583333336</x:v>
      </x:c>
      <x:c r="Z9" s="18" t="str">
        <x:v>retained_terminal</x:v>
      </x:c>
      <x:c r="AA9" s="18" t="str">
        <x:v>PARTIAL_NO_DATE</x:v>
      </x:c>
    </x:row>
    <x:row r="10">
      <x:c r="A10" s="18" t="str">
        <x:v>NYT-23-8f3f4fc24b4aac92</x:v>
      </x:c>
      <x:c r="B10" s="18" t="str">
        <x:v>Central Tender Aggregator + Constituency Filter source coverage</x:v>
      </x:c>
      <x:c r="C10" s="18" t="str"/>
      <x:c r="D10" s="18" t="str"/>
      <x:c r="E10" s="18" t="str"/>
      <x:c r="F10" s="18" t="str">
        <x:v>Open</x:v>
      </x:c>
      <x:c r="G10" s="18" t="str"/>
      <x:c r="H10" s="18" t="str"/>
      <x:c r="I10" s="18" t="str"/>
      <x:c r="J10" s="20" t="str"/>
      <x:c r="K10" s="18" t="str"/>
      <x:c r="L10" s="18" t="str">
        <x:v>13-Jul-2026 03:00 PM</x:v>
      </x:c>
      <x:c r="M10" s="18" t="str">
        <x:v>2</x:v>
      </x:c>
      <x:c r="N10" s="18" t="str">
        <x:v>2. M/o Various Schemes under NA.II (EZ)S.H.-Replacement of existing G.S. sheet roof AND painting of external FACADE of community hall at Kondli Gharoli Mayur Vihar Phase-III.</x:v>
      </x:c>
      <x:c r="O10" s="18" t="str">
        <x:v>DEFINED_TERMINAL_OR_FEED_SCOPE</x:v>
      </x:c>
      <x:c r="P10" s="18" t="str">
        <x:v>national_tender_aggregator.json — published records loaded</x:v>
      </x:c>
      <x:c r="Q10" s="18" t="str"/>
      <x:c r="R10" s="18" t="str"/>
      <x:c r="S10" s="20" t="n">
        <x:v>10</x:v>
      </x:c>
      <x:c r="T10" s="19" t="str">
        <x:f>IFERROR(TODAY()-DATEVALUE(C10),"")</x:f>
      </x:c>
      <x:c r="U10" s="21" t="n">
        <x:f>ROUND(COUNTA(A10:K10)/11*100,0)</x:f>
        <x:v>100</x:v>
      </x:c>
      <x:c r="V10" s="18" t="str">
        <x:v>CPPP eProcure</x:v>
      </x:c>
      <x:c r="W10" s="22" t="str">
        <x:v>https://eprocure.gov.in/eprocure/app?component=%24DirectLink&amp;page=Home&amp;service=direct&amp;session=T&amp;sp=SA3%2F7f7lB%2By%2BjofD6iAsvWg%3D%3D</x:v>
      </x:c>
      <x:c r="X10" s="18" t="str"/>
      <x:c r="Y10" s="18" t="n">
        <x:v>46275.114583333336</x:v>
      </x:c>
      <x:c r="Z10" s="18" t="str">
        <x:v>retained_terminal</x:v>
      </x:c>
      <x:c r="AA10" s="18" t="str">
        <x:v>PARTIAL_NO_DATE</x:v>
      </x:c>
    </x:row>
    <x:row r="11">
      <x:c r="A11" s="18" t="str">
        <x:v>NYT-23-3118c4399b9e644a</x:v>
      </x:c>
      <x:c r="B11" s="18" t="str">
        <x:v>Central Tender Aggregator + Constituency Filter source coverage</x:v>
      </x:c>
      <x:c r="C11" s="18" t="str"/>
      <x:c r="D11" s="18" t="str"/>
      <x:c r="E11" s="18" t="str"/>
      <x:c r="F11" s="18" t="str">
        <x:v>Open</x:v>
      </x:c>
      <x:c r="G11" s="18" t="str"/>
      <x:c r="H11" s="18" t="str"/>
      <x:c r="I11" s="18" t="str"/>
      <x:c r="J11" s="20" t="str"/>
      <x:c r="K11" s="18" t="str"/>
      <x:c r="L11" s="18" t="str">
        <x:v>13-Jul-2026 03:00 PM</x:v>
      </x:c>
      <x:c r="M11" s="18" t="str">
        <x:v>3</x:v>
      </x:c>
      <x:c r="N11" s="18" t="str">
        <x:v>3. M/o Various schemes under NA.II (EZ) Sub-Head- Day to day Cleaning and scavenging of  24m, 30m AND 45m R/W roads at Pkt-C, IFC, Gazipur.</x:v>
      </x:c>
      <x:c r="O11" s="18" t="str">
        <x:v>DEFINED_TERMINAL_OR_FEED_SCOPE</x:v>
      </x:c>
      <x:c r="P11" s="18" t="str">
        <x:v>national_tender_aggregator.json — published records loaded</x:v>
      </x:c>
      <x:c r="Q11" s="18" t="str"/>
      <x:c r="R11" s="18" t="str"/>
      <x:c r="S11" s="20" t="n">
        <x:v>10</x:v>
      </x:c>
      <x:c r="T11" s="19" t="str">
        <x:f>IFERROR(TODAY()-DATEVALUE(C11),"")</x:f>
      </x:c>
      <x:c r="U11" s="21" t="n">
        <x:f>ROUND(COUNTA(A11:K11)/11*100,0)</x:f>
        <x:v>100</x:v>
      </x:c>
      <x:c r="V11" s="18" t="str">
        <x:v>CPPP eProcure</x:v>
      </x:c>
      <x:c r="W11" s="22" t="str">
        <x:v>https://eprocure.gov.in/eprocure/app?component=%24DirectLink&amp;page=Home&amp;service=direct&amp;session=T&amp;sp=ScNQ8DlFSs37n2XVoLQbgnA%3D%3D</x:v>
      </x:c>
      <x:c r="X11" s="18" t="str"/>
      <x:c r="Y11" s="18" t="n">
        <x:v>46275.114583333336</x:v>
      </x:c>
      <x:c r="Z11" s="18" t="str">
        <x:v>retained_terminal</x:v>
      </x:c>
      <x:c r="AA11" s="18" t="str">
        <x:v>PARTIAL_NO_DATE</x:v>
      </x:c>
    </x:row>
    <x:row r="12">
      <x:c r="A12" s="18" t="str">
        <x:v>NYT-23-237132bb96d60f1b</x:v>
      </x:c>
      <x:c r="B12" s="18" t="str">
        <x:v>Central Tender Aggregator + Constituency Filter source coverage</x:v>
      </x:c>
      <x:c r="C12" s="18" t="str"/>
      <x:c r="D12" s="18" t="str"/>
      <x:c r="E12" s="18" t="str"/>
      <x:c r="F12" s="18" t="str">
        <x:v>Open</x:v>
      </x:c>
      <x:c r="G12" s="18" t="str"/>
      <x:c r="H12" s="18" t="str"/>
      <x:c r="I12" s="18" t="str"/>
      <x:c r="J12" s="20" t="str"/>
      <x:c r="K12" s="18" t="str"/>
      <x:c r="L12" s="18" t="str">
        <x:v>13-Jul-2026 03:00 PM</x:v>
      </x:c>
      <x:c r="M12" s="18" t="str">
        <x:v>4</x:v>
      </x:c>
      <x:c r="N12" s="18" t="str">
        <x:v>4. M/o Various Schemes underNA.II (EZ).S.H.-Repair AND maintenance of QAC Zonal Lab i/c painting, plaster, roofing etc. situated at Kondli-Gharoli Mayur Vihar Phase-III.</x:v>
      </x:c>
      <x:c r="O12" s="18" t="str">
        <x:v>DEFINED_TERMINAL_OR_FEED_SCOPE</x:v>
      </x:c>
      <x:c r="P12" s="18" t="str">
        <x:v>national_tender_aggregator.json — published records loaded</x:v>
      </x:c>
      <x:c r="Q12" s="18" t="str"/>
      <x:c r="R12" s="18" t="str"/>
      <x:c r="S12" s="20" t="n">
        <x:v>10</x:v>
      </x:c>
      <x:c r="T12" s="19" t="str">
        <x:f>IFERROR(TODAY()-DATEVALUE(C12),"")</x:f>
      </x:c>
      <x:c r="U12" s="21" t="n">
        <x:f>ROUND(COUNTA(A12:K12)/11*100,0)</x:f>
        <x:v>100</x:v>
      </x:c>
      <x:c r="V12" s="18" t="str">
        <x:v>CPPP eProcure</x:v>
      </x:c>
      <x:c r="W12" s="22" t="str">
        <x:v>https://eprocure.gov.in/eprocure/app?component=%24DirectLink&amp;page=Home&amp;service=direct&amp;session=T&amp;sp=SVWUZvS60KBEPA13y%2BU%2F08g%3D%3D</x:v>
      </x:c>
      <x:c r="X12" s="18" t="str"/>
      <x:c r="Y12" s="18" t="n">
        <x:v>46275.114583333336</x:v>
      </x:c>
      <x:c r="Z12" s="18" t="str">
        <x:v>retained_terminal</x:v>
      </x:c>
      <x:c r="AA12" s="18" t="str">
        <x:v>PARTIAL_NO_DATE</x:v>
      </x:c>
    </x:row>
    <x:row r="13">
      <x:c r="A13" s="18" t="str">
        <x:v>NYT-23-6ef6800c72110848</x:v>
      </x:c>
      <x:c r="B13" s="18" t="str">
        <x:v>Central Tender Aggregator + Constituency Filter source coverage</x:v>
      </x:c>
      <x:c r="C13" s="18" t="str"/>
      <x:c r="D13" s="18" t="str"/>
      <x:c r="E13" s="18" t="str"/>
      <x:c r="F13" s="18" t="str">
        <x:v>Open</x:v>
      </x:c>
      <x:c r="G13" s="18" t="str"/>
      <x:c r="H13" s="18" t="str"/>
      <x:c r="I13" s="18" t="str"/>
      <x:c r="J13" s="20" t="str"/>
      <x:c r="K13" s="18" t="str"/>
      <x:c r="L13" s="18" t="str">
        <x:v>13-Jul-2026 03:00 PM</x:v>
      </x:c>
      <x:c r="M13" s="18" t="str">
        <x:v>5</x:v>
      </x:c>
      <x:c r="N13" s="18" t="str">
        <x:v>5. M/o Various Schemes under NA.II (EZ)S.H.-Cleaning of Chocked Sewer line by diesel running vehicle mounting hydraulic operated high pressure suction cum jetting machine at FC-26 Dallupura and 480 LIG Houses Ashirwad Apartments KondliGharoli Mayur.....</x:v>
      </x:c>
      <x:c r="O13" s="18" t="str">
        <x:v>DEFINED_TERMINAL_OR_FEED_SCOPE</x:v>
      </x:c>
      <x:c r="P13" s="18" t="str">
        <x:v>national_tender_aggregator.json — published records loaded</x:v>
      </x:c>
      <x:c r="Q13" s="18" t="str"/>
      <x:c r="R13" s="18" t="str"/>
      <x:c r="S13" s="20" t="n">
        <x:v>10</x:v>
      </x:c>
      <x:c r="T13" s="19" t="str">
        <x:f>IFERROR(TODAY()-DATEVALUE(C13),"")</x:f>
      </x:c>
      <x:c r="U13" s="21" t="n">
        <x:f>ROUND(COUNTA(A13:K13)/11*100,0)</x:f>
        <x:v>100</x:v>
      </x:c>
      <x:c r="V13" s="18" t="str">
        <x:v>CPPP eProcure</x:v>
      </x:c>
      <x:c r="W13" s="22" t="str">
        <x:v>https://eprocure.gov.in/eprocure/app?component=%24DirectLink&amp;page=Home&amp;service=direct&amp;session=T&amp;sp=SAzQbRAA3cHeyv1nbl8ssmA%3D%3D</x:v>
      </x:c>
      <x:c r="X13" s="18" t="str"/>
      <x:c r="Y13" s="18" t="n">
        <x:v>46275.114583333336</x:v>
      </x:c>
      <x:c r="Z13" s="18" t="str">
        <x:v>retained_terminal</x:v>
      </x:c>
      <x:c r="AA13" s="18" t="str">
        <x:v>PARTIAL_NO_DATE</x:v>
      </x:c>
    </x:row>
    <x:row r="14">
      <x:c r="A14" s="18" t="str">
        <x:v>NYT-23-8fda75317d5e8111</x:v>
      </x:c>
      <x:c r="B14" s="18" t="str">
        <x:v>Central Tender Aggregator + Constituency Filter source coverage</x:v>
      </x:c>
      <x:c r="C14" s="18" t="str"/>
      <x:c r="D14" s="18" t="str"/>
      <x:c r="E14" s="18" t="str"/>
      <x:c r="F14" s="18" t="str">
        <x:v>Open</x:v>
      </x:c>
      <x:c r="G14" s="18" t="str"/>
      <x:c r="H14" s="18" t="str"/>
      <x:c r="I14" s="18" t="str"/>
      <x:c r="J14" s="20" t="str"/>
      <x:c r="K14" s="18" t="str"/>
      <x:c r="L14" s="18" t="str">
        <x:v>10-Jul-2026 12:00 PM</x:v>
      </x:c>
      <x:c r="M14" s="18" t="str">
        <x:v>6</x:v>
      </x:c>
      <x:c r="N14" s="18" t="str">
        <x:v>6. Repair and maintenance of 630 KVA Transformer installed at near main gate of BSF campus Paloura under Ftr HQ BSF Jammu</x:v>
      </x:c>
      <x:c r="O14" s="18" t="str">
        <x:v>DEFINED_TERMINAL_OR_FEED_SCOPE</x:v>
      </x:c>
      <x:c r="P14" s="18" t="str">
        <x:v>national_tender_aggregator.json — published records loaded</x:v>
      </x:c>
      <x:c r="Q14" s="18" t="str"/>
      <x:c r="R14" s="18" t="str"/>
      <x:c r="S14" s="20" t="n">
        <x:v>10</x:v>
      </x:c>
      <x:c r="T14" s="19" t="str">
        <x:f>IFERROR(TODAY()-DATEVALUE(C14),"")</x:f>
      </x:c>
      <x:c r="U14" s="21" t="n">
        <x:f>ROUND(COUNTA(A14:K14)/11*100,0)</x:f>
        <x:v>100</x:v>
      </x:c>
      <x:c r="V14" s="18" t="str">
        <x:v>CPPP eProcure</x:v>
      </x:c>
      <x:c r="W14" s="22" t="str">
        <x:v>https://eprocure.gov.in/eprocure/app?component=%24DirectLink&amp;page=Home&amp;service=direct&amp;session=T&amp;sp=SR5zB72IePvfuNxq55cM1Tg%3D%3D</x:v>
      </x:c>
      <x:c r="X14" s="18" t="str"/>
      <x:c r="Y14" s="18" t="n">
        <x:v>46275.114583333336</x:v>
      </x:c>
      <x:c r="Z14" s="18" t="str">
        <x:v>retained_terminal</x:v>
      </x:c>
      <x:c r="AA14" s="18" t="str">
        <x:v>PARTIAL_NO_DATE</x:v>
      </x:c>
    </x:row>
    <x:row r="15">
      <x:c r="A15" s="18" t="str">
        <x:v>NYT-23-1da1aee240139fc0</x:v>
      </x:c>
      <x:c r="B15" s="18" t="str">
        <x:v>Central Tender Aggregator + Constituency Filter source coverage</x:v>
      </x:c>
      <x:c r="C15" s="18" t="str"/>
      <x:c r="D15" s="18" t="str"/>
      <x:c r="E15" s="18" t="str"/>
      <x:c r="F15" s="18" t="str">
        <x:v>Open</x:v>
      </x:c>
      <x:c r="G15" s="18" t="str"/>
      <x:c r="H15" s="18" t="str"/>
      <x:c r="I15" s="18" t="str"/>
      <x:c r="J15" s="20" t="str"/>
      <x:c r="K15" s="18" t="str"/>
      <x:c r="L15" s="18" t="str">
        <x:v>13-Jul-2026 03:00 PM</x:v>
      </x:c>
      <x:c r="M15" s="18" t="str">
        <x:v>7</x:v>
      </x:c>
      <x:c r="N15" s="18" t="str">
        <x:v>7.  M/o Various schemes under NA.II (EZ) Sub-Head	-Cleaning of toilet, pantries, sweeping, moping of DDA Utsav Sthal at CBD Shahdara.</x:v>
      </x:c>
      <x:c r="O15" s="18" t="str">
        <x:v>DEFINED_TERMINAL_OR_FEED_SCOPE</x:v>
      </x:c>
      <x:c r="P15" s="18" t="str">
        <x:v>national_tender_aggregator.json — published records loaded</x:v>
      </x:c>
      <x:c r="Q15" s="18" t="str"/>
      <x:c r="R15" s="18" t="str"/>
      <x:c r="S15" s="20" t="n">
        <x:v>10</x:v>
      </x:c>
      <x:c r="T15" s="19" t="str">
        <x:f>IFERROR(TODAY()-DATEVALUE(C15),"")</x:f>
      </x:c>
      <x:c r="U15" s="21" t="n">
        <x:f>ROUND(COUNTA(A15:K15)/11*100,0)</x:f>
        <x:v>100</x:v>
      </x:c>
      <x:c r="V15" s="18" t="str">
        <x:v>CPPP eProcure</x:v>
      </x:c>
      <x:c r="W15" s="22" t="str">
        <x:v>https://eprocure.gov.in/eprocure/app?component=%24DirectLink&amp;page=Home&amp;service=direct&amp;session=T&amp;sp=SXWfnddsv8gcZZZCvVjL8Vw%3D%3D</x:v>
      </x:c>
      <x:c r="X15" s="18" t="str"/>
      <x:c r="Y15" s="18" t="n">
        <x:v>46275.114583333336</x:v>
      </x:c>
      <x:c r="Z15" s="18" t="str">
        <x:v>retained_terminal</x:v>
      </x:c>
      <x:c r="AA15" s="18" t="str">
        <x:v>PARTIAL_NO_DATE</x:v>
      </x:c>
    </x:row>
    <x:row r="16">
      <x:c r="A16" s="18" t="str">
        <x:v>NYT-23-41883c1ecd4e7487</x:v>
      </x:c>
      <x:c r="B16" s="18" t="str">
        <x:v>Central Tender Aggregator + Constituency Filter source coverage</x:v>
      </x:c>
      <x:c r="C16" s="18" t="str"/>
      <x:c r="D16" s="18" t="str"/>
      <x:c r="E16" s="18" t="str"/>
      <x:c r="F16" s="18" t="str">
        <x:v>Open</x:v>
      </x:c>
      <x:c r="G16" s="18" t="str"/>
      <x:c r="H16" s="18" t="str"/>
      <x:c r="I16" s="18" t="str"/>
      <x:c r="J16" s="20" t="str"/>
      <x:c r="K16" s="18" t="str"/>
      <x:c r="L16" s="18" t="str">
        <x:v>13-Jul-2026 03:00 PM</x:v>
      </x:c>
      <x:c r="M16" s="18" t="str">
        <x:v>8</x:v>
      </x:c>
      <x:c r="N16" s="18" t="str">
        <x:v>8. M/o various schemes under NA.II (EZ).SH-    Providing, fixing AND installation of piezometer with digital water level recorded (DWLR) at already existing RWH under the jurisdiction of Sub-Division-III.</x:v>
      </x:c>
      <x:c r="O16" s="18" t="str">
        <x:v>DEFINED_TERMINAL_OR_FEED_SCOPE</x:v>
      </x:c>
      <x:c r="P16" s="18" t="str">
        <x:v>national_tender_aggregator.json — published records loaded</x:v>
      </x:c>
      <x:c r="Q16" s="18" t="str"/>
      <x:c r="R16" s="18" t="str"/>
      <x:c r="S16" s="20" t="n">
        <x:v>10</x:v>
      </x:c>
      <x:c r="T16" s="19" t="str">
        <x:f>IFERROR(TODAY()-DATEVALUE(C16),"")</x:f>
      </x:c>
      <x:c r="U16" s="21" t="n">
        <x:f>ROUND(COUNTA(A16:K16)/11*100,0)</x:f>
        <x:v>100</x:v>
      </x:c>
      <x:c r="V16" s="18" t="str">
        <x:v>CPPP eProcure</x:v>
      </x:c>
      <x:c r="W16" s="22" t="str">
        <x:v>https://eprocure.gov.in/eprocure/app?component=%24DirectLink&amp;page=Home&amp;service=direct&amp;session=T&amp;sp=ShaEjj59%2Bojnw30VtGsy3%2FA%3D%3D</x:v>
      </x:c>
      <x:c r="X16" s="18" t="str"/>
      <x:c r="Y16" s="18" t="n">
        <x:v>46275.114583333336</x:v>
      </x:c>
      <x:c r="Z16" s="18" t="str">
        <x:v>retained_terminal</x:v>
      </x:c>
      <x:c r="AA16" s="18" t="str">
        <x:v>PARTIAL_NO_DATE</x:v>
      </x:c>
    </x:row>
    <x:row r="17">
      <x:c r="A17" s="18" t="str">
        <x:v>NYT-23-bf455133e7e5c31a</x:v>
      </x:c>
      <x:c r="B17" s="18" t="str">
        <x:v>Central Tender Aggregator + Constituency Filter source coverage</x:v>
      </x:c>
      <x:c r="C17" s="18" t="str"/>
      <x:c r="D17" s="18" t="str"/>
      <x:c r="E17" s="18" t="str"/>
      <x:c r="F17" s="18" t="str">
        <x:v>Open</x:v>
      </x:c>
      <x:c r="G17" s="18" t="str"/>
      <x:c r="H17" s="18" t="str"/>
      <x:c r="I17" s="18" t="str"/>
      <x:c r="J17" s="20" t="str"/>
      <x:c r="K17" s="18" t="str"/>
      <x:c r="L17" s="18" t="str">
        <x:v>13-Jul-2026 11:00 AM</x:v>
      </x:c>
      <x:c r="M17" s="18" t="str">
        <x:v>9</x:v>
      </x:c>
      <x:c r="N17" s="18" t="str">
        <x:v>9. Water Proofing treatment of roof of Strachey Hall</x:v>
      </x:c>
      <x:c r="O17" s="18" t="str">
        <x:v>DEFINED_TERMINAL_OR_FEED_SCOPE</x:v>
      </x:c>
      <x:c r="P17" s="18" t="str">
        <x:v>national_tender_aggregator.json — published records loaded</x:v>
      </x:c>
      <x:c r="Q17" s="18" t="str"/>
      <x:c r="R17" s="18" t="str"/>
      <x:c r="S17" s="20" t="n">
        <x:v>10</x:v>
      </x:c>
      <x:c r="T17" s="19" t="str">
        <x:f>IFERROR(TODAY()-DATEVALUE(C17),"")</x:f>
      </x:c>
      <x:c r="U17" s="21" t="n">
        <x:f>ROUND(COUNTA(A17:K17)/11*100,0)</x:f>
        <x:v>100</x:v>
      </x:c>
      <x:c r="V17" s="18" t="str">
        <x:v>CPPP eProcure</x:v>
      </x:c>
      <x:c r="W17" s="22" t="str">
        <x:v>https://eprocure.gov.in/eprocure/app?component=%24DirectLink&amp;page=Home&amp;service=direct&amp;session=T&amp;sp=Ssnju6RM3XuqnlP08Xy1zig%3D%3D</x:v>
      </x:c>
      <x:c r="X17" s="18" t="str"/>
      <x:c r="Y17" s="18" t="n">
        <x:v>46275.114583333336</x:v>
      </x:c>
      <x:c r="Z17" s="18" t="str">
        <x:v>retained_terminal</x:v>
      </x:c>
      <x:c r="AA17" s="18" t="str">
        <x:v>PARTIAL_NO_DATE</x:v>
      </x:c>
    </x:row>
    <x:row r="18">
      <x:c r="A18" s="18" t="str">
        <x:v>NYT-23-7b587e0e0d0c5dd1</x:v>
      </x:c>
      <x:c r="B18" s="18" t="str">
        <x:v>Central Tender Aggregator + Constituency Filter source coverage</x:v>
      </x:c>
      <x:c r="C18" s="18" t="str"/>
      <x:c r="D18" s="18" t="str"/>
      <x:c r="E18" s="18" t="str"/>
      <x:c r="F18" s="18" t="str">
        <x:v>Open</x:v>
      </x:c>
      <x:c r="G18" s="18" t="str"/>
      <x:c r="H18" s="18" t="str"/>
      <x:c r="I18" s="18" t="str"/>
      <x:c r="J18" s="20" t="str"/>
      <x:c r="K18" s="18" t="str"/>
      <x:c r="L18" s="18" t="str">
        <x:v>13-Jul-2026 11:00 AM</x:v>
      </x:c>
      <x:c r="M18" s="18" t="str">
        <x:v>10</x:v>
      </x:c>
      <x:c r="N18" s="18" t="str">
        <x:v>10. 1 Raising of Back side Boundary wall about 3 feet height and Re fixing of existing grill at Begum Sultan Jahan Hall 2 Raising of exiting grill and P f Concertina coil fencing on A and B wing Boundary wall at Begum Sultan Jahan hall 3 Minor Repair</x:v>
      </x:c>
      <x:c r="O18" s="18" t="str">
        <x:v>DEFINED_TERMINAL_OR_FEED_SCOPE</x:v>
      </x:c>
      <x:c r="P18" s="18" t="str">
        <x:v>national_tender_aggregator.json — published records loaded</x:v>
      </x:c>
      <x:c r="Q18" s="18" t="str"/>
      <x:c r="R18" s="18" t="str"/>
      <x:c r="S18" s="20" t="n">
        <x:v>10</x:v>
      </x:c>
      <x:c r="T18" s="19" t="str">
        <x:f>IFERROR(TODAY()-DATEVALUE(C18),"")</x:f>
      </x:c>
      <x:c r="U18" s="21" t="n">
        <x:f>ROUND(COUNTA(A18:K18)/11*100,0)</x:f>
        <x:v>100</x:v>
      </x:c>
      <x:c r="V18" s="18" t="str">
        <x:v>CPPP eProcure</x:v>
      </x:c>
      <x:c r="W18" s="22" t="str">
        <x:v>https://eprocure.gov.in/eprocure/app?component=%24DirectLink&amp;page=Home&amp;service=direct&amp;session=T&amp;sp=SeyIWvsGdDPucE9IpTDwMCw%3D%3D</x:v>
      </x:c>
      <x:c r="X18" s="18" t="str"/>
      <x:c r="Y18" s="18" t="n">
        <x:v>46275.114583333336</x:v>
      </x:c>
      <x:c r="Z18" s="18" t="str">
        <x:v>retained_terminal</x:v>
      </x:c>
      <x:c r="AA18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0b3cfd37a1b4874"/>
  <x:tableParts count="1">
    <x:tablePart xmlns:r="http://schemas.openxmlformats.org/officeDocument/2006/relationships" r:id="Re046f844630e4bc3"/>
  </x:tableParts>
</x:worksheet>
</file>