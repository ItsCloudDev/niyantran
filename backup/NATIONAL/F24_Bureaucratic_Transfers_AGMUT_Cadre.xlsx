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56b1c3577c40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24 Bureaucratic Transfers — AG" sheetId="1" r:id="Rfbcb8c90902a4c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"/>
    <x:numFmt numFmtId="202" formatCode="0.0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1F4E78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1F4E78"/>
      </x:patternFill>
    </x:fill>
  </x:fills>
  <x:borders count="3">
    <x:border/>
    <x:border>
      <x:bottom style="medium">
        <x:color rgb="FF1F4E78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201" fontId="1" fillId="0" borderId="2" xfId="0" applyNumberFormat="1" applyFont="1" applyFill="1" applyBorder="1" applyAlignment="1">
      <x:alignment vertical="top" wrapText="1"/>
    </x:xf>
    <x:xf numFmtId="202" fontId="1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a4a1c693844999" /><Relationship Type="http://schemas.openxmlformats.org/officeDocument/2006/relationships/theme" Target="/xl/theme/theme1.xml" Id="R9094d1970f8043fb" /><Relationship Type="http://schemas.openxmlformats.org/officeDocument/2006/relationships/sharedStrings" Target="/xl/sharedStrings.xml" Id="R1ccc663535a948a3" /><Relationship Type="http://schemas.openxmlformats.org/officeDocument/2006/relationships/worksheet" Target="/xl/worksheets/sheet1.xml" Id="Rfbcb8c90902a4c4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b6d09613b1f46e9" /><Relationship Type="http://schemas.openxmlformats.org/officeDocument/2006/relationships/chart" Target="/xl/drawings/charts/chart2.xml" Id="R92da60b9f73c4be7" /><Relationship Type="http://schemas.openxmlformats.org/officeDocument/2006/relationships/chart" Target="/xl/drawings/charts/chart3.xml" Id="R61fc53e6920a467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Transfers and postings over time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Records</c:v>
          </c:tx>
          <c:marker>
            <c:symbol val="none"/>
          </c:marker>
          <c:cat>
            <c:strRef>
              <c:f>'F24 Bureaucratic Transfers — AG'!$AZ$3:$AZ$27</c:f>
              <c:strCache>
                <c:ptCount val="0"/>
              </c:strCache>
            </c:strRef>
          </c:cat>
          <c:val>
            <c:numRef>
              <c:f>'F24 Bureaucratic Transfers — AG'!$BA$3:$BA$27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Officers by cadre and rank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'F24 Bureaucratic Transfers — AG'!$BC$3</c:f>
              <c:strCache>
                <c:ptCount val="0"/>
              </c:strCache>
            </c:strRef>
          </c:cat>
          <c:val>
            <c:numRef>
              <c:f>'F24 Bureaucratic Transfers — AG'!$BD$3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Tenure length by posting — record 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record count</c:v>
          </c:tx>
          <c:cat>
            <c:strRef>
              <c:f>'F24 Bureaucratic Transfers — AG'!$BF$3:$BF$10</c:f>
              <c:strCache>
                <c:ptCount val="0"/>
              </c:strCache>
            </c:strRef>
          </c:cat>
          <c:val>
            <c:numRef>
              <c:f>'F24 Bureaucratic Transfers — AG'!$BG$3:$BG$10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b6d09613b1f46e9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2da60b9f73c4be7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fc53e6920a467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national_24_clean_63a857" displayName="T_national_24_clean_63a857" ref="A8:AE37" headerRowCount="1" totalsRowCount="0" totalsRowShown="0">
  <x:tableColumns count="31">
    <x:tableColumn id="1" name="record_id"/>
    <x:tableColumn id="2" name="record_title"/>
    <x:tableColumn id="3" name="record_date"/>
    <x:tableColumn id="4" name="year"/>
    <x:tableColumn id="5" name="month"/>
    <x:tableColumn id="6" name="status"/>
    <x:tableColumn id="7" name="category"/>
    <x:tableColumn id="8" name="geography"/>
    <x:tableColumn id="9" name="primary_entity"/>
    <x:tableColumn id="10" name="metric_value"/>
    <x:tableColumn id="11" name="metric_unit"/>
    <x:tableColumn id="12" name="order_date"/>
    <x:tableColumn id="13" name="jurisdiction"/>
    <x:tableColumn id="14" name="cadre"/>
    <x:tableColumn id="15" name="officer_name"/>
    <x:tableColumn id="16" name="new_posting"/>
    <x:tableColumn id="17" name="batch_year"/>
    <x:tableColumn id="18" name="previous_posting"/>
    <x:tableColumn id="19" name="coverage_status"/>
    <x:tableColumn id="20" name="coverage_scope"/>
    <x:tableColumn id="21" name="coverage_start"/>
    <x:tableColumn id="22" name="coverage_end"/>
    <x:tableColumn id="23" name="universe_count"/>
    <x:tableColumn id="24" name="record_age_days"/>
    <x:tableColumn id="25" name="record_completeness_pct"/>
    <x:tableColumn id="26" name="source_provider"/>
    <x:tableColumn id="27" name="source_url"/>
    <x:tableColumn id="28" name="source_published_at"/>
    <x:tableColumn id="29" name="source_retrieved_at"/>
    <x:tableColumn id="30" name="provenance"/>
    <x:tableColumn id="31" name="quality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3e2b97c5cd64c17" /><Relationship Type="http://schemas.openxmlformats.org/officeDocument/2006/relationships/table" Target="/xl/tables/table1.xml" Id="Rb3caa953c82d4086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24" hidden="0" customWidth="1"/>
    <x:col min="10" max="10" width="15" hidden="0" customWidth="1"/>
    <x:col min="11" max="11" width="15" hidden="0" customWidth="1"/>
    <x:col min="12" max="12" width="16" hidden="0" customWidth="1"/>
    <x:col min="13" max="13" width="15" hidden="0" customWidth="1"/>
    <x:col min="14" max="14" width="15" hidden="0" customWidth="1"/>
    <x:col min="15" max="15" width="32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8" hidden="0" customWidth="1"/>
    <x:col min="27" max="27" width="42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</x:cols>
  <x:sheetData>
    <x:row r="1" ht="25" customHeight="1">
      <x:c r="A1" s="4" t="str">
        <x:v>Bureaucratic Transfers — AGMUT Cadre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29 enrichment records • DEFINED_TERMINAL_OR_FEED_SCOPE • refreshed 2026-09-10</x:v>
      </x:c>
      <x:c r="B2" s="6"/>
      <x:c r="C2" s="6"/>
      <x:c r="D2" s="6"/>
      <x:c r="E2" s="6"/>
      <x:c r="F2" s="6"/>
      <x:c r="G2" s="6"/>
      <x:c r="H2" s="6"/>
      <x:c r="AZ2" s="15" t="str">
        <x:v>Date</x:v>
      </x:c>
      <x:c r="BA2" s="15" t="str">
        <x:v>Records</x:v>
      </x:c>
      <x:c r="BC2" s="15" t="str">
        <x:v>Category / status</x:v>
      </x:c>
      <x:c r="BD2" s="15" t="str">
        <x:v>Records</x:v>
      </x:c>
      <x:c r="BF2" s="15" t="str">
        <x:v>Entity</x:v>
      </x:c>
      <x:c r="BG2" s="15" t="str">
        <x:v>record count</x:v>
      </x:c>
    </x:row>
    <x:row r="3">
      <x:c r="AZ3" s="18" t="str">
        <x:v>2024-07-05</x:v>
      </x:c>
      <x:c r="BA3" s="18" t="n">
        <x:v>1</x:v>
      </x:c>
      <x:c r="BC3" s="18" t="str">
        <x:v>Unclassified</x:v>
      </x:c>
      <x:c r="BD3" s="18" t="n">
        <x:v>29</x:v>
      </x:c>
      <x:c r="BF3" s="18" t="str">
        <x:v>Delhi</x:v>
      </x:c>
      <x:c r="BG3" s="18" t="n">
        <x:v>16</x:v>
      </x:c>
    </x:row>
    <x:row r="4">
      <x:c r="A4" s="9" t="str">
        <x:v>Records</x:v>
      </x:c>
      <x:c r="B4" s="10" t="n">
        <x:v>29</x:v>
      </x:c>
      <x:c r="C4" s="9" t="str">
        <x:v>Dated records</x:v>
      </x:c>
      <x:c r="D4" s="10" t="n">
        <x:v>29</x:v>
      </x:c>
      <x:c r="E4" s="9" t="str">
        <x:v>Sources</x:v>
      </x:c>
      <x:c r="F4" s="10" t="n">
        <x:v>1</x:v>
      </x:c>
      <x:c r="G4" s="9" t="str">
        <x:v>Freshest record</x:v>
      </x:c>
      <x:c r="H4" s="9" t="str">
        <x:v>2026-06-11</x:v>
      </x:c>
      <x:c r="AZ4" s="18" t="str">
        <x:v>2024-07-12</x:v>
      </x:c>
      <x:c r="BA4" s="18" t="n">
        <x:v>1</x:v>
      </x:c>
      <x:c r="BF4" s="18" t="str">
        <x:v>Unclassified</x:v>
      </x:c>
      <x:c r="BG4" s="18" t="n">
        <x:v>4</x:v>
      </x:c>
    </x:row>
    <x:row r="5">
      <x:c r="AZ5" s="18" t="str">
        <x:v>2024-09-11</x:v>
      </x:c>
      <x:c r="BA5" s="18" t="n">
        <x:v>1</x:v>
      </x:c>
      <x:c r="BF5" s="18" t="str">
        <x:v>Mizoram</x:v>
      </x:c>
      <x:c r="BG5" s="18" t="n">
        <x:v>3</x:v>
      </x:c>
    </x:row>
    <x:row r="6">
      <x:c r="AZ6" s="18" t="str">
        <x:v>2024-10-07</x:v>
      </x:c>
      <x:c r="BA6" s="18" t="n">
        <x:v>2</x:v>
      </x:c>
      <x:c r="BF6" s="18" t="str">
        <x:v>Puducherry</x:v>
      </x:c>
      <x:c r="BG6" s="18" t="n">
        <x:v>2</x:v>
      </x:c>
    </x:row>
    <x:row r="7">
      <x:c r="AZ7" s="18" t="str">
        <x:v>2024-10-14</x:v>
      </x:c>
      <x:c r="BA7" s="18" t="n">
        <x:v>1</x:v>
      </x:c>
      <x:c r="BF7" s="18" t="str">
        <x:v>Andaman and Nicobar Islands</x:v>
      </x:c>
      <x:c r="BG7" s="18" t="n">
        <x:v>1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year</x:v>
      </x:c>
      <x:c r="E8" s="15" t="str">
        <x:v>month</x:v>
      </x:c>
      <x:c r="F8" s="15" t="str">
        <x:v>status</x:v>
      </x:c>
      <x:c r="G8" s="15" t="str">
        <x:v>category</x:v>
      </x:c>
      <x:c r="H8" s="15" t="str">
        <x:v>geography</x:v>
      </x:c>
      <x:c r="I8" s="15" t="str">
        <x:v>primary_entity</x:v>
      </x:c>
      <x:c r="J8" s="15" t="str">
        <x:v>metric_value</x:v>
      </x:c>
      <x:c r="K8" s="15" t="str">
        <x:v>metric_unit</x:v>
      </x:c>
      <x:c r="L8" s="15" t="str">
        <x:v>order_date</x:v>
      </x:c>
      <x:c r="M8" s="15" t="str">
        <x:v>jurisdiction</x:v>
      </x:c>
      <x:c r="N8" s="15" t="str">
        <x:v>cadre</x:v>
      </x:c>
      <x:c r="O8" s="15" t="str">
        <x:v>officer_name</x:v>
      </x:c>
      <x:c r="P8" s="15" t="str">
        <x:v>new_posting</x:v>
      </x:c>
      <x:c r="Q8" s="15" t="str">
        <x:v>batch_year</x:v>
      </x:c>
      <x:c r="R8" s="15" t="str">
        <x:v>previous_posting</x:v>
      </x:c>
      <x:c r="S8" s="15" t="str">
        <x:v>coverage_status</x:v>
      </x:c>
      <x:c r="T8" s="15" t="str">
        <x:v>coverage_scope</x:v>
      </x:c>
      <x:c r="U8" s="15" t="str">
        <x:v>coverage_start</x:v>
      </x:c>
      <x:c r="V8" s="15" t="str">
        <x:v>coverage_end</x:v>
      </x:c>
      <x:c r="W8" s="15" t="str">
        <x:v>universe_count</x:v>
      </x:c>
      <x:c r="X8" s="15" t="str">
        <x:v>record_age_days</x:v>
      </x:c>
      <x:c r="Y8" s="15" t="str">
        <x:v>record_completeness_pct</x:v>
      </x:c>
      <x:c r="Z8" s="15" t="str">
        <x:v>source_provider</x:v>
      </x:c>
      <x:c r="AA8" s="15" t="str">
        <x:v>source_url</x:v>
      </x:c>
      <x:c r="AB8" s="15" t="str">
        <x:v>source_published_at</x:v>
      </x:c>
      <x:c r="AC8" s="15" t="str">
        <x:v>source_retrieved_at</x:v>
      </x:c>
      <x:c r="AD8" s="15" t="str">
        <x:v>provenance</x:v>
      </x:c>
      <x:c r="AE8" s="15" t="str">
        <x:v>quality_status</x:v>
      </x:c>
      <x:c r="AZ8" s="18" t="str">
        <x:v>2024-10-17</x:v>
      </x:c>
      <x:c r="BA8" s="18" t="n">
        <x:v>1</x:v>
      </x:c>
      <x:c r="BF8" s="18" t="str">
        <x:v>Chandigarh</x:v>
      </x:c>
      <x:c r="BG8" s="18" t="n">
        <x:v>1</x:v>
      </x:c>
    </x:row>
    <x:row r="9">
      <x:c r="A9" s="18" t="str">
        <x:v>NYT-24-74a98d8663304c27</x:v>
      </x:c>
      <x:c r="B9" s="18" t="str">
        <x:v>Bureaucratic Transfers — AGMUT Cadre source coverage</x:v>
      </x:c>
      <x:c r="C9" s="18" t="str">
        <x:v>2024-07-05</x:v>
      </x:c>
      <x:c r="D9" s="18" t="n">
        <x:v>2024</x:v>
      </x:c>
      <x:c r="E9" s="18" t="str">
        <x:v>2024-07</x:v>
      </x:c>
      <x:c r="F9" s="18" t="str"/>
      <x:c r="G9" s="18" t="str"/>
      <x:c r="H9" s="18" t="str">
        <x:v>Delhi</x:v>
      </x:c>
      <x:c r="I9" s="18" t="str">
        <x:v>Delhi</x:v>
      </x:c>
      <x:c r="J9" s="20" t="str"/>
      <x:c r="K9" s="18" t="str"/>
      <x:c r="L9" s="18" t="str">
        <x:v>2024-07-05</x:v>
      </x:c>
      <x:c r="M9" s="18" t="str">
        <x:v>Delhi</x:v>
      </x:c>
      <x:c r="N9" s="18" t="str">
        <x:v>IAS (AGMUT:2008)</x:v>
      </x:c>
      <x:c r="O9" s="18" t="str">
        <x:v>Chanchal Yadav</x:v>
      </x:c>
      <x:c r="P9" s="18" t="str">
        <x:v>Delhi</x:v>
      </x:c>
      <x:c r="Q9" s="18" t="str">
        <x:v>2008</x:v>
      </x:c>
      <x:c r="R9" s="18" t="str">
        <x:v>repatriation from Study Leave/Central Deputation</x:v>
      </x:c>
      <x:c r="S9" s="18" t="str">
        <x:v>DEFINED_TERMINAL_OR_FEED_SCOPE</x:v>
      </x:c>
      <x:c r="T9" s="18" t="str">
        <x:v>national_agmut_transfers.json — published records loaded</x:v>
      </x:c>
      <x:c r="U9" s="18" t="str"/>
      <x:c r="V9" s="18" t="str"/>
      <x:c r="W9" s="20" t="n">
        <x:v>29</x:v>
      </x:c>
      <x:c r="X9" s="19" t="n">
        <x:f>IFERROR(TODAY()-DATEVALUE(C9),"")</x:f>
        <x:v>797</x:v>
      </x:c>
      <x:c r="Y9" s="21" t="n">
        <x:f>ROUND(COUNTA(A9:K9)/11*100,0)</x:f>
        <x:v>100</x:v>
      </x:c>
      <x:c r="Z9" s="18" t="str">
        <x:v>Ministry of Home Affairs — AGMUT Cadre Management</x:v>
      </x:c>
      <x:c r="AA9" s="22" t="str">
        <x:v>https://mha.gov.in/MHA1/uttrans/tranpdfs/chanchalyadav_05072024.pdf</x:v>
      </x:c>
      <x:c r="AB9" s="18" t="str">
        <x:v>2024-07-05</x:v>
      </x:c>
      <x:c r="AC9" s="18" t="n">
        <x:v>46275.114583333336</x:v>
      </x:c>
      <x:c r="AD9" s="18" t="str">
        <x:v>retained_terminal</x:v>
      </x:c>
      <x:c r="AE9" s="18" t="str">
        <x:v>READY</x:v>
      </x:c>
      <x:c r="AZ9" s="18" t="str">
        <x:v>2024-10-30</x:v>
      </x:c>
      <x:c r="BA9" s="18" t="n">
        <x:v>1</x:v>
      </x:c>
      <x:c r="BF9" s="18" t="str">
        <x:v>Goa</x:v>
      </x:c>
      <x:c r="BG9" s="18" t="n">
        <x:v>1</x:v>
      </x:c>
    </x:row>
    <x:row r="10">
      <x:c r="A10" s="18" t="str">
        <x:v>NYT-24-a085f2a93fd69354</x:v>
      </x:c>
      <x:c r="B10" s="18" t="str">
        <x:v>Bureaucratic Transfers — AGMUT Cadre source coverage</x:v>
      </x:c>
      <x:c r="C10" s="18" t="str">
        <x:v>2024-07-12</x:v>
      </x:c>
      <x:c r="D10" s="18" t="n">
        <x:v>2024</x:v>
      </x:c>
      <x:c r="E10" s="18" t="str">
        <x:v>2024-07</x:v>
      </x:c>
      <x:c r="F10" s="18" t="str"/>
      <x:c r="G10" s="18" t="str"/>
      <x:c r="H10" s="18" t="str">
        <x:v>Andaman and Nicobar Islands</x:v>
      </x:c>
      <x:c r="I10" s="18" t="str">
        <x:v>Andaman and Nicobar Islands</x:v>
      </x:c>
      <x:c r="J10" s="20" t="str"/>
      <x:c r="K10" s="18" t="str"/>
      <x:c r="L10" s="18" t="str">
        <x:v>2024-07-12</x:v>
      </x:c>
      <x:c r="M10" s="18" t="str">
        <x:v>Andaman and Nicobar Islands</x:v>
      </x:c>
      <x:c r="N10" s="18" t="str">
        <x:v>IPS (AGMUT: 2009)</x:v>
      </x:c>
      <x:c r="O10" s="18" t="str">
        <x:v>Dr. A Koan</x:v>
      </x:c>
      <x:c r="P10" s="18" t="str">
        <x:v>Andaman and Nicobar Islands</x:v>
      </x:c>
      <x:c r="Q10" s="18" t="str">
        <x:v>2009</x:v>
      </x:c>
      <x:c r="R10" s="18" t="str">
        <x:v>Goa</x:v>
      </x:c>
      <x:c r="S10" s="18" t="str">
        <x:v>DEFINED_TERMINAL_OR_FEED_SCOPE</x:v>
      </x:c>
      <x:c r="T10" s="18" t="str">
        <x:v>national_agmut_transfers.json — published records loaded</x:v>
      </x:c>
      <x:c r="U10" s="18" t="str"/>
      <x:c r="V10" s="18" t="str"/>
      <x:c r="W10" s="20" t="n">
        <x:v>29</x:v>
      </x:c>
      <x:c r="X10" s="19" t="n">
        <x:f>IFERROR(TODAY()-DATEVALUE(C10),"")</x:f>
        <x:v>790</x:v>
      </x:c>
      <x:c r="Y10" s="21" t="n">
        <x:f>ROUND(COUNTA(A10:K10)/11*100,0)</x:f>
        <x:v>100</x:v>
      </x:c>
      <x:c r="Z10" s="18" t="str">
        <x:v>Ministry of Home Affairs — AGMUT Cadre Management</x:v>
      </x:c>
      <x:c r="AA10" s="22" t="str">
        <x:v>https://mha.gov.in/MHA1/uttrans/tranpdfs/Akoan_12072024.pdf</x:v>
      </x:c>
      <x:c r="AB10" s="18" t="str">
        <x:v>2024-07-12</x:v>
      </x:c>
      <x:c r="AC10" s="18" t="n">
        <x:v>46275.114583333336</x:v>
      </x:c>
      <x:c r="AD10" s="18" t="str">
        <x:v>retained_terminal</x:v>
      </x:c>
      <x:c r="AE10" s="18" t="str">
        <x:v>READY</x:v>
      </x:c>
      <x:c r="AZ10" s="18" t="str">
        <x:v>2024-11-14</x:v>
      </x:c>
      <x:c r="BA10" s="18" t="n">
        <x:v>1</x:v>
      </x:c>
      <x:c r="BF10" s="18" t="str">
        <x:v>Arunachal Pradesh</x:v>
      </x:c>
      <x:c r="BG10" s="18" t="n">
        <x:v>1</x:v>
      </x:c>
    </x:row>
    <x:row r="11">
      <x:c r="A11" s="18" t="str">
        <x:v>NYT-24-cc1f53f2323d88d5</x:v>
      </x:c>
      <x:c r="B11" s="18" t="str">
        <x:v>Bureaucratic Transfers — AGMUT Cadre source coverage</x:v>
      </x:c>
      <x:c r="C11" s="18" t="str">
        <x:v>2024-10-07</x:v>
      </x:c>
      <x:c r="D11" s="18" t="n">
        <x:v>2024</x:v>
      </x:c>
      <x:c r="E11" s="18" t="str">
        <x:v>2024-10</x:v>
      </x:c>
      <x:c r="F11" s="18" t="str"/>
      <x:c r="G11" s="18" t="str"/>
      <x:c r="H11" s="18" t="str">
        <x:v>Delhi</x:v>
      </x:c>
      <x:c r="I11" s="18" t="str">
        <x:v>Delhi</x:v>
      </x:c>
      <x:c r="J11" s="20" t="str"/>
      <x:c r="K11" s="18" t="str"/>
      <x:c r="L11" s="18" t="str">
        <x:v>2024-10-07</x:v>
      </x:c>
      <x:c r="M11" s="18" t="str">
        <x:v>Delhi</x:v>
      </x:c>
      <x:c r="N11" s="18" t="str">
        <x:v>IAS (AGMUT:2003)</x:v>
      </x:c>
      <x:c r="O11" s="18" t="str">
        <x:v>Nandini Paliwal</x:v>
      </x:c>
      <x:c r="P11" s="18" t="str">
        <x:v>Delhi</x:v>
      </x:c>
      <x:c r="Q11" s="18" t="str">
        <x:v>2003</x:v>
      </x:c>
      <x:c r="R11" s="18" t="str">
        <x:v>A&amp;N Islands</x:v>
      </x:c>
      <x:c r="S11" s="18" t="str">
        <x:v>DEFINED_TERMINAL_OR_FEED_SCOPE</x:v>
      </x:c>
      <x:c r="T11" s="18" t="str">
        <x:v>national_agmut_transfers.json — published records loaded</x:v>
      </x:c>
      <x:c r="U11" s="18" t="str"/>
      <x:c r="V11" s="18" t="str"/>
      <x:c r="W11" s="20" t="n">
        <x:v>29</x:v>
      </x:c>
      <x:c r="X11" s="19" t="n">
        <x:f>IFERROR(TODAY()-DATEVALUE(C11),"")</x:f>
        <x:v>703</x:v>
      </x:c>
      <x:c r="Y11" s="21" t="n">
        <x:f>ROUND(COUNTA(A11:K11)/11*100,0)</x:f>
        <x:v>100</x:v>
      </x:c>
      <x:c r="Z11" s="18" t="str">
        <x:v>Ministry of Home Affairs — AGMUT Cadre Management</x:v>
      </x:c>
      <x:c r="AA11" s="22" t="str">
        <x:v>https://mha.gov.in/MHA1/uttrans/tranpdfs/AUGMUTORDER_07102024.pdf</x:v>
      </x:c>
      <x:c r="AB11" s="18" t="str">
        <x:v>2024-10-07</x:v>
      </x:c>
      <x:c r="AC11" s="18" t="n">
        <x:v>46275.114583333336</x:v>
      </x:c>
      <x:c r="AD11" s="18" t="str">
        <x:v>retained_terminal</x:v>
      </x:c>
      <x:c r="AE11" s="18" t="str">
        <x:v>READY</x:v>
      </x:c>
      <x:c r="AZ11" s="18" t="str">
        <x:v>2024-12-02</x:v>
      </x:c>
      <x:c r="BA11" s="18" t="n">
        <x:v>1</x:v>
      </x:c>
    </x:row>
    <x:row r="12">
      <x:c r="A12" s="18" t="str">
        <x:v>NYT-24-f7af8b5a64471fa4</x:v>
      </x:c>
      <x:c r="B12" s="18" t="str">
        <x:v>Bureaucratic Transfers — AGMUT Cadre source coverage</x:v>
      </x:c>
      <x:c r="C12" s="18" t="str">
        <x:v>2024-10-07</x:v>
      </x:c>
      <x:c r="D12" s="18" t="n">
        <x:v>2024</x:v>
      </x:c>
      <x:c r="E12" s="18" t="str">
        <x:v>2024-10</x:v>
      </x:c>
      <x:c r="F12" s="18" t="str"/>
      <x:c r="G12" s="18" t="str"/>
      <x:c r="H12" s="18" t="str">
        <x:v>Delhi</x:v>
      </x:c>
      <x:c r="I12" s="18" t="str">
        <x:v>Delhi</x:v>
      </x:c>
      <x:c r="J12" s="20" t="str"/>
      <x:c r="K12" s="18" t="str"/>
      <x:c r="L12" s="18" t="str">
        <x:v>2024-10-07</x:v>
      </x:c>
      <x:c r="M12" s="18" t="str">
        <x:v>Delhi</x:v>
      </x:c>
      <x:c r="N12" s="18" t="str">
        <x:v>IPS (AGMUT: 1991)</x:v>
      </x:c>
      <x:c r="O12" s="18" t="str">
        <x:v>Shri Vivek Gogia</x:v>
      </x:c>
      <x:c r="P12" s="18" t="str">
        <x:v>Delhi segment of AGMUT cadre</x:v>
      </x:c>
      <x:c r="Q12" s="18" t="str">
        <x:v>1991</x:v>
      </x:c>
      <x:c r="R12" s="18" t="str">
        <x:v>Central Deputation</x:v>
      </x:c>
      <x:c r="S12" s="18" t="str">
        <x:v>DEFINED_TERMINAL_OR_FEED_SCOPE</x:v>
      </x:c>
      <x:c r="T12" s="18" t="str">
        <x:v>national_agmut_transfers.json — published records loaded</x:v>
      </x:c>
      <x:c r="U12" s="18" t="str"/>
      <x:c r="V12" s="18" t="str"/>
      <x:c r="W12" s="20" t="n">
        <x:v>29</x:v>
      </x:c>
      <x:c r="X12" s="19" t="n">
        <x:f>IFERROR(TODAY()-DATEVALUE(C12),"")</x:f>
        <x:v>703</x:v>
      </x:c>
      <x:c r="Y12" s="21" t="n">
        <x:f>ROUND(COUNTA(A12:K12)/11*100,0)</x:f>
        <x:v>100</x:v>
      </x:c>
      <x:c r="Z12" s="18" t="str">
        <x:v>Ministry of Home Affairs — AGMUT Cadre Management</x:v>
      </x:c>
      <x:c r="AA12" s="22" t="str">
        <x:v>https://mha.gov.in/MHA1/uttrans/tranpdfs/AGMUTOrder_08102024.pdf</x:v>
      </x:c>
      <x:c r="AB12" s="18" t="str">
        <x:v>2024-10-07</x:v>
      </x:c>
      <x:c r="AC12" s="18" t="n">
        <x:v>46275.114583333336</x:v>
      </x:c>
      <x:c r="AD12" s="18" t="str">
        <x:v>retained_terminal</x:v>
      </x:c>
      <x:c r="AE12" s="18" t="str">
        <x:v>READY</x:v>
      </x:c>
      <x:c r="AZ12" s="18" t="str">
        <x:v>2024-12-13</x:v>
      </x:c>
      <x:c r="BA12" s="18" t="n">
        <x:v>1</x:v>
      </x:c>
    </x:row>
    <x:row r="13">
      <x:c r="A13" s="18" t="str">
        <x:v>NYT-24-0a748bc0cab8ded6</x:v>
      </x:c>
      <x:c r="B13" s="18" t="str">
        <x:v>Bureaucratic Transfers — AGMUT Cadre source coverage</x:v>
      </x:c>
      <x:c r="C13" s="18" t="str">
        <x:v>2024-10-14</x:v>
      </x:c>
      <x:c r="D13" s="18" t="n">
        <x:v>2024</x:v>
      </x:c>
      <x:c r="E13" s="18" t="str">
        <x:v>2024-10</x:v>
      </x:c>
      <x:c r="F13" s="18" t="str"/>
      <x:c r="G13" s="18" t="str"/>
      <x:c r="H13" s="18" t="str">
        <x:v>Delhi</x:v>
      </x:c>
      <x:c r="I13" s="18" t="str">
        <x:v>Delhi</x:v>
      </x:c>
      <x:c r="J13" s="20" t="str"/>
      <x:c r="K13" s="18" t="str"/>
      <x:c r="L13" s="18" t="str">
        <x:v>2024-10-14</x:v>
      </x:c>
      <x:c r="M13" s="18" t="str">
        <x:v>Delhi</x:v>
      </x:c>
      <x:c r="N13" s="18" t="str">
        <x:v>IAS (AGMUT:2020)</x:v>
      </x:c>
      <x:c r="O13" s="18" t="str">
        <x:v>Shreya Singhal</x:v>
      </x:c>
      <x:c r="P13" s="18" t="str">
        <x:v>Delhi</x:v>
      </x:c>
      <x:c r="Q13" s="18" t="str">
        <x:v>2020</x:v>
      </x:c>
      <x:c r="R13" s="18" t="str"/>
      <x:c r="S13" s="18" t="str">
        <x:v>DEFINED_TERMINAL_OR_FEED_SCOPE</x:v>
      </x:c>
      <x:c r="T13" s="18" t="str">
        <x:v>national_agmut_transfers.json — published records loaded</x:v>
      </x:c>
      <x:c r="U13" s="18" t="str"/>
      <x:c r="V13" s="18" t="str"/>
      <x:c r="W13" s="20" t="n">
        <x:v>29</x:v>
      </x:c>
      <x:c r="X13" s="19" t="n">
        <x:f>IFERROR(TODAY()-DATEVALUE(C13),"")</x:f>
        <x:v>696</x:v>
      </x:c>
      <x:c r="Y13" s="21" t="n">
        <x:f>ROUND(COUNTA(A13:K13)/11*100,0)</x:f>
        <x:v>100</x:v>
      </x:c>
      <x:c r="Z13" s="18" t="str">
        <x:v>Ministry of Home Affairs — AGMUT Cadre Management</x:v>
      </x:c>
      <x:c r="AA13" s="22" t="str">
        <x:v>https://mha.gov.in/MHA1/uttrans/tranpdfs/SHREYASinghal_14102024.pdf</x:v>
      </x:c>
      <x:c r="AB13" s="18" t="str">
        <x:v>2024-10-14</x:v>
      </x:c>
      <x:c r="AC13" s="18" t="n">
        <x:v>46275.114583333336</x:v>
      </x:c>
      <x:c r="AD13" s="18" t="str">
        <x:v>retained_terminal</x:v>
      </x:c>
      <x:c r="AE13" s="18" t="str">
        <x:v>READY</x:v>
      </x:c>
      <x:c r="AZ13" s="18" t="str">
        <x:v>2024-12-17</x:v>
      </x:c>
      <x:c r="BA13" s="18" t="n">
        <x:v>1</x:v>
      </x:c>
    </x:row>
    <x:row r="14">
      <x:c r="A14" s="18" t="str">
        <x:v>NYT-24-641971959fd99fbf</x:v>
      </x:c>
      <x:c r="B14" s="18" t="str">
        <x:v>Bureaucratic Transfers — AGMUT Cadre source coverage</x:v>
      </x:c>
      <x:c r="C14" s="18" t="str">
        <x:v>2024-12-02</x:v>
      </x:c>
      <x:c r="D14" s="18" t="n">
        <x:v>2024</x:v>
      </x:c>
      <x:c r="E14" s="18" t="str">
        <x:v>2024-12</x:v>
      </x:c>
      <x:c r="F14" s="18" t="str"/>
      <x:c r="G14" s="18" t="str"/>
      <x:c r="H14" s="18" t="str">
        <x:v>Delhi</x:v>
      </x:c>
      <x:c r="I14" s="18" t="str">
        <x:v>Delhi</x:v>
      </x:c>
      <x:c r="J14" s="20" t="str"/>
      <x:c r="K14" s="18" t="str"/>
      <x:c r="L14" s="18" t="str">
        <x:v>2024-12-02</x:v>
      </x:c>
      <x:c r="M14" s="18" t="str">
        <x:v>Delhi</x:v>
      </x:c>
      <x:c r="N14" s="18" t="str">
        <x:v>IPS (AGMUT: 1997)</x:v>
      </x:c>
      <x:c r="O14" s="18" t="str">
        <x:v>Shri Viplav Kumar Choudhry</x:v>
      </x:c>
      <x:c r="P14" s="18" t="str">
        <x:v>Delhi segment of AGMUT cadre</x:v>
      </x:c>
      <x:c r="Q14" s="18" t="str">
        <x:v>1997</x:v>
      </x:c>
      <x:c r="R14" s="18" t="str">
        <x:v>Central Deputation</x:v>
      </x:c>
      <x:c r="S14" s="18" t="str">
        <x:v>DEFINED_TERMINAL_OR_FEED_SCOPE</x:v>
      </x:c>
      <x:c r="T14" s="18" t="str">
        <x:v>national_agmut_transfers.json — published records loaded</x:v>
      </x:c>
      <x:c r="U14" s="18" t="str"/>
      <x:c r="V14" s="18" t="str"/>
      <x:c r="W14" s="20" t="n">
        <x:v>29</x:v>
      </x:c>
      <x:c r="X14" s="19" t="n">
        <x:f>IFERROR(TODAY()-DATEVALUE(C14),"")</x:f>
        <x:v>647</x:v>
      </x:c>
      <x:c r="Y14" s="21" t="n">
        <x:f>ROUND(COUNTA(A14:K14)/11*100,0)</x:f>
        <x:v>100</x:v>
      </x:c>
      <x:c r="Z14" s="18" t="str">
        <x:v>Ministry of Home Affairs — AGMUT Cadre Management</x:v>
      </x:c>
      <x:c r="AA14" s="22" t="str">
        <x:v>https://mha.gov.in/MHA1/uttrans/tranpdfs/IPSOrder_02122024.pdf</x:v>
      </x:c>
      <x:c r="AB14" s="18" t="str">
        <x:v>2024-12-02</x:v>
      </x:c>
      <x:c r="AC14" s="18" t="n">
        <x:v>46275.114583333336</x:v>
      </x:c>
      <x:c r="AD14" s="18" t="str">
        <x:v>retained_terminal</x:v>
      </x:c>
      <x:c r="AE14" s="18" t="str">
        <x:v>READY</x:v>
      </x:c>
      <x:c r="AZ14" s="18" t="str">
        <x:v>2025-02-04</x:v>
      </x:c>
      <x:c r="BA14" s="18" t="n">
        <x:v>1</x:v>
      </x:c>
    </x:row>
    <x:row r="15">
      <x:c r="A15" s="18" t="str">
        <x:v>NYT-24-931e3343de54df2a</x:v>
      </x:c>
      <x:c r="B15" s="18" t="str">
        <x:v>Bureaucratic Transfers — AGMUT Cadre source coverage</x:v>
      </x:c>
      <x:c r="C15" s="18" t="str">
        <x:v>2024-12-17</x:v>
      </x:c>
      <x:c r="D15" s="18" t="n">
        <x:v>2024</x:v>
      </x:c>
      <x:c r="E15" s="18" t="str">
        <x:v>2024-12</x:v>
      </x:c>
      <x:c r="F15" s="18" t="str"/>
      <x:c r="G15" s="18" t="str"/>
      <x:c r="H15" s="18" t="str"/>
      <x:c r="I15" s="18" t="str"/>
      <x:c r="J15" s="20" t="str"/>
      <x:c r="K15" s="18" t="str"/>
      <x:c r="L15" s="18" t="str">
        <x:v>2024-12-17</x:v>
      </x:c>
      <x:c r="M15" s="18" t="str"/>
      <x:c r="N15" s="18" t="str">
        <x:v>IAS (AGMUT: 1991)</x:v>
      </x:c>
      <x:c r="O15" s="18" t="str">
        <x:v>Shri Shantmanu</x:v>
      </x:c>
      <x:c r="P15" s="18" t="str">
        <x:v>Jammu and Kashmir segment of AGMUT cadre</x:v>
      </x:c>
      <x:c r="Q15" s="18" t="str">
        <x:v>1991</x:v>
      </x:c>
      <x:c r="R15" s="18" t="str">
        <x:v>repatriation from Central Deputation</x:v>
      </x:c>
      <x:c r="S15" s="18" t="str">
        <x:v>DEFINED_TERMINAL_OR_FEED_SCOPE</x:v>
      </x:c>
      <x:c r="T15" s="18" t="str">
        <x:v>national_agmut_transfers.json — published records loaded</x:v>
      </x:c>
      <x:c r="U15" s="18" t="str"/>
      <x:c r="V15" s="18" t="str"/>
      <x:c r="W15" s="20" t="n">
        <x:v>29</x:v>
      </x:c>
      <x:c r="X15" s="19" t="n">
        <x:f>IFERROR(TODAY()-DATEVALUE(C15),"")</x:f>
        <x:v>632</x:v>
      </x:c>
      <x:c r="Y15" s="21" t="n">
        <x:f>ROUND(COUNTA(A15:K15)/11*100,0)</x:f>
        <x:v>100</x:v>
      </x:c>
      <x:c r="Z15" s="18" t="str">
        <x:v>Ministry of Home Affairs — AGMUT Cadre Management</x:v>
      </x:c>
      <x:c r="AA15" s="22" t="str">
        <x:v>https://mha.gov.in/MHA1/uttrans/tranpdfs/AGMUTOrder_17122024.pdf</x:v>
      </x:c>
      <x:c r="AB15" s="18" t="str">
        <x:v>2024-12-17</x:v>
      </x:c>
      <x:c r="AC15" s="18" t="n">
        <x:v>46275.114583333336</x:v>
      </x:c>
      <x:c r="AD15" s="18" t="str">
        <x:v>retained_terminal</x:v>
      </x:c>
      <x:c r="AE15" s="18" t="str">
        <x:v>READY</x:v>
      </x:c>
      <x:c r="AZ15" s="18" t="str">
        <x:v>2025-03-26</x:v>
      </x:c>
      <x:c r="BA15" s="18" t="n">
        <x:v>2</x:v>
      </x:c>
    </x:row>
    <x:row r="16">
      <x:c r="A16" s="18" t="str">
        <x:v>NYT-24-3de62f57a1686ec9</x:v>
      </x:c>
      <x:c r="B16" s="18" t="str">
        <x:v>Bureaucratic Transfers — AGMUT Cadre source coverage</x:v>
      </x:c>
      <x:c r="C16" s="18" t="str">
        <x:v>2025-03-26</x:v>
      </x:c>
      <x:c r="D16" s="18" t="n">
        <x:v>2025</x:v>
      </x:c>
      <x:c r="E16" s="18" t="str">
        <x:v>2025-03</x:v>
      </x:c>
      <x:c r="F16" s="18" t="str"/>
      <x:c r="G16" s="18" t="str"/>
      <x:c r="H16" s="18" t="str">
        <x:v>Delhi</x:v>
      </x:c>
      <x:c r="I16" s="18" t="str">
        <x:v>Delhi</x:v>
      </x:c>
      <x:c r="J16" s="20" t="str"/>
      <x:c r="K16" s="18" t="str"/>
      <x:c r="L16" s="18" t="str">
        <x:v>2025-03-26</x:v>
      </x:c>
      <x:c r="M16" s="18" t="str">
        <x:v>Delhi</x:v>
      </x:c>
      <x:c r="N16" s="18" t="str">
        <x:v>IAS (AGMUT: 2011)</x:v>
      </x:c>
      <x:c r="O16" s="18" t="str">
        <x:v>Shri Sandeep Kumar Singh</x:v>
      </x:c>
      <x:c r="P16" s="18" t="str">
        <x:v>Govt, of NCT of Delhi with immediate effect</x:v>
      </x:c>
      <x:c r="Q16" s="18" t="str">
        <x:v>2011</x:v>
      </x:c>
      <x:c r="R16" s="18" t="str">
        <x:v>repatriation from Central Deputation</x:v>
      </x:c>
      <x:c r="S16" s="18" t="str">
        <x:v>DEFINED_TERMINAL_OR_FEED_SCOPE</x:v>
      </x:c>
      <x:c r="T16" s="18" t="str">
        <x:v>national_agmut_transfers.json — published records loaded</x:v>
      </x:c>
      <x:c r="U16" s="18" t="str"/>
      <x:c r="V16" s="18" t="str"/>
      <x:c r="W16" s="20" t="n">
        <x:v>29</x:v>
      </x:c>
      <x:c r="X16" s="19" t="n">
        <x:f>IFERROR(TODAY()-DATEVALUE(C16),"")</x:f>
        <x:v>533</x:v>
      </x:c>
      <x:c r="Y16" s="21" t="n">
        <x:f>ROUND(COUNTA(A16:K16)/11*100,0)</x:f>
        <x:v>100</x:v>
      </x:c>
      <x:c r="Z16" s="18" t="str">
        <x:v>Ministry of Home Affairs — AGMUT Cadre Management</x:v>
      </x:c>
      <x:c r="AA16" s="22" t="str">
        <x:v>https://mha.gov.in/MHA1/uttrans/tranpdfs/AgmutTran1_26032025.pdf</x:v>
      </x:c>
      <x:c r="AB16" s="18" t="str">
        <x:v>2025-03-26</x:v>
      </x:c>
      <x:c r="AC16" s="18" t="n">
        <x:v>46275.114583333336</x:v>
      </x:c>
      <x:c r="AD16" s="18" t="str">
        <x:v>retained_terminal</x:v>
      </x:c>
      <x:c r="AE16" s="18" t="str">
        <x:v>READY</x:v>
      </x:c>
      <x:c r="AZ16" s="18" t="str">
        <x:v>2025-04-11</x:v>
      </x:c>
      <x:c r="BA16" s="18" t="n">
        <x:v>1</x:v>
      </x:c>
    </x:row>
    <x:row r="17">
      <x:c r="A17" s="18" t="str">
        <x:v>NYT-24-399c42b6fe186feb</x:v>
      </x:c>
      <x:c r="B17" s="18" t="str">
        <x:v>Bureaucratic Transfers — AGMUT Cadre source coverage</x:v>
      </x:c>
      <x:c r="C17" s="18" t="str">
        <x:v>2025-04-11</x:v>
      </x:c>
      <x:c r="D17" s="18" t="n">
        <x:v>2025</x:v>
      </x:c>
      <x:c r="E17" s="18" t="str">
        <x:v>2025-04</x:v>
      </x:c>
      <x:c r="F17" s="18" t="str"/>
      <x:c r="G17" s="18" t="str"/>
      <x:c r="H17" s="18" t="str">
        <x:v>Delhi</x:v>
      </x:c>
      <x:c r="I17" s="18" t="str">
        <x:v>Delhi</x:v>
      </x:c>
      <x:c r="J17" s="20" t="str"/>
      <x:c r="K17" s="18" t="str"/>
      <x:c r="L17" s="18" t="str">
        <x:v>2025-04-11</x:v>
      </x:c>
      <x:c r="M17" s="18" t="str">
        <x:v>Delhi</x:v>
      </x:c>
      <x:c r="N17" s="18" t="str">
        <x:v>IAS (AGMUT: 2006)</x:v>
      </x:c>
      <x:c r="O17" s="18" t="str">
        <x:v>Rupesh Kumar Thakur</x:v>
      </x:c>
      <x:c r="P17" s="18" t="str">
        <x:v>Delhi segment of the joint AGMUT cadre</x:v>
      </x:c>
      <x:c r="Q17" s="18" t="str">
        <x:v>2006</x:v>
      </x:c>
      <x:c r="R17" s="18" t="str">
        <x:v>repatriation from Central Deputation</x:v>
      </x:c>
      <x:c r="S17" s="18" t="str">
        <x:v>DEFINED_TERMINAL_OR_FEED_SCOPE</x:v>
      </x:c>
      <x:c r="T17" s="18" t="str">
        <x:v>national_agmut_transfers.json — published records loaded</x:v>
      </x:c>
      <x:c r="U17" s="18" t="str"/>
      <x:c r="V17" s="18" t="str"/>
      <x:c r="W17" s="20" t="n">
        <x:v>29</x:v>
      </x:c>
      <x:c r="X17" s="19" t="n">
        <x:f>IFERROR(TODAY()-DATEVALUE(C17),"")</x:f>
        <x:v>517</x:v>
      </x:c>
      <x:c r="Y17" s="21" t="n">
        <x:f>ROUND(COUNTA(A17:K17)/11*100,0)</x:f>
        <x:v>100</x:v>
      </x:c>
      <x:c r="Z17" s="18" t="str">
        <x:v>Ministry of Home Affairs — AGMUT Cadre Management</x:v>
      </x:c>
      <x:c r="AA17" s="22" t="str">
        <x:v>https://mha.gov.in/MHA1/uttrans/tranpdfs/AgmutTrans_11042025.pdf</x:v>
      </x:c>
      <x:c r="AB17" s="18" t="str">
        <x:v>2025-04-11</x:v>
      </x:c>
      <x:c r="AC17" s="18" t="n">
        <x:v>46275.114583333336</x:v>
      </x:c>
      <x:c r="AD17" s="18" t="str">
        <x:v>retained_terminal</x:v>
      </x:c>
      <x:c r="AE17" s="18" t="str">
        <x:v>READY</x:v>
      </x:c>
      <x:c r="AZ17" s="18" t="str">
        <x:v>2025-05-05</x:v>
      </x:c>
      <x:c r="BA17" s="18" t="n">
        <x:v>1</x:v>
      </x:c>
    </x:row>
    <x:row r="18">
      <x:c r="A18" s="18" t="str">
        <x:v>NYT-24-9367da8b042f4c4e</x:v>
      </x:c>
      <x:c r="B18" s="18" t="str">
        <x:v>Bureaucratic Transfers — AGMUT Cadre source coverage</x:v>
      </x:c>
      <x:c r="C18" s="18" t="str">
        <x:v>2025-05-26</x:v>
      </x:c>
      <x:c r="D18" s="18" t="n">
        <x:v>2025</x:v>
      </x:c>
      <x:c r="E18" s="18" t="str">
        <x:v>2025-05</x:v>
      </x:c>
      <x:c r="F18" s="18" t="str"/>
      <x:c r="G18" s="18" t="str"/>
      <x:c r="H18" s="18" t="str">
        <x:v>Delhi</x:v>
      </x:c>
      <x:c r="I18" s="18" t="str">
        <x:v>Delhi</x:v>
      </x:c>
      <x:c r="J18" s="20" t="str"/>
      <x:c r="K18" s="18" t="str"/>
      <x:c r="L18" s="18" t="str">
        <x:v>2025-05-26</x:v>
      </x:c>
      <x:c r="M18" s="18" t="str">
        <x:v>Delhi</x:v>
      </x:c>
      <x:c r="N18" s="18" t="str">
        <x:v>IPS (AGMUT: 1994)</x:v>
      </x:c>
      <x:c r="O18" s="18" t="str">
        <x:v>Rajesh Khurana</x:v>
      </x:c>
      <x:c r="P18" s="18" t="str">
        <x:v>Delhi segment of Joint AGMUT cadre</x:v>
      </x:c>
      <x:c r="Q18" s="18" t="str">
        <x:v>1994</x:v>
      </x:c>
      <x:c r="R18" s="18" t="str">
        <x:v>Central Deputation</x:v>
      </x:c>
      <x:c r="S18" s="18" t="str">
        <x:v>DEFINED_TERMINAL_OR_FEED_SCOPE</x:v>
      </x:c>
      <x:c r="T18" s="18" t="str">
        <x:v>national_agmut_transfers.json — published records loaded</x:v>
      </x:c>
      <x:c r="U18" s="18" t="str"/>
      <x:c r="V18" s="18" t="str"/>
      <x:c r="W18" s="20" t="n">
        <x:v>29</x:v>
      </x:c>
      <x:c r="X18" s="19" t="n">
        <x:f>IFERROR(TODAY()-DATEVALUE(C18),"")</x:f>
        <x:v>472</x:v>
      </x:c>
      <x:c r="Y18" s="21" t="n">
        <x:f>ROUND(COUNTA(A18:K18)/11*100,0)</x:f>
        <x:v>100</x:v>
      </x:c>
      <x:c r="Z18" s="18" t="str">
        <x:v>Ministry of Home Affairs — AGMUT Cadre Management</x:v>
      </x:c>
      <x:c r="AA18" s="22" t="str">
        <x:v>https://mha.gov.in/MHA1/uttrans/tranpdfs/AGMUTIPS_26052025.pdf</x:v>
      </x:c>
      <x:c r="AB18" s="18" t="str">
        <x:v>2025-05-26</x:v>
      </x:c>
      <x:c r="AC18" s="18" t="n">
        <x:v>46275.114583333336</x:v>
      </x:c>
      <x:c r="AD18" s="18" t="str">
        <x:v>retained_terminal</x:v>
      </x:c>
      <x:c r="AE18" s="18" t="str">
        <x:v>READY</x:v>
      </x:c>
      <x:c r="AZ18" s="18" t="str">
        <x:v>2025-05-07</x:v>
      </x:c>
      <x:c r="BA18" s="18" t="n">
        <x:v>1</x:v>
      </x:c>
    </x:row>
    <x:row r="19">
      <x:c r="A19" s="18" t="str">
        <x:v>NYT-24-5053fafebae67a44</x:v>
      </x:c>
      <x:c r="B19" s="18" t="str">
        <x:v>Bureaucratic Transfers — AGMUT Cadre source coverage</x:v>
      </x:c>
      <x:c r="C19" s="18" t="str">
        <x:v>2025-05-15</x:v>
      </x:c>
      <x:c r="D19" s="18" t="n">
        <x:v>2025</x:v>
      </x:c>
      <x:c r="E19" s="18" t="str">
        <x:v>2025-05</x:v>
      </x:c>
      <x:c r="F19" s="18" t="str"/>
      <x:c r="G19" s="18" t="str"/>
      <x:c r="H19" s="18" t="str">
        <x:v>Delhi</x:v>
      </x:c>
      <x:c r="I19" s="18" t="str">
        <x:v>Delhi</x:v>
      </x:c>
      <x:c r="J19" s="20" t="str"/>
      <x:c r="K19" s="18" t="str"/>
      <x:c r="L19" s="18" t="str">
        <x:v>2025-05-15</x:v>
      </x:c>
      <x:c r="M19" s="18" t="str">
        <x:v>Delhi</x:v>
      </x:c>
      <x:c r="N19" s="18" t="str">
        <x:v>IPS (AGMUT: 1995)</x:v>
      </x:c>
      <x:c r="O19" s="18" t="str">
        <x:v>Shri David Lalrinsanga</x:v>
      </x:c>
      <x:c r="P19" s="18" t="str">
        <x:v>Delhi segment of Joint AGMUT cadre</x:v>
      </x:c>
      <x:c r="Q19" s="18" t="str">
        <x:v>1995</x:v>
      </x:c>
      <x:c r="R19" s="18" t="str">
        <x:v>repatriation from Central Deputation</x:v>
      </x:c>
      <x:c r="S19" s="18" t="str">
        <x:v>DEFINED_TERMINAL_OR_FEED_SCOPE</x:v>
      </x:c>
      <x:c r="T19" s="18" t="str">
        <x:v>national_agmut_transfers.json — published records loaded</x:v>
      </x:c>
      <x:c r="U19" s="18" t="str"/>
      <x:c r="V19" s="18" t="str"/>
      <x:c r="W19" s="20" t="n">
        <x:v>29</x:v>
      </x:c>
      <x:c r="X19" s="19" t="n">
        <x:f>IFERROR(TODAY()-DATEVALUE(C19),"")</x:f>
        <x:v>483</x:v>
      </x:c>
      <x:c r="Y19" s="21" t="n">
        <x:f>ROUND(COUNTA(A19:K19)/11*100,0)</x:f>
        <x:v>100</x:v>
      </x:c>
      <x:c r="Z19" s="18" t="str">
        <x:v>Ministry of Home Affairs — AGMUT Cadre Management</x:v>
      </x:c>
      <x:c r="AA19" s="22" t="str">
        <x:v>https://mha.gov.in/MHA1/uttrans/tranpdfs/AGMUT_15052025.pdf</x:v>
      </x:c>
      <x:c r="AB19" s="18" t="str">
        <x:v>2025-05-15</x:v>
      </x:c>
      <x:c r="AC19" s="18" t="n">
        <x:v>46275.114583333336</x:v>
      </x:c>
      <x:c r="AD19" s="18" t="str">
        <x:v>retained_terminal</x:v>
      </x:c>
      <x:c r="AE19" s="18" t="str">
        <x:v>READY</x:v>
      </x:c>
      <x:c r="AZ19" s="18" t="str">
        <x:v>2025-05-09</x:v>
      </x:c>
      <x:c r="BA19" s="18" t="n">
        <x:v>1</x:v>
      </x:c>
    </x:row>
    <x:row r="20">
      <x:c r="A20" s="18" t="str">
        <x:v>NYT-24-16ddb4ec54c68680</x:v>
      </x:c>
      <x:c r="B20" s="18" t="str">
        <x:v>Bureaucratic Transfers — AGMUT Cadre source coverage</x:v>
      </x:c>
      <x:c r="C20" s="18" t="str">
        <x:v>2025-05-09</x:v>
      </x:c>
      <x:c r="D20" s="18" t="n">
        <x:v>2025</x:v>
      </x:c>
      <x:c r="E20" s="18" t="str">
        <x:v>2025-05</x:v>
      </x:c>
      <x:c r="F20" s="18" t="str"/>
      <x:c r="G20" s="18" t="str"/>
      <x:c r="H20" s="18" t="str">
        <x:v>Delhi</x:v>
      </x:c>
      <x:c r="I20" s="18" t="str">
        <x:v>Delhi</x:v>
      </x:c>
      <x:c r="J20" s="20" t="str"/>
      <x:c r="K20" s="18" t="str"/>
      <x:c r="L20" s="18" t="str">
        <x:v>2025-05-09</x:v>
      </x:c>
      <x:c r="M20" s="18" t="str">
        <x:v>Delhi</x:v>
      </x:c>
      <x:c r="N20" s="18" t="str">
        <x:v>IAS (AGMUT: 2003)</x:v>
      </x:c>
      <x:c r="O20" s="18" t="str">
        <x:v>Shri Neeraj Semwal</x:v>
      </x:c>
      <x:c r="P20" s="18" t="str">
        <x:v>Delhi segment of Joint AGMUT cadre</x:v>
      </x:c>
      <x:c r="Q20" s="18" t="str">
        <x:v>2003</x:v>
      </x:c>
      <x:c r="R20" s="18" t="str">
        <x:v>Central Deputation</x:v>
      </x:c>
      <x:c r="S20" s="18" t="str">
        <x:v>DEFINED_TERMINAL_OR_FEED_SCOPE</x:v>
      </x:c>
      <x:c r="T20" s="18" t="str">
        <x:v>national_agmut_transfers.json — published records loaded</x:v>
      </x:c>
      <x:c r="U20" s="18" t="str"/>
      <x:c r="V20" s="18" t="str"/>
      <x:c r="W20" s="20" t="n">
        <x:v>29</x:v>
      </x:c>
      <x:c r="X20" s="19" t="n">
        <x:f>IFERROR(TODAY()-DATEVALUE(C20),"")</x:f>
        <x:v>489</x:v>
      </x:c>
      <x:c r="Y20" s="21" t="n">
        <x:f>ROUND(COUNTA(A20:K20)/11*100,0)</x:f>
        <x:v>100</x:v>
      </x:c>
      <x:c r="Z20" s="18" t="str">
        <x:v>Ministry of Home Affairs — AGMUT Cadre Management</x:v>
      </x:c>
      <x:c r="AA20" s="22" t="str">
        <x:v>https://mha.gov.in/MHA1/uttrans/tranpdfs/AgmutTransfer_09052025.pdf</x:v>
      </x:c>
      <x:c r="AB20" s="18" t="str">
        <x:v>2025-05-09</x:v>
      </x:c>
      <x:c r="AC20" s="18" t="n">
        <x:v>46275.114583333336</x:v>
      </x:c>
      <x:c r="AD20" s="18" t="str">
        <x:v>retained_terminal</x:v>
      </x:c>
      <x:c r="AE20" s="18" t="str">
        <x:v>READY</x:v>
      </x:c>
      <x:c r="AZ20" s="18" t="str">
        <x:v>2025-05-15</x:v>
      </x:c>
      <x:c r="BA20" s="18" t="n">
        <x:v>1</x:v>
      </x:c>
    </x:row>
    <x:row r="21">
      <x:c r="A21" s="18" t="str">
        <x:v>NYT-24-67271301958e1e26</x:v>
      </x:c>
      <x:c r="B21" s="18" t="str">
        <x:v>Bureaucratic Transfers — AGMUT Cadre source coverage</x:v>
      </x:c>
      <x:c r="C21" s="18" t="str">
        <x:v>2025-05-07</x:v>
      </x:c>
      <x:c r="D21" s="18" t="n">
        <x:v>2025</x:v>
      </x:c>
      <x:c r="E21" s="18" t="str">
        <x:v>2025-05</x:v>
      </x:c>
      <x:c r="F21" s="18" t="str"/>
      <x:c r="G21" s="18" t="str"/>
      <x:c r="H21" s="18" t="str">
        <x:v>Delhi</x:v>
      </x:c>
      <x:c r="I21" s="18" t="str">
        <x:v>Delhi</x:v>
      </x:c>
      <x:c r="J21" s="20" t="str"/>
      <x:c r="K21" s="18" t="str"/>
      <x:c r="L21" s="18" t="str">
        <x:v>2025-05-07</x:v>
      </x:c>
      <x:c r="M21" s="18" t="str">
        <x:v>Delhi</x:v>
      </x:c>
      <x:c r="N21" s="18" t="str">
        <x:v>IAS (AGMUT: 2002)</x:v>
      </x:c>
      <x:c r="O21" s="18" t="str">
        <x:v>Vikas Anand</x:v>
      </x:c>
      <x:c r="P21" s="18" t="str">
        <x:v>Delhi segment of Joint AGMUT cadre</x:v>
      </x:c>
      <x:c r="Q21" s="18" t="str">
        <x:v>2002</x:v>
      </x:c>
      <x:c r="R21" s="18" t="str">
        <x:v>repatriation from Central Deputation</x:v>
      </x:c>
      <x:c r="S21" s="18" t="str">
        <x:v>DEFINED_TERMINAL_OR_FEED_SCOPE</x:v>
      </x:c>
      <x:c r="T21" s="18" t="str">
        <x:v>national_agmut_transfers.json — published records loaded</x:v>
      </x:c>
      <x:c r="U21" s="18" t="str"/>
      <x:c r="V21" s="18" t="str"/>
      <x:c r="W21" s="20" t="n">
        <x:v>29</x:v>
      </x:c>
      <x:c r="X21" s="19" t="n">
        <x:f>IFERROR(TODAY()-DATEVALUE(C21),"")</x:f>
        <x:v>491</x:v>
      </x:c>
      <x:c r="Y21" s="21" t="n">
        <x:f>ROUND(COUNTA(A21:K21)/11*100,0)</x:f>
        <x:v>100</x:v>
      </x:c>
      <x:c r="Z21" s="18" t="str">
        <x:v>Ministry of Home Affairs — AGMUT Cadre Management</x:v>
      </x:c>
      <x:c r="AA21" s="22" t="str">
        <x:v>https://mha.gov.in/MHA1/uttrans/tranpdfs/AGMUTTransfer_07052025.pdf</x:v>
      </x:c>
      <x:c r="AB21" s="18" t="str">
        <x:v>2025-05-07</x:v>
      </x:c>
      <x:c r="AC21" s="18" t="n">
        <x:v>46275.114583333336</x:v>
      </x:c>
      <x:c r="AD21" s="18" t="str">
        <x:v>retained_terminal</x:v>
      </x:c>
      <x:c r="AE21" s="18" t="str">
        <x:v>READY</x:v>
      </x:c>
      <x:c r="AZ21" s="18" t="str">
        <x:v>2025-05-26</x:v>
      </x:c>
      <x:c r="BA21" s="18" t="n">
        <x:v>1</x:v>
      </x:c>
    </x:row>
    <x:row r="22">
      <x:c r="A22" s="18" t="str">
        <x:v>NYT-24-72bfecdc31244d28</x:v>
      </x:c>
      <x:c r="B22" s="18" t="str">
        <x:v>Bureaucratic Transfers — AGMUT Cadre source coverage</x:v>
      </x:c>
      <x:c r="C22" s="18" t="str">
        <x:v>2025-07-31</x:v>
      </x:c>
      <x:c r="D22" s="18" t="n">
        <x:v>2025</x:v>
      </x:c>
      <x:c r="E22" s="18" t="str">
        <x:v>2025-07</x:v>
      </x:c>
      <x:c r="F22" s="18" t="str"/>
      <x:c r="G22" s="18" t="str"/>
      <x:c r="H22" s="18" t="str">
        <x:v>Delhi</x:v>
      </x:c>
      <x:c r="I22" s="18" t="str">
        <x:v>Delhi</x:v>
      </x:c>
      <x:c r="J22" s="20" t="str"/>
      <x:c r="K22" s="18" t="str"/>
      <x:c r="L22" s="18" t="str">
        <x:v>2025-07-31</x:v>
      </x:c>
      <x:c r="M22" s="18" t="str">
        <x:v>Delhi</x:v>
      </x:c>
      <x:c r="N22" s="18" t="str">
        <x:v>IPS (AGMUT: 1988)</x:v>
      </x:c>
      <x:c r="O22" s="18" t="str">
        <x:v>Sh. S.B.K. Singh</x:v>
      </x:c>
      <x:c r="P22" s="18" t="str">
        <x:v>Commissioner of Police, Delhi</x:v>
      </x:c>
      <x:c r="Q22" s="18" t="str">
        <x:v>1988</x:v>
      </x:c>
      <x:c r="R22" s="18" t="str">
        <x:v>Director General of Home Guards, Delhi</x:v>
      </x:c>
      <x:c r="S22" s="18" t="str">
        <x:v>DEFINED_TERMINAL_OR_FEED_SCOPE</x:v>
      </x:c>
      <x:c r="T22" s="18" t="str">
        <x:v>national_agmut_transfers.json — published records loaded</x:v>
      </x:c>
      <x:c r="U22" s="18" t="str"/>
      <x:c r="V22" s="18" t="str"/>
      <x:c r="W22" s="20" t="n">
        <x:v>29</x:v>
      </x:c>
      <x:c r="X22" s="19" t="n">
        <x:f>IFERROR(TODAY()-DATEVALUE(C22),"")</x:f>
        <x:v>406</x:v>
      </x:c>
      <x:c r="Y22" s="21" t="n">
        <x:f>ROUND(COUNTA(A22:K22)/11*100,0)</x:f>
        <x:v>100</x:v>
      </x:c>
      <x:c r="Z22" s="18" t="str">
        <x:v>Ministry of Home Affairs — AGMUT Cadre Management</x:v>
      </x:c>
      <x:c r="AA22" s="22" t="str">
        <x:v>https://mha.gov.in/MHA1/uttrans/tranpdfs/AGMUT_31072025.pdf</x:v>
      </x:c>
      <x:c r="AB22" s="18" t="str">
        <x:v>2025-07-31</x:v>
      </x:c>
      <x:c r="AC22" s="18" t="n">
        <x:v>46275.114583333336</x:v>
      </x:c>
      <x:c r="AD22" s="18" t="str">
        <x:v>retained_terminal</x:v>
      </x:c>
      <x:c r="AE22" s="18" t="str">
        <x:v>READY</x:v>
      </x:c>
      <x:c r="AZ22" s="18" t="str">
        <x:v>2025-06-23</x:v>
      </x:c>
      <x:c r="BA22" s="18" t="n">
        <x:v>1</x:v>
      </x:c>
    </x:row>
    <x:row r="23">
      <x:c r="A23" s="18" t="str">
        <x:v>NYT-24-8829d9350f86f0dd</x:v>
      </x:c>
      <x:c r="B23" s="18" t="str">
        <x:v>Bureaucratic Transfers — AGMUT Cadre source coverage</x:v>
      </x:c>
      <x:c r="C23" s="18" t="str">
        <x:v>2025-07-15</x:v>
      </x:c>
      <x:c r="D23" s="18" t="n">
        <x:v>2025</x:v>
      </x:c>
      <x:c r="E23" s="18" t="str">
        <x:v>2025-07</x:v>
      </x:c>
      <x:c r="F23" s="18" t="str"/>
      <x:c r="G23" s="18" t="str"/>
      <x:c r="H23" s="18" t="str">
        <x:v>Chandigarh</x:v>
      </x:c>
      <x:c r="I23" s="18" t="str">
        <x:v>Chandigarh</x:v>
      </x:c>
      <x:c r="J23" s="20" t="str"/>
      <x:c r="K23" s="18" t="str"/>
      <x:c r="L23" s="18" t="str">
        <x:v>2025-07-15</x:v>
      </x:c>
      <x:c r="M23" s="18" t="str">
        <x:v>Chandigarh</x:v>
      </x:c>
      <x:c r="N23" s="18" t="str">
        <x:v>IPS (AGMUT:1997)</x:v>
      </x:c>
      <x:c r="O23" s="18" t="str">
        <x:v>Dr. Sagar Preet Hooda</x:v>
      </x:c>
      <x:c r="P23" s="18" t="str">
        <x:v>DGP, Chandigarh</x:v>
      </x:c>
      <x:c r="Q23" s="18" t="str">
        <x:v>1997</x:v>
      </x:c>
      <x:c r="R23" s="18" t="str">
        <x:v>Delhi</x:v>
      </x:c>
      <x:c r="S23" s="18" t="str">
        <x:v>DEFINED_TERMINAL_OR_FEED_SCOPE</x:v>
      </x:c>
      <x:c r="T23" s="18" t="str">
        <x:v>national_agmut_transfers.json — published records loaded</x:v>
      </x:c>
      <x:c r="U23" s="18" t="str"/>
      <x:c r="V23" s="18" t="str"/>
      <x:c r="W23" s="20" t="n">
        <x:v>29</x:v>
      </x:c>
      <x:c r="X23" s="19" t="n">
        <x:f>IFERROR(TODAY()-DATEVALUE(C23),"")</x:f>
        <x:v>422</x:v>
      </x:c>
      <x:c r="Y23" s="21" t="n">
        <x:f>ROUND(COUNTA(A23:K23)/11*100,0)</x:f>
        <x:v>100</x:v>
      </x:c>
      <x:c r="Z23" s="18" t="str">
        <x:v>Ministry of Home Affairs — AGMUT Cadre Management</x:v>
      </x:c>
      <x:c r="AA23" s="22" t="str">
        <x:v>https://mha.gov.in/MHA1/uttrans/tranpdfs/AGMUTtrans_15072025.pdf</x:v>
      </x:c>
      <x:c r="AB23" s="18" t="str">
        <x:v>2025-07-15</x:v>
      </x:c>
      <x:c r="AC23" s="18" t="n">
        <x:v>46275.114583333336</x:v>
      </x:c>
      <x:c r="AD23" s="18" t="str">
        <x:v>retained_terminal</x:v>
      </x:c>
      <x:c r="AE23" s="18" t="str">
        <x:v>READY</x:v>
      </x:c>
      <x:c r="AZ23" s="18" t="str">
        <x:v>2025-07-15</x:v>
      </x:c>
      <x:c r="BA23" s="18" t="n">
        <x:v>1</x:v>
      </x:c>
    </x:row>
    <x:row r="24">
      <x:c r="A24" s="18" t="str">
        <x:v>NYT-24-c727c7bfc985ef65</x:v>
      </x:c>
      <x:c r="B24" s="18" t="str">
        <x:v>Bureaucratic Transfers — AGMUT Cadre source coverage</x:v>
      </x:c>
      <x:c r="C24" s="18" t="str">
        <x:v>2026-06-11</x:v>
      </x:c>
      <x:c r="D24" s="18" t="n">
        <x:v>2026</x:v>
      </x:c>
      <x:c r="E24" s="18" t="str">
        <x:v>2026-06</x:v>
      </x:c>
      <x:c r="F24" s="18" t="str"/>
      <x:c r="G24" s="18" t="str"/>
      <x:c r="H24" s="18" t="str"/>
      <x:c r="I24" s="18" t="str"/>
      <x:c r="J24" s="20" t="str"/>
      <x:c r="K24" s="18" t="str"/>
      <x:c r="L24" s="18" t="str">
        <x:v>2026-06-11</x:v>
      </x:c>
      <x:c r="M24" s="18" t="str"/>
      <x:c r="N24" s="18" t="str">
        <x:v>IAS (AGMUT: 2021)</x:v>
      </x:c>
      <x:c r="O24" s="18" t="str">
        <x:v>Shri Himanshu Nigam</x:v>
      </x:c>
      <x:c r="P24" s="18" t="str"/>
      <x:c r="Q24" s="18" t="str">
        <x:v>2021</x:v>
      </x:c>
      <x:c r="R24" s="18" t="str">
        <x:v>Arunachal Pradesh</x:v>
      </x:c>
      <x:c r="S24" s="18" t="str">
        <x:v>DEFINED_TERMINAL_OR_FEED_SCOPE</x:v>
      </x:c>
      <x:c r="T24" s="18" t="str">
        <x:v>national_agmut_transfers.json — published records loaded</x:v>
      </x:c>
      <x:c r="U24" s="18" t="str"/>
      <x:c r="V24" s="18" t="str"/>
      <x:c r="W24" s="20" t="n">
        <x:v>29</x:v>
      </x:c>
      <x:c r="X24" s="19" t="n">
        <x:f>IFERROR(TODAY()-DATEVALUE(C24),"")</x:f>
        <x:v>91</x:v>
      </x:c>
      <x:c r="Y24" s="21" t="n">
        <x:f>ROUND(COUNTA(A24:K24)/11*100,0)</x:f>
        <x:v>100</x:v>
      </x:c>
      <x:c r="Z24" s="18" t="str">
        <x:v>Ministry of Home Affairs — AGMUT Cadre Management</x:v>
      </x:c>
      <x:c r="AA24" s="22" t="str">
        <x:v>https://mha.gov.in/MHA1/uttrans/tranpdfs/UTTransferIAS_11062026.pdf</x:v>
      </x:c>
      <x:c r="AB24" s="18" t="str">
        <x:v>2026-06-11</x:v>
      </x:c>
      <x:c r="AC24" s="18" t="n">
        <x:v>46275.114583333336</x:v>
      </x:c>
      <x:c r="AD24" s="18" t="str">
        <x:v>retained_terminal</x:v>
      </x:c>
      <x:c r="AE24" s="18" t="str">
        <x:v>READY</x:v>
      </x:c>
      <x:c r="AZ24" s="18" t="str">
        <x:v>2025-07-16</x:v>
      </x:c>
      <x:c r="BA24" s="18" t="n">
        <x:v>2</x:v>
      </x:c>
    </x:row>
    <x:row r="25">
      <x:c r="A25" s="18" t="str">
        <x:v>NYT-24-9e2693dde4bb6ece</x:v>
      </x:c>
      <x:c r="B25" s="18" t="str">
        <x:v>Bureaucratic Transfers — AGMUT Cadre source coverage</x:v>
      </x:c>
      <x:c r="C25" s="18" t="str">
        <x:v>2024-10-30</x:v>
      </x:c>
      <x:c r="D25" s="18" t="n">
        <x:v>2024</x:v>
      </x:c>
      <x:c r="E25" s="18" t="str">
        <x:v>2024-10</x:v>
      </x:c>
      <x:c r="F25" s="18" t="str"/>
      <x:c r="G25" s="18" t="str"/>
      <x:c r="H25" s="18" t="str">
        <x:v>Goa</x:v>
      </x:c>
      <x:c r="I25" s="18" t="str">
        <x:v>Goa</x:v>
      </x:c>
      <x:c r="J25" s="20" t="str"/>
      <x:c r="K25" s="18" t="str"/>
      <x:c r="L25" s="18" t="str">
        <x:v>2024-10-30</x:v>
      </x:c>
      <x:c r="M25" s="18" t="str">
        <x:v>Goa</x:v>
      </x:c>
      <x:c r="N25" s="18" t="str">
        <x:v>IAS (AGMUT: 1997)</x:v>
      </x:c>
      <x:c r="O25" s="18" t="str">
        <x:v>Dr. V. Candavelou</x:v>
      </x:c>
      <x:c r="P25" s="18" t="str">
        <x:v>Chief Secretary, Goa</x:v>
      </x:c>
      <x:c r="Q25" s="18" t="str">
        <x:v>1997</x:v>
      </x:c>
      <x:c r="R25" s="18" t="str">
        <x:v>Secretary, National Commission for Scheduled Tribes, Ministry of Tribal Affars</x:v>
      </x:c>
      <x:c r="S25" s="18" t="str">
        <x:v>DEFINED_TERMINAL_OR_FEED_SCOPE</x:v>
      </x:c>
      <x:c r="T25" s="18" t="str">
        <x:v>national_agmut_transfers.json — published records loaded</x:v>
      </x:c>
      <x:c r="U25" s="18" t="str"/>
      <x:c r="V25" s="18" t="str"/>
      <x:c r="W25" s="20" t="n">
        <x:v>29</x:v>
      </x:c>
      <x:c r="X25" s="19" t="n">
        <x:f>IFERROR(TODAY()-DATEVALUE(C25),"")</x:f>
        <x:v>680</x:v>
      </x:c>
      <x:c r="Y25" s="21" t="n">
        <x:f>ROUND(COUNTA(A25:K25)/11*100,0)</x:f>
        <x:v>100</x:v>
      </x:c>
      <x:c r="Z25" s="18" t="str">
        <x:v>Ministry of Home Affairs — AGMUT Cadre Management</x:v>
      </x:c>
      <x:c r="AA25" s="22" t="str">
        <x:v>https://mha.gov.in/MHA1/uttrans/tranpdfs/AGMUT_30102024.pdf</x:v>
      </x:c>
      <x:c r="AB25" s="18" t="str">
        <x:v>2024-10-30</x:v>
      </x:c>
      <x:c r="AC25" s="18" t="n">
        <x:v>46275.114583333336</x:v>
      </x:c>
      <x:c r="AD25" s="18" t="str">
        <x:v>retained_terminal</x:v>
      </x:c>
      <x:c r="AE25" s="18" t="str">
        <x:v>READY</x:v>
      </x:c>
      <x:c r="AZ25" s="18" t="str">
        <x:v>2025-07-31</x:v>
      </x:c>
      <x:c r="BA25" s="18" t="n">
        <x:v>2</x:v>
      </x:c>
    </x:row>
    <x:row r="26">
      <x:c r="A26" s="18" t="str">
        <x:v>NYT-24-b8b98c8b57d6adda</x:v>
      </x:c>
      <x:c r="B26" s="18" t="str">
        <x:v>Bureaucratic Transfers — AGMUT Cadre source coverage</x:v>
      </x:c>
      <x:c r="C26" s="18" t="str">
        <x:v>2024-11-14</x:v>
      </x:c>
      <x:c r="D26" s="18" t="n">
        <x:v>2024</x:v>
      </x:c>
      <x:c r="E26" s="18" t="str">
        <x:v>2024-11</x:v>
      </x:c>
      <x:c r="F26" s="18" t="str"/>
      <x:c r="G26" s="18" t="str"/>
      <x:c r="H26" s="18" t="str">
        <x:v>Delhi</x:v>
      </x:c>
      <x:c r="I26" s="18" t="str">
        <x:v>Delhi</x:v>
      </x:c>
      <x:c r="J26" s="20" t="str"/>
      <x:c r="K26" s="18" t="str"/>
      <x:c r="L26" s="18" t="str">
        <x:v>2024-11-14</x:v>
      </x:c>
      <x:c r="M26" s="18" t="str">
        <x:v>Delhi</x:v>
      </x:c>
      <x:c r="N26" s="18" t="str">
        <x:v>IAS (AGMUT: 1992)</x:v>
      </x:c>
      <x:c r="O26" s="18" t="str">
        <x:v>Sanjiv Kumar</x:v>
      </x:c>
      <x:c r="P26" s="18" t="str">
        <x:v>Govt, of NCT of Delhi</x:v>
      </x:c>
      <x:c r="Q26" s="18" t="str">
        <x:v>1992</x:v>
      </x:c>
      <x:c r="R26" s="18" t="str">
        <x:v>Central Deputation</x:v>
      </x:c>
      <x:c r="S26" s="18" t="str">
        <x:v>DEFINED_TERMINAL_OR_FEED_SCOPE</x:v>
      </x:c>
      <x:c r="T26" s="18" t="str">
        <x:v>national_agmut_transfers.json — published records loaded</x:v>
      </x:c>
      <x:c r="U26" s="18" t="str"/>
      <x:c r="V26" s="18" t="str"/>
      <x:c r="W26" s="20" t="n">
        <x:v>29</x:v>
      </x:c>
      <x:c r="X26" s="19" t="n">
        <x:f>IFERROR(TODAY()-DATEVALUE(C26),"")</x:f>
        <x:v>665</x:v>
      </x:c>
      <x:c r="Y26" s="21" t="n">
        <x:f>ROUND(COUNTA(A26:K26)/11*100,0)</x:f>
        <x:v>100</x:v>
      </x:c>
      <x:c r="Z26" s="18" t="str">
        <x:v>Ministry of Home Affairs — AGMUT Cadre Management</x:v>
      </x:c>
      <x:c r="AA26" s="22" t="str">
        <x:v>https://mha.gov.in/MHA1/uttrans/tranpdfs/IAS_14112024.pdf</x:v>
      </x:c>
      <x:c r="AB26" s="18" t="str">
        <x:v>2024-11-14</x:v>
      </x:c>
      <x:c r="AC26" s="18" t="n">
        <x:v>46275.114583333336</x:v>
      </x:c>
      <x:c r="AD26" s="18" t="str">
        <x:v>retained_terminal</x:v>
      </x:c>
      <x:c r="AE26" s="18" t="str">
        <x:v>READY</x:v>
      </x:c>
      <x:c r="AZ26" s="18" t="str">
        <x:v>2026-04-14</x:v>
      </x:c>
      <x:c r="BA26" s="18" t="n">
        <x:v>1</x:v>
      </x:c>
    </x:row>
    <x:row r="27">
      <x:c r="A27" s="18" t="str">
        <x:v>NYT-24-dc9c03630d8e0680</x:v>
      </x:c>
      <x:c r="B27" s="18" t="str">
        <x:v>Bureaucratic Transfers — AGMUT Cadre source coverage</x:v>
      </x:c>
      <x:c r="C27" s="18" t="str">
        <x:v>2025-02-04</x:v>
      </x:c>
      <x:c r="D27" s="18" t="n">
        <x:v>2025</x:v>
      </x:c>
      <x:c r="E27" s="18" t="str">
        <x:v>2025-02</x:v>
      </x:c>
      <x:c r="F27" s="18" t="str"/>
      <x:c r="G27" s="18" t="str"/>
      <x:c r="H27" s="18" t="str"/>
      <x:c r="I27" s="18" t="str"/>
      <x:c r="J27" s="20" t="str"/>
      <x:c r="K27" s="18" t="str"/>
      <x:c r="L27" s="18" t="str">
        <x:v>2025-02-04</x:v>
      </x:c>
      <x:c r="M27" s="18" t="str"/>
      <x:c r="N27" s="18" t="str">
        <x:v>IPS (AGMUT: 2013)</x:v>
      </x:c>
      <x:c r="O27" s="18" t="str">
        <x:v>Shri Vikas Kumar</x:v>
      </x:c>
      <x:c r="P27" s="18" t="str">
        <x:v>Ladakh segment of AGMUT cadre</x:v>
      </x:c>
      <x:c r="Q27" s="18" t="str">
        <x:v>2013</x:v>
      </x:c>
      <x:c r="R27" s="18" t="str">
        <x:v>Central Deputation</x:v>
      </x:c>
      <x:c r="S27" s="18" t="str">
        <x:v>DEFINED_TERMINAL_OR_FEED_SCOPE</x:v>
      </x:c>
      <x:c r="T27" s="18" t="str">
        <x:v>national_agmut_transfers.json — published records loaded</x:v>
      </x:c>
      <x:c r="U27" s="18" t="str"/>
      <x:c r="V27" s="18" t="str"/>
      <x:c r="W27" s="20" t="n">
        <x:v>29</x:v>
      </x:c>
      <x:c r="X27" s="19" t="n">
        <x:f>IFERROR(TODAY()-DATEVALUE(C27),"")</x:f>
        <x:v>583</x:v>
      </x:c>
      <x:c r="Y27" s="21" t="n">
        <x:f>ROUND(COUNTA(A27:K27)/11*100,0)</x:f>
        <x:v>100</x:v>
      </x:c>
      <x:c r="Z27" s="18" t="str">
        <x:v>Ministry of Home Affairs — AGMUT Cadre Management</x:v>
      </x:c>
      <x:c r="AA27" s="22" t="str">
        <x:v>https://mha.gov.in/MHA1/uttrans/tranpdfs/AGMUTOrder_04022025.pdf</x:v>
      </x:c>
      <x:c r="AB27" s="18" t="str">
        <x:v>2025-02-04</x:v>
      </x:c>
      <x:c r="AC27" s="18" t="n">
        <x:v>46275.114583333336</x:v>
      </x:c>
      <x:c r="AD27" s="18" t="str">
        <x:v>retained_terminal</x:v>
      </x:c>
      <x:c r="AE27" s="18" t="str">
        <x:v>READY</x:v>
      </x:c>
      <x:c r="AZ27" s="18" t="str">
        <x:v>2026-06-11</x:v>
      </x:c>
      <x:c r="BA27" s="18" t="n">
        <x:v>1</x:v>
      </x:c>
    </x:row>
    <x:row r="28">
      <x:c r="A28" s="18" t="str">
        <x:v>NYT-24-f348c1813f339f92</x:v>
      </x:c>
      <x:c r="B28" s="18" t="str">
        <x:v>Bureaucratic Transfers — AGMUT Cadre source coverage</x:v>
      </x:c>
      <x:c r="C28" s="18" t="str">
        <x:v>2025-06-23</x:v>
      </x:c>
      <x:c r="D28" s="18" t="n">
        <x:v>2025</x:v>
      </x:c>
      <x:c r="E28" s="18" t="str">
        <x:v>2025-06</x:v>
      </x:c>
      <x:c r="F28" s="18" t="str"/>
      <x:c r="G28" s="18" t="str"/>
      <x:c r="H28" s="18" t="str">
        <x:v>Delhi</x:v>
      </x:c>
      <x:c r="I28" s="18" t="str">
        <x:v>Delhi</x:v>
      </x:c>
      <x:c r="J28" s="20" t="str"/>
      <x:c r="K28" s="18" t="str"/>
      <x:c r="L28" s="18" t="str">
        <x:v>2025-06-23</x:v>
      </x:c>
      <x:c r="M28" s="18" t="str">
        <x:v>Delhi</x:v>
      </x:c>
      <x:c r="N28" s="18" t="str">
        <x:v>IPS (AGMUT: 1996)</x:v>
      </x:c>
      <x:c r="O28" s="18" t="str">
        <x:v>Anil Shukla</x:v>
      </x:c>
      <x:c r="P28" s="18" t="str">
        <x:v>Delhi</x:v>
      </x:c>
      <x:c r="Q28" s="18" t="str">
        <x:v>1996</x:v>
      </x:c>
      <x:c r="R28" s="18" t="str">
        <x:v>DGP, Mizoram</x:v>
      </x:c>
      <x:c r="S28" s="18" t="str">
        <x:v>DEFINED_TERMINAL_OR_FEED_SCOPE</x:v>
      </x:c>
      <x:c r="T28" s="18" t="str">
        <x:v>national_agmut_transfers.json — published records loaded</x:v>
      </x:c>
      <x:c r="U28" s="18" t="str"/>
      <x:c r="V28" s="18" t="str"/>
      <x:c r="W28" s="20" t="n">
        <x:v>29</x:v>
      </x:c>
      <x:c r="X28" s="19" t="n">
        <x:f>IFERROR(TODAY()-DATEVALUE(C28),"")</x:f>
        <x:v>444</x:v>
      </x:c>
      <x:c r="Y28" s="21" t="n">
        <x:f>ROUND(COUNTA(A28:K28)/11*100,0)</x:f>
        <x:v>100</x:v>
      </x:c>
      <x:c r="Z28" s="18" t="str">
        <x:v>Ministry of Home Affairs — AGMUT Cadre Management</x:v>
      </x:c>
      <x:c r="AA28" s="22" t="str">
        <x:v>https://mha.gov.in/MHA1/uttrans/tranpdfs/AGMUT_23062025.pdf</x:v>
      </x:c>
      <x:c r="AB28" s="18" t="str">
        <x:v>2025-06-23</x:v>
      </x:c>
      <x:c r="AC28" s="18" t="n">
        <x:v>46275.114583333336</x:v>
      </x:c>
      <x:c r="AD28" s="18" t="str">
        <x:v>retained_terminal</x:v>
      </x:c>
      <x:c r="AE28" s="18" t="str">
        <x:v>READY</x:v>
      </x:c>
    </x:row>
    <x:row r="29">
      <x:c r="A29" s="18" t="str">
        <x:v>NYT-24-241c085b66940abb</x:v>
      </x:c>
      <x:c r="B29" s="18" t="str">
        <x:v>Bureaucratic Transfers — AGMUT Cadre source coverage</x:v>
      </x:c>
      <x:c r="C29" s="18" t="str">
        <x:v>2025-07-31</x:v>
      </x:c>
      <x:c r="D29" s="18" t="n">
        <x:v>2025</x:v>
      </x:c>
      <x:c r="E29" s="18" t="str">
        <x:v>2025-07</x:v>
      </x:c>
      <x:c r="F29" s="18" t="str"/>
      <x:c r="G29" s="18" t="str"/>
      <x:c r="H29" s="18" t="str">
        <x:v>Delhi</x:v>
      </x:c>
      <x:c r="I29" s="18" t="str">
        <x:v>Delhi</x:v>
      </x:c>
      <x:c r="J29" s="20" t="str"/>
      <x:c r="K29" s="18" t="str"/>
      <x:c r="L29" s="18" t="str">
        <x:v>2025-07-31</x:v>
      </x:c>
      <x:c r="M29" s="18" t="str">
        <x:v>Delhi</x:v>
      </x:c>
      <x:c r="N29" s="18" t="str">
        <x:v>IPS (AGMUT: 2006)</x:v>
      </x:c>
      <x:c r="O29" s="18" t="str">
        <x:v>Sh. Dumbere - Milind</x:v>
      </x:c>
      <x:c r="P29" s="18" t="str">
        <x:v>Delhi</x:v>
      </x:c>
      <x:c r="Q29" s="18" t="str">
        <x:v>2006</x:v>
      </x:c>
      <x:c r="R29" s="18" t="str">
        <x:v>DNH&amp;DD</x:v>
      </x:c>
      <x:c r="S29" s="18" t="str">
        <x:v>DEFINED_TERMINAL_OR_FEED_SCOPE</x:v>
      </x:c>
      <x:c r="T29" s="18" t="str">
        <x:v>national_agmut_transfers.json — published records loaded</x:v>
      </x:c>
      <x:c r="U29" s="18" t="str"/>
      <x:c r="V29" s="18" t="str"/>
      <x:c r="W29" s="20" t="n">
        <x:v>29</x:v>
      </x:c>
      <x:c r="X29" s="19" t="n">
        <x:f>IFERROR(TODAY()-DATEVALUE(C29),"")</x:f>
        <x:v>406</x:v>
      </x:c>
      <x:c r="Y29" s="21" t="n">
        <x:f>ROUND(COUNTA(A29:K29)/11*100,0)</x:f>
        <x:v>100</x:v>
      </x:c>
      <x:c r="Z29" s="18" t="str">
        <x:v>Ministry of Home Affairs — AGMUT Cadre Management</x:v>
      </x:c>
      <x:c r="AA29" s="22" t="str">
        <x:v>https://mha.gov.in/MHA1/uttrans/tranpdfs/AGMUTIPS_31072025.pdf</x:v>
      </x:c>
      <x:c r="AB29" s="18" t="str">
        <x:v>2025-07-31</x:v>
      </x:c>
      <x:c r="AC29" s="18" t="n">
        <x:v>46275.114583333336</x:v>
      </x:c>
      <x:c r="AD29" s="18" t="str">
        <x:v>retained_terminal</x:v>
      </x:c>
      <x:c r="AE29" s="18" t="str">
        <x:v>READY</x:v>
      </x:c>
    </x:row>
    <x:row r="30">
      <x:c r="A30" s="18" t="str">
        <x:v>NYT-24-be8c8a2e9bca145b</x:v>
      </x:c>
      <x:c r="B30" s="18" t="str">
        <x:v>Bureaucratic Transfers — AGMUT Cadre source coverage</x:v>
      </x:c>
      <x:c r="C30" s="18" t="str">
        <x:v>2025-07-16</x:v>
      </x:c>
      <x:c r="D30" s="18" t="n">
        <x:v>2025</x:v>
      </x:c>
      <x:c r="E30" s="18" t="str">
        <x:v>2025-07</x:v>
      </x:c>
      <x:c r="F30" s="18" t="str"/>
      <x:c r="G30" s="18" t="str"/>
      <x:c r="H30" s="18" t="str">
        <x:v>Mizoram</x:v>
      </x:c>
      <x:c r="I30" s="18" t="str">
        <x:v>Mizoram</x:v>
      </x:c>
      <x:c r="J30" s="20" t="str"/>
      <x:c r="K30" s="18" t="str"/>
      <x:c r="L30" s="18" t="str">
        <x:v>2025-07-16</x:v>
      </x:c>
      <x:c r="M30" s="18" t="str">
        <x:v>Mizoram</x:v>
      </x:c>
      <x:c r="N30" s="18" t="str">
        <x:v>IAS (AGMUT: 2023)</x:v>
      </x:c>
      <x:c r="O30" s="18" t="str">
        <x:v>Shri Tharun Patnaik Madala</x:v>
      </x:c>
      <x:c r="P30" s="18" t="str">
        <x:v>Mizoram</x:v>
      </x:c>
      <x:c r="Q30" s="18" t="str">
        <x:v>2023</x:v>
      </x:c>
      <x:c r="R30" s="18" t="str"/>
      <x:c r="S30" s="18" t="str">
        <x:v>DEFINED_TERMINAL_OR_FEED_SCOPE</x:v>
      </x:c>
      <x:c r="T30" s="18" t="str">
        <x:v>national_agmut_transfers.json — published records loaded</x:v>
      </x:c>
      <x:c r="U30" s="18" t="str"/>
      <x:c r="V30" s="18" t="str"/>
      <x:c r="W30" s="20" t="n">
        <x:v>29</x:v>
      </x:c>
      <x:c r="X30" s="19" t="n">
        <x:f>IFERROR(TODAY()-DATEVALUE(C30),"")</x:f>
        <x:v>421</x:v>
      </x:c>
      <x:c r="Y30" s="21" t="n">
        <x:f>ROUND(COUNTA(A30:K30)/11*100,0)</x:f>
        <x:v>100</x:v>
      </x:c>
      <x:c r="Z30" s="18" t="str">
        <x:v>Ministry of Home Affairs — AGMUT Cadre Management</x:v>
      </x:c>
      <x:c r="AA30" s="22" t="str">
        <x:v>https://mha.gov.in/MHA1/uttrans/tranpdfs/AGMUTIAS_16072025.pdf</x:v>
      </x:c>
      <x:c r="AB30" s="18" t="str">
        <x:v>2025-07-16</x:v>
      </x:c>
      <x:c r="AC30" s="18" t="n">
        <x:v>46275.114583333336</x:v>
      </x:c>
      <x:c r="AD30" s="18" t="str">
        <x:v>retained_terminal</x:v>
      </x:c>
      <x:c r="AE30" s="18" t="str">
        <x:v>READY</x:v>
      </x:c>
    </x:row>
    <x:row r="31">
      <x:c r="A31" s="18" t="str">
        <x:v>NYT-24-621c21ed2f7e4a1e</x:v>
      </x:c>
      <x:c r="B31" s="18" t="str">
        <x:v>Bureaucratic Transfers — AGMUT Cadre source coverage</x:v>
      </x:c>
      <x:c r="C31" s="18" t="str">
        <x:v>2026-04-14</x:v>
      </x:c>
      <x:c r="D31" s="18" t="n">
        <x:v>2026</x:v>
      </x:c>
      <x:c r="E31" s="18" t="str">
        <x:v>2026-04</x:v>
      </x:c>
      <x:c r="F31" s="18" t="str"/>
      <x:c r="G31" s="18" t="str"/>
      <x:c r="H31" s="18" t="str">
        <x:v>Puducherry</x:v>
      </x:c>
      <x:c r="I31" s="18" t="str">
        <x:v>Puducherry</x:v>
      </x:c>
      <x:c r="J31" s="20" t="str"/>
      <x:c r="K31" s="18" t="str"/>
      <x:c r="L31" s="18" t="str">
        <x:v>2026-04-14</x:v>
      </x:c>
      <x:c r="M31" s="18" t="str">
        <x:v>Puducherry</x:v>
      </x:c>
      <x:c r="N31" s="18" t="str">
        <x:v>IAS (AGMUT)</x:v>
      </x:c>
      <x:c r="O31" s="18" t="str">
        <x:v>Sh. Rajeeva Shukla, IAS</x:v>
      </x:c>
      <x:c r="P31" s="18" t="str">
        <x:v>Puducherry</x:v>
      </x:c>
      <x:c r="Q31" s="18" t="str"/>
      <x:c r="R31" s="18" t="str">
        <x:v>Delhi</x:v>
      </x:c>
      <x:c r="S31" s="18" t="str">
        <x:v>DEFINED_TERMINAL_OR_FEED_SCOPE</x:v>
      </x:c>
      <x:c r="T31" s="18" t="str">
        <x:v>national_agmut_transfers.json — published records loaded</x:v>
      </x:c>
      <x:c r="U31" s="18" t="str"/>
      <x:c r="V31" s="18" t="str"/>
      <x:c r="W31" s="20" t="n">
        <x:v>29</x:v>
      </x:c>
      <x:c r="X31" s="19" t="n">
        <x:f>IFERROR(TODAY()-DATEVALUE(C31),"")</x:f>
        <x:v>149</x:v>
      </x:c>
      <x:c r="Y31" s="21" t="n">
        <x:f>ROUND(COUNTA(A31:K31)/11*100,0)</x:f>
        <x:v>100</x:v>
      </x:c>
      <x:c r="Z31" s="18" t="str">
        <x:v>Ministry of Home Affairs — AGMUT Cadre Management</x:v>
      </x:c>
      <x:c r="AA31" s="22" t="str">
        <x:v>https://mha.gov.in/MHA1/uttrans/tranpdfs/AGMUT_15042026.pdf</x:v>
      </x:c>
      <x:c r="AB31" s="18" t="str">
        <x:v>2026-04-14</x:v>
      </x:c>
      <x:c r="AC31" s="18" t="n">
        <x:v>46275.114583333336</x:v>
      </x:c>
      <x:c r="AD31" s="18" t="str">
        <x:v>retained_terminal</x:v>
      </x:c>
      <x:c r="AE31" s="18" t="str">
        <x:v>READY</x:v>
      </x:c>
    </x:row>
    <x:row r="32">
      <x:c r="A32" s="18" t="str">
        <x:v>NYT-24-dc5c11f8e02f8ed0</x:v>
      </x:c>
      <x:c r="B32" s="18" t="str">
        <x:v>Bureaucratic Transfers — AGMUT Cadre source coverage</x:v>
      </x:c>
      <x:c r="C32" s="18" t="str">
        <x:v>2024-09-11</x:v>
      </x:c>
      <x:c r="D32" s="18" t="n">
        <x:v>2024</x:v>
      </x:c>
      <x:c r="E32" s="18" t="str">
        <x:v>2024-09</x:v>
      </x:c>
      <x:c r="F32" s="18" t="str"/>
      <x:c r="G32" s="18" t="str"/>
      <x:c r="H32" s="18" t="str">
        <x:v>Mizoram</x:v>
      </x:c>
      <x:c r="I32" s="18" t="str">
        <x:v>Mizoram</x:v>
      </x:c>
      <x:c r="J32" s="20" t="str"/>
      <x:c r="K32" s="18" t="str"/>
      <x:c r="L32" s="18" t="str">
        <x:v>2024-09-11</x:v>
      </x:c>
      <x:c r="M32" s="18" t="str">
        <x:v>Mizoram</x:v>
      </x:c>
      <x:c r="N32" s="18" t="str">
        <x:v>IAS (AGMUT: 2022)</x:v>
      </x:c>
      <x:c r="O32" s="18" t="str">
        <x:v>Suvigya S Chandra</x:v>
      </x:c>
      <x:c r="P32" s="18" t="str">
        <x:v>Mizoram</x:v>
      </x:c>
      <x:c r="Q32" s="18" t="str">
        <x:v>2022</x:v>
      </x:c>
      <x:c r="R32" s="18" t="str"/>
      <x:c r="S32" s="18" t="str">
        <x:v>DEFINED_TERMINAL_OR_FEED_SCOPE</x:v>
      </x:c>
      <x:c r="T32" s="18" t="str">
        <x:v>national_agmut_transfers.json — published records loaded</x:v>
      </x:c>
      <x:c r="U32" s="18" t="str"/>
      <x:c r="V32" s="18" t="str"/>
      <x:c r="W32" s="20" t="n">
        <x:v>29</x:v>
      </x:c>
      <x:c r="X32" s="19" t="n">
        <x:f>IFERROR(TODAY()-DATEVALUE(C32),"")</x:f>
        <x:v>729</x:v>
      </x:c>
      <x:c r="Y32" s="21" t="n">
        <x:f>ROUND(COUNTA(A32:K32)/11*100,0)</x:f>
        <x:v>100</x:v>
      </x:c>
      <x:c r="Z32" s="18" t="str">
        <x:v>Ministry of Home Affairs — AGMUT Cadre Management</x:v>
      </x:c>
      <x:c r="AA32" s="22" t="str">
        <x:v>https://mha.gov.in/MHA1/uttrans/tranpdfs/iasAGMUT_11092024.pdf</x:v>
      </x:c>
      <x:c r="AB32" s="18" t="str">
        <x:v>2024-09-11</x:v>
      </x:c>
      <x:c r="AC32" s="18" t="n">
        <x:v>46275.114583333336</x:v>
      </x:c>
      <x:c r="AD32" s="18" t="str">
        <x:v>retained_terminal</x:v>
      </x:c>
      <x:c r="AE32" s="18" t="str">
        <x:v>READY</x:v>
      </x:c>
    </x:row>
    <x:row r="33">
      <x:c r="A33" s="18" t="str">
        <x:v>NYT-24-476b843c1c374c6d</x:v>
      </x:c>
      <x:c r="B33" s="18" t="str">
        <x:v>Bureaucratic Transfers — AGMUT Cadre source coverage</x:v>
      </x:c>
      <x:c r="C33" s="18" t="str">
        <x:v>2024-10-17</x:v>
      </x:c>
      <x:c r="D33" s="18" t="n">
        <x:v>2024</x:v>
      </x:c>
      <x:c r="E33" s="18" t="str">
        <x:v>2024-10</x:v>
      </x:c>
      <x:c r="F33" s="18" t="str"/>
      <x:c r="G33" s="18" t="str"/>
      <x:c r="H33" s="18" t="str">
        <x:v>Delhi</x:v>
      </x:c>
      <x:c r="I33" s="18" t="str">
        <x:v>Delhi</x:v>
      </x:c>
      <x:c r="J33" s="20" t="str"/>
      <x:c r="K33" s="18" t="str"/>
      <x:c r="L33" s="18" t="str">
        <x:v>2024-10-17</x:v>
      </x:c>
      <x:c r="M33" s="18" t="str">
        <x:v>Delhi</x:v>
      </x:c>
      <x:c r="N33" s="18" t="str">
        <x:v>IAS (AGMUT: 1992)</x:v>
      </x:c>
      <x:c r="O33" s="18" t="str">
        <x:v>Sh. Bipul Pathak</x:v>
      </x:c>
      <x:c r="P33" s="18" t="str">
        <x:v>Delhi</x:v>
      </x:c>
      <x:c r="Q33" s="18" t="str">
        <x:v>1992</x:v>
      </x:c>
      <x:c r="R33" s="18" t="str">
        <x:v>Jammu &amp; Kashmir</x:v>
      </x:c>
      <x:c r="S33" s="18" t="str">
        <x:v>DEFINED_TERMINAL_OR_FEED_SCOPE</x:v>
      </x:c>
      <x:c r="T33" s="18" t="str">
        <x:v>national_agmut_transfers.json — published records loaded</x:v>
      </x:c>
      <x:c r="U33" s="18" t="str"/>
      <x:c r="V33" s="18" t="str"/>
      <x:c r="W33" s="20" t="n">
        <x:v>29</x:v>
      </x:c>
      <x:c r="X33" s="19" t="n">
        <x:f>IFERROR(TODAY()-DATEVALUE(C33),"")</x:f>
        <x:v>693</x:v>
      </x:c>
      <x:c r="Y33" s="21" t="n">
        <x:f>ROUND(COUNTA(A33:K33)/11*100,0)</x:f>
        <x:v>100</x:v>
      </x:c>
      <x:c r="Z33" s="18" t="str">
        <x:v>Ministry of Home Affairs — AGMUT Cadre Management</x:v>
      </x:c>
      <x:c r="AA33" s="22" t="str">
        <x:v>https://mha.gov.in/MHA1/uttrans/tranpdfs/IASOrder_17102024.pdf</x:v>
      </x:c>
      <x:c r="AB33" s="18" t="str">
        <x:v>2024-10-17</x:v>
      </x:c>
      <x:c r="AC33" s="18" t="n">
        <x:v>46275.114583333336</x:v>
      </x:c>
      <x:c r="AD33" s="18" t="str">
        <x:v>retained_terminal</x:v>
      </x:c>
      <x:c r="AE33" s="18" t="str">
        <x:v>READY</x:v>
      </x:c>
    </x:row>
    <x:row r="34">
      <x:c r="A34" s="18" t="str">
        <x:v>NYT-24-175b634353569ca8</x:v>
      </x:c>
      <x:c r="B34" s="18" t="str">
        <x:v>Bureaucratic Transfers — AGMUT Cadre source coverage</x:v>
      </x:c>
      <x:c r="C34" s="18" t="str">
        <x:v>2024-12-13</x:v>
      </x:c>
      <x:c r="D34" s="18" t="n">
        <x:v>2024</x:v>
      </x:c>
      <x:c r="E34" s="18" t="str">
        <x:v>2024-12</x:v>
      </x:c>
      <x:c r="F34" s="18" t="str"/>
      <x:c r="G34" s="18" t="str"/>
      <x:c r="H34" s="18" t="str">
        <x:v>Arunachal Pradesh</x:v>
      </x:c>
      <x:c r="I34" s="18" t="str">
        <x:v>Arunachal Pradesh</x:v>
      </x:c>
      <x:c r="J34" s="20" t="str"/>
      <x:c r="K34" s="18" t="str"/>
      <x:c r="L34" s="18" t="str">
        <x:v>2024-12-13</x:v>
      </x:c>
      <x:c r="M34" s="18" t="str">
        <x:v>Arunachal Pradesh</x:v>
      </x:c>
      <x:c r="N34" s="18" t="str">
        <x:v>IPS (AGMUT)</x:v>
      </x:c>
      <x:c r="O34" s="18" t="str">
        <x:v>Sh. B L Suresh, IPS</x:v>
      </x:c>
      <x:c r="P34" s="18" t="str">
        <x:v>Arunachal Pradesh</x:v>
      </x:c>
      <x:c r="Q34" s="18" t="str"/>
      <x:c r="R34" s="18" t="str">
        <x:v>Delhi</x:v>
      </x:c>
      <x:c r="S34" s="18" t="str">
        <x:v>DEFINED_TERMINAL_OR_FEED_SCOPE</x:v>
      </x:c>
      <x:c r="T34" s="18" t="str">
        <x:v>national_agmut_transfers.json — published records loaded</x:v>
      </x:c>
      <x:c r="U34" s="18" t="str"/>
      <x:c r="V34" s="18" t="str"/>
      <x:c r="W34" s="20" t="n">
        <x:v>29</x:v>
      </x:c>
      <x:c r="X34" s="19" t="n">
        <x:f>IFERROR(TODAY()-DATEVALUE(C34),"")</x:f>
        <x:v>636</x:v>
      </x:c>
      <x:c r="Y34" s="21" t="n">
        <x:f>ROUND(COUNTA(A34:K34)/11*100,0)</x:f>
        <x:v>100</x:v>
      </x:c>
      <x:c r="Z34" s="18" t="str">
        <x:v>Ministry of Home Affairs — AGMUT Cadre Management</x:v>
      </x:c>
      <x:c r="AA34" s="22" t="str">
        <x:v>https://mha.gov.in/MHA1/uttrans/tranpdfs/IPSTransfer_13122024.pdf</x:v>
      </x:c>
      <x:c r="AB34" s="18" t="str">
        <x:v>2024-12-13</x:v>
      </x:c>
      <x:c r="AC34" s="18" t="n">
        <x:v>46275.114583333336</x:v>
      </x:c>
      <x:c r="AD34" s="18" t="str">
        <x:v>retained_terminal</x:v>
      </x:c>
      <x:c r="AE34" s="18" t="str">
        <x:v>READY</x:v>
      </x:c>
    </x:row>
    <x:row r="35">
      <x:c r="A35" s="18" t="str">
        <x:v>NYT-24-186f47b3839210a0</x:v>
      </x:c>
      <x:c r="B35" s="18" t="str">
        <x:v>Bureaucratic Transfers — AGMUT Cadre source coverage</x:v>
      </x:c>
      <x:c r="C35" s="18" t="str">
        <x:v>2025-03-26</x:v>
      </x:c>
      <x:c r="D35" s="18" t="n">
        <x:v>2025</x:v>
      </x:c>
      <x:c r="E35" s="18" t="str">
        <x:v>2025-03</x:v>
      </x:c>
      <x:c r="F35" s="18" t="str"/>
      <x:c r="G35" s="18" t="str"/>
      <x:c r="H35" s="18" t="str">
        <x:v>Mizoram</x:v>
      </x:c>
      <x:c r="I35" s="18" t="str">
        <x:v>Mizoram</x:v>
      </x:c>
      <x:c r="J35" s="20" t="str"/>
      <x:c r="K35" s="18" t="str"/>
      <x:c r="L35" s="18" t="str">
        <x:v>2025-03-26</x:v>
      </x:c>
      <x:c r="M35" s="18" t="str">
        <x:v>Mizoram</x:v>
      </x:c>
      <x:c r="N35" s="18" t="str">
        <x:v>IPS (AGMUT: 2007)</x:v>
      </x:c>
      <x:c r="O35" s="18" t="str">
        <x:v>Shri Seju P Kuruvilla</x:v>
      </x:c>
      <x:c r="P35" s="18" t="str">
        <x:v>Mizoram segment of the joint AGMUT cadre</x:v>
      </x:c>
      <x:c r="Q35" s="18" t="str">
        <x:v>2007</x:v>
      </x:c>
      <x:c r="R35" s="18" t="str">
        <x:v>Central Deputation</x:v>
      </x:c>
      <x:c r="S35" s="18" t="str">
        <x:v>DEFINED_TERMINAL_OR_FEED_SCOPE</x:v>
      </x:c>
      <x:c r="T35" s="18" t="str">
        <x:v>national_agmut_transfers.json — published records loaded</x:v>
      </x:c>
      <x:c r="U35" s="18" t="str"/>
      <x:c r="V35" s="18" t="str"/>
      <x:c r="W35" s="20" t="n">
        <x:v>29</x:v>
      </x:c>
      <x:c r="X35" s="19" t="n">
        <x:f>IFERROR(TODAY()-DATEVALUE(C35),"")</x:f>
        <x:v>533</x:v>
      </x:c>
      <x:c r="Y35" s="21" t="n">
        <x:f>ROUND(COUNTA(A35:K35)/11*100,0)</x:f>
        <x:v>100</x:v>
      </x:c>
      <x:c r="Z35" s="18" t="str">
        <x:v>Ministry of Home Affairs — AGMUT Cadre Management</x:v>
      </x:c>
      <x:c r="AA35" s="22" t="str">
        <x:v>https://mha.gov.in/MHA1/uttrans/tranpdfs/AgmutTran_26032025.pdf</x:v>
      </x:c>
      <x:c r="AB35" s="18" t="str">
        <x:v>2025-03-26</x:v>
      </x:c>
      <x:c r="AC35" s="18" t="n">
        <x:v>46275.114583333336</x:v>
      </x:c>
      <x:c r="AD35" s="18" t="str">
        <x:v>retained_terminal</x:v>
      </x:c>
      <x:c r="AE35" s="18" t="str">
        <x:v>READY</x:v>
      </x:c>
    </x:row>
    <x:row r="36">
      <x:c r="A36" s="18" t="str">
        <x:v>NYT-24-3ad43308ff3af317</x:v>
      </x:c>
      <x:c r="B36" s="18" t="str">
        <x:v>Bureaucratic Transfers — AGMUT Cadre source coverage</x:v>
      </x:c>
      <x:c r="C36" s="18" t="str">
        <x:v>2025-05-05</x:v>
      </x:c>
      <x:c r="D36" s="18" t="n">
        <x:v>2025</x:v>
      </x:c>
      <x:c r="E36" s="18" t="str">
        <x:v>2025-05</x:v>
      </x:c>
      <x:c r="F36" s="18" t="str"/>
      <x:c r="G36" s="18" t="str"/>
      <x:c r="H36" s="18" t="str"/>
      <x:c r="I36" s="18" t="str"/>
      <x:c r="J36" s="20" t="str"/>
      <x:c r="K36" s="18" t="str"/>
      <x:c r="L36" s="18" t="str">
        <x:v>2025-05-05</x:v>
      </x:c>
      <x:c r="M36" s="18" t="str"/>
      <x:c r="N36" s="18" t="str">
        <x:v>IAS (AGMUT:2014)</x:v>
      </x:c>
      <x:c r="O36" s="18" t="str">
        <x:v>Gurpal Singh</x:v>
      </x:c>
      <x:c r="P36" s="18" t="str">
        <x:v>Jammu &amp; Kashmir</x:v>
      </x:c>
      <x:c r="Q36" s="18" t="str">
        <x:v>2014</x:v>
      </x:c>
      <x:c r="R36" s="18" t="str">
        <x:v>Delhi</x:v>
      </x:c>
      <x:c r="S36" s="18" t="str">
        <x:v>DEFINED_TERMINAL_OR_FEED_SCOPE</x:v>
      </x:c>
      <x:c r="T36" s="18" t="str">
        <x:v>national_agmut_transfers.json — published records loaded</x:v>
      </x:c>
      <x:c r="U36" s="18" t="str"/>
      <x:c r="V36" s="18" t="str"/>
      <x:c r="W36" s="20" t="n">
        <x:v>29</x:v>
      </x:c>
      <x:c r="X36" s="19" t="n">
        <x:f>IFERROR(TODAY()-DATEVALUE(C36),"")</x:f>
        <x:v>493</x:v>
      </x:c>
      <x:c r="Y36" s="21" t="n">
        <x:f>ROUND(COUNTA(A36:K36)/11*100,0)</x:f>
        <x:v>100</x:v>
      </x:c>
      <x:c r="Z36" s="18" t="str">
        <x:v>Ministry of Home Affairs — AGMUT Cadre Management</x:v>
      </x:c>
      <x:c r="AA36" s="22" t="str">
        <x:v>https://mha.gov.in/MHA1/uttrans/tranpdfs/AgmutTransfer_05052025.pdf</x:v>
      </x:c>
      <x:c r="AB36" s="18" t="str">
        <x:v>2025-05-05</x:v>
      </x:c>
      <x:c r="AC36" s="18" t="n">
        <x:v>46275.114583333336</x:v>
      </x:c>
      <x:c r="AD36" s="18" t="str">
        <x:v>retained_terminal</x:v>
      </x:c>
      <x:c r="AE36" s="18" t="str">
        <x:v>READY</x:v>
      </x:c>
    </x:row>
    <x:row r="37">
      <x:c r="A37" s="18" t="str">
        <x:v>NYT-24-9c300db8f39feccb</x:v>
      </x:c>
      <x:c r="B37" s="18" t="str">
        <x:v>Bureaucratic Transfers — AGMUT Cadre source coverage</x:v>
      </x:c>
      <x:c r="C37" s="18" t="str">
        <x:v>2025-07-16</x:v>
      </x:c>
      <x:c r="D37" s="18" t="n">
        <x:v>2025</x:v>
      </x:c>
      <x:c r="E37" s="18" t="str">
        <x:v>2025-07</x:v>
      </x:c>
      <x:c r="F37" s="18" t="str"/>
      <x:c r="G37" s="18" t="str"/>
      <x:c r="H37" s="18" t="str">
        <x:v>Puducherry</x:v>
      </x:c>
      <x:c r="I37" s="18" t="str">
        <x:v>Puducherry</x:v>
      </x:c>
      <x:c r="J37" s="20" t="str"/>
      <x:c r="K37" s="18" t="str"/>
      <x:c r="L37" s="18" t="str">
        <x:v>2025-07-16</x:v>
      </x:c>
      <x:c r="M37" s="18" t="str">
        <x:v>Puducherry</x:v>
      </x:c>
      <x:c r="N37" s="18" t="str">
        <x:v>IPS (AGMUT: 2021)</x:v>
      </x:c>
      <x:c r="O37" s="18" t="str">
        <x:v>Shri U Vibu Krishna</x:v>
      </x:c>
      <x:c r="P37" s="18" t="str">
        <x:v>Puducherry</x:v>
      </x:c>
      <x:c r="Q37" s="18" t="str">
        <x:v>2021</x:v>
      </x:c>
      <x:c r="R37" s="18" t="str"/>
      <x:c r="S37" s="18" t="str">
        <x:v>DEFINED_TERMINAL_OR_FEED_SCOPE</x:v>
      </x:c>
      <x:c r="T37" s="18" t="str">
        <x:v>national_agmut_transfers.json — published records loaded</x:v>
      </x:c>
      <x:c r="U37" s="18" t="str"/>
      <x:c r="V37" s="18" t="str"/>
      <x:c r="W37" s="20" t="n">
        <x:v>29</x:v>
      </x:c>
      <x:c r="X37" s="19" t="n">
        <x:f>IFERROR(TODAY()-DATEVALUE(C37),"")</x:f>
        <x:v>421</x:v>
      </x:c>
      <x:c r="Y37" s="21" t="n">
        <x:f>ROUND(COUNTA(A37:K37)/11*100,0)</x:f>
        <x:v>100</x:v>
      </x:c>
      <x:c r="Z37" s="18" t="str">
        <x:v>Ministry of Home Affairs — AGMUT Cadre Management</x:v>
      </x:c>
      <x:c r="AA37" s="22" t="str">
        <x:v>https://mha.gov.in/MHA1/uttrans/tranpdfs/AGMUTIPS_16072025.pdf</x:v>
      </x:c>
      <x:c r="AB37" s="18" t="str">
        <x:v>2025-07-16</x:v>
      </x:c>
      <x:c r="AC37" s="18" t="n">
        <x:v>46275.114583333336</x:v>
      </x:c>
      <x:c r="AD37" s="18" t="str">
        <x:v>retained_terminal</x:v>
      </x:c>
      <x:c r="AE37" s="18" t="str">
        <x:v>READY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33e2b97c5cd64c17"/>
  <x:tableParts count="1">
    <x:tablePart xmlns:r="http://schemas.openxmlformats.org/officeDocument/2006/relationships" r:id="Rb3caa953c82d4086"/>
  </x:tableParts>
</x:worksheet>
</file>