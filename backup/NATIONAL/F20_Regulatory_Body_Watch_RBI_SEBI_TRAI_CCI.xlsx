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7a98e3733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0 Regulatory Body Watch (RBI" sheetId="1" r:id="R261b034ee102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32035a2344205" /><Relationship Type="http://schemas.openxmlformats.org/officeDocument/2006/relationships/theme" Target="/xl/theme/theme1.xml" Id="Rbd70387e78bb4574" /><Relationship Type="http://schemas.openxmlformats.org/officeDocument/2006/relationships/sharedStrings" Target="/xl/sharedStrings.xml" Id="R793755b748fa4f03" /><Relationship Type="http://schemas.openxmlformats.org/officeDocument/2006/relationships/worksheet" Target="/xl/worksheets/sheet1.xml" Id="R261b034ee102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748a2de92b4c54" /><Relationship Type="http://schemas.openxmlformats.org/officeDocument/2006/relationships/chart" Target="/xl/drawings/charts/chart2.xml" Id="R9d5bcf47904b4517" /><Relationship Type="http://schemas.openxmlformats.org/officeDocument/2006/relationships/chart" Target="/xl/drawings/charts/chart3.xml" Id="Rb564ef26b8fd41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Regulatory actions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'F20 Regulatory Body Watch (RBI'!$AZ$3:$AZ$30</c:f>
              <c:strCache>
                <c:ptCount val="0"/>
              </c:strCache>
            </c:strRef>
          </c:cat>
          <c:val>
            <c:numRef>
              <c:f>'F20 Regulatory Body Watch (RBI'!$BA$3:$BA$30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Actions by regulator and type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'F20 Regulatory Body Watch (RBI'!$BC$3:$BC$6</c:f>
              <c:strCache>
                <c:ptCount val="0"/>
              </c:strCache>
            </c:strRef>
          </c:cat>
          <c:val>
            <c:numRef>
              <c:f>'F20 Regulatory Body Watch (RBI'!$BD$3:$BD$6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Affected sector and entity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'F20 Regulatory Body Watch (RBI'!$BF$3:$BF$14</c:f>
              <c:strCache>
                <c:ptCount val="0"/>
              </c:strCache>
            </c:strRef>
          </c:cat>
          <c:val>
            <c:numRef>
              <c:f>'F20 Regulatory Body Watch (RBI'!$BG$3:$BG$14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48a2de92b4c54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5bcf47904b4517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64ef26b8fd41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0_clean_327016" displayName="T_national_20_clean_327016" ref="A8:AF159" headerRowCount="1" totalsRowCount="0" totalsRowShown="0">
  <x:tableColumns count="32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pdf_url"/>
    <x:tableColumn id="13" name="date"/>
    <x:tableColumn id="14" name="regulator"/>
    <x:tableColumn id="15" name="title"/>
    <x:tableColumn id="16" name="entity"/>
    <x:tableColumn id="17" name="id"/>
    <x:tableColumn id="18" name="action_type"/>
    <x:tableColumn id="19" name="detail_url"/>
    <x:tableColumn id="20" name="coverage_status"/>
    <x:tableColumn id="21" name="coverage_scope"/>
    <x:tableColumn id="22" name="coverage_start"/>
    <x:tableColumn id="23" name="coverage_end"/>
    <x:tableColumn id="24" name="universe_count"/>
    <x:tableColumn id="25" name="record_age_days"/>
    <x:tableColumn id="26" name="record_completeness_pct"/>
    <x:tableColumn id="27" name="source_provider"/>
    <x:tableColumn id="28" name="source_url"/>
    <x:tableColumn id="29" name="source_published_at"/>
    <x:tableColumn id="30" name="source_retrieved_at"/>
    <x:tableColumn id="31" name="provenance"/>
    <x:tableColumn id="32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dd6b69c3444e18" /><Relationship Type="http://schemas.openxmlformats.org/officeDocument/2006/relationships/table" Target="/xl/tables/table1.xml" Id="Rff4712064cea451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42" hidden="0" customWidth="1"/>
    <x:col min="13" max="13" width="16" hidden="0" customWidth="1"/>
    <x:col min="14" max="14" width="15" hidden="0" customWidth="1"/>
    <x:col min="15" max="15" width="32" hidden="0" customWidth="1"/>
    <x:col min="16" max="16" width="15" hidden="0" customWidth="1"/>
    <x:col min="17" max="17" width="18" hidden="0" customWidth="1"/>
    <x:col min="18" max="18" width="15" hidden="0" customWidth="1"/>
    <x:col min="19" max="19" width="42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42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25" customHeight="1">
      <x:c r="A1" s="4" t="str">
        <x:v>Regulatory Body Watch (RBI/SEBI/TRAI/CCI)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151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2024-11-11</x:v>
      </x:c>
      <x:c r="BA3" s="18" t="n">
        <x:v>2</x:v>
      </x:c>
      <x:c r="BC3" s="18" t="str">
        <x:v>Unclassified</x:v>
      </x:c>
      <x:c r="BD3" s="18" t="n">
        <x:v>121</x:v>
      </x:c>
      <x:c r="BF3" s="18" t="str">
        <x:v>Unclassified</x:v>
      </x:c>
      <x:c r="BG3" s="18" t="n">
        <x:v>139</x:v>
      </x:c>
    </x:row>
    <x:row r="4">
      <x:c r="A4" s="9" t="str">
        <x:v>Records</x:v>
      </x:c>
      <x:c r="B4" s="10" t="n">
        <x:v>151</x:v>
      </x:c>
      <x:c r="C4" s="9" t="str">
        <x:v>Dated records</x:v>
      </x:c>
      <x:c r="D4" s="10" t="n">
        <x:v>151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2026-08-10</x:v>
      </x:c>
      <x:c r="AZ4" s="18" t="str">
        <x:v>2024-12-03</x:v>
      </x:c>
      <x:c r="BA4" s="18" t="n">
        <x:v>1</x:v>
      </x:c>
      <x:c r="BC4" s="18" t="str">
        <x:v>enforcement/recovery proceedings</x:v>
      </x:c>
      <x:c r="BD4" s="18" t="n">
        <x:v>19</x:v>
      </x:c>
      <x:c r="BF4" s="18" t="str">
        <x:v>in the matter of certain Investment Advisers</x:v>
      </x:c>
      <x:c r="BG4" s="18" t="n">
        <x:v>2</x:v>
      </x:c>
    </x:row>
    <x:row r="5">
      <x:c r="AZ5" s="18" t="str">
        <x:v>2024-12-30</x:v>
      </x:c>
      <x:c r="BA5" s="18" t="n">
        <x:v>1</x:v>
      </x:c>
      <x:c r="BC5" s="18" t="str">
        <x:v>enforcement/orders</x:v>
      </x:c>
      <x:c r="BD5" s="18" t="n">
        <x:v>9</x:v>
      </x:c>
      <x:c r="BF5" s="18" t="str">
        <x:v>Kamlesh Ahuja</x:v>
      </x:c>
      <x:c r="BG5" s="18" t="n">
        <x:v>1</x:v>
      </x:c>
    </x:row>
    <x:row r="6">
      <x:c r="AZ6" s="18" t="str">
        <x:v>2025-06-17</x:v>
      </x:c>
      <x:c r="BA6" s="18" t="n">
        <x:v>1</x:v>
      </x:c>
      <x:c r="BC6" s="18" t="str">
        <x:v>media and notifications/press releases</x:v>
      </x:c>
      <x:c r="BD6" s="18" t="n">
        <x:v>2</x:v>
      </x:c>
      <x:c r="BF6" s="18" t="str">
        <x:v>in the matter of Nirman Agri Genetics Limited</x:v>
      </x:c>
      <x:c r="BG6" s="18" t="n">
        <x:v>1</x:v>
      </x:c>
    </x:row>
    <x:row r="7">
      <x:c r="AZ7" s="18" t="str">
        <x:v>2025-06-23</x:v>
      </x:c>
      <x:c r="BA7" s="18" t="n">
        <x:v>1</x:v>
      </x:c>
      <x:c r="BF7" s="18" t="str">
        <x:v>RATI AGARWAL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pdf_url</x:v>
      </x:c>
      <x:c r="M8" s="15" t="str">
        <x:v>date</x:v>
      </x:c>
      <x:c r="N8" s="15" t="str">
        <x:v>regulator</x:v>
      </x:c>
      <x:c r="O8" s="15" t="str">
        <x:v>title</x:v>
      </x:c>
      <x:c r="P8" s="15" t="str">
        <x:v>entity</x:v>
      </x:c>
      <x:c r="Q8" s="15" t="str">
        <x:v>id</x:v>
      </x:c>
      <x:c r="R8" s="15" t="str">
        <x:v>action_type</x:v>
      </x:c>
      <x:c r="S8" s="15" t="str">
        <x:v>detail_url</x:v>
      </x:c>
      <x:c r="T8" s="15" t="str">
        <x:v>coverage_status</x:v>
      </x:c>
      <x:c r="U8" s="15" t="str">
        <x:v>coverage_scope</x:v>
      </x:c>
      <x:c r="V8" s="15" t="str">
        <x:v>coverage_start</x:v>
      </x:c>
      <x:c r="W8" s="15" t="str">
        <x:v>coverage_end</x:v>
      </x:c>
      <x:c r="X8" s="15" t="str">
        <x:v>universe_count</x:v>
      </x:c>
      <x:c r="Y8" s="15" t="str">
        <x:v>record_age_days</x:v>
      </x:c>
      <x:c r="Z8" s="15" t="str">
        <x:v>record_completeness_pct</x:v>
      </x:c>
      <x:c r="AA8" s="15" t="str">
        <x:v>source_provider</x:v>
      </x:c>
      <x:c r="AB8" s="15" t="str">
        <x:v>source_url</x:v>
      </x:c>
      <x:c r="AC8" s="15" t="str">
        <x:v>source_published_at</x:v>
      </x:c>
      <x:c r="AD8" s="15" t="str">
        <x:v>source_retrieved_at</x:v>
      </x:c>
      <x:c r="AE8" s="15" t="str">
        <x:v>provenance</x:v>
      </x:c>
      <x:c r="AF8" s="15" t="str">
        <x:v>quality_status</x:v>
      </x:c>
      <x:c r="AZ8" s="18" t="str">
        <x:v>2025-06-27</x:v>
      </x:c>
      <x:c r="BA8" s="18" t="n">
        <x:v>2</x:v>
      </x:c>
      <x:c r="BF8" s="18" t="str">
        <x:v>in respect to twenty entities</x:v>
      </x:c>
      <x:c r="BG8" s="18" t="n">
        <x:v>1</x:v>
      </x:c>
    </x:row>
    <x:row r="9">
      <x:c r="A9" s="18" t="str">
        <x:v>NYT-20-99e13e233d160e33</x:v>
      </x:c>
      <x:c r="B9" s="18" t="str">
        <x:v>Auction of State Government Securities</x:v>
      </x:c>
      <x:c r="C9" s="18" t="str">
        <x:v>2026-07-03</x:v>
      </x:c>
      <x:c r="D9" s="18" t="n">
        <x:v>2026</x:v>
      </x:c>
      <x:c r="E9" s="18" t="str">
        <x:v>2026-07</x:v>
      </x:c>
      <x:c r="F9" s="18" t="str"/>
      <x:c r="G9" s="18" t="str"/>
      <x:c r="H9" s="18" t="str"/>
      <x:c r="I9" s="18" t="str"/>
      <x:c r="J9" s="20" t="str"/>
      <x:c r="K9" s="18" t="str"/>
      <x:c r="L9" s="22" t="str">
        <x:v>https://rbidocs.rbi.org.in/rdocs/PressRelease/PDFs/PR6090858C13D77164124835021A5E50AD501.PDF</x:v>
      </x:c>
      <x:c r="M9" s="18" t="str">
        <x:v>2026-07-03</x:v>
      </x:c>
      <x:c r="N9" s="18" t="str">
        <x:v>RBI</x:v>
      </x:c>
      <x:c r="O9" s="18" t="str">
        <x:v>Auction of State Government Securities</x:v>
      </x:c>
      <x:c r="P9" s="18" t="str"/>
      <x:c r="Q9" s="18" t="str">
        <x:v>1</x:v>
      </x:c>
      <x:c r="R9" s="18" t="str">
        <x:v>routine</x:v>
      </x:c>
      <x:c r="S9" s="18" t="str">
        <x:v>https://rbi.org.in/Scripts/BS_PressReleaseDisplay.aspx?prid=63087</x:v>
      </x:c>
      <x:c r="T9" s="18" t="str">
        <x:v>DEFINED_TERMINAL_OR_FEED_SCOPE</x:v>
      </x:c>
      <x:c r="U9" s="18" t="str">
        <x:v>national_regulatory_watch.json — published records loaded</x:v>
      </x:c>
      <x:c r="V9" s="18" t="str"/>
      <x:c r="W9" s="18" t="str"/>
      <x:c r="X9" s="20" t="n">
        <x:v>151</x:v>
      </x:c>
      <x:c r="Y9" s="19" t="n">
        <x:f>IFERROR(TODAY()-DATEVALUE(C9),"")</x:f>
        <x:v>69</x:v>
      </x:c>
      <x:c r="Z9" s="21" t="n">
        <x:f>ROUND(COUNTA(A9:K9)/11*100,0)</x:f>
        <x:v>100</x:v>
      </x:c>
      <x:c r="AA9" s="18" t="str">
        <x:v>Reserve Bank of India</x:v>
      </x:c>
      <x:c r="AB9" s="22" t="str">
        <x:v>https://rbi.org.in/Scripts/BS_PressReleaseDisplay.aspx?prid=63087</x:v>
      </x:c>
      <x:c r="AC9" s="18" t="str">
        <x:v>2026-07-03</x:v>
      </x:c>
      <x:c r="AD9" s="18" t="n">
        <x:v>46275.114583333336</x:v>
      </x:c>
      <x:c r="AE9" s="18" t="str">
        <x:v>retained_terminal</x:v>
      </x:c>
      <x:c r="AF9" s="18" t="str">
        <x:v>READY</x:v>
      </x:c>
      <x:c r="AZ9" s="18" t="str">
        <x:v>2025-07-11</x:v>
      </x:c>
      <x:c r="BA9" s="18" t="n">
        <x:v>5</x:v>
      </x:c>
      <x:c r="BF9" s="18" t="str">
        <x:v>No. 01 of 2026 issued</x:v>
      </x:c>
      <x:c r="BG9" s="18" t="n">
        <x:v>1</x:v>
      </x:c>
    </x:row>
    <x:row r="10">
      <x:c r="A10" s="18" t="str">
        <x:v>NYT-20-c1cd225a9124244f</x:v>
      </x:c>
      <x:c r="B10" s="18" t="str">
        <x:v>Auction of 91-Day, 182-Day and 364-Day Treasury Bills</x:v>
      </x:c>
      <x:c r="C10" s="18" t="str">
        <x:v>2026-07-03</x:v>
      </x:c>
      <x:c r="D10" s="18" t="n">
        <x:v>2026</x:v>
      </x:c>
      <x:c r="E10" s="18" t="str">
        <x:v>2026-07</x:v>
      </x:c>
      <x:c r="F10" s="18" t="str"/>
      <x:c r="G10" s="18" t="str"/>
      <x:c r="H10" s="18" t="str"/>
      <x:c r="I10" s="18" t="str"/>
      <x:c r="J10" s="20" t="str"/>
      <x:c r="K10" s="18" t="str"/>
      <x:c r="L10" s="22" t="str">
        <x:v>https://rbidocs.rbi.org.in/rdocs/PressRelease/PDFs/PR608F478360C1647461C821AB6EA838EE36F.PDF</x:v>
      </x:c>
      <x:c r="M10" s="18" t="str">
        <x:v>2026-07-03</x:v>
      </x:c>
      <x:c r="N10" s="18" t="str">
        <x:v>RBI</x:v>
      </x:c>
      <x:c r="O10" s="18" t="str">
        <x:v>Auction of 91-Day, 182-Day and 364-Day Treasury Bills</x:v>
      </x:c>
      <x:c r="P10" s="18" t="str"/>
      <x:c r="Q10" s="18" t="str">
        <x:v>2</x:v>
      </x:c>
      <x:c r="R10" s="18" t="str">
        <x:v>routine</x:v>
      </x:c>
      <x:c r="S10" s="18" t="str">
        <x:v>https://rbi.org.in/Scripts/BS_PressReleaseDisplay.aspx?prid=63086</x:v>
      </x:c>
      <x:c r="T10" s="18" t="str">
        <x:v>DEFINED_TERMINAL_OR_FEED_SCOPE</x:v>
      </x:c>
      <x:c r="U10" s="18" t="str">
        <x:v>national_regulatory_watch.json — published records loaded</x:v>
      </x:c>
      <x:c r="V10" s="18" t="str"/>
      <x:c r="W10" s="18" t="str"/>
      <x:c r="X10" s="20" t="n">
        <x:v>151</x:v>
      </x:c>
      <x:c r="Y10" s="19" t="n">
        <x:f>IFERROR(TODAY()-DATEVALUE(C10),"")</x:f>
        <x:v>69</x:v>
      </x:c>
      <x:c r="Z10" s="21" t="n">
        <x:f>ROUND(COUNTA(A10:K10)/11*100,0)</x:f>
        <x:v>100</x:v>
      </x:c>
      <x:c r="AA10" s="18" t="str">
        <x:v>Reserve Bank of India</x:v>
      </x:c>
      <x:c r="AB10" s="22" t="str">
        <x:v>https://rbi.org.in/Scripts/BS_PressReleaseDisplay.aspx?prid=63086</x:v>
      </x:c>
      <x:c r="AC10" s="18" t="str">
        <x:v>2026-07-03</x:v>
      </x:c>
      <x:c r="AD10" s="18" t="n">
        <x:v>46275.114583333336</x:v>
      </x:c>
      <x:c r="AE10" s="18" t="str">
        <x:v>retained_terminal</x:v>
      </x:c>
      <x:c r="AF10" s="18" t="str">
        <x:v>READY</x:v>
      </x:c>
      <x:c r="AZ10" s="18" t="str">
        <x:v>2025-07-16</x:v>
      </x:c>
      <x:c r="BA10" s="18" t="n">
        <x:v>1</x:v>
      </x:c>
      <x:c r="BF10" s="18" t="str">
        <x:v>Certificate No. RC9216 of 2026 in respect of </x:v>
      </x:c>
      <x:c r="BG10" s="18" t="n">
        <x:v>1</x:v>
      </x:c>
    </x:row>
    <x:row r="11">
      <x:c r="A11" s="18" t="str">
        <x:v>NYT-20-afff8efc9ca6b487</x:v>
      </x:c>
      <x:c r="B11" s="18" t="str">
        <x:v>RBI to conduct 3-day Variable Rate Repo (VRR) auction under LAF on July 06, 2026</x:v>
      </x:c>
      <x:c r="C11" s="18" t="str">
        <x:v>2026-07-03</x:v>
      </x:c>
      <x:c r="D11" s="18" t="n">
        <x:v>2026</x:v>
      </x:c>
      <x:c r="E11" s="18" t="str">
        <x:v>2026-07</x:v>
      </x:c>
      <x:c r="F11" s="18" t="str"/>
      <x:c r="G11" s="18" t="str"/>
      <x:c r="H11" s="18" t="str"/>
      <x:c r="I11" s="18" t="str"/>
      <x:c r="J11" s="20" t="str"/>
      <x:c r="K11" s="18" t="str"/>
      <x:c r="L11" s="22" t="str">
        <x:v>https://rbidocs.rbi.org.in/rdocs/PressRelease/PDFs/PR60731557616F9D14341B85AFFAD3427EBE7.PDF</x:v>
      </x:c>
      <x:c r="M11" s="18" t="str">
        <x:v>2026-07-03</x:v>
      </x:c>
      <x:c r="N11" s="18" t="str">
        <x:v>RBI</x:v>
      </x:c>
      <x:c r="O11" s="18" t="str">
        <x:v>RBI to conduct 3-day Variable Rate Repo (VRR) auction under LAF on July 06, 2026</x:v>
      </x:c>
      <x:c r="P11" s="18" t="str"/>
      <x:c r="Q11" s="18" t="str">
        <x:v>3</x:v>
      </x:c>
      <x:c r="R11" s="18" t="str">
        <x:v>routine</x:v>
      </x:c>
      <x:c r="S11" s="18" t="str">
        <x:v>https://rbi.org.in/Scripts/BS_PressReleaseDisplay.aspx?prid=63085</x:v>
      </x:c>
      <x:c r="T11" s="18" t="str">
        <x:v>DEFINED_TERMINAL_OR_FEED_SCOPE</x:v>
      </x:c>
      <x:c r="U11" s="18" t="str">
        <x:v>national_regulatory_watch.json — published records loaded</x:v>
      </x:c>
      <x:c r="V11" s="18" t="str"/>
      <x:c r="W11" s="18" t="str"/>
      <x:c r="X11" s="20" t="n">
        <x:v>151</x:v>
      </x:c>
      <x:c r="Y11" s="19" t="n">
        <x:f>IFERROR(TODAY()-DATEVALUE(C11),"")</x:f>
        <x:v>69</x:v>
      </x:c>
      <x:c r="Z11" s="21" t="n">
        <x:f>ROUND(COUNTA(A11:K11)/11*100,0)</x:f>
        <x:v>100</x:v>
      </x:c>
      <x:c r="AA11" s="18" t="str">
        <x:v>Reserve Bank of India</x:v>
      </x:c>
      <x:c r="AB11" s="22" t="str">
        <x:v>https://rbi.org.in/Scripts/BS_PressReleaseDisplay.aspx?prid=63085</x:v>
      </x:c>
      <x:c r="AC11" s="18" t="str">
        <x:v>2026-07-03</x:v>
      </x:c>
      <x:c r="AD11" s="18" t="n">
        <x:v>46275.114583333336</x:v>
      </x:c>
      <x:c r="AE11" s="18" t="str">
        <x:v>retained_terminal</x:v>
      </x:c>
      <x:c r="AF11" s="18" t="str">
        <x:v>READY</x:v>
      </x:c>
      <x:c r="AZ11" s="18" t="str">
        <x:v>2025-08-13</x:v>
      </x:c>
      <x:c r="BA11" s="18" t="n">
        <x:v>1</x:v>
      </x:c>
      <x:c r="BF11" s="18" t="str">
        <x:v>for RC No. 4397 of 2021-Kesava Mallikarjuna P</x:v>
      </x:c>
      <x:c r="BG11" s="18" t="n">
        <x:v>1</x:v>
      </x:c>
    </x:row>
    <x:row r="12">
      <x:c r="A12" s="18" t="str">
        <x:v>NYT-20-ddece037dc20dead</x:v>
      </x:c>
      <x:c r="B12" s="18" t="str">
        <x:v>Premature redemption under Sovereign Gold Bond (SGB) Scheme - Redemption Price for premature redemption of SGB 2020-21 Series-IX due on July 04, 2026 (July 05 being holiday)</x:v>
      </x:c>
      <x:c r="C12" s="18" t="str">
        <x:v>2026-07-03</x:v>
      </x:c>
      <x:c r="D12" s="18" t="n">
        <x:v>2026</x:v>
      </x:c>
      <x:c r="E12" s="18" t="str">
        <x:v>2026-07</x:v>
      </x:c>
      <x:c r="F12" s="18" t="str"/>
      <x:c r="G12" s="18" t="str"/>
      <x:c r="H12" s="18" t="str"/>
      <x:c r="I12" s="18" t="str"/>
      <x:c r="J12" s="20" t="str"/>
      <x:c r="K12" s="18" t="str"/>
      <x:c r="L12" s="22" t="str">
        <x:v>https://rbidocs.rbi.org.in/rdocs/PressRelease/PDFs/PR6067CDD6D101CA142FF90FE48AE1644EA79.PDF</x:v>
      </x:c>
      <x:c r="M12" s="18" t="str">
        <x:v>2026-07-03</x:v>
      </x:c>
      <x:c r="N12" s="18" t="str">
        <x:v>RBI</x:v>
      </x:c>
      <x:c r="O12" s="18" t="str">
        <x:v>Premature redemption under Sovereign Gold Bond (SGB) Scheme - Redemption Price for premature redemption of SGB 2020-21 Series-IX due on July 04, 2026 (July 05 being holiday)</x:v>
      </x:c>
      <x:c r="P12" s="18" t="str"/>
      <x:c r="Q12" s="18" t="str">
        <x:v>4</x:v>
      </x:c>
      <x:c r="R12" s="18" t="str">
        <x:v>routine</x:v>
      </x:c>
      <x:c r="S12" s="18" t="str">
        <x:v>https://rbi.org.in/Scripts/BS_PressReleaseDisplay.aspx?prid=63084</x:v>
      </x:c>
      <x:c r="T12" s="18" t="str">
        <x:v>DEFINED_TERMINAL_OR_FEED_SCOPE</x:v>
      </x:c>
      <x:c r="U12" s="18" t="str">
        <x:v>national_regulatory_watch.json — published records loaded</x:v>
      </x:c>
      <x:c r="V12" s="18" t="str"/>
      <x:c r="W12" s="18" t="str"/>
      <x:c r="X12" s="20" t="n">
        <x:v>151</x:v>
      </x:c>
      <x:c r="Y12" s="19" t="n">
        <x:f>IFERROR(TODAY()-DATEVALUE(C12),"")</x:f>
        <x:v>69</x:v>
      </x:c>
      <x:c r="Z12" s="21" t="n">
        <x:f>ROUND(COUNTA(A12:K12)/11*100,0)</x:f>
        <x:v>100</x:v>
      </x:c>
      <x:c r="AA12" s="18" t="str">
        <x:v>Reserve Bank of India</x:v>
      </x:c>
      <x:c r="AB12" s="22" t="str">
        <x:v>https://rbi.org.in/Scripts/BS_PressReleaseDisplay.aspx?prid=63084</x:v>
      </x:c>
      <x:c r="AC12" s="18" t="str">
        <x:v>2026-07-03</x:v>
      </x:c>
      <x:c r="AD12" s="18" t="n">
        <x:v>46275.114583333336</x:v>
      </x:c>
      <x:c r="AE12" s="18" t="str">
        <x:v>retained_terminal</x:v>
      </x:c>
      <x:c r="AF12" s="18" t="str">
        <x:v>READY</x:v>
      </x:c>
      <x:c r="AZ12" s="18" t="str">
        <x:v>2025-10-15</x:v>
      </x:c>
      <x:c r="BA12" s="18" t="n">
        <x:v>1</x:v>
      </x:c>
      <x:c r="BF12" s="18" t="str">
        <x:v>for RC No. 4396 of 2021-Dhaduvai Venkatram</x:v>
      </x:c>
      <x:c r="BG12" s="18" t="n">
        <x:v>1</x:v>
      </x:c>
    </x:row>
    <x:row r="13">
      <x:c r="A13" s="18" t="str">
        <x:v>NYT-20-5254bfd432b8e968</x:v>
      </x:c>
      <x:c r="B13" s="18" t="str">
        <x:v>RBI imposes monetary penalty on GIC Housing Finance Limited</x:v>
      </x:c>
      <x:c r="C13" s="18" t="str">
        <x:v>2026-07-03</x:v>
      </x:c>
      <x:c r="D13" s="18" t="n">
        <x:v>2026</x:v>
      </x:c>
      <x:c r="E13" s="18" t="str">
        <x:v>2026-07</x:v>
      </x:c>
      <x:c r="F13" s="18" t="str"/>
      <x:c r="G13" s="18" t="str"/>
      <x:c r="H13" s="18" t="str"/>
      <x:c r="I13" s="18" t="str"/>
      <x:c r="J13" s="20" t="str"/>
      <x:c r="K13" s="18" t="str"/>
      <x:c r="L13" s="22" t="str">
        <x:v>https://rbidocs.rbi.org.in/rdocs/PressRelease/PDFs/PR6053C2FA63980744F8E8C59CEAC2A2DB5CB.PDF</x:v>
      </x:c>
      <x:c r="M13" s="18" t="str">
        <x:v>2026-07-03</x:v>
      </x:c>
      <x:c r="N13" s="18" t="str">
        <x:v>RBI</x:v>
      </x:c>
      <x:c r="O13" s="18" t="str">
        <x:v>RBI imposes monetary penalty on GIC Housing Finance Limited</x:v>
      </x:c>
      <x:c r="P13" s="18" t="str"/>
      <x:c r="Q13" s="18" t="str">
        <x:v>5</x:v>
      </x:c>
      <x:c r="R13" s="18" t="str">
        <x:v>penalty</x:v>
      </x:c>
      <x:c r="S13" s="18" t="str">
        <x:v>https://rbi.org.in/Scripts/BS_PressReleaseDisplay.aspx?prid=63083</x:v>
      </x:c>
      <x:c r="T13" s="18" t="str">
        <x:v>DEFINED_TERMINAL_OR_FEED_SCOPE</x:v>
      </x:c>
      <x:c r="U13" s="18" t="str">
        <x:v>national_regulatory_watch.json — published records loaded</x:v>
      </x:c>
      <x:c r="V13" s="18" t="str"/>
      <x:c r="W13" s="18" t="str"/>
      <x:c r="X13" s="20" t="n">
        <x:v>151</x:v>
      </x:c>
      <x:c r="Y13" s="19" t="n">
        <x:f>IFERROR(TODAY()-DATEVALUE(C13),"")</x:f>
        <x:v>69</x:v>
      </x:c>
      <x:c r="Z13" s="21" t="n">
        <x:f>ROUND(COUNTA(A13:K13)/11*100,0)</x:f>
        <x:v>100</x:v>
      </x:c>
      <x:c r="AA13" s="18" t="str">
        <x:v>Reserve Bank of India</x:v>
      </x:c>
      <x:c r="AB13" s="22" t="str">
        <x:v>https://rbi.org.in/Scripts/BS_PressReleaseDisplay.aspx?prid=63083</x:v>
      </x:c>
      <x:c r="AC13" s="18" t="str">
        <x:v>2026-07-03</x:v>
      </x:c>
      <x:c r="AD13" s="18" t="n">
        <x:v>46275.114583333336</x:v>
      </x:c>
      <x:c r="AE13" s="18" t="str">
        <x:v>retained_terminal</x:v>
      </x:c>
      <x:c r="AF13" s="18" t="str">
        <x:v>READY</x:v>
      </x:c>
      <x:c r="AZ13" s="18" t="str">
        <x:v>2026-01-19</x:v>
      </x:c>
      <x:c r="BA13" s="18" t="n">
        <x:v>1</x:v>
      </x:c>
      <x:c r="BF13" s="18" t="str">
        <x:v>Certificate No. RC8582 of 2025 in respect of </x:v>
      </x:c>
      <x:c r="BG13" s="18" t="n">
        <x:v>1</x:v>
      </x:c>
    </x:row>
    <x:row r="14">
      <x:c r="A14" s="18" t="str">
        <x:v>NYT-20-e604681bd73967f6</x:v>
      </x:c>
      <x:c r="B14" s="18" t="str">
        <x:v>Reserve Bank of India imposes monetary penalty on Bank of Baroda</x:v>
      </x:c>
      <x:c r="C14" s="18" t="str">
        <x:v>2026-07-03</x:v>
      </x:c>
      <x:c r="D14" s="18" t="n">
        <x:v>2026</x:v>
      </x:c>
      <x:c r="E14" s="18" t="str">
        <x:v>2026-07</x:v>
      </x:c>
      <x:c r="F14" s="18" t="str"/>
      <x:c r="G14" s="18" t="str"/>
      <x:c r="H14" s="18" t="str"/>
      <x:c r="I14" s="18" t="str"/>
      <x:c r="J14" s="20" t="str"/>
      <x:c r="K14" s="18" t="str"/>
      <x:c r="L14" s="22" t="str">
        <x:v>https://rbidocs.rbi.org.in/rdocs/PressRelease/PDFs/PR60456EC44198036430B846D2615004D090C.PDF</x:v>
      </x:c>
      <x:c r="M14" s="18" t="str">
        <x:v>2026-07-03</x:v>
      </x:c>
      <x:c r="N14" s="18" t="str">
        <x:v>RBI</x:v>
      </x:c>
      <x:c r="O14" s="18" t="str">
        <x:v>Reserve Bank of India imposes monetary penalty on Bank of Baroda</x:v>
      </x:c>
      <x:c r="P14" s="18" t="str"/>
      <x:c r="Q14" s="18" t="str">
        <x:v>6</x:v>
      </x:c>
      <x:c r="R14" s="18" t="str">
        <x:v>penalty</x:v>
      </x:c>
      <x:c r="S14" s="18" t="str">
        <x:v>https://rbi.org.in/Scripts/BS_PressReleaseDisplay.aspx?prid=63082</x:v>
      </x:c>
      <x:c r="T14" s="18" t="str">
        <x:v>DEFINED_TERMINAL_OR_FEED_SCOPE</x:v>
      </x:c>
      <x:c r="U14" s="18" t="str">
        <x:v>national_regulatory_watch.json — published records loaded</x:v>
      </x:c>
      <x:c r="V14" s="18" t="str"/>
      <x:c r="W14" s="18" t="str"/>
      <x:c r="X14" s="20" t="n">
        <x:v>151</x:v>
      </x:c>
      <x:c r="Y14" s="19" t="n">
        <x:f>IFERROR(TODAY()-DATEVALUE(C14),"")</x:f>
        <x:v>69</x:v>
      </x:c>
      <x:c r="Z14" s="21" t="n">
        <x:f>ROUND(COUNTA(A14:K14)/11*100,0)</x:f>
        <x:v>100</x:v>
      </x:c>
      <x:c r="AA14" s="18" t="str">
        <x:v>Reserve Bank of India</x:v>
      </x:c>
      <x:c r="AB14" s="22" t="str">
        <x:v>https://rbi.org.in/Scripts/BS_PressReleaseDisplay.aspx?prid=63082</x:v>
      </x:c>
      <x:c r="AC14" s="18" t="str">
        <x:v>2026-07-03</x:v>
      </x:c>
      <x:c r="AD14" s="18" t="n">
        <x:v>46275.114583333336</x:v>
      </x:c>
      <x:c r="AE14" s="18" t="str">
        <x:v>retained_terminal</x:v>
      </x:c>
      <x:c r="AF14" s="18" t="str">
        <x:v>READY</x:v>
      </x:c>
      <x:c r="AZ14" s="18" t="str">
        <x:v>2026-01-30</x:v>
      </x:c>
      <x:c r="BA14" s="18" t="n">
        <x:v>1</x:v>
      </x:c>
      <x:c r="BF14" s="18" t="str">
        <x:v>Certificate No. RC9147 of 2026 in respect of </x:v>
      </x:c>
      <x:c r="BG14" s="18" t="n">
        <x:v>1</x:v>
      </x:c>
    </x:row>
    <x:row r="15">
      <x:c r="A15" s="18" t="str">
        <x:v>NYT-20-f18bc22830f6007f</x:v>
      </x:c>
      <x:c r="B15" s="18" t="str">
        <x:v>Reserve Bank of India – Bulletin Weekly Statistical Supplement – Extract</x:v>
      </x:c>
      <x:c r="C15" s="18" t="str">
        <x:v>2026-07-03</x:v>
      </x:c>
      <x:c r="D15" s="18" t="n">
        <x:v>2026</x:v>
      </x:c>
      <x:c r="E15" s="18" t="str">
        <x:v>2026-07</x:v>
      </x:c>
      <x:c r="F15" s="18" t="str"/>
      <x:c r="G15" s="18" t="str"/>
      <x:c r="H15" s="18" t="str"/>
      <x:c r="I15" s="18" t="str"/>
      <x:c r="J15" s="20" t="str"/>
      <x:c r="K15" s="18" t="str"/>
      <x:c r="L15" s="22" t="str">
        <x:v>https://rbidocs.rbi.org.in/rdocs/PressRelease/PDFs/PR6033F192545B9CE4A15B22B6190B3BFC7E6.PDF</x:v>
      </x:c>
      <x:c r="M15" s="18" t="str">
        <x:v>2026-07-03</x:v>
      </x:c>
      <x:c r="N15" s="18" t="str">
        <x:v>RBI</x:v>
      </x:c>
      <x:c r="O15" s="18" t="str">
        <x:v>Reserve Bank of India – Bulletin Weekly Statistical Supplement – Extract</x:v>
      </x:c>
      <x:c r="P15" s="18" t="str"/>
      <x:c r="Q15" s="18" t="str">
        <x:v>7</x:v>
      </x:c>
      <x:c r="R15" s="18" t="str">
        <x:v>routine</x:v>
      </x:c>
      <x:c r="S15" s="18" t="str">
        <x:v>https://rbi.org.in/Scripts/BS_PressReleaseDisplay.aspx?prid=63081</x:v>
      </x:c>
      <x:c r="T15" s="18" t="str">
        <x:v>DEFINED_TERMINAL_OR_FEED_SCOPE</x:v>
      </x:c>
      <x:c r="U15" s="18" t="str">
        <x:v>national_regulatory_watch.json — published records loaded</x:v>
      </x:c>
      <x:c r="V15" s="18" t="str"/>
      <x:c r="W15" s="18" t="str"/>
      <x:c r="X15" s="20" t="n">
        <x:v>151</x:v>
      </x:c>
      <x:c r="Y15" s="19" t="n">
        <x:f>IFERROR(TODAY()-DATEVALUE(C15),"")</x:f>
        <x:v>69</x:v>
      </x:c>
      <x:c r="Z15" s="21" t="n">
        <x:f>ROUND(COUNTA(A15:K15)/11*100,0)</x:f>
        <x:v>100</x:v>
      </x:c>
      <x:c r="AA15" s="18" t="str">
        <x:v>Reserve Bank of India</x:v>
      </x:c>
      <x:c r="AB15" s="22" t="str">
        <x:v>https://rbi.org.in/Scripts/BS_PressReleaseDisplay.aspx?prid=63081</x:v>
      </x:c>
      <x:c r="AC15" s="18" t="str">
        <x:v>2026-07-03</x:v>
      </x:c>
      <x:c r="AD15" s="18" t="n">
        <x:v>46275.114583333336</x:v>
      </x:c>
      <x:c r="AE15" s="18" t="str">
        <x:v>retained_terminal</x:v>
      </x:c>
      <x:c r="AF15" s="18" t="str">
        <x:v>READY</x:v>
      </x:c>
      <x:c r="AZ15" s="18" t="str">
        <x:v>2026-02-06</x:v>
      </x:c>
      <x:c r="BA15" s="18" t="n">
        <x:v>3</x:v>
      </x:c>
    </x:row>
    <x:row r="16">
      <x:c r="A16" s="18" t="str">
        <x:v>NYT-20-43f573cae98ba0fa</x:v>
      </x:c>
      <x:c r="B16" s="18" t="str">
        <x:v>Directions under Section 35A read with Section 56 of the Banking Regulation Act, 1949 (As Applicable to Co-operative Societies) – The Industrial Co-operative Bank Ltd., Guwahati – Extension of period</x:v>
      </x:c>
      <x:c r="C16" s="18" t="str">
        <x:v>2026-07-03</x:v>
      </x:c>
      <x:c r="D16" s="18" t="n">
        <x:v>2026</x:v>
      </x:c>
      <x:c r="E16" s="18" t="str">
        <x:v>2026-07</x:v>
      </x:c>
      <x:c r="F16" s="18" t="str"/>
      <x:c r="G16" s="18" t="str"/>
      <x:c r="H16" s="18" t="str"/>
      <x:c r="I16" s="18" t="str"/>
      <x:c r="J16" s="20" t="str"/>
      <x:c r="K16" s="18" t="str"/>
      <x:c r="L16" s="22" t="str">
        <x:v>https://rbidocs.rbi.org.in/rdocs/PressRelease/PDFs/PR60233F4E8F7FC7849238DC85EB52E6380A8.PDF</x:v>
      </x:c>
      <x:c r="M16" s="18" t="str">
        <x:v>2026-07-03</x:v>
      </x:c>
      <x:c r="N16" s="18" t="str">
        <x:v>RBI</x:v>
      </x:c>
      <x:c r="O16" s="18" t="str">
        <x:v>Directions under Section 35A read with Section 56 of the Banking Regulation Act, 1949 (As Applicable to Co-operative Societies) – The Industrial Co-operative Bank Ltd., Guwahati – Extension of period</x:v>
      </x:c>
      <x:c r="P16" s="18" t="str"/>
      <x:c r="Q16" s="18" t="str">
        <x:v>8</x:v>
      </x:c>
      <x:c r="R16" s="18" t="str">
        <x:v>direction</x:v>
      </x:c>
      <x:c r="S16" s="18" t="str">
        <x:v>https://rbi.org.in/Scripts/BS_PressReleaseDisplay.aspx?prid=63080</x:v>
      </x:c>
      <x:c r="T16" s="18" t="str">
        <x:v>DEFINED_TERMINAL_OR_FEED_SCOPE</x:v>
      </x:c>
      <x:c r="U16" s="18" t="str">
        <x:v>national_regulatory_watch.json — published records loaded</x:v>
      </x:c>
      <x:c r="V16" s="18" t="str"/>
      <x:c r="W16" s="18" t="str"/>
      <x:c r="X16" s="20" t="n">
        <x:v>151</x:v>
      </x:c>
      <x:c r="Y16" s="19" t="n">
        <x:f>IFERROR(TODAY()-DATEVALUE(C16),"")</x:f>
        <x:v>69</x:v>
      </x:c>
      <x:c r="Z16" s="21" t="n">
        <x:f>ROUND(COUNTA(A16:K16)/11*100,0)</x:f>
        <x:v>100</x:v>
      </x:c>
      <x:c r="AA16" s="18" t="str">
        <x:v>Reserve Bank of India</x:v>
      </x:c>
      <x:c r="AB16" s="22" t="str">
        <x:v>https://rbi.org.in/Scripts/BS_PressReleaseDisplay.aspx?prid=63080</x:v>
      </x:c>
      <x:c r="AC16" s="18" t="str">
        <x:v>2026-07-03</x:v>
      </x:c>
      <x:c r="AD16" s="18" t="n">
        <x:v>46275.114583333336</x:v>
      </x:c>
      <x:c r="AE16" s="18" t="str">
        <x:v>retained_terminal</x:v>
      </x:c>
      <x:c r="AF16" s="18" t="str">
        <x:v>READY</x:v>
      </x:c>
      <x:c r="AZ16" s="18" t="str">
        <x:v>2026-02-09</x:v>
      </x:c>
      <x:c r="BA16" s="18" t="n">
        <x:v>1</x:v>
      </x:c>
    </x:row>
    <x:row r="17">
      <x:c r="A17" s="18" t="str">
        <x:v>NYT-20-ce83a68eb5ba1b8e</x:v>
      </x:c>
      <x:c r="B17" s="18" t="str">
        <x:v>Government Stock - Full Auction Results</x:v>
      </x:c>
      <x:c r="C17" s="18" t="str">
        <x:v>2026-07-03</x:v>
      </x:c>
      <x:c r="D17" s="18" t="n">
        <x:v>2026</x:v>
      </x:c>
      <x:c r="E17" s="18" t="str">
        <x:v>2026-07</x:v>
      </x:c>
      <x:c r="F17" s="18" t="str"/>
      <x:c r="G17" s="18" t="str"/>
      <x:c r="H17" s="18" t="str"/>
      <x:c r="I17" s="18" t="str"/>
      <x:c r="J17" s="20" t="str"/>
      <x:c r="K17" s="18" t="str"/>
      <x:c r="L17" s="22" t="str">
        <x:v>https://rbidocs.rbi.org.in/rdocs/PressRelease/PDFs/PR601E49F48DCACBC4E918CDDF169C83E3061.PDF</x:v>
      </x:c>
      <x:c r="M17" s="18" t="str">
        <x:v>2026-07-03</x:v>
      </x:c>
      <x:c r="N17" s="18" t="str">
        <x:v>RBI</x:v>
      </x:c>
      <x:c r="O17" s="18" t="str">
        <x:v>Government Stock - Full Auction Results</x:v>
      </x:c>
      <x:c r="P17" s="18" t="str"/>
      <x:c r="Q17" s="18" t="str">
        <x:v>9</x:v>
      </x:c>
      <x:c r="R17" s="18" t="str">
        <x:v>other</x:v>
      </x:c>
      <x:c r="S17" s="18" t="str">
        <x:v>https://rbi.org.in/Scripts/BS_PressReleaseDisplay.aspx?prid=63079</x:v>
      </x:c>
      <x:c r="T17" s="18" t="str">
        <x:v>DEFINED_TERMINAL_OR_FEED_SCOPE</x:v>
      </x:c>
      <x:c r="U17" s="18" t="str">
        <x:v>national_regulatory_watch.json — published records loaded</x:v>
      </x:c>
      <x:c r="V17" s="18" t="str"/>
      <x:c r="W17" s="18" t="str"/>
      <x:c r="X17" s="20" t="n">
        <x:v>151</x:v>
      </x:c>
      <x:c r="Y17" s="19" t="n">
        <x:f>IFERROR(TODAY()-DATEVALUE(C17),"")</x:f>
        <x:v>69</x:v>
      </x:c>
      <x:c r="Z17" s="21" t="n">
        <x:f>ROUND(COUNTA(A17:K17)/11*100,0)</x:f>
        <x:v>100</x:v>
      </x:c>
      <x:c r="AA17" s="18" t="str">
        <x:v>Reserve Bank of India</x:v>
      </x:c>
      <x:c r="AB17" s="22" t="str">
        <x:v>https://rbi.org.in/Scripts/BS_PressReleaseDisplay.aspx?prid=63079</x:v>
      </x:c>
      <x:c r="AC17" s="18" t="str">
        <x:v>2026-07-03</x:v>
      </x:c>
      <x:c r="AD17" s="18" t="n">
        <x:v>46275.114583333336</x:v>
      </x:c>
      <x:c r="AE17" s="18" t="str">
        <x:v>retained_terminal</x:v>
      </x:c>
      <x:c r="AF17" s="18" t="str">
        <x:v>READY</x:v>
      </x:c>
      <x:c r="AZ17" s="18" t="str">
        <x:v>2026-03-20</x:v>
      </x:c>
      <x:c r="BA17" s="18" t="n">
        <x:v>1</x:v>
      </x:c>
    </x:row>
    <x:row r="18">
      <x:c r="A18" s="18" t="str">
        <x:v>NYT-20-25c0e7a3772a265e</x:v>
      </x:c>
      <x:c r="B18" s="18" t="str">
        <x:v>Government Stock - Auction Results: Cut-off</x:v>
      </x:c>
      <x:c r="C18" s="18" t="str">
        <x:v>2026-07-03</x:v>
      </x:c>
      <x:c r="D18" s="18" t="n">
        <x:v>2026</x:v>
      </x:c>
      <x:c r="E18" s="18" t="str">
        <x:v>2026-07</x:v>
      </x:c>
      <x:c r="F18" s="18" t="str"/>
      <x:c r="G18" s="18" t="str"/>
      <x:c r="H18" s="18" t="str"/>
      <x:c r="I18" s="18" t="str"/>
      <x:c r="J18" s="20" t="str"/>
      <x:c r="K18" s="18" t="str"/>
      <x:c r="L18" s="22" t="str">
        <x:v>https://rbidocs.rbi.org.in/rdocs/PressRelease/PDFs/PR600CF09EAF5B6A0415D9509DD9AF765B78F.PDF</x:v>
      </x:c>
      <x:c r="M18" s="18" t="str">
        <x:v>2026-07-03</x:v>
      </x:c>
      <x:c r="N18" s="18" t="str">
        <x:v>RBI</x:v>
      </x:c>
      <x:c r="O18" s="18" t="str">
        <x:v>Government Stock - Auction Results: Cut-off</x:v>
      </x:c>
      <x:c r="P18" s="18" t="str"/>
      <x:c r="Q18" s="18" t="str">
        <x:v>10</x:v>
      </x:c>
      <x:c r="R18" s="18" t="str">
        <x:v>other</x:v>
      </x:c>
      <x:c r="S18" s="18" t="str">
        <x:v>https://rbi.org.in/Scripts/BS_PressReleaseDisplay.aspx?prid=63078</x:v>
      </x:c>
      <x:c r="T18" s="18" t="str">
        <x:v>DEFINED_TERMINAL_OR_FEED_SCOPE</x:v>
      </x:c>
      <x:c r="U18" s="18" t="str">
        <x:v>national_regulatory_watch.json — published records loaded</x:v>
      </x:c>
      <x:c r="V18" s="18" t="str"/>
      <x:c r="W18" s="18" t="str"/>
      <x:c r="X18" s="20" t="n">
        <x:v>151</x:v>
      </x:c>
      <x:c r="Y18" s="19" t="n">
        <x:f>IFERROR(TODAY()-DATEVALUE(C18),"")</x:f>
        <x:v>69</x:v>
      </x:c>
      <x:c r="Z18" s="21" t="n">
        <x:f>ROUND(COUNTA(A18:K18)/11*100,0)</x:f>
        <x:v>100</x:v>
      </x:c>
      <x:c r="AA18" s="18" t="str">
        <x:v>Reserve Bank of India</x:v>
      </x:c>
      <x:c r="AB18" s="22" t="str">
        <x:v>https://rbi.org.in/Scripts/BS_PressReleaseDisplay.aspx?prid=63078</x:v>
      </x:c>
      <x:c r="AC18" s="18" t="str">
        <x:v>2026-07-03</x:v>
      </x:c>
      <x:c r="AD18" s="18" t="n">
        <x:v>46275.114583333336</x:v>
      </x:c>
      <x:c r="AE18" s="18" t="str">
        <x:v>retained_terminal</x:v>
      </x:c>
      <x:c r="AF18" s="18" t="str">
        <x:v>READY</x:v>
      </x:c>
      <x:c r="AZ18" s="18" t="str">
        <x:v>2026-05-15</x:v>
      </x:c>
      <x:c r="BA18" s="18" t="n">
        <x:v>1</x:v>
      </x:c>
    </x:row>
    <x:row r="19">
      <x:c r="A19" s="18" t="str">
        <x:v>NYT-20-abd93e7ce9ce66f4</x:v>
      </x:c>
      <x:c r="B19" s="18" t="str">
        <x:v>Result of Underwriting Auction conducted on July 03, 2026</x:v>
      </x:c>
      <x:c r="C19" s="18" t="str">
        <x:v>2026-07-03</x:v>
      </x:c>
      <x:c r="D19" s="18" t="n">
        <x:v>2026</x:v>
      </x:c>
      <x:c r="E19" s="18" t="str">
        <x:v>2026-07</x:v>
      </x:c>
      <x:c r="F19" s="18" t="str"/>
      <x:c r="G19" s="18" t="str"/>
      <x:c r="H19" s="18" t="str"/>
      <x:c r="I19" s="18" t="str"/>
      <x:c r="J19" s="20" t="str"/>
      <x:c r="K19" s="18" t="str"/>
      <x:c r="L19" s="22" t="str">
        <x:v>https://rbidocs.rbi.org.in/rdocs/PressRelease/PDFs/PR5995BA86101A4484550AB186A31336905F3.PDF</x:v>
      </x:c>
      <x:c r="M19" s="18" t="str">
        <x:v>2026-07-03</x:v>
      </x:c>
      <x:c r="N19" s="18" t="str">
        <x:v>RBI</x:v>
      </x:c>
      <x:c r="O19" s="18" t="str">
        <x:v>Result of Underwriting Auction conducted on July 03, 2026</x:v>
      </x:c>
      <x:c r="P19" s="18" t="str"/>
      <x:c r="Q19" s="18" t="str">
        <x:v>11</x:v>
      </x:c>
      <x:c r="R19" s="18" t="str">
        <x:v>other</x:v>
      </x:c>
      <x:c r="S19" s="18" t="str">
        <x:v>https://rbi.org.in/Scripts/BS_PressReleaseDisplay.aspx?prid=63077</x:v>
      </x:c>
      <x:c r="T19" s="18" t="str">
        <x:v>DEFINED_TERMINAL_OR_FEED_SCOPE</x:v>
      </x:c>
      <x:c r="U19" s="18" t="str">
        <x:v>national_regulatory_watch.json — published records loaded</x:v>
      </x:c>
      <x:c r="V19" s="18" t="str"/>
      <x:c r="W19" s="18" t="str"/>
      <x:c r="X19" s="20" t="n">
        <x:v>151</x:v>
      </x:c>
      <x:c r="Y19" s="19" t="n">
        <x:f>IFERROR(TODAY()-DATEVALUE(C19),"")</x:f>
        <x:v>69</x:v>
      </x:c>
      <x:c r="Z19" s="21" t="n">
        <x:f>ROUND(COUNTA(A19:K19)/11*100,0)</x:f>
        <x:v>100</x:v>
      </x:c>
      <x:c r="AA19" s="18" t="str">
        <x:v>Reserve Bank of India</x:v>
      </x:c>
      <x:c r="AB19" s="22" t="str">
        <x:v>https://rbi.org.in/Scripts/BS_PressReleaseDisplay.aspx?prid=63077</x:v>
      </x:c>
      <x:c r="AC19" s="18" t="str">
        <x:v>2026-07-03</x:v>
      </x:c>
      <x:c r="AD19" s="18" t="n">
        <x:v>46275.114583333336</x:v>
      </x:c>
      <x:c r="AE19" s="18" t="str">
        <x:v>retained_terminal</x:v>
      </x:c>
      <x:c r="AF19" s="18" t="str">
        <x:v>READY</x:v>
      </x:c>
      <x:c r="AZ19" s="18" t="str">
        <x:v>2026-06-03</x:v>
      </x:c>
      <x:c r="BA19" s="18" t="n">
        <x:v>1</x:v>
      </x:c>
    </x:row>
    <x:row r="20">
      <x:c r="A20" s="18" t="str">
        <x:v>NYT-20-80c2b00a2a64f456</x:v>
      </x:c>
      <x:c r="B20" s="18" t="str">
        <x:v>Money Market Operations as on July 02, 2026</x:v>
      </x:c>
      <x:c r="C20" s="18" t="str">
        <x:v>2026-07-03</x:v>
      </x:c>
      <x:c r="D20" s="18" t="n">
        <x:v>2026</x:v>
      </x:c>
      <x:c r="E20" s="18" t="str">
        <x:v>2026-07</x:v>
      </x:c>
      <x:c r="F20" s="18" t="str"/>
      <x:c r="G20" s="18" t="str"/>
      <x:c r="H20" s="18" t="str"/>
      <x:c r="I20" s="18" t="str"/>
      <x:c r="J20" s="20" t="str"/>
      <x:c r="K20" s="18" t="str"/>
      <x:c r="L20" s="22" t="str">
        <x:v>https://rbidocs.rbi.org.in/rdocs/PressRelease/PDFs/PR598MMO1ADC0A66C4984E4BB12F68238E88A97B.PDF</x:v>
      </x:c>
      <x:c r="M20" s="18" t="str">
        <x:v>2026-07-03</x:v>
      </x:c>
      <x:c r="N20" s="18" t="str">
        <x:v>RBI</x:v>
      </x:c>
      <x:c r="O20" s="18" t="str">
        <x:v>Money Market Operations as on July 02, 2026</x:v>
      </x:c>
      <x:c r="P20" s="18" t="str"/>
      <x:c r="Q20" s="18" t="str">
        <x:v>12</x:v>
      </x:c>
      <x:c r="R20" s="18" t="str">
        <x:v>routine</x:v>
      </x:c>
      <x:c r="S20" s="18" t="str">
        <x:v>https://rbi.org.in/Scripts/BS_PressReleaseDisplay.aspx?prid=63076</x:v>
      </x:c>
      <x:c r="T20" s="18" t="str">
        <x:v>DEFINED_TERMINAL_OR_FEED_SCOPE</x:v>
      </x:c>
      <x:c r="U20" s="18" t="str">
        <x:v>national_regulatory_watch.json — published records loaded</x:v>
      </x:c>
      <x:c r="V20" s="18" t="str"/>
      <x:c r="W20" s="18" t="str"/>
      <x:c r="X20" s="20" t="n">
        <x:v>151</x:v>
      </x:c>
      <x:c r="Y20" s="19" t="n">
        <x:f>IFERROR(TODAY()-DATEVALUE(C20),"")</x:f>
        <x:v>69</x:v>
      </x:c>
      <x:c r="Z20" s="21" t="n">
        <x:f>ROUND(COUNTA(A20:K20)/11*100,0)</x:f>
        <x:v>100</x:v>
      </x:c>
      <x:c r="AA20" s="18" t="str">
        <x:v>Reserve Bank of India</x:v>
      </x:c>
      <x:c r="AB20" s="22" t="str">
        <x:v>https://rbi.org.in/Scripts/BS_PressReleaseDisplay.aspx?prid=63076</x:v>
      </x:c>
      <x:c r="AC20" s="18" t="str">
        <x:v>2026-07-03</x:v>
      </x:c>
      <x:c r="AD20" s="18" t="n">
        <x:v>46275.114583333336</x:v>
      </x:c>
      <x:c r="AE20" s="18" t="str">
        <x:v>retained_terminal</x:v>
      </x:c>
      <x:c r="AF20" s="18" t="str">
        <x:v>READY</x:v>
      </x:c>
      <x:c r="AZ20" s="18" t="str">
        <x:v>2026-06-25</x:v>
      </x:c>
      <x:c r="BA20" s="18" t="n">
        <x:v>19</x:v>
      </x:c>
    </x:row>
    <x:row r="21">
      <x:c r="A21" s="18" t="str">
        <x:v>NYT-20-9344591292ec2644</x:v>
      </x:c>
      <x:c r="B21" s="18" t="str">
        <x:v>RBI imposes monetary penalty on Nirmal Urban Co-operative Bank Ltd., Nagpur, Maharashtra</x:v>
      </x:c>
      <x:c r="C21" s="18" t="str">
        <x:v>2026-07-02</x:v>
      </x:c>
      <x:c r="D21" s="18" t="n">
        <x:v>2026</x:v>
      </x:c>
      <x:c r="E21" s="18" t="str">
        <x:v>2026-07</x:v>
      </x:c>
      <x:c r="F21" s="18" t="str"/>
      <x:c r="G21" s="18" t="str"/>
      <x:c r="H21" s="18" t="str"/>
      <x:c r="I21" s="18" t="str"/>
      <x:c r="J21" s="20" t="str"/>
      <x:c r="K21" s="18" t="str"/>
      <x:c r="L21" s="22" t="str">
        <x:v>https://rbidocs.rbi.org.in/rdocs/PressRelease/PDFs/PR59752A71B404B43447D92B61FD866BD1AEC.PDF</x:v>
      </x:c>
      <x:c r="M21" s="18" t="str">
        <x:v>2026-07-02</x:v>
      </x:c>
      <x:c r="N21" s="18" t="str">
        <x:v>RBI</x:v>
      </x:c>
      <x:c r="O21" s="18" t="str">
        <x:v>RBI imposes monetary penalty on Nirmal Urban Co-operative Bank Ltd., Nagpur, Maharashtra</x:v>
      </x:c>
      <x:c r="P21" s="18" t="str"/>
      <x:c r="Q21" s="18" t="str">
        <x:v>13</x:v>
      </x:c>
      <x:c r="R21" s="18" t="str">
        <x:v>penalty</x:v>
      </x:c>
      <x:c r="S21" s="18" t="str">
        <x:v>https://rbi.org.in/Scripts/BS_PressReleaseDisplay.aspx?prid=63075</x:v>
      </x:c>
      <x:c r="T21" s="18" t="str">
        <x:v>DEFINED_TERMINAL_OR_FEED_SCOPE</x:v>
      </x:c>
      <x:c r="U21" s="18" t="str">
        <x:v>national_regulatory_watch.json — published records loaded</x:v>
      </x:c>
      <x:c r="V21" s="18" t="str"/>
      <x:c r="W21" s="18" t="str"/>
      <x:c r="X21" s="20" t="n">
        <x:v>151</x:v>
      </x:c>
      <x:c r="Y21" s="19" t="n">
        <x:f>IFERROR(TODAY()-DATEVALUE(C21),"")</x:f>
        <x:v>70</x:v>
      </x:c>
      <x:c r="Z21" s="21" t="n">
        <x:f>ROUND(COUNTA(A21:K21)/11*100,0)</x:f>
        <x:v>100</x:v>
      </x:c>
      <x:c r="AA21" s="18" t="str">
        <x:v>Reserve Bank of India</x:v>
      </x:c>
      <x:c r="AB21" s="22" t="str">
        <x:v>https://rbi.org.in/Scripts/BS_PressReleaseDisplay.aspx?prid=63075</x:v>
      </x:c>
      <x:c r="AC21" s="18" t="str">
        <x:v>2026-07-02</x:v>
      </x:c>
      <x:c r="AD21" s="18" t="n">
        <x:v>46275.114583333336</x:v>
      </x:c>
      <x:c r="AE21" s="18" t="str">
        <x:v>retained_terminal</x:v>
      </x:c>
      <x:c r="AF21" s="18" t="str">
        <x:v>READY</x:v>
      </x:c>
      <x:c r="AZ21" s="18" t="str">
        <x:v>2026-06-26</x:v>
      </x:c>
      <x:c r="BA21" s="18" t="n">
        <x:v>1</x:v>
      </x:c>
    </x:row>
    <x:row r="22">
      <x:c r="A22" s="18" t="str">
        <x:v>NYT-20-84877203fa4dbc5b</x:v>
      </x:c>
      <x:c r="B22" s="18" t="str">
        <x:v>Directions under Section 35A read with Section 56 of the Banking Regulation Act, 1949 – Ramgarhia Co-operative Bank Limited, New Delhi – Extension of Period</x:v>
      </x:c>
      <x:c r="C22" s="18" t="str">
        <x:v>2026-07-02</x:v>
      </x:c>
      <x:c r="D22" s="18" t="n">
        <x:v>2026</x:v>
      </x:c>
      <x:c r="E22" s="18" t="str">
        <x:v>2026-07</x:v>
      </x:c>
      <x:c r="F22" s="18" t="str"/>
      <x:c r="G22" s="18" t="str"/>
      <x:c r="H22" s="18" t="str"/>
      <x:c r="I22" s="18" t="str"/>
      <x:c r="J22" s="20" t="str"/>
      <x:c r="K22" s="18" t="str"/>
      <x:c r="L22" s="22" t="str">
        <x:v>https://rbidocs.rbi.org.in/rdocs/PressRelease/PDFs/PR5965B491498CE9E4435BD9CD1BC493F8233.PDF</x:v>
      </x:c>
      <x:c r="M22" s="18" t="str">
        <x:v>2026-07-02</x:v>
      </x:c>
      <x:c r="N22" s="18" t="str">
        <x:v>RBI</x:v>
      </x:c>
      <x:c r="O22" s="18" t="str">
        <x:v>Directions under Section 35A read with Section 56 of the Banking Regulation Act, 1949 – Ramgarhia Co-operative Bank Limited, New Delhi – Extension of Period</x:v>
      </x:c>
      <x:c r="P22" s="18" t="str"/>
      <x:c r="Q22" s="18" t="str">
        <x:v>14</x:v>
      </x:c>
      <x:c r="R22" s="18" t="str">
        <x:v>direction</x:v>
      </x:c>
      <x:c r="S22" s="18" t="str">
        <x:v>https://rbi.org.in/Scripts/BS_PressReleaseDisplay.aspx?prid=63074</x:v>
      </x:c>
      <x:c r="T22" s="18" t="str">
        <x:v>DEFINED_TERMINAL_OR_FEED_SCOPE</x:v>
      </x:c>
      <x:c r="U22" s="18" t="str">
        <x:v>national_regulatory_watch.json — published records loaded</x:v>
      </x:c>
      <x:c r="V22" s="18" t="str"/>
      <x:c r="W22" s="18" t="str"/>
      <x:c r="X22" s="20" t="n">
        <x:v>151</x:v>
      </x:c>
      <x:c r="Y22" s="19" t="n">
        <x:f>IFERROR(TODAY()-DATEVALUE(C22),"")</x:f>
        <x:v>70</x:v>
      </x:c>
      <x:c r="Z22" s="21" t="n">
        <x:f>ROUND(COUNTA(A22:K22)/11*100,0)</x:f>
        <x:v>100</x:v>
      </x:c>
      <x:c r="AA22" s="18" t="str">
        <x:v>Reserve Bank of India</x:v>
      </x:c>
      <x:c r="AB22" s="22" t="str">
        <x:v>https://rbi.org.in/Scripts/BS_PressReleaseDisplay.aspx?prid=63074</x:v>
      </x:c>
      <x:c r="AC22" s="18" t="str">
        <x:v>2026-07-02</x:v>
      </x:c>
      <x:c r="AD22" s="18" t="n">
        <x:v>46275.114583333336</x:v>
      </x:c>
      <x:c r="AE22" s="18" t="str">
        <x:v>retained_terminal</x:v>
      </x:c>
      <x:c r="AF22" s="18" t="str">
        <x:v>READY</x:v>
      </x:c>
      <x:c r="AZ22" s="18" t="str">
        <x:v>2026-06-29</x:v>
      </x:c>
      <x:c r="BA22" s="18" t="n">
        <x:v>12</x:v>
      </x:c>
    </x:row>
    <x:row r="23">
      <x:c r="A23" s="18" t="str">
        <x:v>NYT-20-bd8451153f2b5109</x:v>
      </x:c>
      <x:c r="B23" s="18" t="str">
        <x:v>Directions under Section 35A read with Section 56 of the Banking Regulation Act, 1949 – Innovative Co-operative Urban Bank Limited, New Delhi – Extension of Period</x:v>
      </x:c>
      <x:c r="C23" s="18" t="str">
        <x:v>2026-07-02</x:v>
      </x:c>
      <x:c r="D23" s="18" t="n">
        <x:v>2026</x:v>
      </x:c>
      <x:c r="E23" s="18" t="str">
        <x:v>2026-07</x:v>
      </x:c>
      <x:c r="F23" s="18" t="str"/>
      <x:c r="G23" s="18" t="str"/>
      <x:c r="H23" s="18" t="str"/>
      <x:c r="I23" s="18" t="str"/>
      <x:c r="J23" s="20" t="str"/>
      <x:c r="K23" s="18" t="str"/>
      <x:c r="L23" s="22" t="str">
        <x:v>https://rbidocs.rbi.org.in/rdocs/PressRelease/PDFs/PR595BF0BEEDDEBA741C28EC6D1B9CEE4D681.PDF</x:v>
      </x:c>
      <x:c r="M23" s="18" t="str">
        <x:v>2026-07-02</x:v>
      </x:c>
      <x:c r="N23" s="18" t="str">
        <x:v>RBI</x:v>
      </x:c>
      <x:c r="O23" s="18" t="str">
        <x:v>Directions under Section 35A read with Section 56 of the Banking Regulation Act, 1949 – Innovative Co-operative Urban Bank Limited, New Delhi – Extension of Period</x:v>
      </x:c>
      <x:c r="P23" s="18" t="str"/>
      <x:c r="Q23" s="18" t="str">
        <x:v>15</x:v>
      </x:c>
      <x:c r="R23" s="18" t="str">
        <x:v>direction</x:v>
      </x:c>
      <x:c r="S23" s="18" t="str">
        <x:v>https://rbi.org.in/Scripts/BS_PressReleaseDisplay.aspx?prid=63073</x:v>
      </x:c>
      <x:c r="T23" s="18" t="str">
        <x:v>DEFINED_TERMINAL_OR_FEED_SCOPE</x:v>
      </x:c>
      <x:c r="U23" s="18" t="str">
        <x:v>national_regulatory_watch.json — published records loaded</x:v>
      </x:c>
      <x:c r="V23" s="18" t="str"/>
      <x:c r="W23" s="18" t="str"/>
      <x:c r="X23" s="20" t="n">
        <x:v>151</x:v>
      </x:c>
      <x:c r="Y23" s="19" t="n">
        <x:f>IFERROR(TODAY()-DATEVALUE(C23),"")</x:f>
        <x:v>70</x:v>
      </x:c>
      <x:c r="Z23" s="21" t="n">
        <x:f>ROUND(COUNTA(A23:K23)/11*100,0)</x:f>
        <x:v>100</x:v>
      </x:c>
      <x:c r="AA23" s="18" t="str">
        <x:v>Reserve Bank of India</x:v>
      </x:c>
      <x:c r="AB23" s="22" t="str">
        <x:v>https://rbi.org.in/Scripts/BS_PressReleaseDisplay.aspx?prid=63073</x:v>
      </x:c>
      <x:c r="AC23" s="18" t="str">
        <x:v>2026-07-02</x:v>
      </x:c>
      <x:c r="AD23" s="18" t="n">
        <x:v>46275.114583333336</x:v>
      </x:c>
      <x:c r="AE23" s="18" t="str">
        <x:v>retained_terminal</x:v>
      </x:c>
      <x:c r="AF23" s="18" t="str">
        <x:v>READY</x:v>
      </x:c>
      <x:c r="AZ23" s="18" t="str">
        <x:v>2026-06-30</x:v>
      </x:c>
      <x:c r="BA23" s="18" t="n">
        <x:v>15</x:v>
      </x:c>
    </x:row>
    <x:row r="24">
      <x:c r="A24" s="18" t="str">
        <x:v>NYT-20-c896ba6b0c7fab8e</x:v>
      </x:c>
      <x:c r="B24" s="18" t="str">
        <x:v>Directions under Section 35A read with Section 56 of the Banking Regulation Act, 1949 – The Baghat Urban Co-operative Bank Limited, Solan - Extension of Period</x:v>
      </x:c>
      <x:c r="C24" s="18" t="str">
        <x:v>2026-07-02</x:v>
      </x:c>
      <x:c r="D24" s="18" t="n">
        <x:v>2026</x:v>
      </x:c>
      <x:c r="E24" s="18" t="str">
        <x:v>2026-07</x:v>
      </x:c>
      <x:c r="F24" s="18" t="str"/>
      <x:c r="G24" s="18" t="str"/>
      <x:c r="H24" s="18" t="str"/>
      <x:c r="I24" s="18" t="str"/>
      <x:c r="J24" s="20" t="str"/>
      <x:c r="K24" s="18" t="str"/>
      <x:c r="L24" s="22" t="str">
        <x:v>https://rbidocs.rbi.org.in/rdocs/PressRelease/PDFs/PR594F0F018378F3542B8AB63013FB9DC6A7A.PDF</x:v>
      </x:c>
      <x:c r="M24" s="18" t="str">
        <x:v>2026-07-02</x:v>
      </x:c>
      <x:c r="N24" s="18" t="str">
        <x:v>RBI</x:v>
      </x:c>
      <x:c r="O24" s="18" t="str">
        <x:v>Directions under Section 35A read with Section 56 of the Banking Regulation Act, 1949 – The Baghat Urban Co-operative Bank Limited, Solan - Extension of Period</x:v>
      </x:c>
      <x:c r="P24" s="18" t="str"/>
      <x:c r="Q24" s="18" t="str">
        <x:v>16</x:v>
      </x:c>
      <x:c r="R24" s="18" t="str">
        <x:v>direction</x:v>
      </x:c>
      <x:c r="S24" s="18" t="str">
        <x:v>https://rbi.org.in/Scripts/BS_PressReleaseDisplay.aspx?prid=63072</x:v>
      </x:c>
      <x:c r="T24" s="18" t="str">
        <x:v>DEFINED_TERMINAL_OR_FEED_SCOPE</x:v>
      </x:c>
      <x:c r="U24" s="18" t="str">
        <x:v>national_regulatory_watch.json — published records loaded</x:v>
      </x:c>
      <x:c r="V24" s="18" t="str"/>
      <x:c r="W24" s="18" t="str"/>
      <x:c r="X24" s="20" t="n">
        <x:v>151</x:v>
      </x:c>
      <x:c r="Y24" s="19" t="n">
        <x:f>IFERROR(TODAY()-DATEVALUE(C24),"")</x:f>
        <x:v>70</x:v>
      </x:c>
      <x:c r="Z24" s="21" t="n">
        <x:f>ROUND(COUNTA(A24:K24)/11*100,0)</x:f>
        <x:v>100</x:v>
      </x:c>
      <x:c r="AA24" s="18" t="str">
        <x:v>Reserve Bank of India</x:v>
      </x:c>
      <x:c r="AB24" s="22" t="str">
        <x:v>https://rbi.org.in/Scripts/BS_PressReleaseDisplay.aspx?prid=63072</x:v>
      </x:c>
      <x:c r="AC24" s="18" t="str">
        <x:v>2026-07-02</x:v>
      </x:c>
      <x:c r="AD24" s="18" t="n">
        <x:v>46275.114583333336</x:v>
      </x:c>
      <x:c r="AE24" s="18" t="str">
        <x:v>retained_terminal</x:v>
      </x:c>
      <x:c r="AF24" s="18" t="str">
        <x:v>READY</x:v>
      </x:c>
      <x:c r="AZ24" s="18" t="str">
        <x:v>2026-07-01</x:v>
      </x:c>
      <x:c r="BA24" s="18" t="n">
        <x:v>9</x:v>
      </x:c>
    </x:row>
    <x:row r="25">
      <x:c r="A25" s="18" t="str">
        <x:v>NYT-20-311c827f6dfcc21c</x:v>
      </x:c>
      <x:c r="B25" s="18" t="str">
        <x:v>RBI imposes monetary penalty on The N.E. &amp; E.C. Railway Employees’ Multi-State Primary Co-operative Bank Ltd, Gorakhpur</x:v>
      </x:c>
      <x:c r="C25" s="18" t="str">
        <x:v>2026-07-02</x:v>
      </x:c>
      <x:c r="D25" s="18" t="n">
        <x:v>2026</x:v>
      </x:c>
      <x:c r="E25" s="18" t="str">
        <x:v>2026-07</x:v>
      </x:c>
      <x:c r="F25" s="18" t="str"/>
      <x:c r="G25" s="18" t="str"/>
      <x:c r="H25" s="18" t="str"/>
      <x:c r="I25" s="18" t="str"/>
      <x:c r="J25" s="20" t="str"/>
      <x:c r="K25" s="18" t="str"/>
      <x:c r="L25" s="22" t="str">
        <x:v>https://rbidocs.rbi.org.in/rdocs/PressRelease/PDFs/PR593926EABA36ED84EAC823DC00993DA8549.PDF</x:v>
      </x:c>
      <x:c r="M25" s="18" t="str">
        <x:v>2026-07-02</x:v>
      </x:c>
      <x:c r="N25" s="18" t="str">
        <x:v>RBI</x:v>
      </x:c>
      <x:c r="O25" s="18" t="str">
        <x:v>RBI imposes monetary penalty on The N.E. &amp; E.C. Railway Employees’ Multi-State Primary Co-operative Bank Ltd, Gorakhpur</x:v>
      </x:c>
      <x:c r="P25" s="18" t="str"/>
      <x:c r="Q25" s="18" t="str">
        <x:v>17</x:v>
      </x:c>
      <x:c r="R25" s="18" t="str">
        <x:v>penalty</x:v>
      </x:c>
      <x:c r="S25" s="18" t="str">
        <x:v>https://rbi.org.in/Scripts/BS_PressReleaseDisplay.aspx?prid=63071</x:v>
      </x:c>
      <x:c r="T25" s="18" t="str">
        <x:v>DEFINED_TERMINAL_OR_FEED_SCOPE</x:v>
      </x:c>
      <x:c r="U25" s="18" t="str">
        <x:v>national_regulatory_watch.json — published records loaded</x:v>
      </x:c>
      <x:c r="V25" s="18" t="str"/>
      <x:c r="W25" s="18" t="str"/>
      <x:c r="X25" s="20" t="n">
        <x:v>151</x:v>
      </x:c>
      <x:c r="Y25" s="19" t="n">
        <x:f>IFERROR(TODAY()-DATEVALUE(C25),"")</x:f>
        <x:v>70</x:v>
      </x:c>
      <x:c r="Z25" s="21" t="n">
        <x:f>ROUND(COUNTA(A25:K25)/11*100,0)</x:f>
        <x:v>100</x:v>
      </x:c>
      <x:c r="AA25" s="18" t="str">
        <x:v>Reserve Bank of India</x:v>
      </x:c>
      <x:c r="AB25" s="22" t="str">
        <x:v>https://rbi.org.in/Scripts/BS_PressReleaseDisplay.aspx?prid=63071</x:v>
      </x:c>
      <x:c r="AC25" s="18" t="str">
        <x:v>2026-07-02</x:v>
      </x:c>
      <x:c r="AD25" s="18" t="n">
        <x:v>46275.114583333336</x:v>
      </x:c>
      <x:c r="AE25" s="18" t="str">
        <x:v>retained_terminal</x:v>
      </x:c>
      <x:c r="AF25" s="18" t="str">
        <x:v>READY</x:v>
      </x:c>
      <x:c r="AZ25" s="18" t="str">
        <x:v>2026-07-02</x:v>
      </x:c>
      <x:c r="BA25" s="18" t="n">
        <x:v>8</x:v>
      </x:c>
    </x:row>
    <x:row r="26">
      <x:c r="A26" s="18" t="str">
        <x:v>NYT-20-21bbba41d82226b8</x:v>
      </x:c>
      <x:c r="B26" s="18" t="str">
        <x:v>RBI imposes monetary penalty on Dharmavir Sambhaji Urban Cooperative Bank Ltd., Pune, Maharashtra</x:v>
      </x:c>
      <x:c r="C26" s="18" t="str">
        <x:v>2026-07-02</x:v>
      </x:c>
      <x:c r="D26" s="18" t="n">
        <x:v>2026</x:v>
      </x:c>
      <x:c r="E26" s="18" t="str">
        <x:v>2026-07</x:v>
      </x:c>
      <x:c r="F26" s="18" t="str"/>
      <x:c r="G26" s="18" t="str"/>
      <x:c r="H26" s="18" t="str"/>
      <x:c r="I26" s="18" t="str"/>
      <x:c r="J26" s="20" t="str"/>
      <x:c r="K26" s="18" t="str"/>
      <x:c r="L26" s="22" t="str">
        <x:v>https://rbidocs.rbi.org.in/rdocs/PressRelease/PDFs/PR592D55B1072B1CB411D96B12317FBCF0A57.PDF</x:v>
      </x:c>
      <x:c r="M26" s="18" t="str">
        <x:v>2026-07-02</x:v>
      </x:c>
      <x:c r="N26" s="18" t="str">
        <x:v>RBI</x:v>
      </x:c>
      <x:c r="O26" s="18" t="str">
        <x:v>RBI imposes monetary penalty on Dharmavir Sambhaji Urban Cooperative Bank Ltd., Pune, Maharashtra</x:v>
      </x:c>
      <x:c r="P26" s="18" t="str"/>
      <x:c r="Q26" s="18" t="str">
        <x:v>18</x:v>
      </x:c>
      <x:c r="R26" s="18" t="str">
        <x:v>penalty</x:v>
      </x:c>
      <x:c r="S26" s="18" t="str">
        <x:v>https://rbi.org.in/Scripts/BS_PressReleaseDisplay.aspx?prid=63070</x:v>
      </x:c>
      <x:c r="T26" s="18" t="str">
        <x:v>DEFINED_TERMINAL_OR_FEED_SCOPE</x:v>
      </x:c>
      <x:c r="U26" s="18" t="str">
        <x:v>national_regulatory_watch.json — published records loaded</x:v>
      </x:c>
      <x:c r="V26" s="18" t="str"/>
      <x:c r="W26" s="18" t="str"/>
      <x:c r="X26" s="20" t="n">
        <x:v>151</x:v>
      </x:c>
      <x:c r="Y26" s="19" t="n">
        <x:f>IFERROR(TODAY()-DATEVALUE(C26),"")</x:f>
        <x:v>70</x:v>
      </x:c>
      <x:c r="Z26" s="21" t="n">
        <x:f>ROUND(COUNTA(A26:K26)/11*100,0)</x:f>
        <x:v>100</x:v>
      </x:c>
      <x:c r="AA26" s="18" t="str">
        <x:v>Reserve Bank of India</x:v>
      </x:c>
      <x:c r="AB26" s="22" t="str">
        <x:v>https://rbi.org.in/Scripts/BS_PressReleaseDisplay.aspx?prid=63070</x:v>
      </x:c>
      <x:c r="AC26" s="18" t="str">
        <x:v>2026-07-02</x:v>
      </x:c>
      <x:c r="AD26" s="18" t="n">
        <x:v>46275.114583333336</x:v>
      </x:c>
      <x:c r="AE26" s="18" t="str">
        <x:v>retained_terminal</x:v>
      </x:c>
      <x:c r="AF26" s="18" t="str">
        <x:v>READY</x:v>
      </x:c>
      <x:c r="AZ26" s="18" t="str">
        <x:v>2026-07-03</x:v>
      </x:c>
      <x:c r="BA26" s="18" t="n">
        <x:v>12</x:v>
      </x:c>
    </x:row>
    <x:row r="27">
      <x:c r="A27" s="18" t="str">
        <x:v>NYT-20-619e0544b5f5a809</x:v>
      </x:c>
      <x:c r="B27" s="18" t="str">
        <x:v>Underwriting Auction for sale of Government Security for ₹34,000 crore on July 03, 2026</x:v>
      </x:c>
      <x:c r="C27" s="18" t="str">
        <x:v>2026-07-02</x:v>
      </x:c>
      <x:c r="D27" s="18" t="n">
        <x:v>2026</x:v>
      </x:c>
      <x:c r="E27" s="18" t="str">
        <x:v>2026-07</x:v>
      </x:c>
      <x:c r="F27" s="18" t="str"/>
      <x:c r="G27" s="18" t="str"/>
      <x:c r="H27" s="18" t="str"/>
      <x:c r="I27" s="18" t="str"/>
      <x:c r="J27" s="20" t="str"/>
      <x:c r="K27" s="18" t="str"/>
      <x:c r="L27" s="22" t="str">
        <x:v>https://rbidocs.rbi.org.in/rdocs/PressRelease/PDFs/PR591BB1BBB868CD74843AC15DF8FDFEE9E10.PDF</x:v>
      </x:c>
      <x:c r="M27" s="18" t="str">
        <x:v>2026-07-02</x:v>
      </x:c>
      <x:c r="N27" s="18" t="str">
        <x:v>RBI</x:v>
      </x:c>
      <x:c r="O27" s="18" t="str">
        <x:v>Underwriting Auction for sale of Government Security for ₹34,000 crore on July 03, 2026</x:v>
      </x:c>
      <x:c r="P27" s="18" t="str"/>
      <x:c r="Q27" s="18" t="str">
        <x:v>19</x:v>
      </x:c>
      <x:c r="R27" s="18" t="str">
        <x:v>other</x:v>
      </x:c>
      <x:c r="S27" s="18" t="str">
        <x:v>https://rbi.org.in/Scripts/BS_PressReleaseDisplay.aspx?prid=63069</x:v>
      </x:c>
      <x:c r="T27" s="18" t="str">
        <x:v>DEFINED_TERMINAL_OR_FEED_SCOPE</x:v>
      </x:c>
      <x:c r="U27" s="18" t="str">
        <x:v>national_regulatory_watch.json — published records loaded</x:v>
      </x:c>
      <x:c r="V27" s="18" t="str"/>
      <x:c r="W27" s="18" t="str"/>
      <x:c r="X27" s="20" t="n">
        <x:v>151</x:v>
      </x:c>
      <x:c r="Y27" s="19" t="n">
        <x:f>IFERROR(TODAY()-DATEVALUE(C27),"")</x:f>
        <x:v>70</x:v>
      </x:c>
      <x:c r="Z27" s="21" t="n">
        <x:f>ROUND(COUNTA(A27:K27)/11*100,0)</x:f>
        <x:v>100</x:v>
      </x:c>
      <x:c r="AA27" s="18" t="str">
        <x:v>Reserve Bank of India</x:v>
      </x:c>
      <x:c r="AB27" s="22" t="str">
        <x:v>https://rbi.org.in/Scripts/BS_PressReleaseDisplay.aspx?prid=63069</x:v>
      </x:c>
      <x:c r="AC27" s="18" t="str">
        <x:v>2026-07-02</x:v>
      </x:c>
      <x:c r="AD27" s="18" t="n">
        <x:v>46275.114583333336</x:v>
      </x:c>
      <x:c r="AE27" s="18" t="str">
        <x:v>retained_terminal</x:v>
      </x:c>
      <x:c r="AF27" s="18" t="str">
        <x:v>READY</x:v>
      </x:c>
      <x:c r="AZ27" s="18" t="str">
        <x:v>2026-08-05</x:v>
      </x:c>
      <x:c r="BA27" s="18" t="n">
        <x:v>4</x:v>
      </x:c>
    </x:row>
    <x:row r="28">
      <x:c r="A28" s="18" t="str">
        <x:v>NYT-20-465636d221910d90</x:v>
      </x:c>
      <x:c r="B28" s="18" t="str">
        <x:v>Money Market Operations as on July 01, 2026</x:v>
      </x:c>
      <x:c r="C28" s="18" t="str">
        <x:v>2026-07-02</x:v>
      </x:c>
      <x:c r="D28" s="18" t="n">
        <x:v>2026</x:v>
      </x:c>
      <x:c r="E28" s="18" t="str">
        <x:v>2026-07</x:v>
      </x:c>
      <x:c r="F28" s="18" t="str"/>
      <x:c r="G28" s="18" t="str"/>
      <x:c r="H28" s="18" t="str"/>
      <x:c r="I28" s="18" t="str"/>
      <x:c r="J28" s="20" t="str"/>
      <x:c r="K28" s="18" t="str"/>
      <x:c r="L28" s="22" t="str">
        <x:v>https://rbidocs.rbi.org.in/rdocs/PressRelease/PDFs/PR590MMOF48CA78ABB7A4C578AFDB1CF9FA229B8.PDF</x:v>
      </x:c>
      <x:c r="M28" s="18" t="str">
        <x:v>2026-07-02</x:v>
      </x:c>
      <x:c r="N28" s="18" t="str">
        <x:v>RBI</x:v>
      </x:c>
      <x:c r="O28" s="18" t="str">
        <x:v>Money Market Operations as on July 01, 2026</x:v>
      </x:c>
      <x:c r="P28" s="18" t="str"/>
      <x:c r="Q28" s="18" t="str">
        <x:v>20</x:v>
      </x:c>
      <x:c r="R28" s="18" t="str">
        <x:v>routine</x:v>
      </x:c>
      <x:c r="S28" s="18" t="str">
        <x:v>https://rbi.org.in/Scripts/BS_PressReleaseDisplay.aspx?prid=63068</x:v>
      </x:c>
      <x:c r="T28" s="18" t="str">
        <x:v>DEFINED_TERMINAL_OR_FEED_SCOPE</x:v>
      </x:c>
      <x:c r="U28" s="18" t="str">
        <x:v>national_regulatory_watch.json — published records loaded</x:v>
      </x:c>
      <x:c r="V28" s="18" t="str"/>
      <x:c r="W28" s="18" t="str"/>
      <x:c r="X28" s="20" t="n">
        <x:v>151</x:v>
      </x:c>
      <x:c r="Y28" s="19" t="n">
        <x:f>IFERROR(TODAY()-DATEVALUE(C28),"")</x:f>
        <x:v>70</x:v>
      </x:c>
      <x:c r="Z28" s="21" t="n">
        <x:f>ROUND(COUNTA(A28:K28)/11*100,0)</x:f>
        <x:v>100</x:v>
      </x:c>
      <x:c r="AA28" s="18" t="str">
        <x:v>Reserve Bank of India</x:v>
      </x:c>
      <x:c r="AB28" s="22" t="str">
        <x:v>https://rbi.org.in/Scripts/BS_PressReleaseDisplay.aspx?prid=63068</x:v>
      </x:c>
      <x:c r="AC28" s="18" t="str">
        <x:v>2026-07-02</x:v>
      </x:c>
      <x:c r="AD28" s="18" t="n">
        <x:v>46275.114583333336</x:v>
      </x:c>
      <x:c r="AE28" s="18" t="str">
        <x:v>retained_terminal</x:v>
      </x:c>
      <x:c r="AF28" s="18" t="str">
        <x:v>READY</x:v>
      </x:c>
      <x:c r="AZ28" s="18" t="str">
        <x:v>2026-08-06</x:v>
      </x:c>
      <x:c r="BA28" s="18" t="n">
        <x:v>14</x:v>
      </x:c>
    </x:row>
    <x:row r="29">
      <x:c r="A29" s="18" t="str">
        <x:v>NYT-20-d4b855ac34c85328</x:v>
      </x:c>
      <x:c r="B29" s="18" t="str">
        <x:v>Processing of Applications Received Under the Citizen’s Charter – Status as on June 30, 2026</x:v>
      </x:c>
      <x:c r="C29" s="18" t="str">
        <x:v>2026-07-01</x:v>
      </x:c>
      <x:c r="D29" s="18" t="n">
        <x:v>2026</x:v>
      </x:c>
      <x:c r="E29" s="18" t="str">
        <x:v>2026-07</x:v>
      </x:c>
      <x:c r="F29" s="18" t="str"/>
      <x:c r="G29" s="18" t="str"/>
      <x:c r="H29" s="18" t="str"/>
      <x:c r="I29" s="18" t="str"/>
      <x:c r="J29" s="20" t="str"/>
      <x:c r="K29" s="18" t="str"/>
      <x:c r="L29" s="22" t="str">
        <x:v>https://rbidocs.rbi.org.in/rdocs/PressRelease/PDFs/PR5897DA49C8681714FC6AF668D59025A7C1D.PDF</x:v>
      </x:c>
      <x:c r="M29" s="18" t="str">
        <x:v>2026-07-01</x:v>
      </x:c>
      <x:c r="N29" s="18" t="str">
        <x:v>RBI</x:v>
      </x:c>
      <x:c r="O29" s="18" t="str">
        <x:v>Processing of Applications Received Under the Citizen’s Charter – Status as on June 30, 2026</x:v>
      </x:c>
      <x:c r="P29" s="18" t="str"/>
      <x:c r="Q29" s="18" t="str">
        <x:v>21</x:v>
      </x:c>
      <x:c r="R29" s="18" t="str">
        <x:v>other</x:v>
      </x:c>
      <x:c r="S29" s="18" t="str">
        <x:v>https://rbi.org.in/Scripts/BS_PressReleaseDisplay.aspx?prid=63067</x:v>
      </x:c>
      <x:c r="T29" s="18" t="str">
        <x:v>DEFINED_TERMINAL_OR_FEED_SCOPE</x:v>
      </x:c>
      <x:c r="U29" s="18" t="str">
        <x:v>national_regulatory_watch.json — published records loaded</x:v>
      </x:c>
      <x:c r="V29" s="18" t="str"/>
      <x:c r="W29" s="18" t="str"/>
      <x:c r="X29" s="20" t="n">
        <x:v>151</x:v>
      </x:c>
      <x:c r="Y29" s="19" t="n">
        <x:f>IFERROR(TODAY()-DATEVALUE(C29),"")</x:f>
        <x:v>71</x:v>
      </x:c>
      <x:c r="Z29" s="21" t="n">
        <x:f>ROUND(COUNTA(A29:K29)/11*100,0)</x:f>
        <x:v>100</x:v>
      </x:c>
      <x:c r="AA29" s="18" t="str">
        <x:v>Reserve Bank of India</x:v>
      </x:c>
      <x:c r="AB29" s="22" t="str">
        <x:v>https://rbi.org.in/Scripts/BS_PressReleaseDisplay.aspx?prid=63067</x:v>
      </x:c>
      <x:c r="AC29" s="18" t="str">
        <x:v>2026-07-01</x:v>
      </x:c>
      <x:c r="AD29" s="18" t="n">
        <x:v>46275.114583333336</x:v>
      </x:c>
      <x:c r="AE29" s="18" t="str">
        <x:v>retained_terminal</x:v>
      </x:c>
      <x:c r="AF29" s="18" t="str">
        <x:v>READY</x:v>
      </x:c>
      <x:c r="AZ29" s="18" t="str">
        <x:v>2026-08-07</x:v>
      </x:c>
      <x:c r="BA29" s="18" t="n">
        <x:v>13</x:v>
      </x:c>
    </x:row>
    <x:row r="30">
      <x:c r="A30" s="18" t="str">
        <x:v>NYT-20-a16a1a535ab78209</x:v>
      </x:c>
      <x:c r="B30" s="18" t="str">
        <x:v>Directions under Section 35A read with Section 56 of the Banking Regulation Act, 1949 – Samarth Sahakari Bank Ltd., Solapur, Dist. Solapur, Maharashtra – Extension of Period</x:v>
      </x:c>
      <x:c r="C30" s="18" t="str">
        <x:v>2026-07-01</x:v>
      </x:c>
      <x:c r="D30" s="18" t="n">
        <x:v>2026</x:v>
      </x:c>
      <x:c r="E30" s="18" t="str">
        <x:v>2026-07</x:v>
      </x:c>
      <x:c r="F30" s="18" t="str"/>
      <x:c r="G30" s="18" t="str"/>
      <x:c r="H30" s="18" t="str"/>
      <x:c r="I30" s="18" t="str"/>
      <x:c r="J30" s="20" t="str"/>
      <x:c r="K30" s="18" t="str"/>
      <x:c r="L30" s="22" t="str">
        <x:v>https://rbidocs.rbi.org.in/rdocs/PressRelease/PDFs/PR588C0559949E4434053935FD0C1C92A9194.PDF</x:v>
      </x:c>
      <x:c r="M30" s="18" t="str">
        <x:v>2026-07-01</x:v>
      </x:c>
      <x:c r="N30" s="18" t="str">
        <x:v>RBI</x:v>
      </x:c>
      <x:c r="O30" s="18" t="str">
        <x:v>Directions under Section 35A read with Section 56 of the Banking Regulation Act, 1949 – Samarth Sahakari Bank Ltd., Solapur, Dist. Solapur, Maharashtra – Extension of Period</x:v>
      </x:c>
      <x:c r="P30" s="18" t="str"/>
      <x:c r="Q30" s="18" t="str">
        <x:v>22</x:v>
      </x:c>
      <x:c r="R30" s="18" t="str">
        <x:v>direction</x:v>
      </x:c>
      <x:c r="S30" s="18" t="str">
        <x:v>https://rbi.org.in/Scripts/BS_PressReleaseDisplay.aspx?prid=63066</x:v>
      </x:c>
      <x:c r="T30" s="18" t="str">
        <x:v>DEFINED_TERMINAL_OR_FEED_SCOPE</x:v>
      </x:c>
      <x:c r="U30" s="18" t="str">
        <x:v>national_regulatory_watch.json — published records loaded</x:v>
      </x:c>
      <x:c r="V30" s="18" t="str"/>
      <x:c r="W30" s="18" t="str"/>
      <x:c r="X30" s="20" t="n">
        <x:v>151</x:v>
      </x:c>
      <x:c r="Y30" s="19" t="n">
        <x:f>IFERROR(TODAY()-DATEVALUE(C30),"")</x:f>
        <x:v>71</x:v>
      </x:c>
      <x:c r="Z30" s="21" t="n">
        <x:f>ROUND(COUNTA(A30:K30)/11*100,0)</x:f>
        <x:v>100</x:v>
      </x:c>
      <x:c r="AA30" s="18" t="str">
        <x:v>Reserve Bank of India</x:v>
      </x:c>
      <x:c r="AB30" s="22" t="str">
        <x:v>https://rbi.org.in/Scripts/BS_PressReleaseDisplay.aspx?prid=63066</x:v>
      </x:c>
      <x:c r="AC30" s="18" t="str">
        <x:v>2026-07-01</x:v>
      </x:c>
      <x:c r="AD30" s="18" t="n">
        <x:v>46275.114583333336</x:v>
      </x:c>
      <x:c r="AE30" s="18" t="str">
        <x:v>retained_terminal</x:v>
      </x:c>
      <x:c r="AF30" s="18" t="str">
        <x:v>READY</x:v>
      </x:c>
      <x:c r="AZ30" s="18" t="str">
        <x:v>2026-08-10</x:v>
      </x:c>
      <x:c r="BA30" s="18" t="n">
        <x:v>19</x:v>
      </x:c>
    </x:row>
    <x:row r="31">
      <x:c r="A31" s="18" t="str">
        <x:v>NYT-20-954a1fef9eb452c0</x:v>
      </x:c>
      <x:c r="B31" s="18" t="str">
        <x:v>Rate of Interest on Floating Rate Savings Bond, 2020 (Taxable) – FRSB 2020(T) for the Period July 01, 2026 – December 31, 2026</x:v>
      </x:c>
      <x:c r="C31" s="18" t="str">
        <x:v>2026-07-01</x:v>
      </x:c>
      <x:c r="D31" s="18" t="n">
        <x:v>2026</x:v>
      </x:c>
      <x:c r="E31" s="18" t="str">
        <x:v>2026-07</x:v>
      </x:c>
      <x:c r="F31" s="18" t="str"/>
      <x:c r="G31" s="18" t="str"/>
      <x:c r="H31" s="18" t="str"/>
      <x:c r="I31" s="18" t="str"/>
      <x:c r="J31" s="20" t="str"/>
      <x:c r="K31" s="18" t="str"/>
      <x:c r="L31" s="22" t="str">
        <x:v>https://rbidocs.rbi.org.in/rdocs/PressRelease/PDFs/PR5874DBAAB7D9E3E4E1C9ACF0D10CF1ECAA9.PDF</x:v>
      </x:c>
      <x:c r="M31" s="18" t="str">
        <x:v>2026-07-01</x:v>
      </x:c>
      <x:c r="N31" s="18" t="str">
        <x:v>RBI</x:v>
      </x:c>
      <x:c r="O31" s="18" t="str">
        <x:v>Rate of Interest on Floating Rate Savings Bond, 2020 (Taxable) – FRSB 2020(T) for the Period July 01, 2026 – December 31, 2026</x:v>
      </x:c>
      <x:c r="P31" s="18" t="str"/>
      <x:c r="Q31" s="18" t="str">
        <x:v>23</x:v>
      </x:c>
      <x:c r="R31" s="18" t="str">
        <x:v>other</x:v>
      </x:c>
      <x:c r="S31" s="18" t="str">
        <x:v>https://rbi.org.in/Scripts/BS_PressReleaseDisplay.aspx?prid=63065</x:v>
      </x:c>
      <x:c r="T31" s="18" t="str">
        <x:v>DEFINED_TERMINAL_OR_FEED_SCOPE</x:v>
      </x:c>
      <x:c r="U31" s="18" t="str">
        <x:v>national_regulatory_watch.json — published records loaded</x:v>
      </x:c>
      <x:c r="V31" s="18" t="str"/>
      <x:c r="W31" s="18" t="str"/>
      <x:c r="X31" s="20" t="n">
        <x:v>151</x:v>
      </x:c>
      <x:c r="Y31" s="19" t="n">
        <x:f>IFERROR(TODAY()-DATEVALUE(C31),"")</x:f>
        <x:v>71</x:v>
      </x:c>
      <x:c r="Z31" s="21" t="n">
        <x:f>ROUND(COUNTA(A31:K31)/11*100,0)</x:f>
        <x:v>100</x:v>
      </x:c>
      <x:c r="AA31" s="18" t="str">
        <x:v>Reserve Bank of India</x:v>
      </x:c>
      <x:c r="AB31" s="22" t="str">
        <x:v>https://rbi.org.in/Scripts/BS_PressReleaseDisplay.aspx?prid=63065</x:v>
      </x:c>
      <x:c r="AC31" s="18" t="str">
        <x:v>2026-07-01</x:v>
      </x:c>
      <x:c r="AD31" s="18" t="n">
        <x:v>46275.114583333336</x:v>
      </x:c>
      <x:c r="AE31" s="18" t="str">
        <x:v>retained_terminal</x:v>
      </x:c>
      <x:c r="AF31" s="18" t="str">
        <x:v>READY</x:v>
      </x:c>
    </x:row>
    <x:row r="32">
      <x:c r="A32" s="18" t="str">
        <x:v>NYT-20-4e4a94d31d0cca96</x:v>
      </x:c>
      <x:c r="B32" s="18" t="str">
        <x:v>RBI appoints Shri Ravi Shankar as new Executive Director</x:v>
      </x:c>
      <x:c r="C32" s="18" t="str">
        <x:v>2026-07-01</x:v>
      </x:c>
      <x:c r="D32" s="18" t="n">
        <x:v>2026</x:v>
      </x:c>
      <x:c r="E32" s="18" t="str">
        <x:v>2026-07</x:v>
      </x:c>
      <x:c r="F32" s="18" t="str"/>
      <x:c r="G32" s="18" t="str"/>
      <x:c r="H32" s="18" t="str"/>
      <x:c r="I32" s="18" t="str"/>
      <x:c r="J32" s="20" t="str"/>
      <x:c r="K32" s="18" t="str"/>
      <x:c r="L32" s="22" t="str">
        <x:v>https://rbidocs.rbi.org.in/rdocs/PressRelease/PDFs/PR5860DAD2F00019C445D9F0C45843E50DE27.PDF</x:v>
      </x:c>
      <x:c r="M32" s="18" t="str">
        <x:v>2026-07-01</x:v>
      </x:c>
      <x:c r="N32" s="18" t="str">
        <x:v>RBI</x:v>
      </x:c>
      <x:c r="O32" s="18" t="str">
        <x:v>RBI appoints Shri Ravi Shankar as new Executive Director</x:v>
      </x:c>
      <x:c r="P32" s="18" t="str"/>
      <x:c r="Q32" s="18" t="str">
        <x:v>24</x:v>
      </x:c>
      <x:c r="R32" s="18" t="str">
        <x:v>other</x:v>
      </x:c>
      <x:c r="S32" s="18" t="str">
        <x:v>https://rbi.org.in/Scripts/BS_PressReleaseDisplay.aspx?prid=63064</x:v>
      </x:c>
      <x:c r="T32" s="18" t="str">
        <x:v>DEFINED_TERMINAL_OR_FEED_SCOPE</x:v>
      </x:c>
      <x:c r="U32" s="18" t="str">
        <x:v>national_regulatory_watch.json — published records loaded</x:v>
      </x:c>
      <x:c r="V32" s="18" t="str"/>
      <x:c r="W32" s="18" t="str"/>
      <x:c r="X32" s="20" t="n">
        <x:v>151</x:v>
      </x:c>
      <x:c r="Y32" s="19" t="n">
        <x:f>IFERROR(TODAY()-DATEVALUE(C32),"")</x:f>
        <x:v>71</x:v>
      </x:c>
      <x:c r="Z32" s="21" t="n">
        <x:f>ROUND(COUNTA(A32:K32)/11*100,0)</x:f>
        <x:v>100</x:v>
      </x:c>
      <x:c r="AA32" s="18" t="str">
        <x:v>Reserve Bank of India</x:v>
      </x:c>
      <x:c r="AB32" s="22" t="str">
        <x:v>https://rbi.org.in/Scripts/BS_PressReleaseDisplay.aspx?prid=63064</x:v>
      </x:c>
      <x:c r="AC32" s="18" t="str">
        <x:v>2026-07-01</x:v>
      </x:c>
      <x:c r="AD32" s="18" t="n">
        <x:v>46275.114583333336</x:v>
      </x:c>
      <x:c r="AE32" s="18" t="str">
        <x:v>retained_terminal</x:v>
      </x:c>
      <x:c r="AF32" s="18" t="str">
        <x:v>READY</x:v>
      </x:c>
    </x:row>
    <x:row r="33">
      <x:c r="A33" s="18" t="str">
        <x:v>NYT-20-1d3dbc97cdd306cf</x:v>
      </x:c>
      <x:c r="B33" s="18" t="str">
        <x:v>RBI launches Quarterly Order Books, Inventories and Capacity Utilisation Survey: April – June 2026 (Round 74)</x:v>
      </x:c>
      <x:c r="C33" s="18" t="str">
        <x:v>2026-07-01</x:v>
      </x:c>
      <x:c r="D33" s="18" t="n">
        <x:v>2026</x:v>
      </x:c>
      <x:c r="E33" s="18" t="str">
        <x:v>2026-07</x:v>
      </x:c>
      <x:c r="F33" s="18" t="str"/>
      <x:c r="G33" s="18" t="str"/>
      <x:c r="H33" s="18" t="str"/>
      <x:c r="I33" s="18" t="str"/>
      <x:c r="J33" s="20" t="str"/>
      <x:c r="K33" s="18" t="str"/>
      <x:c r="L33" s="22" t="str">
        <x:v>https://rbidocs.rbi.org.in/rdocs/PressRelease/PDFs/PR58531B06987CD3546FEABF988DB6F4617DE.PDF</x:v>
      </x:c>
      <x:c r="M33" s="18" t="str">
        <x:v>2026-07-01</x:v>
      </x:c>
      <x:c r="N33" s="18" t="str">
        <x:v>RBI</x:v>
      </x:c>
      <x:c r="O33" s="18" t="str">
        <x:v>RBI launches Quarterly Order Books, Inventories and Capacity Utilisation Survey: April – June 2026 (Round 74)</x:v>
      </x:c>
      <x:c r="P33" s="18" t="str"/>
      <x:c r="Q33" s="18" t="str">
        <x:v>25</x:v>
      </x:c>
      <x:c r="R33" s="18" t="str">
        <x:v>routine</x:v>
      </x:c>
      <x:c r="S33" s="18" t="str">
        <x:v>https://rbi.org.in/Scripts/BS_PressReleaseDisplay.aspx?prid=63063</x:v>
      </x:c>
      <x:c r="T33" s="18" t="str">
        <x:v>DEFINED_TERMINAL_OR_FEED_SCOPE</x:v>
      </x:c>
      <x:c r="U33" s="18" t="str">
        <x:v>national_regulatory_watch.json — published records loaded</x:v>
      </x:c>
      <x:c r="V33" s="18" t="str"/>
      <x:c r="W33" s="18" t="str"/>
      <x:c r="X33" s="20" t="n">
        <x:v>151</x:v>
      </x:c>
      <x:c r="Y33" s="19" t="n">
        <x:f>IFERROR(TODAY()-DATEVALUE(C33),"")</x:f>
        <x:v>71</x:v>
      </x:c>
      <x:c r="Z33" s="21" t="n">
        <x:f>ROUND(COUNTA(A33:K33)/11*100,0)</x:f>
        <x:v>100</x:v>
      </x:c>
      <x:c r="AA33" s="18" t="str">
        <x:v>Reserve Bank of India</x:v>
      </x:c>
      <x:c r="AB33" s="22" t="str">
        <x:v>https://rbi.org.in/Scripts/BS_PressReleaseDisplay.aspx?prid=63063</x:v>
      </x:c>
      <x:c r="AC33" s="18" t="str">
        <x:v>2026-07-01</x:v>
      </x:c>
      <x:c r="AD33" s="18" t="n">
        <x:v>46275.114583333336</x:v>
      </x:c>
      <x:c r="AE33" s="18" t="str">
        <x:v>retained_terminal</x:v>
      </x:c>
      <x:c r="AF33" s="18" t="str">
        <x:v>READY</x:v>
      </x:c>
    </x:row>
    <x:row r="34">
      <x:c r="A34" s="18" t="str">
        <x:v>NYT-20-317955a7ffc9292a</x:v>
      </x:c>
      <x:c r="B34" s="18" t="str">
        <x:v>Treasury Bills: Full Auction Result</x:v>
      </x:c>
      <x:c r="C34" s="18" t="str">
        <x:v>2026-07-01</x:v>
      </x:c>
      <x:c r="D34" s="18" t="n">
        <x:v>2026</x:v>
      </x:c>
      <x:c r="E34" s="18" t="str">
        <x:v>2026-07</x:v>
      </x:c>
      <x:c r="F34" s="18" t="str"/>
      <x:c r="G34" s="18" t="str"/>
      <x:c r="H34" s="18" t="str"/>
      <x:c r="I34" s="18" t="str"/>
      <x:c r="J34" s="20" t="str"/>
      <x:c r="K34" s="18" t="str"/>
      <x:c r="L34" s="22" t="str">
        <x:v>https://rbidocs.rbi.org.in/rdocs/PressRelease/PDFs/PR584288BA7D6FF70444BBAB14F3AF50FED0B.PDF</x:v>
      </x:c>
      <x:c r="M34" s="18" t="str">
        <x:v>2026-07-01</x:v>
      </x:c>
      <x:c r="N34" s="18" t="str">
        <x:v>RBI</x:v>
      </x:c>
      <x:c r="O34" s="18" t="str">
        <x:v>Treasury Bills: Full Auction Result</x:v>
      </x:c>
      <x:c r="P34" s="18" t="str"/>
      <x:c r="Q34" s="18" t="str">
        <x:v>26</x:v>
      </x:c>
      <x:c r="R34" s="18" t="str">
        <x:v>other</x:v>
      </x:c>
      <x:c r="S34" s="18" t="str">
        <x:v>https://rbi.org.in/Scripts/BS_PressReleaseDisplay.aspx?prid=63062</x:v>
      </x:c>
      <x:c r="T34" s="18" t="str">
        <x:v>DEFINED_TERMINAL_OR_FEED_SCOPE</x:v>
      </x:c>
      <x:c r="U34" s="18" t="str">
        <x:v>national_regulatory_watch.json — published records loaded</x:v>
      </x:c>
      <x:c r="V34" s="18" t="str"/>
      <x:c r="W34" s="18" t="str"/>
      <x:c r="X34" s="20" t="n">
        <x:v>151</x:v>
      </x:c>
      <x:c r="Y34" s="19" t="n">
        <x:f>IFERROR(TODAY()-DATEVALUE(C34),"")</x:f>
        <x:v>71</x:v>
      </x:c>
      <x:c r="Z34" s="21" t="n">
        <x:f>ROUND(COUNTA(A34:K34)/11*100,0)</x:f>
        <x:v>100</x:v>
      </x:c>
      <x:c r="AA34" s="18" t="str">
        <x:v>Reserve Bank of India</x:v>
      </x:c>
      <x:c r="AB34" s="22" t="str">
        <x:v>https://rbi.org.in/Scripts/BS_PressReleaseDisplay.aspx?prid=63062</x:v>
      </x:c>
      <x:c r="AC34" s="18" t="str">
        <x:v>2026-07-01</x:v>
      </x:c>
      <x:c r="AD34" s="18" t="n">
        <x:v>46275.114583333336</x:v>
      </x:c>
      <x:c r="AE34" s="18" t="str">
        <x:v>retained_terminal</x:v>
      </x:c>
      <x:c r="AF34" s="18" t="str">
        <x:v>READY</x:v>
      </x:c>
    </x:row>
    <x:row r="35">
      <x:c r="A35" s="18" t="str">
        <x:v>NYT-20-d68c9fed43b12b96</x:v>
      </x:c>
      <x:c r="B35" s="18" t="str">
        <x:v>91-Day, 182-Day and 364-Day T-Bill Auction Result: Cut-off</x:v>
      </x:c>
      <x:c r="C35" s="18" t="str">
        <x:v>2026-07-01</x:v>
      </x:c>
      <x:c r="D35" s="18" t="n">
        <x:v>2026</x:v>
      </x:c>
      <x:c r="E35" s="18" t="str">
        <x:v>2026-07</x:v>
      </x:c>
      <x:c r="F35" s="18" t="str"/>
      <x:c r="G35" s="18" t="str"/>
      <x:c r="H35" s="18" t="str"/>
      <x:c r="I35" s="18" t="str"/>
      <x:c r="J35" s="20" t="str"/>
      <x:c r="K35" s="18" t="str"/>
      <x:c r="L35" s="22" t="str">
        <x:v>https://rbidocs.rbi.org.in/rdocs/PressRelease/PDFs/PR5834A375D1E7F1242D5B08FB502C1691B95.PDF</x:v>
      </x:c>
      <x:c r="M35" s="18" t="str">
        <x:v>2026-07-01</x:v>
      </x:c>
      <x:c r="N35" s="18" t="str">
        <x:v>RBI</x:v>
      </x:c>
      <x:c r="O35" s="18" t="str">
        <x:v>91-Day, 182-Day and 364-Day T-Bill Auction Result: Cut-off</x:v>
      </x:c>
      <x:c r="P35" s="18" t="str"/>
      <x:c r="Q35" s="18" t="str">
        <x:v>27</x:v>
      </x:c>
      <x:c r="R35" s="18" t="str">
        <x:v>routine</x:v>
      </x:c>
      <x:c r="S35" s="18" t="str">
        <x:v>https://rbi.org.in/Scripts/BS_PressReleaseDisplay.aspx?prid=63061</x:v>
      </x:c>
      <x:c r="T35" s="18" t="str">
        <x:v>DEFINED_TERMINAL_OR_FEED_SCOPE</x:v>
      </x:c>
      <x:c r="U35" s="18" t="str">
        <x:v>national_regulatory_watch.json — published records loaded</x:v>
      </x:c>
      <x:c r="V35" s="18" t="str"/>
      <x:c r="W35" s="18" t="str"/>
      <x:c r="X35" s="20" t="n">
        <x:v>151</x:v>
      </x:c>
      <x:c r="Y35" s="19" t="n">
        <x:f>IFERROR(TODAY()-DATEVALUE(C35),"")</x:f>
        <x:v>71</x:v>
      </x:c>
      <x:c r="Z35" s="21" t="n">
        <x:f>ROUND(COUNTA(A35:K35)/11*100,0)</x:f>
        <x:v>100</x:v>
      </x:c>
      <x:c r="AA35" s="18" t="str">
        <x:v>Reserve Bank of India</x:v>
      </x:c>
      <x:c r="AB35" s="22" t="str">
        <x:v>https://rbi.org.in/Scripts/BS_PressReleaseDisplay.aspx?prid=63061</x:v>
      </x:c>
      <x:c r="AC35" s="18" t="str">
        <x:v>2026-07-01</x:v>
      </x:c>
      <x:c r="AD35" s="18" t="n">
        <x:v>46275.114583333336</x:v>
      </x:c>
      <x:c r="AE35" s="18" t="str">
        <x:v>retained_terminal</x:v>
      </x:c>
      <x:c r="AF35" s="18" t="str">
        <x:v>READY</x:v>
      </x:c>
    </x:row>
    <x:row r="36">
      <x:c r="A36" s="18" t="str">
        <x:v>NYT-20-efc46589bb74c095</x:v>
      </x:c>
      <x:c r="B36" s="18" t="str">
        <x:v>Result of the 2-day Variable Rate Repo (VRR) auction held on July 01, 2026</x:v>
      </x:c>
      <x:c r="C36" s="18" t="str">
        <x:v>2026-07-01</x:v>
      </x:c>
      <x:c r="D36" s="18" t="n">
        <x:v>2026</x:v>
      </x:c>
      <x:c r="E36" s="18" t="str">
        <x:v>2026-07</x:v>
      </x:c>
      <x:c r="F36" s="18" t="str"/>
      <x:c r="G36" s="18" t="str"/>
      <x:c r="H36" s="18" t="str"/>
      <x:c r="I36" s="18" t="str"/>
      <x:c r="J36" s="20" t="str"/>
      <x:c r="K36" s="18" t="str"/>
      <x:c r="L36" s="22" t="str">
        <x:v>https://rbidocs.rbi.org.in/rdocs/PressRelease/PDFs/PR5826C3F6349E4174C1BAAE6C7BD14C3EAEF.PDF</x:v>
      </x:c>
      <x:c r="M36" s="18" t="str">
        <x:v>2026-07-01</x:v>
      </x:c>
      <x:c r="N36" s="18" t="str">
        <x:v>RBI</x:v>
      </x:c>
      <x:c r="O36" s="18" t="str">
        <x:v>Result of the 2-day Variable Rate Repo (VRR) auction held on July 01, 2026</x:v>
      </x:c>
      <x:c r="P36" s="18" t="str"/>
      <x:c r="Q36" s="18" t="str">
        <x:v>28</x:v>
      </x:c>
      <x:c r="R36" s="18" t="str">
        <x:v>routine</x:v>
      </x:c>
      <x:c r="S36" s="18" t="str">
        <x:v>https://rbi.org.in/Scripts/BS_PressReleaseDisplay.aspx?prid=63060</x:v>
      </x:c>
      <x:c r="T36" s="18" t="str">
        <x:v>DEFINED_TERMINAL_OR_FEED_SCOPE</x:v>
      </x:c>
      <x:c r="U36" s="18" t="str">
        <x:v>national_regulatory_watch.json — published records loaded</x:v>
      </x:c>
      <x:c r="V36" s="18" t="str"/>
      <x:c r="W36" s="18" t="str"/>
      <x:c r="X36" s="20" t="n">
        <x:v>151</x:v>
      </x:c>
      <x:c r="Y36" s="19" t="n">
        <x:f>IFERROR(TODAY()-DATEVALUE(C36),"")</x:f>
        <x:v>71</x:v>
      </x:c>
      <x:c r="Z36" s="21" t="n">
        <x:f>ROUND(COUNTA(A36:K36)/11*100,0)</x:f>
        <x:v>100</x:v>
      </x:c>
      <x:c r="AA36" s="18" t="str">
        <x:v>Reserve Bank of India</x:v>
      </x:c>
      <x:c r="AB36" s="22" t="str">
        <x:v>https://rbi.org.in/Scripts/BS_PressReleaseDisplay.aspx?prid=63060</x:v>
      </x:c>
      <x:c r="AC36" s="18" t="str">
        <x:v>2026-07-01</x:v>
      </x:c>
      <x:c r="AD36" s="18" t="n">
        <x:v>46275.114583333336</x:v>
      </x:c>
      <x:c r="AE36" s="18" t="str">
        <x:v>retained_terminal</x:v>
      </x:c>
      <x:c r="AF36" s="18" t="str">
        <x:v>READY</x:v>
      </x:c>
    </x:row>
    <x:row r="37">
      <x:c r="A37" s="18" t="str">
        <x:v>NYT-20-0f54be73ce044f59</x:v>
      </x:c>
      <x:c r="B37" s="18" t="str">
        <x:v>Money Market Operations as on June 30, 2026</x:v>
      </x:c>
      <x:c r="C37" s="18" t="str">
        <x:v>2026-07-01</x:v>
      </x:c>
      <x:c r="D37" s="18" t="n">
        <x:v>2026</x:v>
      </x:c>
      <x:c r="E37" s="18" t="str">
        <x:v>2026-07</x:v>
      </x:c>
      <x:c r="F37" s="18" t="str"/>
      <x:c r="G37" s="18" t="str"/>
      <x:c r="H37" s="18" t="str"/>
      <x:c r="I37" s="18" t="str"/>
      <x:c r="J37" s="20" t="str"/>
      <x:c r="K37" s="18" t="str"/>
      <x:c r="L37" s="22" t="str">
        <x:v>https://rbidocs.rbi.org.in/rdocs/PressRelease/PDFs/PR581MMO70731DCE777341759A4DB8050D877279.PDF</x:v>
      </x:c>
      <x:c r="M37" s="18" t="str">
        <x:v>2026-07-01</x:v>
      </x:c>
      <x:c r="N37" s="18" t="str">
        <x:v>RBI</x:v>
      </x:c>
      <x:c r="O37" s="18" t="str">
        <x:v>Money Market Operations as on June 30, 2026</x:v>
      </x:c>
      <x:c r="P37" s="18" t="str"/>
      <x:c r="Q37" s="18" t="str">
        <x:v>29</x:v>
      </x:c>
      <x:c r="R37" s="18" t="str">
        <x:v>routine</x:v>
      </x:c>
      <x:c r="S37" s="18" t="str">
        <x:v>https://rbi.org.in/Scripts/BS_PressReleaseDisplay.aspx?prid=63059</x:v>
      </x:c>
      <x:c r="T37" s="18" t="str">
        <x:v>DEFINED_TERMINAL_OR_FEED_SCOPE</x:v>
      </x:c>
      <x:c r="U37" s="18" t="str">
        <x:v>national_regulatory_watch.json — published records loaded</x:v>
      </x:c>
      <x:c r="V37" s="18" t="str"/>
      <x:c r="W37" s="18" t="str"/>
      <x:c r="X37" s="20" t="n">
        <x:v>151</x:v>
      </x:c>
      <x:c r="Y37" s="19" t="n">
        <x:f>IFERROR(TODAY()-DATEVALUE(C37),"")</x:f>
        <x:v>71</x:v>
      </x:c>
      <x:c r="Z37" s="21" t="n">
        <x:f>ROUND(COUNTA(A37:K37)/11*100,0)</x:f>
        <x:v>100</x:v>
      </x:c>
      <x:c r="AA37" s="18" t="str">
        <x:v>Reserve Bank of India</x:v>
      </x:c>
      <x:c r="AB37" s="22" t="str">
        <x:v>https://rbi.org.in/Scripts/BS_PressReleaseDisplay.aspx?prid=63059</x:v>
      </x:c>
      <x:c r="AC37" s="18" t="str">
        <x:v>2026-07-01</x:v>
      </x:c>
      <x:c r="AD37" s="18" t="n">
        <x:v>46275.114583333336</x:v>
      </x:c>
      <x:c r="AE37" s="18" t="str">
        <x:v>retained_terminal</x:v>
      </x:c>
      <x:c r="AF37" s="18" t="str">
        <x:v>READY</x:v>
      </x:c>
    </x:row>
    <x:row r="38">
      <x:c r="A38" s="18" t="str">
        <x:v>NYT-20-718def07518958fd</x:v>
      </x:c>
      <x:c r="B38" s="18" t="str">
        <x:v>RBI to conduct 2-day Variable Rate Repo (VRR) auction under LAF on July 01, 2026</x:v>
      </x:c>
      <x:c r="C38" s="18" t="str">
        <x:v>2026-06-30</x:v>
      </x:c>
      <x:c r="D38" s="18" t="n">
        <x:v>2026</x:v>
      </x:c>
      <x:c r="E38" s="18" t="str">
        <x:v>2026-06</x:v>
      </x:c>
      <x:c r="F38" s="18" t="str"/>
      <x:c r="G38" s="18" t="str"/>
      <x:c r="H38" s="18" t="str"/>
      <x:c r="I38" s="18" t="str"/>
      <x:c r="J38" s="20" t="str"/>
      <x:c r="K38" s="18" t="str"/>
      <x:c r="L38" s="22" t="str">
        <x:v>https://rbidocs.rbi.org.in/rdocs/PressRelease/PDFs/PR5806BC0CAA6C3FD42EBA515DBB573BC3DE9.PDF</x:v>
      </x:c>
      <x:c r="M38" s="18" t="str">
        <x:v>2026-06-30</x:v>
      </x:c>
      <x:c r="N38" s="18" t="str">
        <x:v>RBI</x:v>
      </x:c>
      <x:c r="O38" s="18" t="str">
        <x:v>RBI to conduct 2-day Variable Rate Repo (VRR) auction under LAF on July 01, 2026</x:v>
      </x:c>
      <x:c r="P38" s="18" t="str"/>
      <x:c r="Q38" s="18" t="str">
        <x:v>30</x:v>
      </x:c>
      <x:c r="R38" s="18" t="str">
        <x:v>routine</x:v>
      </x:c>
      <x:c r="S38" s="18" t="str">
        <x:v>https://rbi.org.in/Scripts/BS_PressReleaseDisplay.aspx?prid=63058</x:v>
      </x:c>
      <x:c r="T38" s="18" t="str">
        <x:v>DEFINED_TERMINAL_OR_FEED_SCOPE</x:v>
      </x:c>
      <x:c r="U38" s="18" t="str">
        <x:v>national_regulatory_watch.json — published records loaded</x:v>
      </x:c>
      <x:c r="V38" s="18" t="str"/>
      <x:c r="W38" s="18" t="str"/>
      <x:c r="X38" s="20" t="n">
        <x:v>151</x:v>
      </x:c>
      <x:c r="Y38" s="19" t="n">
        <x:f>IFERROR(TODAY()-DATEVALUE(C38),"")</x:f>
        <x:v>72</x:v>
      </x:c>
      <x:c r="Z38" s="21" t="n">
        <x:f>ROUND(COUNTA(A38:K38)/11*100,0)</x:f>
        <x:v>100</x:v>
      </x:c>
      <x:c r="AA38" s="18" t="str">
        <x:v>Reserve Bank of India</x:v>
      </x:c>
      <x:c r="AB38" s="22" t="str">
        <x:v>https://rbi.org.in/Scripts/BS_PressReleaseDisplay.aspx?prid=63058</x:v>
      </x:c>
      <x:c r="AC38" s="18" t="str">
        <x:v>2026-06-30</x:v>
      </x:c>
      <x:c r="AD38" s="18" t="n">
        <x:v>46275.114583333336</x:v>
      </x:c>
      <x:c r="AE38" s="18" t="str">
        <x:v>retained_terminal</x:v>
      </x:c>
      <x:c r="AF38" s="18" t="str">
        <x:v>READY</x:v>
      </x:c>
    </x:row>
    <x:row r="39">
      <x:c r="A39" s="18" t="str">
        <x:v>NYT-20-55637da9a9ce4dbf</x:v>
      </x:c>
      <x:c r="B39" s="18" t="str">
        <x:v>Premature redemption under Sovereign Gold Bond (SGB) Scheme - Redemption Price for premature redemption of SGB 2018-19 Series-IV due on July 01, 2026</x:v>
      </x:c>
      <x:c r="C39" s="18" t="str">
        <x:v>2026-06-30</x:v>
      </x:c>
      <x:c r="D39" s="18" t="n">
        <x:v>2026</x:v>
      </x:c>
      <x:c r="E39" s="18" t="str">
        <x:v>2026-06</x:v>
      </x:c>
      <x:c r="F39" s="18" t="str"/>
      <x:c r="G39" s="18" t="str"/>
      <x:c r="H39" s="18" t="str"/>
      <x:c r="I39" s="18" t="str"/>
      <x:c r="J39" s="20" t="str"/>
      <x:c r="K39" s="18" t="str"/>
      <x:c r="L39" s="22" t="str">
        <x:v>https://rbidocs.rbi.org.in/rdocs/PressRelease/PDFs/PR579EE7390C466D24CF8BAF9589E43BF0D2B.PDF</x:v>
      </x:c>
      <x:c r="M39" s="18" t="str">
        <x:v>2026-06-30</x:v>
      </x:c>
      <x:c r="N39" s="18" t="str">
        <x:v>RBI</x:v>
      </x:c>
      <x:c r="O39" s="18" t="str">
        <x:v>Premature redemption under Sovereign Gold Bond (SGB) Scheme - Redemption Price for premature redemption of SGB 2018-19 Series-IV due on July 01, 2026</x:v>
      </x:c>
      <x:c r="P39" s="18" t="str"/>
      <x:c r="Q39" s="18" t="str">
        <x:v>31</x:v>
      </x:c>
      <x:c r="R39" s="18" t="str">
        <x:v>routine</x:v>
      </x:c>
      <x:c r="S39" s="18" t="str">
        <x:v>https://rbi.org.in/Scripts/BS_PressReleaseDisplay.aspx?prid=63057</x:v>
      </x:c>
      <x:c r="T39" s="18" t="str">
        <x:v>DEFINED_TERMINAL_OR_FEED_SCOPE</x:v>
      </x:c>
      <x:c r="U39" s="18" t="str">
        <x:v>national_regulatory_watch.json — published records loaded</x:v>
      </x:c>
      <x:c r="V39" s="18" t="str"/>
      <x:c r="W39" s="18" t="str"/>
      <x:c r="X39" s="20" t="n">
        <x:v>151</x:v>
      </x:c>
      <x:c r="Y39" s="19" t="n">
        <x:f>IFERROR(TODAY()-DATEVALUE(C39),"")</x:f>
        <x:v>72</x:v>
      </x:c>
      <x:c r="Z39" s="21" t="n">
        <x:f>ROUND(COUNTA(A39:K39)/11*100,0)</x:f>
        <x:v>100</x:v>
      </x:c>
      <x:c r="AA39" s="18" t="str">
        <x:v>Reserve Bank of India</x:v>
      </x:c>
      <x:c r="AB39" s="22" t="str">
        <x:v>https://rbi.org.in/Scripts/BS_PressReleaseDisplay.aspx?prid=63057</x:v>
      </x:c>
      <x:c r="AC39" s="18" t="str">
        <x:v>2026-06-30</x:v>
      </x:c>
      <x:c r="AD39" s="18" t="n">
        <x:v>46275.114583333336</x:v>
      </x:c>
      <x:c r="AE39" s="18" t="str">
        <x:v>retained_terminal</x:v>
      </x:c>
      <x:c r="AF39" s="18" t="str">
        <x:v>READY</x:v>
      </x:c>
    </x:row>
    <x:row r="40">
      <x:c r="A40" s="18" t="str">
        <x:v>NYT-20-e70b7ad63a179eed</x:v>
      </x:c>
      <x:c r="B40" s="18" t="str">
        <x:v>Data on India’s Invisibles for Fourth Quarter (January-March) of 2025-26</x:v>
      </x:c>
      <x:c r="C40" s="18" t="str">
        <x:v>2026-06-30</x:v>
      </x:c>
      <x:c r="D40" s="18" t="n">
        <x:v>2026</x:v>
      </x:c>
      <x:c r="E40" s="18" t="str">
        <x:v>2026-06</x:v>
      </x:c>
      <x:c r="F40" s="18" t="str"/>
      <x:c r="G40" s="18" t="str"/>
      <x:c r="H40" s="18" t="str"/>
      <x:c r="I40" s="18" t="str"/>
      <x:c r="J40" s="20" t="str"/>
      <x:c r="K40" s="18" t="str"/>
      <x:c r="L40" s="22" t="str">
        <x:v>https://rbidocs.rbi.org.in/rdocs/PressRelease/PDFs/PR578570153DB1F164B0290494F1A2D248874.PDF</x:v>
      </x:c>
      <x:c r="M40" s="18" t="str">
        <x:v>2026-06-30</x:v>
      </x:c>
      <x:c r="N40" s="18" t="str">
        <x:v>RBI</x:v>
      </x:c>
      <x:c r="O40" s="18" t="str">
        <x:v>Data on India’s Invisibles for Fourth Quarter (January-March) of 2025-26</x:v>
      </x:c>
      <x:c r="P40" s="18" t="str"/>
      <x:c r="Q40" s="18" t="str">
        <x:v>32</x:v>
      </x:c>
      <x:c r="R40" s="18" t="str">
        <x:v>other</x:v>
      </x:c>
      <x:c r="S40" s="18" t="str">
        <x:v>https://rbi.org.in/Scripts/BS_PressReleaseDisplay.aspx?prid=63056</x:v>
      </x:c>
      <x:c r="T40" s="18" t="str">
        <x:v>DEFINED_TERMINAL_OR_FEED_SCOPE</x:v>
      </x:c>
      <x:c r="U40" s="18" t="str">
        <x:v>national_regulatory_watch.json — published records loaded</x:v>
      </x:c>
      <x:c r="V40" s="18" t="str"/>
      <x:c r="W40" s="18" t="str"/>
      <x:c r="X40" s="20" t="n">
        <x:v>151</x:v>
      </x:c>
      <x:c r="Y40" s="19" t="n">
        <x:f>IFERROR(TODAY()-DATEVALUE(C40),"")</x:f>
        <x:v>72</x:v>
      </x:c>
      <x:c r="Z40" s="21" t="n">
        <x:f>ROUND(COUNTA(A40:K40)/11*100,0)</x:f>
        <x:v>100</x:v>
      </x:c>
      <x:c r="AA40" s="18" t="str">
        <x:v>Reserve Bank of India</x:v>
      </x:c>
      <x:c r="AB40" s="22" t="str">
        <x:v>https://rbi.org.in/Scripts/BS_PressReleaseDisplay.aspx?prid=63056</x:v>
      </x:c>
      <x:c r="AC40" s="18" t="str">
        <x:v>2026-06-30</x:v>
      </x:c>
      <x:c r="AD40" s="18" t="n">
        <x:v>46275.114583333336</x:v>
      </x:c>
      <x:c r="AE40" s="18" t="str">
        <x:v>retained_terminal</x:v>
      </x:c>
      <x:c r="AF40" s="18" t="str">
        <x:v>READY</x:v>
      </x:c>
    </x:row>
    <x:row r="41">
      <x:c r="A41" s="18" t="str">
        <x:v>NYT-20-dcf34e6bcd62aa90</x:v>
      </x:c>
      <x:c r="B41" s="18" t="str">
        <x:v>Monthly Data on India’s International Trade in Services for the Month of May 2026</x:v>
      </x:c>
      <x:c r="C41" s="18" t="str">
        <x:v>2026-06-30</x:v>
      </x:c>
      <x:c r="D41" s="18" t="n">
        <x:v>2026</x:v>
      </x:c>
      <x:c r="E41" s="18" t="str">
        <x:v>2026-06</x:v>
      </x:c>
      <x:c r="F41" s="18" t="str"/>
      <x:c r="G41" s="18" t="str"/>
      <x:c r="H41" s="18" t="str"/>
      <x:c r="I41" s="18" t="str"/>
      <x:c r="J41" s="20" t="str"/>
      <x:c r="K41" s="18" t="str"/>
      <x:c r="L41" s="22" t="str">
        <x:v>https://rbidocs.rbi.org.in/rdocs/PressRelease/PDFs/PR57722C0D758CC904750810216B20AF8408F.PDF</x:v>
      </x:c>
      <x:c r="M41" s="18" t="str">
        <x:v>2026-06-30</x:v>
      </x:c>
      <x:c r="N41" s="18" t="str">
        <x:v>RBI</x:v>
      </x:c>
      <x:c r="O41" s="18" t="str">
        <x:v>Monthly Data on India’s International Trade in Services  for the Month of May 2026</x:v>
      </x:c>
      <x:c r="P41" s="18" t="str"/>
      <x:c r="Q41" s="18" t="str">
        <x:v>33</x:v>
      </x:c>
      <x:c r="R41" s="18" t="str">
        <x:v>other</x:v>
      </x:c>
      <x:c r="S41" s="18" t="str">
        <x:v>https://rbi.org.in/Scripts/BS_PressReleaseDisplay.aspx?prid=63054</x:v>
      </x:c>
      <x:c r="T41" s="18" t="str">
        <x:v>DEFINED_TERMINAL_OR_FEED_SCOPE</x:v>
      </x:c>
      <x:c r="U41" s="18" t="str">
        <x:v>national_regulatory_watch.json — published records loaded</x:v>
      </x:c>
      <x:c r="V41" s="18" t="str"/>
      <x:c r="W41" s="18" t="str"/>
      <x:c r="X41" s="20" t="n">
        <x:v>151</x:v>
      </x:c>
      <x:c r="Y41" s="19" t="n">
        <x:f>IFERROR(TODAY()-DATEVALUE(C41),"")</x:f>
        <x:v>72</x:v>
      </x:c>
      <x:c r="Z41" s="21" t="n">
        <x:f>ROUND(COUNTA(A41:K41)/11*100,0)</x:f>
        <x:v>100</x:v>
      </x:c>
      <x:c r="AA41" s="18" t="str">
        <x:v>Reserve Bank of India</x:v>
      </x:c>
      <x:c r="AB41" s="22" t="str">
        <x:v>https://rbi.org.in/Scripts/BS_PressReleaseDisplay.aspx?prid=63054</x:v>
      </x:c>
      <x:c r="AC41" s="18" t="str">
        <x:v>2026-06-30</x:v>
      </x:c>
      <x:c r="AD41" s="18" t="n">
        <x:v>46275.114583333336</x:v>
      </x:c>
      <x:c r="AE41" s="18" t="str">
        <x:v>retained_terminal</x:v>
      </x:c>
      <x:c r="AF41" s="18" t="str">
        <x:v>READY</x:v>
      </x:c>
    </x:row>
    <x:row r="42">
      <x:c r="A42" s="18" t="str">
        <x:v>NYT-20-8e9d8544cd6d264c</x:v>
      </x:c>
      <x:c r="B42" s="18" t="str">
        <x:v>RBI launches Survey on International Trade in Banking Services (ITBS): 2025-26</x:v>
      </x:c>
      <x:c r="C42" s="18" t="str">
        <x:v>2026-06-30</x:v>
      </x:c>
      <x:c r="D42" s="18" t="n">
        <x:v>2026</x:v>
      </x:c>
      <x:c r="E42" s="18" t="str">
        <x:v>2026-06</x:v>
      </x:c>
      <x:c r="F42" s="18" t="str"/>
      <x:c r="G42" s="18" t="str"/>
      <x:c r="H42" s="18" t="str"/>
      <x:c r="I42" s="18" t="str"/>
      <x:c r="J42" s="20" t="str"/>
      <x:c r="K42" s="18" t="str"/>
      <x:c r="L42" s="22" t="str">
        <x:v>https://rbidocs.rbi.org.in/rdocs/PressRelease/PDFs/PR576EF2DC14E81C5418088B5DCD9E39697EE.PDF</x:v>
      </x:c>
      <x:c r="M42" s="18" t="str">
        <x:v>2026-06-30</x:v>
      </x:c>
      <x:c r="N42" s="18" t="str">
        <x:v>RBI</x:v>
      </x:c>
      <x:c r="O42" s="18" t="str">
        <x:v>RBI launches Survey on International Trade in Banking Services (ITBS): 2025-26</x:v>
      </x:c>
      <x:c r="P42" s="18" t="str"/>
      <x:c r="Q42" s="18" t="str">
        <x:v>34</x:v>
      </x:c>
      <x:c r="R42" s="18" t="str">
        <x:v>routine</x:v>
      </x:c>
      <x:c r="S42" s="18" t="str">
        <x:v>https://rbi.org.in/Scripts/BS_PressReleaseDisplay.aspx?prid=63055</x:v>
      </x:c>
      <x:c r="T42" s="18" t="str">
        <x:v>DEFINED_TERMINAL_OR_FEED_SCOPE</x:v>
      </x:c>
      <x:c r="U42" s="18" t="str">
        <x:v>national_regulatory_watch.json — published records loaded</x:v>
      </x:c>
      <x:c r="V42" s="18" t="str"/>
      <x:c r="W42" s="18" t="str"/>
      <x:c r="X42" s="20" t="n">
        <x:v>151</x:v>
      </x:c>
      <x:c r="Y42" s="19" t="n">
        <x:f>IFERROR(TODAY()-DATEVALUE(C42),"")</x:f>
        <x:v>72</x:v>
      </x:c>
      <x:c r="Z42" s="21" t="n">
        <x:f>ROUND(COUNTA(A42:K42)/11*100,0)</x:f>
        <x:v>100</x:v>
      </x:c>
      <x:c r="AA42" s="18" t="str">
        <x:v>Reserve Bank of India</x:v>
      </x:c>
      <x:c r="AB42" s="22" t="str">
        <x:v>https://rbi.org.in/Scripts/BS_PressReleaseDisplay.aspx?prid=63055</x:v>
      </x:c>
      <x:c r="AC42" s="18" t="str">
        <x:v>2026-06-30</x:v>
      </x:c>
      <x:c r="AD42" s="18" t="n">
        <x:v>46275.114583333336</x:v>
      </x:c>
      <x:c r="AE42" s="18" t="str">
        <x:v>retained_terminal</x:v>
      </x:c>
      <x:c r="AF42" s="18" t="str">
        <x:v>READY</x:v>
      </x:c>
    </x:row>
    <x:row r="43">
      <x:c r="A43" s="18" t="str">
        <x:v>NYT-20-dfdf755acc28c335</x:v>
      </x:c>
      <x:c r="B43" s="18" t="str">
        <x:v>Sectoral Deployment of Bank Credit – May 2026</x:v>
      </x:c>
      <x:c r="C43" s="18" t="str">
        <x:v>2026-06-30</x:v>
      </x:c>
      <x:c r="D43" s="18" t="n">
        <x:v>2026</x:v>
      </x:c>
      <x:c r="E43" s="18" t="str">
        <x:v>2026-06</x:v>
      </x:c>
      <x:c r="F43" s="18" t="str"/>
      <x:c r="G43" s="18" t="str"/>
      <x:c r="H43" s="18" t="str"/>
      <x:c r="I43" s="18" t="str"/>
      <x:c r="J43" s="20" t="str"/>
      <x:c r="K43" s="18" t="str"/>
      <x:c r="L43" s="22" t="str">
        <x:v>https://rbidocs.rbi.org.in/rdocs/PressRelease/PDFs/PR575C3B3B7F75916442184BED8A53A916197.PDF</x:v>
      </x:c>
      <x:c r="M43" s="18" t="str">
        <x:v>2026-06-30</x:v>
      </x:c>
      <x:c r="N43" s="18" t="str">
        <x:v>RBI</x:v>
      </x:c>
      <x:c r="O43" s="18" t="str">
        <x:v>Sectoral Deployment of Bank Credit – May 2026</x:v>
      </x:c>
      <x:c r="P43" s="18" t="str"/>
      <x:c r="Q43" s="18" t="str">
        <x:v>35</x:v>
      </x:c>
      <x:c r="R43" s="18" t="str">
        <x:v>other</x:v>
      </x:c>
      <x:c r="S43" s="18" t="str">
        <x:v>https://rbi.org.in/Scripts/BS_PressReleaseDisplay.aspx?prid=63052</x:v>
      </x:c>
      <x:c r="T43" s="18" t="str">
        <x:v>DEFINED_TERMINAL_OR_FEED_SCOPE</x:v>
      </x:c>
      <x:c r="U43" s="18" t="str">
        <x:v>national_regulatory_watch.json — published records loaded</x:v>
      </x:c>
      <x:c r="V43" s="18" t="str"/>
      <x:c r="W43" s="18" t="str"/>
      <x:c r="X43" s="20" t="n">
        <x:v>151</x:v>
      </x:c>
      <x:c r="Y43" s="19" t="n">
        <x:f>IFERROR(TODAY()-DATEVALUE(C43),"")</x:f>
        <x:v>72</x:v>
      </x:c>
      <x:c r="Z43" s="21" t="n">
        <x:f>ROUND(COUNTA(A43:K43)/11*100,0)</x:f>
        <x:v>100</x:v>
      </x:c>
      <x:c r="AA43" s="18" t="str">
        <x:v>Reserve Bank of India</x:v>
      </x:c>
      <x:c r="AB43" s="22" t="str">
        <x:v>https://rbi.org.in/Scripts/BS_PressReleaseDisplay.aspx?prid=63052</x:v>
      </x:c>
      <x:c r="AC43" s="18" t="str">
        <x:v>2026-06-30</x:v>
      </x:c>
      <x:c r="AD43" s="18" t="n">
        <x:v>46275.114583333336</x:v>
      </x:c>
      <x:c r="AE43" s="18" t="str">
        <x:v>retained_terminal</x:v>
      </x:c>
      <x:c r="AF43" s="18" t="str">
        <x:v>READY</x:v>
      </x:c>
    </x:row>
    <x:row r="44">
      <x:c r="A44" s="18" t="str">
        <x:v>NYT-20-5a964a5f6dd5b47a</x:v>
      </x:c>
      <x:c r="B44" s="18" t="str">
        <x:v>Voluntary Surrender of Certificate of Registration by NBFCs (including HFCs) for Cancellation – Application Form and Indicative Checklist</x:v>
      </x:c>
      <x:c r="C44" s="18" t="str">
        <x:v>2026-06-30</x:v>
      </x:c>
      <x:c r="D44" s="18" t="n">
        <x:v>2026</x:v>
      </x:c>
      <x:c r="E44" s="18" t="str">
        <x:v>2026-06</x:v>
      </x:c>
      <x:c r="F44" s="18" t="str"/>
      <x:c r="G44" s="18" t="str"/>
      <x:c r="H44" s="18" t="str"/>
      <x:c r="I44" s="18" t="str"/>
      <x:c r="J44" s="20" t="str"/>
      <x:c r="K44" s="18" t="str"/>
      <x:c r="L44" s="22" t="str">
        <x:v>https://rbidocs.rbi.org.in/rdocs/PressRelease/PDFs/PR57469744DD9A6B74FCCA94E9A738366D540.PDF</x:v>
      </x:c>
      <x:c r="M44" s="18" t="str">
        <x:v>2026-06-30</x:v>
      </x:c>
      <x:c r="N44" s="18" t="str">
        <x:v>RBI</x:v>
      </x:c>
      <x:c r="O44" s="18" t="str">
        <x:v>Voluntary Surrender of Certificate of Registration by NBFCs (including HFCs) for Cancellation – Application Form and Indicative Checklist</x:v>
      </x:c>
      <x:c r="P44" s="18" t="str"/>
      <x:c r="Q44" s="18" t="str">
        <x:v>36</x:v>
      </x:c>
      <x:c r="R44" s="18" t="str">
        <x:v>other</x:v>
      </x:c>
      <x:c r="S44" s="18" t="str">
        <x:v>https://rbi.org.in/Scripts/BS_PressReleaseDisplay.aspx?prid=63053</x:v>
      </x:c>
      <x:c r="T44" s="18" t="str">
        <x:v>DEFINED_TERMINAL_OR_FEED_SCOPE</x:v>
      </x:c>
      <x:c r="U44" s="18" t="str">
        <x:v>national_regulatory_watch.json — published records loaded</x:v>
      </x:c>
      <x:c r="V44" s="18" t="str"/>
      <x:c r="W44" s="18" t="str"/>
      <x:c r="X44" s="20" t="n">
        <x:v>151</x:v>
      </x:c>
      <x:c r="Y44" s="19" t="n">
        <x:f>IFERROR(TODAY()-DATEVALUE(C44),"")</x:f>
        <x:v>72</x:v>
      </x:c>
      <x:c r="Z44" s="21" t="n">
        <x:f>ROUND(COUNTA(A44:K44)/11*100,0)</x:f>
        <x:v>100</x:v>
      </x:c>
      <x:c r="AA44" s="18" t="str">
        <x:v>Reserve Bank of India</x:v>
      </x:c>
      <x:c r="AB44" s="22" t="str">
        <x:v>https://rbi.org.in/Scripts/BS_PressReleaseDisplay.aspx?prid=63053</x:v>
      </x:c>
      <x:c r="AC44" s="18" t="str">
        <x:v>2026-06-30</x:v>
      </x:c>
      <x:c r="AD44" s="18" t="n">
        <x:v>46275.114583333336</x:v>
      </x:c>
      <x:c r="AE44" s="18" t="str">
        <x:v>retained_terminal</x:v>
      </x:c>
      <x:c r="AF44" s="18" t="str">
        <x:v>READY</x:v>
      </x:c>
    </x:row>
    <x:row r="45">
      <x:c r="A45" s="18" t="str">
        <x:v>NYT-20-5e349dfb70c589e3</x:v>
      </x:c>
      <x:c r="B45" s="18" t="str">
        <x:v>State Government Securities - Full Auction Result</x:v>
      </x:c>
      <x:c r="C45" s="18" t="str">
        <x:v>2026-06-30</x:v>
      </x:c>
      <x:c r="D45" s="18" t="n">
        <x:v>2026</x:v>
      </x:c>
      <x:c r="E45" s="18" t="str">
        <x:v>2026-06</x:v>
      </x:c>
      <x:c r="F45" s="18" t="str"/>
      <x:c r="G45" s="18" t="str"/>
      <x:c r="H45" s="18" t="str"/>
      <x:c r="I45" s="18" t="str"/>
      <x:c r="J45" s="20" t="str"/>
      <x:c r="K45" s="18" t="str"/>
      <x:c r="L45" s="22" t="str">
        <x:v>https://rbidocs.rbi.org.in/rdocs/PressRelease/PDFs/PR573510619F633004D41B5C2C40CA5DEF578.PDF</x:v>
      </x:c>
      <x:c r="M45" s="18" t="str">
        <x:v>2026-06-30</x:v>
      </x:c>
      <x:c r="N45" s="18" t="str">
        <x:v>RBI</x:v>
      </x:c>
      <x:c r="O45" s="18" t="str">
        <x:v>State Government Securities - Full Auction Result</x:v>
      </x:c>
      <x:c r="P45" s="18" t="str"/>
      <x:c r="Q45" s="18" t="str">
        <x:v>37</x:v>
      </x:c>
      <x:c r="R45" s="18" t="str">
        <x:v>routine</x:v>
      </x:c>
      <x:c r="S45" s="18" t="str">
        <x:v>https://rbi.org.in/Scripts/BS_PressReleaseDisplay.aspx?prid=63051</x:v>
      </x:c>
      <x:c r="T45" s="18" t="str">
        <x:v>DEFINED_TERMINAL_OR_FEED_SCOPE</x:v>
      </x:c>
      <x:c r="U45" s="18" t="str">
        <x:v>national_regulatory_watch.json — published records loaded</x:v>
      </x:c>
      <x:c r="V45" s="18" t="str"/>
      <x:c r="W45" s="18" t="str"/>
      <x:c r="X45" s="20" t="n">
        <x:v>151</x:v>
      </x:c>
      <x:c r="Y45" s="19" t="n">
        <x:f>IFERROR(TODAY()-DATEVALUE(C45),"")</x:f>
        <x:v>72</x:v>
      </x:c>
      <x:c r="Z45" s="21" t="n">
        <x:f>ROUND(COUNTA(A45:K45)/11*100,0)</x:f>
        <x:v>100</x:v>
      </x:c>
      <x:c r="AA45" s="18" t="str">
        <x:v>Reserve Bank of India</x:v>
      </x:c>
      <x:c r="AB45" s="22" t="str">
        <x:v>https://rbi.org.in/Scripts/BS_PressReleaseDisplay.aspx?prid=63051</x:v>
      </x:c>
      <x:c r="AC45" s="18" t="str">
        <x:v>2026-06-30</x:v>
      </x:c>
      <x:c r="AD45" s="18" t="n">
        <x:v>46275.114583333336</x:v>
      </x:c>
      <x:c r="AE45" s="18" t="str">
        <x:v>retained_terminal</x:v>
      </x:c>
      <x:c r="AF45" s="18" t="str">
        <x:v>READY</x:v>
      </x:c>
    </x:row>
    <x:row r="46">
      <x:c r="A46" s="18" t="str">
        <x:v>NYT-20-118e1918f2053973</x:v>
      </x:c>
      <x:c r="B46" s="18" t="str">
        <x:v>RBI releases the Financial Stability Report, June 2026</x:v>
      </x:c>
      <x:c r="C46" s="18" t="str">
        <x:v>2026-06-30</x:v>
      </x:c>
      <x:c r="D46" s="18" t="n">
        <x:v>2026</x:v>
      </x:c>
      <x:c r="E46" s="18" t="str">
        <x:v>2026-06</x:v>
      </x:c>
      <x:c r="F46" s="18" t="str"/>
      <x:c r="G46" s="18" t="str"/>
      <x:c r="H46" s="18" t="str"/>
      <x:c r="I46" s="18" t="str"/>
      <x:c r="J46" s="20" t="str"/>
      <x:c r="K46" s="18" t="str"/>
      <x:c r="L46" s="22" t="str">
        <x:v>https://rbidocs.rbi.org.in/rdocs/PressRelease/PDFs/PR5720E56F0A4611A404EACBD71F2207673A2.PDF</x:v>
      </x:c>
      <x:c r="M46" s="18" t="str">
        <x:v>2026-06-30</x:v>
      </x:c>
      <x:c r="N46" s="18" t="str">
        <x:v>RBI</x:v>
      </x:c>
      <x:c r="O46" s="18" t="str">
        <x:v>RBI releases the Financial Stability Report, June 2026</x:v>
      </x:c>
      <x:c r="P46" s="18" t="str"/>
      <x:c r="Q46" s="18" t="str">
        <x:v>38</x:v>
      </x:c>
      <x:c r="R46" s="18" t="str">
        <x:v>other</x:v>
      </x:c>
      <x:c r="S46" s="18" t="str">
        <x:v>https://rbi.org.in/Scripts/BS_PressReleaseDisplay.aspx?prid=63050</x:v>
      </x:c>
      <x:c r="T46" s="18" t="str">
        <x:v>DEFINED_TERMINAL_OR_FEED_SCOPE</x:v>
      </x:c>
      <x:c r="U46" s="18" t="str">
        <x:v>national_regulatory_watch.json — published records loaded</x:v>
      </x:c>
      <x:c r="V46" s="18" t="str"/>
      <x:c r="W46" s="18" t="str"/>
      <x:c r="X46" s="20" t="n">
        <x:v>151</x:v>
      </x:c>
      <x:c r="Y46" s="19" t="n">
        <x:f>IFERROR(TODAY()-DATEVALUE(C46),"")</x:f>
        <x:v>72</x:v>
      </x:c>
      <x:c r="Z46" s="21" t="n">
        <x:f>ROUND(COUNTA(A46:K46)/11*100,0)</x:f>
        <x:v>100</x:v>
      </x:c>
      <x:c r="AA46" s="18" t="str">
        <x:v>Reserve Bank of India</x:v>
      </x:c>
      <x:c r="AB46" s="22" t="str">
        <x:v>https://rbi.org.in/Scripts/BS_PressReleaseDisplay.aspx?prid=63050</x:v>
      </x:c>
      <x:c r="AC46" s="18" t="str">
        <x:v>2026-06-30</x:v>
      </x:c>
      <x:c r="AD46" s="18" t="n">
        <x:v>46275.114583333336</x:v>
      </x:c>
      <x:c r="AE46" s="18" t="str">
        <x:v>retained_terminal</x:v>
      </x:c>
      <x:c r="AF46" s="18" t="str">
        <x:v>READY</x:v>
      </x:c>
    </x:row>
    <x:row r="47">
      <x:c r="A47" s="18" t="str">
        <x:v>NYT-20-4eaf248534ffb145</x:v>
      </x:c>
      <x:c r="B47" s="18" t="str">
        <x:v>Lending and Deposit Rates of Scheduled Commercial Banks – June 2026</x:v>
      </x:c>
      <x:c r="C47" s="18" t="str">
        <x:v>2026-06-30</x:v>
      </x:c>
      <x:c r="D47" s="18" t="n">
        <x:v>2026</x:v>
      </x:c>
      <x:c r="E47" s="18" t="str">
        <x:v>2026-06</x:v>
      </x:c>
      <x:c r="F47" s="18" t="str"/>
      <x:c r="G47" s="18" t="str"/>
      <x:c r="H47" s="18" t="str"/>
      <x:c r="I47" s="18" t="str"/>
      <x:c r="J47" s="20" t="str"/>
      <x:c r="K47" s="18" t="str"/>
      <x:c r="L47" s="22" t="str">
        <x:v>https://rbidocs.rbi.org.in/rdocs/PressRelease/PDFs/PR57154180202F1BC46BB99C99488A153D2AF.PDF</x:v>
      </x:c>
      <x:c r="M47" s="18" t="str">
        <x:v>2026-06-30</x:v>
      </x:c>
      <x:c r="N47" s="18" t="str">
        <x:v>RBI</x:v>
      </x:c>
      <x:c r="O47" s="18" t="str">
        <x:v>Lending and Deposit Rates of Scheduled Commercial Banks – June 2026</x:v>
      </x:c>
      <x:c r="P47" s="18" t="str"/>
      <x:c r="Q47" s="18" t="str">
        <x:v>39</x:v>
      </x:c>
      <x:c r="R47" s="18" t="str">
        <x:v>other</x:v>
      </x:c>
      <x:c r="S47" s="18" t="str">
        <x:v>https://rbi.org.in/Scripts/BS_PressReleaseDisplay.aspx?prid=63049</x:v>
      </x:c>
      <x:c r="T47" s="18" t="str">
        <x:v>DEFINED_TERMINAL_OR_FEED_SCOPE</x:v>
      </x:c>
      <x:c r="U47" s="18" t="str">
        <x:v>national_regulatory_watch.json — published records loaded</x:v>
      </x:c>
      <x:c r="V47" s="18" t="str"/>
      <x:c r="W47" s="18" t="str"/>
      <x:c r="X47" s="20" t="n">
        <x:v>151</x:v>
      </x:c>
      <x:c r="Y47" s="19" t="n">
        <x:f>IFERROR(TODAY()-DATEVALUE(C47),"")</x:f>
        <x:v>72</x:v>
      </x:c>
      <x:c r="Z47" s="21" t="n">
        <x:f>ROUND(COUNTA(A47:K47)/11*100,0)</x:f>
        <x:v>100</x:v>
      </x:c>
      <x:c r="AA47" s="18" t="str">
        <x:v>Reserve Bank of India</x:v>
      </x:c>
      <x:c r="AB47" s="22" t="str">
        <x:v>https://rbi.org.in/Scripts/BS_PressReleaseDisplay.aspx?prid=63049</x:v>
      </x:c>
      <x:c r="AC47" s="18" t="str">
        <x:v>2026-06-30</x:v>
      </x:c>
      <x:c r="AD47" s="18" t="n">
        <x:v>46275.114583333336</x:v>
      </x:c>
      <x:c r="AE47" s="18" t="str">
        <x:v>retained_terminal</x:v>
      </x:c>
      <x:c r="AF47" s="18" t="str">
        <x:v>READY</x:v>
      </x:c>
    </x:row>
    <x:row r="48">
      <x:c r="A48" s="18" t="str">
        <x:v>NYT-20-1ca3afbfc7e6fc8d</x:v>
      </x:c>
      <x:c r="B48" s="18" t="str">
        <x:v>Result of Yield/Price Based Auction of State Government Securities</x:v>
      </x:c>
      <x:c r="C48" s="18" t="str">
        <x:v>2026-06-30</x:v>
      </x:c>
      <x:c r="D48" s="18" t="n">
        <x:v>2026</x:v>
      </x:c>
      <x:c r="E48" s="18" t="str">
        <x:v>2026-06</x:v>
      </x:c>
      <x:c r="F48" s="18" t="str"/>
      <x:c r="G48" s="18" t="str"/>
      <x:c r="H48" s="18" t="str"/>
      <x:c r="I48" s="18" t="str"/>
      <x:c r="J48" s="20" t="str"/>
      <x:c r="K48" s="18" t="str"/>
      <x:c r="L48" s="22" t="str">
        <x:v>https://rbidocs.rbi.org.in/rdocs/PressRelease/PDFs/PR570D386B442117244F2B3F3F52AD61C87D2.PDF</x:v>
      </x:c>
      <x:c r="M48" s="18" t="str">
        <x:v>2026-06-30</x:v>
      </x:c>
      <x:c r="N48" s="18" t="str">
        <x:v>RBI</x:v>
      </x:c>
      <x:c r="O48" s="18" t="str">
        <x:v>Result of Yield/Price Based Auction of State Government Securities</x:v>
      </x:c>
      <x:c r="P48" s="18" t="str"/>
      <x:c r="Q48" s="18" t="str">
        <x:v>40</x:v>
      </x:c>
      <x:c r="R48" s="18" t="str">
        <x:v>routine</x:v>
      </x:c>
      <x:c r="S48" s="18" t="str">
        <x:v>https://rbi.org.in/Scripts/BS_PressReleaseDisplay.aspx?prid=63048</x:v>
      </x:c>
      <x:c r="T48" s="18" t="str">
        <x:v>DEFINED_TERMINAL_OR_FEED_SCOPE</x:v>
      </x:c>
      <x:c r="U48" s="18" t="str">
        <x:v>national_regulatory_watch.json — published records loaded</x:v>
      </x:c>
      <x:c r="V48" s="18" t="str"/>
      <x:c r="W48" s="18" t="str"/>
      <x:c r="X48" s="20" t="n">
        <x:v>151</x:v>
      </x:c>
      <x:c r="Y48" s="19" t="n">
        <x:f>IFERROR(TODAY()-DATEVALUE(C48),"")</x:f>
        <x:v>72</x:v>
      </x:c>
      <x:c r="Z48" s="21" t="n">
        <x:f>ROUND(COUNTA(A48:K48)/11*100,0)</x:f>
        <x:v>100</x:v>
      </x:c>
      <x:c r="AA48" s="18" t="str">
        <x:v>Reserve Bank of India</x:v>
      </x:c>
      <x:c r="AB48" s="22" t="str">
        <x:v>https://rbi.org.in/Scripts/BS_PressReleaseDisplay.aspx?prid=63048</x:v>
      </x:c>
      <x:c r="AC48" s="18" t="str">
        <x:v>2026-06-30</x:v>
      </x:c>
      <x:c r="AD48" s="18" t="n">
        <x:v>46275.114583333336</x:v>
      </x:c>
      <x:c r="AE48" s="18" t="str">
        <x:v>retained_terminal</x:v>
      </x:c>
      <x:c r="AF48" s="18" t="str">
        <x:v>READY</x:v>
      </x:c>
    </x:row>
    <x:row r="49">
      <x:c r="A49" s="18" t="str">
        <x:v>NYT-20-29a50816a62cede8</x:v>
      </x:c>
      <x:c r="B49" s="18" t="str">
        <x:v>India’s International Investment Position (IIP), March 2026</x:v>
      </x:c>
      <x:c r="C49" s="18" t="str">
        <x:v>2026-06-30</x:v>
      </x:c>
      <x:c r="D49" s="18" t="n">
        <x:v>2026</x:v>
      </x:c>
      <x:c r="E49" s="18" t="str">
        <x:v>2026-06</x:v>
      </x:c>
      <x:c r="F49" s="18" t="str"/>
      <x:c r="G49" s="18" t="str"/>
      <x:c r="H49" s="18" t="str"/>
      <x:c r="I49" s="18" t="str"/>
      <x:c r="J49" s="20" t="str"/>
      <x:c r="K49" s="18" t="str"/>
      <x:c r="L49" s="22" t="str">
        <x:v>https://rbidocs.rbi.org.in/rdocs/PressRelease/PDFs/PR569IIP8057023D96254E7BB16317B0D0F3F315.PDF</x:v>
      </x:c>
      <x:c r="M49" s="18" t="str">
        <x:v>2026-06-30</x:v>
      </x:c>
      <x:c r="N49" s="18" t="str">
        <x:v>RBI</x:v>
      </x:c>
      <x:c r="O49" s="18" t="str">
        <x:v>India’s International Investment Position (IIP), March 2026</x:v>
      </x:c>
      <x:c r="P49" s="18" t="str"/>
      <x:c r="Q49" s="18" t="str">
        <x:v>41</x:v>
      </x:c>
      <x:c r="R49" s="18" t="str">
        <x:v>other</x:v>
      </x:c>
      <x:c r="S49" s="18" t="str">
        <x:v>https://rbi.org.in/Scripts/BS_PressReleaseDisplay.aspx?prid=63047</x:v>
      </x:c>
      <x:c r="T49" s="18" t="str">
        <x:v>DEFINED_TERMINAL_OR_FEED_SCOPE</x:v>
      </x:c>
      <x:c r="U49" s="18" t="str">
        <x:v>national_regulatory_watch.json — published records loaded</x:v>
      </x:c>
      <x:c r="V49" s="18" t="str"/>
      <x:c r="W49" s="18" t="str"/>
      <x:c r="X49" s="20" t="n">
        <x:v>151</x:v>
      </x:c>
      <x:c r="Y49" s="19" t="n">
        <x:f>IFERROR(TODAY()-DATEVALUE(C49),"")</x:f>
        <x:v>72</x:v>
      </x:c>
      <x:c r="Z49" s="21" t="n">
        <x:f>ROUND(COUNTA(A49:K49)/11*100,0)</x:f>
        <x:v>100</x:v>
      </x:c>
      <x:c r="AA49" s="18" t="str">
        <x:v>Reserve Bank of India</x:v>
      </x:c>
      <x:c r="AB49" s="22" t="str">
        <x:v>https://rbi.org.in/Scripts/BS_PressReleaseDisplay.aspx?prid=63047</x:v>
      </x:c>
      <x:c r="AC49" s="18" t="str">
        <x:v>2026-06-30</x:v>
      </x:c>
      <x:c r="AD49" s="18" t="n">
        <x:v>46275.114583333336</x:v>
      </x:c>
      <x:c r="AE49" s="18" t="str">
        <x:v>retained_terminal</x:v>
      </x:c>
      <x:c r="AF49" s="18" t="str">
        <x:v>READY</x:v>
      </x:c>
    </x:row>
    <x:row r="50">
      <x:c r="A50" s="18" t="str">
        <x:v>NYT-20-e9e740cc2d06288d</x:v>
      </x:c>
      <x:c r="B50" s="18" t="str">
        <x:v>Scheduled Banks’ Statement of Position in India as on June 15, 2026</x:v>
      </x:c>
      <x:c r="C50" s="18" t="str">
        <x:v>2026-06-30</x:v>
      </x:c>
      <x:c r="D50" s="18" t="n">
        <x:v>2026</x:v>
      </x:c>
      <x:c r="E50" s="18" t="str">
        <x:v>2026-06</x:v>
      </x:c>
      <x:c r="F50" s="18" t="str"/>
      <x:c r="G50" s="18" t="str"/>
      <x:c r="H50" s="18" t="str"/>
      <x:c r="I50" s="18" t="str"/>
      <x:c r="J50" s="20" t="str"/>
      <x:c r="K50" s="18" t="str"/>
      <x:c r="L50" s="22" t="str">
        <x:v>https://rbidocs.rbi.org.in/rdocs/PressRelease/PDFs/PR5682C5668C2B0A547479E418146748E5A46.PDF</x:v>
      </x:c>
      <x:c r="M50" s="18" t="str">
        <x:v>2026-06-30</x:v>
      </x:c>
      <x:c r="N50" s="18" t="str">
        <x:v>RBI</x:v>
      </x:c>
      <x:c r="O50" s="18" t="str">
        <x:v>Scheduled Banks’ Statement of Position in India as on June 15, 2026</x:v>
      </x:c>
      <x:c r="P50" s="18" t="str"/>
      <x:c r="Q50" s="18" t="str">
        <x:v>42</x:v>
      </x:c>
      <x:c r="R50" s="18" t="str">
        <x:v>other</x:v>
      </x:c>
      <x:c r="S50" s="18" t="str">
        <x:v>https://rbi.org.in/Scripts/BS_PressReleaseDisplay.aspx?prid=63046</x:v>
      </x:c>
      <x:c r="T50" s="18" t="str">
        <x:v>DEFINED_TERMINAL_OR_FEED_SCOPE</x:v>
      </x:c>
      <x:c r="U50" s="18" t="str">
        <x:v>national_regulatory_watch.json — published records loaded</x:v>
      </x:c>
      <x:c r="V50" s="18" t="str"/>
      <x:c r="W50" s="18" t="str"/>
      <x:c r="X50" s="20" t="n">
        <x:v>151</x:v>
      </x:c>
      <x:c r="Y50" s="19" t="n">
        <x:f>IFERROR(TODAY()-DATEVALUE(C50),"")</x:f>
        <x:v>72</x:v>
      </x:c>
      <x:c r="Z50" s="21" t="n">
        <x:f>ROUND(COUNTA(A50:K50)/11*100,0)</x:f>
        <x:v>100</x:v>
      </x:c>
      <x:c r="AA50" s="18" t="str">
        <x:v>Reserve Bank of India</x:v>
      </x:c>
      <x:c r="AB50" s="22" t="str">
        <x:v>https://rbi.org.in/Scripts/BS_PressReleaseDisplay.aspx?prid=63046</x:v>
      </x:c>
      <x:c r="AC50" s="18" t="str">
        <x:v>2026-06-30</x:v>
      </x:c>
      <x:c r="AD50" s="18" t="n">
        <x:v>46275.114583333336</x:v>
      </x:c>
      <x:c r="AE50" s="18" t="str">
        <x:v>retained_terminal</x:v>
      </x:c>
      <x:c r="AF50" s="18" t="str">
        <x:v>READY</x:v>
      </x:c>
    </x:row>
    <x:row r="51">
      <x:c r="A51" s="18" t="str">
        <x:v>NYT-20-3590f6c990837e06</x:v>
      </x:c>
      <x:c r="B51" s="18" t="str">
        <x:v>Result of the Overnight Variable Rate Repo (VRR) auction held on June 30, 2026</x:v>
      </x:c>
      <x:c r="C51" s="18" t="str">
        <x:v>2026-06-30</x:v>
      </x:c>
      <x:c r="D51" s="18" t="n">
        <x:v>2026</x:v>
      </x:c>
      <x:c r="E51" s="18" t="str">
        <x:v>2026-06</x:v>
      </x:c>
      <x:c r="F51" s="18" t="str"/>
      <x:c r="G51" s="18" t="str"/>
      <x:c r="H51" s="18" t="str"/>
      <x:c r="I51" s="18" t="str"/>
      <x:c r="J51" s="20" t="str"/>
      <x:c r="K51" s="18" t="str"/>
      <x:c r="L51" s="22" t="str">
        <x:v>https://rbidocs.rbi.org.in/rdocs/PressRelease/PDFs/PR567172A30D99E474CFC8E4FC3F1B2893BFC.PDF</x:v>
      </x:c>
      <x:c r="M51" s="18" t="str">
        <x:v>2026-06-30</x:v>
      </x:c>
      <x:c r="N51" s="18" t="str">
        <x:v>RBI</x:v>
      </x:c>
      <x:c r="O51" s="18" t="str">
        <x:v>Result of the Overnight Variable Rate Repo (VRR) auction held on June 30, 2026</x:v>
      </x:c>
      <x:c r="P51" s="18" t="str"/>
      <x:c r="Q51" s="18" t="str">
        <x:v>43</x:v>
      </x:c>
      <x:c r="R51" s="18" t="str">
        <x:v>routine</x:v>
      </x:c>
      <x:c r="S51" s="18" t="str">
        <x:v>https://rbi.org.in/Scripts/BS_PressReleaseDisplay.aspx?prid=63045</x:v>
      </x:c>
      <x:c r="T51" s="18" t="str">
        <x:v>DEFINED_TERMINAL_OR_FEED_SCOPE</x:v>
      </x:c>
      <x:c r="U51" s="18" t="str">
        <x:v>national_regulatory_watch.json — published records loaded</x:v>
      </x:c>
      <x:c r="V51" s="18" t="str"/>
      <x:c r="W51" s="18" t="str"/>
      <x:c r="X51" s="20" t="n">
        <x:v>151</x:v>
      </x:c>
      <x:c r="Y51" s="19" t="n">
        <x:f>IFERROR(TODAY()-DATEVALUE(C51),"")</x:f>
        <x:v>72</x:v>
      </x:c>
      <x:c r="Z51" s="21" t="n">
        <x:f>ROUND(COUNTA(A51:K51)/11*100,0)</x:f>
        <x:v>100</x:v>
      </x:c>
      <x:c r="AA51" s="18" t="str">
        <x:v>Reserve Bank of India</x:v>
      </x:c>
      <x:c r="AB51" s="22" t="str">
        <x:v>https://rbi.org.in/Scripts/BS_PressReleaseDisplay.aspx?prid=63045</x:v>
      </x:c>
      <x:c r="AC51" s="18" t="str">
        <x:v>2026-06-30</x:v>
      </x:c>
      <x:c r="AD51" s="18" t="n">
        <x:v>46275.114583333336</x:v>
      </x:c>
      <x:c r="AE51" s="18" t="str">
        <x:v>retained_terminal</x:v>
      </x:c>
      <x:c r="AF51" s="18" t="str">
        <x:v>READY</x:v>
      </x:c>
    </x:row>
    <x:row r="52">
      <x:c r="A52" s="18" t="str">
        <x:v>NYT-20-be8b1d00d208b6cc</x:v>
      </x:c>
      <x:c r="B52" s="18" t="str">
        <x:v>Money Market Operations as on June 29, 2026</x:v>
      </x:c>
      <x:c r="C52" s="18" t="str">
        <x:v>2026-06-30</x:v>
      </x:c>
      <x:c r="D52" s="18" t="n">
        <x:v>2026</x:v>
      </x:c>
      <x:c r="E52" s="18" t="str">
        <x:v>2026-06</x:v>
      </x:c>
      <x:c r="F52" s="18" t="str"/>
      <x:c r="G52" s="18" t="str"/>
      <x:c r="H52" s="18" t="str"/>
      <x:c r="I52" s="18" t="str"/>
      <x:c r="J52" s="20" t="str"/>
      <x:c r="K52" s="18" t="str"/>
      <x:c r="L52" s="22" t="str">
        <x:v>https://rbidocs.rbi.org.in/rdocs/PressRelease/PDFs/PR566MMO51C73CFFFD174B01BC424191466CC8C8.PDF</x:v>
      </x:c>
      <x:c r="M52" s="18" t="str">
        <x:v>2026-06-30</x:v>
      </x:c>
      <x:c r="N52" s="18" t="str">
        <x:v>RBI</x:v>
      </x:c>
      <x:c r="O52" s="18" t="str">
        <x:v>Money Market Operations as on June 29, 2026</x:v>
      </x:c>
      <x:c r="P52" s="18" t="str"/>
      <x:c r="Q52" s="18" t="str">
        <x:v>44</x:v>
      </x:c>
      <x:c r="R52" s="18" t="str">
        <x:v>routine</x:v>
      </x:c>
      <x:c r="S52" s="18" t="str">
        <x:v>https://rbi.org.in/Scripts/BS_PressReleaseDisplay.aspx?prid=63044</x:v>
      </x:c>
      <x:c r="T52" s="18" t="str">
        <x:v>DEFINED_TERMINAL_OR_FEED_SCOPE</x:v>
      </x:c>
      <x:c r="U52" s="18" t="str">
        <x:v>national_regulatory_watch.json — published records loaded</x:v>
      </x:c>
      <x:c r="V52" s="18" t="str"/>
      <x:c r="W52" s="18" t="str"/>
      <x:c r="X52" s="20" t="n">
        <x:v>151</x:v>
      </x:c>
      <x:c r="Y52" s="19" t="n">
        <x:f>IFERROR(TODAY()-DATEVALUE(C52),"")</x:f>
        <x:v>72</x:v>
      </x:c>
      <x:c r="Z52" s="21" t="n">
        <x:f>ROUND(COUNTA(A52:K52)/11*100,0)</x:f>
        <x:v>100</x:v>
      </x:c>
      <x:c r="AA52" s="18" t="str">
        <x:v>Reserve Bank of India</x:v>
      </x:c>
      <x:c r="AB52" s="22" t="str">
        <x:v>https://rbi.org.in/Scripts/BS_PressReleaseDisplay.aspx?prid=63044</x:v>
      </x:c>
      <x:c r="AC52" s="18" t="str">
        <x:v>2026-06-30</x:v>
      </x:c>
      <x:c r="AD52" s="18" t="n">
        <x:v>46275.114583333336</x:v>
      </x:c>
      <x:c r="AE52" s="18" t="str">
        <x:v>retained_terminal</x:v>
      </x:c>
      <x:c r="AF52" s="18" t="str">
        <x:v>READY</x:v>
      </x:c>
    </x:row>
    <x:row r="53">
      <x:c r="A53" s="18" t="str">
        <x:v>NYT-20-39097a598e8f4181</x:v>
      </x:c>
      <x:c r="B53" s="18" t="str">
        <x:v>RBI to conduct Overnight Variable Rate Repo (VRR) auction under LAF on June 30, 2026</x:v>
      </x:c>
      <x:c r="C53" s="18" t="str">
        <x:v>2026-06-29</x:v>
      </x:c>
      <x:c r="D53" s="18" t="n">
        <x:v>2026</x:v>
      </x:c>
      <x:c r="E53" s="18" t="str">
        <x:v>2026-06</x:v>
      </x:c>
      <x:c r="F53" s="18" t="str"/>
      <x:c r="G53" s="18" t="str"/>
      <x:c r="H53" s="18" t="str"/>
      <x:c r="I53" s="18" t="str"/>
      <x:c r="J53" s="20" t="str"/>
      <x:c r="K53" s="18" t="str"/>
      <x:c r="L53" s="22" t="str">
        <x:v>https://rbidocs.rbi.org.in/rdocs/PressRelease/PDFs/PR565DF5B9480020A4BB69264D0D70338B420.PDF</x:v>
      </x:c>
      <x:c r="M53" s="18" t="str">
        <x:v>2026-06-29</x:v>
      </x:c>
      <x:c r="N53" s="18" t="str">
        <x:v>RBI</x:v>
      </x:c>
      <x:c r="O53" s="18" t="str">
        <x:v>RBI to conduct Overnight Variable Rate Repo (VRR) auction under LAF on June 30, 2026</x:v>
      </x:c>
      <x:c r="P53" s="18" t="str"/>
      <x:c r="Q53" s="18" t="str">
        <x:v>45</x:v>
      </x:c>
      <x:c r="R53" s="18" t="str">
        <x:v>routine</x:v>
      </x:c>
      <x:c r="S53" s="18" t="str">
        <x:v>https://rbi.org.in/Scripts/BS_PressReleaseDisplay.aspx?prid=63043</x:v>
      </x:c>
      <x:c r="T53" s="18" t="str">
        <x:v>DEFINED_TERMINAL_OR_FEED_SCOPE</x:v>
      </x:c>
      <x:c r="U53" s="18" t="str">
        <x:v>national_regulatory_watch.json — published records loaded</x:v>
      </x:c>
      <x:c r="V53" s="18" t="str"/>
      <x:c r="W53" s="18" t="str"/>
      <x:c r="X53" s="20" t="n">
        <x:v>151</x:v>
      </x:c>
      <x:c r="Y53" s="19" t="n">
        <x:f>IFERROR(TODAY()-DATEVALUE(C53),"")</x:f>
        <x:v>73</x:v>
      </x:c>
      <x:c r="Z53" s="21" t="n">
        <x:f>ROUND(COUNTA(A53:K53)/11*100,0)</x:f>
        <x:v>100</x:v>
      </x:c>
      <x:c r="AA53" s="18" t="str">
        <x:v>Reserve Bank of India</x:v>
      </x:c>
      <x:c r="AB53" s="22" t="str">
        <x:v>https://rbi.org.in/Scripts/BS_PressReleaseDisplay.aspx?prid=63043</x:v>
      </x:c>
      <x:c r="AC53" s="18" t="str">
        <x:v>2026-06-29</x:v>
      </x:c>
      <x:c r="AD53" s="18" t="n">
        <x:v>46275.114583333336</x:v>
      </x:c>
      <x:c r="AE53" s="18" t="str">
        <x:v>retained_terminal</x:v>
      </x:c>
      <x:c r="AF53" s="18" t="str">
        <x:v>READY</x:v>
      </x:c>
    </x:row>
    <x:row r="54">
      <x:c r="A54" s="18" t="str">
        <x:v>NYT-20-9d12ea250c1b448f</x:v>
      </x:c>
      <x:c r="B54" s="18" t="str">
        <x:v>Auction of Government of India Dated Security</x:v>
      </x:c>
      <x:c r="C54" s="18" t="str">
        <x:v>2026-06-29</x:v>
      </x:c>
      <x:c r="D54" s="18" t="n">
        <x:v>2026</x:v>
      </x:c>
      <x:c r="E54" s="18" t="str">
        <x:v>2026-06</x:v>
      </x:c>
      <x:c r="F54" s="18" t="str"/>
      <x:c r="G54" s="18" t="str"/>
      <x:c r="H54" s="18" t="str"/>
      <x:c r="I54" s="18" t="str"/>
      <x:c r="J54" s="20" t="str"/>
      <x:c r="K54" s="18" t="str"/>
      <x:c r="L54" s="22" t="str">
        <x:v>https://rbidocs.rbi.org.in/rdocs/PressRelease/PDFs/PR56462EBAB02FABB40FAB30609C441C8D494.PDF</x:v>
      </x:c>
      <x:c r="M54" s="18" t="str">
        <x:v>2026-06-29</x:v>
      </x:c>
      <x:c r="N54" s="18" t="str">
        <x:v>RBI</x:v>
      </x:c>
      <x:c r="O54" s="18" t="str">
        <x:v>Auction of Government of India Dated Security</x:v>
      </x:c>
      <x:c r="P54" s="18" t="str"/>
      <x:c r="Q54" s="18" t="str">
        <x:v>46</x:v>
      </x:c>
      <x:c r="R54" s="18" t="str">
        <x:v>routine</x:v>
      </x:c>
      <x:c r="S54" s="18" t="str">
        <x:v>https://rbi.org.in/Scripts/BS_PressReleaseDisplay.aspx?prid=63042</x:v>
      </x:c>
      <x:c r="T54" s="18" t="str">
        <x:v>DEFINED_TERMINAL_OR_FEED_SCOPE</x:v>
      </x:c>
      <x:c r="U54" s="18" t="str">
        <x:v>national_regulatory_watch.json — published records loaded</x:v>
      </x:c>
      <x:c r="V54" s="18" t="str"/>
      <x:c r="W54" s="18" t="str"/>
      <x:c r="X54" s="20" t="n">
        <x:v>151</x:v>
      </x:c>
      <x:c r="Y54" s="19" t="n">
        <x:f>IFERROR(TODAY()-DATEVALUE(C54),"")</x:f>
        <x:v>73</x:v>
      </x:c>
      <x:c r="Z54" s="21" t="n">
        <x:f>ROUND(COUNTA(A54:K54)/11*100,0)</x:f>
        <x:v>100</x:v>
      </x:c>
      <x:c r="AA54" s="18" t="str">
        <x:v>Reserve Bank of India</x:v>
      </x:c>
      <x:c r="AB54" s="22" t="str">
        <x:v>https://rbi.org.in/Scripts/BS_PressReleaseDisplay.aspx?prid=63042</x:v>
      </x:c>
      <x:c r="AC54" s="18" t="str">
        <x:v>2026-06-29</x:v>
      </x:c>
      <x:c r="AD54" s="18" t="n">
        <x:v>46275.114583333336</x:v>
      </x:c>
      <x:c r="AE54" s="18" t="str">
        <x:v>retained_terminal</x:v>
      </x:c>
      <x:c r="AF54" s="18" t="str">
        <x:v>READY</x:v>
      </x:c>
    </x:row>
    <x:row r="55">
      <x:c r="A55" s="18" t="str">
        <x:v>NYT-20-81de404dcf785675</x:v>
      </x:c>
      <x:c r="B55" s="18" t="str">
        <x:v>India’s External Debt as at the end of March 2026</x:v>
      </x:c>
      <x:c r="C55" s="18" t="str">
        <x:v>2026-06-29</x:v>
      </x:c>
      <x:c r="D55" s="18" t="n">
        <x:v>2026</x:v>
      </x:c>
      <x:c r="E55" s="18" t="str">
        <x:v>2026-06</x:v>
      </x:c>
      <x:c r="F55" s="18" t="str"/>
      <x:c r="G55" s="18" t="str"/>
      <x:c r="H55" s="18" t="str"/>
      <x:c r="I55" s="18" t="str"/>
      <x:c r="J55" s="20" t="str"/>
      <x:c r="K55" s="18" t="str"/>
      <x:c r="L55" s="22" t="str">
        <x:v>https://rbidocs.rbi.org.in/rdocs/PressRelease/PDFs/PR563E39149DA01F44968BA284AFAE0A7F4BF.PDF</x:v>
      </x:c>
      <x:c r="M55" s="18" t="str">
        <x:v>2026-06-29</x:v>
      </x:c>
      <x:c r="N55" s="18" t="str">
        <x:v>RBI</x:v>
      </x:c>
      <x:c r="O55" s="18" t="str">
        <x:v>India’s External Debt as at the end of March 2026</x:v>
      </x:c>
      <x:c r="P55" s="18" t="str"/>
      <x:c r="Q55" s="18" t="str">
        <x:v>47</x:v>
      </x:c>
      <x:c r="R55" s="18" t="str">
        <x:v>other</x:v>
      </x:c>
      <x:c r="S55" s="18" t="str">
        <x:v>https://rbi.org.in/Scripts/BS_PressReleaseDisplay.aspx?prid=63041</x:v>
      </x:c>
      <x:c r="T55" s="18" t="str">
        <x:v>DEFINED_TERMINAL_OR_FEED_SCOPE</x:v>
      </x:c>
      <x:c r="U55" s="18" t="str">
        <x:v>national_regulatory_watch.json — published records loaded</x:v>
      </x:c>
      <x:c r="V55" s="18" t="str"/>
      <x:c r="W55" s="18" t="str"/>
      <x:c r="X55" s="20" t="n">
        <x:v>151</x:v>
      </x:c>
      <x:c r="Y55" s="19" t="n">
        <x:f>IFERROR(TODAY()-DATEVALUE(C55),"")</x:f>
        <x:v>73</x:v>
      </x:c>
      <x:c r="Z55" s="21" t="n">
        <x:f>ROUND(COUNTA(A55:K55)/11*100,0)</x:f>
        <x:v>100</x:v>
      </x:c>
      <x:c r="AA55" s="18" t="str">
        <x:v>Reserve Bank of India</x:v>
      </x:c>
      <x:c r="AB55" s="22" t="str">
        <x:v>https://rbi.org.in/Scripts/BS_PressReleaseDisplay.aspx?prid=63041</x:v>
      </x:c>
      <x:c r="AC55" s="18" t="str">
        <x:v>2026-06-29</x:v>
      </x:c>
      <x:c r="AD55" s="18" t="n">
        <x:v>46275.114583333336</x:v>
      </x:c>
      <x:c r="AE55" s="18" t="str">
        <x:v>retained_terminal</x:v>
      </x:c>
      <x:c r="AF55" s="18" t="str">
        <x:v>READY</x:v>
      </x:c>
    </x:row>
    <x:row r="56">
      <x:c r="A56" s="18" t="str">
        <x:v>NYT-20-f5eeaf2de35b6f0c</x:v>
      </x:c>
      <x:c r="B56" s="18" t="str">
        <x:v>RBI imposes monetary penalty on Sri Bharathi Co-operative Urban Bank Limited, Hyderabad</x:v>
      </x:c>
      <x:c r="C56" s="18" t="str">
        <x:v>2026-06-29</x:v>
      </x:c>
      <x:c r="D56" s="18" t="n">
        <x:v>2026</x:v>
      </x:c>
      <x:c r="E56" s="18" t="str">
        <x:v>2026-06</x:v>
      </x:c>
      <x:c r="F56" s="18" t="str"/>
      <x:c r="G56" s="18" t="str"/>
      <x:c r="H56" s="18" t="str"/>
      <x:c r="I56" s="18" t="str"/>
      <x:c r="J56" s="20" t="str"/>
      <x:c r="K56" s="18" t="str"/>
      <x:c r="L56" s="22" t="str">
        <x:v>https://rbidocs.rbi.org.in/rdocs/PressRelease/PDFs/PR5625C6B961D8E7C494BADB7342F6F4F725E.PDF</x:v>
      </x:c>
      <x:c r="M56" s="18" t="str">
        <x:v>2026-06-29</x:v>
      </x:c>
      <x:c r="N56" s="18" t="str">
        <x:v>RBI</x:v>
      </x:c>
      <x:c r="O56" s="18" t="str">
        <x:v>RBI imposes monetary penalty on Sri Bharathi Co-operative Urban Bank Limited, Hyderabad</x:v>
      </x:c>
      <x:c r="P56" s="18" t="str"/>
      <x:c r="Q56" s="18" t="str">
        <x:v>48</x:v>
      </x:c>
      <x:c r="R56" s="18" t="str">
        <x:v>penalty</x:v>
      </x:c>
      <x:c r="S56" s="18" t="str">
        <x:v>https://rbi.org.in/Scripts/BS_PressReleaseDisplay.aspx?prid=63040</x:v>
      </x:c>
      <x:c r="T56" s="18" t="str">
        <x:v>DEFINED_TERMINAL_OR_FEED_SCOPE</x:v>
      </x:c>
      <x:c r="U56" s="18" t="str">
        <x:v>national_regulatory_watch.json — published records loaded</x:v>
      </x:c>
      <x:c r="V56" s="18" t="str"/>
      <x:c r="W56" s="18" t="str"/>
      <x:c r="X56" s="20" t="n">
        <x:v>151</x:v>
      </x:c>
      <x:c r="Y56" s="19" t="n">
        <x:f>IFERROR(TODAY()-DATEVALUE(C56),"")</x:f>
        <x:v>73</x:v>
      </x:c>
      <x:c r="Z56" s="21" t="n">
        <x:f>ROUND(COUNTA(A56:K56)/11*100,0)</x:f>
        <x:v>100</x:v>
      </x:c>
      <x:c r="AA56" s="18" t="str">
        <x:v>Reserve Bank of India</x:v>
      </x:c>
      <x:c r="AB56" s="22" t="str">
        <x:v>https://rbi.org.in/Scripts/BS_PressReleaseDisplay.aspx?prid=63040</x:v>
      </x:c>
      <x:c r="AC56" s="18" t="str">
        <x:v>2026-06-29</x:v>
      </x:c>
      <x:c r="AD56" s="18" t="n">
        <x:v>46275.114583333336</x:v>
      </x:c>
      <x:c r="AE56" s="18" t="str">
        <x:v>retained_terminal</x:v>
      </x:c>
      <x:c r="AF56" s="18" t="str">
        <x:v>READY</x:v>
      </x:c>
    </x:row>
    <x:row r="57">
      <x:c r="A57" s="18" t="str">
        <x:v>NYT-20-0e6119d7fca5c034</x:v>
      </x:c>
      <x:c r="B57" s="18" t="str">
        <x:v>RBI imposes monetary penalty on The Chikmagalur District Co-operative Central Bank Ltd., Karnataka</x:v>
      </x:c>
      <x:c r="C57" s="18" t="str">
        <x:v>2026-06-29</x:v>
      </x:c>
      <x:c r="D57" s="18" t="n">
        <x:v>2026</x:v>
      </x:c>
      <x:c r="E57" s="18" t="str">
        <x:v>2026-06</x:v>
      </x:c>
      <x:c r="F57" s="18" t="str"/>
      <x:c r="G57" s="18" t="str"/>
      <x:c r="H57" s="18" t="str"/>
      <x:c r="I57" s="18" t="str"/>
      <x:c r="J57" s="20" t="str"/>
      <x:c r="K57" s="18" t="str"/>
      <x:c r="L57" s="22" t="str">
        <x:v>https://rbidocs.rbi.org.in/rdocs/PressRelease/PDFs/PR5615E251B816B57406D9AC2A06863B1B2F2.PDF</x:v>
      </x:c>
      <x:c r="M57" s="18" t="str">
        <x:v>2026-06-29</x:v>
      </x:c>
      <x:c r="N57" s="18" t="str">
        <x:v>RBI</x:v>
      </x:c>
      <x:c r="O57" s="18" t="str">
        <x:v>RBI imposes monetary penalty on The Chikmagalur District Co-operative Central Bank Ltd., Karnataka</x:v>
      </x:c>
      <x:c r="P57" s="18" t="str"/>
      <x:c r="Q57" s="18" t="str">
        <x:v>49</x:v>
      </x:c>
      <x:c r="R57" s="18" t="str">
        <x:v>penalty</x:v>
      </x:c>
      <x:c r="S57" s="18" t="str">
        <x:v>https://rbi.org.in/Scripts/BS_PressReleaseDisplay.aspx?prid=63039</x:v>
      </x:c>
      <x:c r="T57" s="18" t="str">
        <x:v>DEFINED_TERMINAL_OR_FEED_SCOPE</x:v>
      </x:c>
      <x:c r="U57" s="18" t="str">
        <x:v>national_regulatory_watch.json — published records loaded</x:v>
      </x:c>
      <x:c r="V57" s="18" t="str"/>
      <x:c r="W57" s="18" t="str"/>
      <x:c r="X57" s="20" t="n">
        <x:v>151</x:v>
      </x:c>
      <x:c r="Y57" s="19" t="n">
        <x:f>IFERROR(TODAY()-DATEVALUE(C57),"")</x:f>
        <x:v>73</x:v>
      </x:c>
      <x:c r="Z57" s="21" t="n">
        <x:f>ROUND(COUNTA(A57:K57)/11*100,0)</x:f>
        <x:v>100</x:v>
      </x:c>
      <x:c r="AA57" s="18" t="str">
        <x:v>Reserve Bank of India</x:v>
      </x:c>
      <x:c r="AB57" s="22" t="str">
        <x:v>https://rbi.org.in/Scripts/BS_PressReleaseDisplay.aspx?prid=63039</x:v>
      </x:c>
      <x:c r="AC57" s="18" t="str">
        <x:v>2026-06-29</x:v>
      </x:c>
      <x:c r="AD57" s="18" t="n">
        <x:v>46275.114583333336</x:v>
      </x:c>
      <x:c r="AE57" s="18" t="str">
        <x:v>retained_terminal</x:v>
      </x:c>
      <x:c r="AF57" s="18" t="str">
        <x:v>READY</x:v>
      </x:c>
    </x:row>
    <x:row r="58">
      <x:c r="A58" s="18" t="str">
        <x:v>NYT-20-b91f841e19dd310e</x:v>
      </x:c>
      <x:c r="B58" s="18" t="str">
        <x:v>RBI imposes monetary penalty on The Citizens Urban Cooperative Bank Ltd., Jalandhar, Punjab</x:v>
      </x:c>
      <x:c r="C58" s="18" t="str">
        <x:v>2026-06-29</x:v>
      </x:c>
      <x:c r="D58" s="18" t="n">
        <x:v>2026</x:v>
      </x:c>
      <x:c r="E58" s="18" t="str">
        <x:v>2026-06</x:v>
      </x:c>
      <x:c r="F58" s="18" t="str"/>
      <x:c r="G58" s="18" t="str"/>
      <x:c r="H58" s="18" t="str"/>
      <x:c r="I58" s="18" t="str"/>
      <x:c r="J58" s="20" t="str"/>
      <x:c r="K58" s="18" t="str"/>
      <x:c r="L58" s="22" t="str">
        <x:v>https://rbidocs.rbi.org.in/rdocs/PressRelease/PDFs/PR560DC60D5396D194E118846FA48E459400E.PDF</x:v>
      </x:c>
      <x:c r="M58" s="18" t="str">
        <x:v>2026-06-29</x:v>
      </x:c>
      <x:c r="N58" s="18" t="str">
        <x:v>RBI</x:v>
      </x:c>
      <x:c r="O58" s="18" t="str">
        <x:v>RBI imposes monetary penalty on The Citizens Urban Cooperative Bank Ltd., Jalandhar, Punjab</x:v>
      </x:c>
      <x:c r="P58" s="18" t="str"/>
      <x:c r="Q58" s="18" t="str">
        <x:v>50</x:v>
      </x:c>
      <x:c r="R58" s="18" t="str">
        <x:v>penalty</x:v>
      </x:c>
      <x:c r="S58" s="18" t="str">
        <x:v>https://rbi.org.in/Scripts/BS_PressReleaseDisplay.aspx?prid=63038</x:v>
      </x:c>
      <x:c r="T58" s="18" t="str">
        <x:v>DEFINED_TERMINAL_OR_FEED_SCOPE</x:v>
      </x:c>
      <x:c r="U58" s="18" t="str">
        <x:v>national_regulatory_watch.json — published records loaded</x:v>
      </x:c>
      <x:c r="V58" s="18" t="str"/>
      <x:c r="W58" s="18" t="str"/>
      <x:c r="X58" s="20" t="n">
        <x:v>151</x:v>
      </x:c>
      <x:c r="Y58" s="19" t="n">
        <x:f>IFERROR(TODAY()-DATEVALUE(C58),"")</x:f>
        <x:v>73</x:v>
      </x:c>
      <x:c r="Z58" s="21" t="n">
        <x:f>ROUND(COUNTA(A58:K58)/11*100,0)</x:f>
        <x:v>100</x:v>
      </x:c>
      <x:c r="AA58" s="18" t="str">
        <x:v>Reserve Bank of India</x:v>
      </x:c>
      <x:c r="AB58" s="22" t="str">
        <x:v>https://rbi.org.in/Scripts/BS_PressReleaseDisplay.aspx?prid=63038</x:v>
      </x:c>
      <x:c r="AC58" s="18" t="str">
        <x:v>2026-06-29</x:v>
      </x:c>
      <x:c r="AD58" s="18" t="n">
        <x:v>46275.114583333336</x:v>
      </x:c>
      <x:c r="AE58" s="18" t="str">
        <x:v>retained_terminal</x:v>
      </x:c>
      <x:c r="AF58" s="18" t="str">
        <x:v>READY</x:v>
      </x:c>
    </x:row>
    <x:row r="59">
      <x:c r="A59" s="18" t="str">
        <x:v>NYT-20-8173a7ec88940183</x:v>
      </x:c>
      <x:c r="B59" s="18" t="str">
        <x:v>Result of Buyback Auction of Government of India Dated Securities</x:v>
      </x:c>
      <x:c r="C59" s="18" t="str">
        <x:v>2026-06-29</x:v>
      </x:c>
      <x:c r="D59" s="18" t="n">
        <x:v>2026</x:v>
      </x:c>
      <x:c r="E59" s="18" t="str">
        <x:v>2026-06</x:v>
      </x:c>
      <x:c r="F59" s="18" t="str"/>
      <x:c r="G59" s="18" t="str"/>
      <x:c r="H59" s="18" t="str"/>
      <x:c r="I59" s="18" t="str"/>
      <x:c r="J59" s="20" t="str"/>
      <x:c r="K59" s="18" t="str"/>
      <x:c r="L59" s="22" t="str">
        <x:v>https://rbidocs.rbi.org.in/rdocs/PressRelease/PDFs/PR558B96A29FACB634B4F9715EFA32505C20D.PDF</x:v>
      </x:c>
      <x:c r="M59" s="18" t="str">
        <x:v>2026-06-29</x:v>
      </x:c>
      <x:c r="N59" s="18" t="str">
        <x:v>RBI</x:v>
      </x:c>
      <x:c r="O59" s="18" t="str">
        <x:v>Result of Buyback Auction of Government of India Dated Securities</x:v>
      </x:c>
      <x:c r="P59" s="18" t="str"/>
      <x:c r="Q59" s="18" t="str">
        <x:v>51</x:v>
      </x:c>
      <x:c r="R59" s="18" t="str">
        <x:v>routine</x:v>
      </x:c>
      <x:c r="S59" s="18" t="str">
        <x:v>https://rbi.org.in/Scripts/BS_PressReleaseDisplay.aspx?prid=63037</x:v>
      </x:c>
      <x:c r="T59" s="18" t="str">
        <x:v>DEFINED_TERMINAL_OR_FEED_SCOPE</x:v>
      </x:c>
      <x:c r="U59" s="18" t="str">
        <x:v>national_regulatory_watch.json — published records loaded</x:v>
      </x:c>
      <x:c r="V59" s="18" t="str"/>
      <x:c r="W59" s="18" t="str"/>
      <x:c r="X59" s="20" t="n">
        <x:v>151</x:v>
      </x:c>
      <x:c r="Y59" s="19" t="n">
        <x:f>IFERROR(TODAY()-DATEVALUE(C59),"")</x:f>
        <x:v>73</x:v>
      </x:c>
      <x:c r="Z59" s="21" t="n">
        <x:f>ROUND(COUNTA(A59:K59)/11*100,0)</x:f>
        <x:v>100</x:v>
      </x:c>
      <x:c r="AA59" s="18" t="str">
        <x:v>Reserve Bank of India</x:v>
      </x:c>
      <x:c r="AB59" s="22" t="str">
        <x:v>https://rbi.org.in/Scripts/BS_PressReleaseDisplay.aspx?prid=63037</x:v>
      </x:c>
      <x:c r="AC59" s="18" t="str">
        <x:v>2026-06-29</x:v>
      </x:c>
      <x:c r="AD59" s="18" t="n">
        <x:v>46275.114583333336</x:v>
      </x:c>
      <x:c r="AE59" s="18" t="str">
        <x:v>retained_terminal</x:v>
      </x:c>
      <x:c r="AF59" s="18" t="str">
        <x:v>READY</x:v>
      </x:c>
    </x:row>
    <x:row r="60">
      <x:c r="A60" s="18" t="str">
        <x:v>NYT-20-4955ce11a8920042</x:v>
      </x:c>
      <x:c r="B60" s="18" t="str">
        <x:v>Money Market Operations as on June 28, 2026</x:v>
      </x:c>
      <x:c r="C60" s="18" t="str">
        <x:v>2026-06-29</x:v>
      </x:c>
      <x:c r="D60" s="18" t="n">
        <x:v>2026</x:v>
      </x:c>
      <x:c r="E60" s="18" t="str">
        <x:v>2026-06</x:v>
      </x:c>
      <x:c r="F60" s="18" t="str"/>
      <x:c r="G60" s="18" t="str"/>
      <x:c r="H60" s="18" t="str"/>
      <x:c r="I60" s="18" t="str"/>
      <x:c r="J60" s="20" t="str"/>
      <x:c r="K60" s="18" t="str"/>
      <x:c r="L60" s="22" t="str">
        <x:v>https://rbidocs.rbi.org.in/rdocs/PressRelease/PDFs/PR5588A8564C92DF44FD8B5279DF1CF6000D8.PDF</x:v>
      </x:c>
      <x:c r="M60" s="18" t="str">
        <x:v>2026-06-29</x:v>
      </x:c>
      <x:c r="N60" s="18" t="str">
        <x:v>RBI</x:v>
      </x:c>
      <x:c r="O60" s="18" t="str">
        <x:v>Money Market Operations as on June 28, 2026</x:v>
      </x:c>
      <x:c r="P60" s="18" t="str"/>
      <x:c r="Q60" s="18" t="str">
        <x:v>52</x:v>
      </x:c>
      <x:c r="R60" s="18" t="str">
        <x:v>routine</x:v>
      </x:c>
      <x:c r="S60" s="18" t="str">
        <x:v>https://rbi.org.in/Scripts/BS_PressReleaseDisplay.aspx?prid=63036</x:v>
      </x:c>
      <x:c r="T60" s="18" t="str">
        <x:v>DEFINED_TERMINAL_OR_FEED_SCOPE</x:v>
      </x:c>
      <x:c r="U60" s="18" t="str">
        <x:v>national_regulatory_watch.json — published records loaded</x:v>
      </x:c>
      <x:c r="V60" s="18" t="str"/>
      <x:c r="W60" s="18" t="str"/>
      <x:c r="X60" s="20" t="n">
        <x:v>151</x:v>
      </x:c>
      <x:c r="Y60" s="19" t="n">
        <x:f>IFERROR(TODAY()-DATEVALUE(C60),"")</x:f>
        <x:v>73</x:v>
      </x:c>
      <x:c r="Z60" s="21" t="n">
        <x:f>ROUND(COUNTA(A60:K60)/11*100,0)</x:f>
        <x:v>100</x:v>
      </x:c>
      <x:c r="AA60" s="18" t="str">
        <x:v>Reserve Bank of India</x:v>
      </x:c>
      <x:c r="AB60" s="22" t="str">
        <x:v>https://rbi.org.in/Scripts/BS_PressReleaseDisplay.aspx?prid=63036</x:v>
      </x:c>
      <x:c r="AC60" s="18" t="str">
        <x:v>2026-06-29</x:v>
      </x:c>
      <x:c r="AD60" s="18" t="n">
        <x:v>46275.114583333336</x:v>
      </x:c>
      <x:c r="AE60" s="18" t="str">
        <x:v>retained_terminal</x:v>
      </x:c>
      <x:c r="AF60" s="18" t="str">
        <x:v>READY</x:v>
      </x:c>
    </x:row>
    <x:row r="61">
      <x:c r="A61" s="18" t="str">
        <x:v>NYT-20-0d244b97f50bb74e</x:v>
      </x:c>
      <x:c r="B61" s="18" t="str">
        <x:v>Money Market Operations as on June 27, 2026</x:v>
      </x:c>
      <x:c r="C61" s="18" t="str">
        <x:v>2026-06-29</x:v>
      </x:c>
      <x:c r="D61" s="18" t="n">
        <x:v>2026</x:v>
      </x:c>
      <x:c r="E61" s="18" t="str">
        <x:v>2026-06</x:v>
      </x:c>
      <x:c r="F61" s="18" t="str"/>
      <x:c r="G61" s="18" t="str"/>
      <x:c r="H61" s="18" t="str"/>
      <x:c r="I61" s="18" t="str"/>
      <x:c r="J61" s="20" t="str"/>
      <x:c r="K61" s="18" t="str"/>
      <x:c r="L61" s="22" t="str">
        <x:v>https://rbidocs.rbi.org.in/rdocs/PressRelease/PDFs/PR557MMOA62578435AD3450C80D42418E6296A4F.PDF</x:v>
      </x:c>
      <x:c r="M61" s="18" t="str">
        <x:v>2026-06-29</x:v>
      </x:c>
      <x:c r="N61" s="18" t="str">
        <x:v>RBI</x:v>
      </x:c>
      <x:c r="O61" s="18" t="str">
        <x:v>Money Market Operations as on June 27, 2026</x:v>
      </x:c>
      <x:c r="P61" s="18" t="str"/>
      <x:c r="Q61" s="18" t="str">
        <x:v>53</x:v>
      </x:c>
      <x:c r="R61" s="18" t="str">
        <x:v>routine</x:v>
      </x:c>
      <x:c r="S61" s="18" t="str">
        <x:v>https://rbi.org.in/Scripts/BS_PressReleaseDisplay.aspx?prid=63035</x:v>
      </x:c>
      <x:c r="T61" s="18" t="str">
        <x:v>DEFINED_TERMINAL_OR_FEED_SCOPE</x:v>
      </x:c>
      <x:c r="U61" s="18" t="str">
        <x:v>national_regulatory_watch.json — published records loaded</x:v>
      </x:c>
      <x:c r="V61" s="18" t="str"/>
      <x:c r="W61" s="18" t="str"/>
      <x:c r="X61" s="20" t="n">
        <x:v>151</x:v>
      </x:c>
      <x:c r="Y61" s="19" t="n">
        <x:f>IFERROR(TODAY()-DATEVALUE(C61),"")</x:f>
        <x:v>73</x:v>
      </x:c>
      <x:c r="Z61" s="21" t="n">
        <x:f>ROUND(COUNTA(A61:K61)/11*100,0)</x:f>
        <x:v>100</x:v>
      </x:c>
      <x:c r="AA61" s="18" t="str">
        <x:v>Reserve Bank of India</x:v>
      </x:c>
      <x:c r="AB61" s="22" t="str">
        <x:v>https://rbi.org.in/Scripts/BS_PressReleaseDisplay.aspx?prid=63035</x:v>
      </x:c>
      <x:c r="AC61" s="18" t="str">
        <x:v>2026-06-29</x:v>
      </x:c>
      <x:c r="AD61" s="18" t="n">
        <x:v>46275.114583333336</x:v>
      </x:c>
      <x:c r="AE61" s="18" t="str">
        <x:v>retained_terminal</x:v>
      </x:c>
      <x:c r="AF61" s="18" t="str">
        <x:v>READY</x:v>
      </x:c>
    </x:row>
    <x:row r="62">
      <x:c r="A62" s="18" t="str">
        <x:v>NYT-20-17f18c124d35c401</x:v>
      </x:c>
      <x:c r="B62" s="18" t="str">
        <x:v>Money Market Operations as on June 26, 2026</x:v>
      </x:c>
      <x:c r="C62" s="18" t="str">
        <x:v>2026-06-29</x:v>
      </x:c>
      <x:c r="D62" s="18" t="n">
        <x:v>2026</x:v>
      </x:c>
      <x:c r="E62" s="18" t="str">
        <x:v>2026-06</x:v>
      </x:c>
      <x:c r="F62" s="18" t="str"/>
      <x:c r="G62" s="18" t="str"/>
      <x:c r="H62" s="18" t="str"/>
      <x:c r="I62" s="18" t="str"/>
      <x:c r="J62" s="20" t="str"/>
      <x:c r="K62" s="18" t="str"/>
      <x:c r="L62" s="22" t="str">
        <x:v>https://rbidocs.rbi.org.in/rdocs/PressRelease/PDFs/PR556716B5605DB61474A994AE14B1CE50EDE.PDF</x:v>
      </x:c>
      <x:c r="M62" s="18" t="str">
        <x:v>2026-06-29</x:v>
      </x:c>
      <x:c r="N62" s="18" t="str">
        <x:v>RBI</x:v>
      </x:c>
      <x:c r="O62" s="18" t="str">
        <x:v>Money Market Operations as on June 26, 2026</x:v>
      </x:c>
      <x:c r="P62" s="18" t="str"/>
      <x:c r="Q62" s="18" t="str">
        <x:v>54</x:v>
      </x:c>
      <x:c r="R62" s="18" t="str">
        <x:v>routine</x:v>
      </x:c>
      <x:c r="S62" s="18" t="str">
        <x:v>https://rbi.org.in/Scripts/BS_PressReleaseDisplay.aspx?prid=63034</x:v>
      </x:c>
      <x:c r="T62" s="18" t="str">
        <x:v>DEFINED_TERMINAL_OR_FEED_SCOPE</x:v>
      </x:c>
      <x:c r="U62" s="18" t="str">
        <x:v>national_regulatory_watch.json — published records loaded</x:v>
      </x:c>
      <x:c r="V62" s="18" t="str"/>
      <x:c r="W62" s="18" t="str"/>
      <x:c r="X62" s="20" t="n">
        <x:v>151</x:v>
      </x:c>
      <x:c r="Y62" s="19" t="n">
        <x:f>IFERROR(TODAY()-DATEVALUE(C62),"")</x:f>
        <x:v>73</x:v>
      </x:c>
      <x:c r="Z62" s="21" t="n">
        <x:f>ROUND(COUNTA(A62:K62)/11*100,0)</x:f>
        <x:v>100</x:v>
      </x:c>
      <x:c r="AA62" s="18" t="str">
        <x:v>Reserve Bank of India</x:v>
      </x:c>
      <x:c r="AB62" s="22" t="str">
        <x:v>https://rbi.org.in/Scripts/BS_PressReleaseDisplay.aspx?prid=63034</x:v>
      </x:c>
      <x:c r="AC62" s="18" t="str">
        <x:v>2026-06-29</x:v>
      </x:c>
      <x:c r="AD62" s="18" t="n">
        <x:v>46275.114583333336</x:v>
      </x:c>
      <x:c r="AE62" s="18" t="str">
        <x:v>retained_terminal</x:v>
      </x:c>
      <x:c r="AF62" s="18" t="str">
        <x:v>READY</x:v>
      </x:c>
    </x:row>
    <x:row r="63">
      <x:c r="A63" s="18" t="str">
        <x:v>NYT-20-9291be6243b8f2c5</x:v>
      </x:c>
      <x:c r="B63" s="18" t="str">
        <x:v>Result of the 2-day Variable Rate Repo (VRR) auction held on June 29, 2026</x:v>
      </x:c>
      <x:c r="C63" s="18" t="str">
        <x:v>2026-06-29</x:v>
      </x:c>
      <x:c r="D63" s="18" t="n">
        <x:v>2026</x:v>
      </x:c>
      <x:c r="E63" s="18" t="str">
        <x:v>2026-06</x:v>
      </x:c>
      <x:c r="F63" s="18" t="str"/>
      <x:c r="G63" s="18" t="str"/>
      <x:c r="H63" s="18" t="str"/>
      <x:c r="I63" s="18" t="str"/>
      <x:c r="J63" s="20" t="str"/>
      <x:c r="K63" s="18" t="str"/>
      <x:c r="L63" s="22" t="str">
        <x:v>https://rbidocs.rbi.org.in/rdocs/PressRelease/PDFs/PR555CBCECEEE4E7F43E4A5A6CBF70345444D.PDF</x:v>
      </x:c>
      <x:c r="M63" s="18" t="str">
        <x:v>2026-06-29</x:v>
      </x:c>
      <x:c r="N63" s="18" t="str">
        <x:v>RBI</x:v>
      </x:c>
      <x:c r="O63" s="18" t="str">
        <x:v>Result of the 2-day Variable Rate Repo (VRR) auction held on June 29, 2026</x:v>
      </x:c>
      <x:c r="P63" s="18" t="str"/>
      <x:c r="Q63" s="18" t="str">
        <x:v>55</x:v>
      </x:c>
      <x:c r="R63" s="18" t="str">
        <x:v>routine</x:v>
      </x:c>
      <x:c r="S63" s="18" t="str">
        <x:v>https://rbi.org.in/Scripts/BS_PressReleaseDisplay.aspx?prid=63033</x:v>
      </x:c>
      <x:c r="T63" s="18" t="str">
        <x:v>DEFINED_TERMINAL_OR_FEED_SCOPE</x:v>
      </x:c>
      <x:c r="U63" s="18" t="str">
        <x:v>national_regulatory_watch.json — published records loaded</x:v>
      </x:c>
      <x:c r="V63" s="18" t="str"/>
      <x:c r="W63" s="18" t="str"/>
      <x:c r="X63" s="20" t="n">
        <x:v>151</x:v>
      </x:c>
      <x:c r="Y63" s="19" t="n">
        <x:f>IFERROR(TODAY()-DATEVALUE(C63),"")</x:f>
        <x:v>73</x:v>
      </x:c>
      <x:c r="Z63" s="21" t="n">
        <x:f>ROUND(COUNTA(A63:K63)/11*100,0)</x:f>
        <x:v>100</x:v>
      </x:c>
      <x:c r="AA63" s="18" t="str">
        <x:v>Reserve Bank of India</x:v>
      </x:c>
      <x:c r="AB63" s="22" t="str">
        <x:v>https://rbi.org.in/Scripts/BS_PressReleaseDisplay.aspx?prid=63033</x:v>
      </x:c>
      <x:c r="AC63" s="18" t="str">
        <x:v>2026-06-29</x:v>
      </x:c>
      <x:c r="AD63" s="18" t="n">
        <x:v>46275.114583333336</x:v>
      </x:c>
      <x:c r="AE63" s="18" t="str">
        <x:v>retained_terminal</x:v>
      </x:c>
      <x:c r="AF63" s="18" t="str">
        <x:v>READY</x:v>
      </x:c>
    </x:row>
    <x:row r="64">
      <x:c r="A64" s="18" t="str">
        <x:v>NYT-20-0e5e477d6ef73ce6</x:v>
      </x:c>
      <x:c r="B64" s="18" t="str">
        <x:v>Money Market Operations as on June 25, 2026</x:v>
      </x:c>
      <x:c r="C64" s="18" t="str">
        <x:v>2026-06-29</x:v>
      </x:c>
      <x:c r="D64" s="18" t="n">
        <x:v>2026</x:v>
      </x:c>
      <x:c r="E64" s="18" t="str">
        <x:v>2026-06</x:v>
      </x:c>
      <x:c r="F64" s="18" t="str"/>
      <x:c r="G64" s="18" t="str"/>
      <x:c r="H64" s="18" t="str"/>
      <x:c r="I64" s="18" t="str"/>
      <x:c r="J64" s="20" t="str"/>
      <x:c r="K64" s="18" t="str"/>
      <x:c r="L64" s="22" t="str">
        <x:v>https://rbidocs.rbi.org.in/rdocs/PressRelease/PDFs/PR554MMOD9D339B98BFE406CB25AAA9667AFA12F.PDF</x:v>
      </x:c>
      <x:c r="M64" s="18" t="str">
        <x:v>2026-06-29</x:v>
      </x:c>
      <x:c r="N64" s="18" t="str">
        <x:v>RBI</x:v>
      </x:c>
      <x:c r="O64" s="18" t="str">
        <x:v>Money Market Operations as on June 25, 2026</x:v>
      </x:c>
      <x:c r="P64" s="18" t="str"/>
      <x:c r="Q64" s="18" t="str">
        <x:v>56</x:v>
      </x:c>
      <x:c r="R64" s="18" t="str">
        <x:v>routine</x:v>
      </x:c>
      <x:c r="S64" s="18" t="str">
        <x:v>https://rbi.org.in/Scripts/BS_PressReleaseDisplay.aspx?prid=63032</x:v>
      </x:c>
      <x:c r="T64" s="18" t="str">
        <x:v>DEFINED_TERMINAL_OR_FEED_SCOPE</x:v>
      </x:c>
      <x:c r="U64" s="18" t="str">
        <x:v>national_regulatory_watch.json — published records loaded</x:v>
      </x:c>
      <x:c r="V64" s="18" t="str"/>
      <x:c r="W64" s="18" t="str"/>
      <x:c r="X64" s="20" t="n">
        <x:v>151</x:v>
      </x:c>
      <x:c r="Y64" s="19" t="n">
        <x:f>IFERROR(TODAY()-DATEVALUE(C64),"")</x:f>
        <x:v>73</x:v>
      </x:c>
      <x:c r="Z64" s="21" t="n">
        <x:f>ROUND(COUNTA(A64:K64)/11*100,0)</x:f>
        <x:v>100</x:v>
      </x:c>
      <x:c r="AA64" s="18" t="str">
        <x:v>Reserve Bank of India</x:v>
      </x:c>
      <x:c r="AB64" s="22" t="str">
        <x:v>https://rbi.org.in/Scripts/BS_PressReleaseDisplay.aspx?prid=63032</x:v>
      </x:c>
      <x:c r="AC64" s="18" t="str">
        <x:v>2026-06-29</x:v>
      </x:c>
      <x:c r="AD64" s="18" t="n">
        <x:v>46275.114583333336</x:v>
      </x:c>
      <x:c r="AE64" s="18" t="str">
        <x:v>retained_terminal</x:v>
      </x:c>
      <x:c r="AF64" s="18" t="str">
        <x:v>READY</x:v>
      </x:c>
    </x:row>
    <x:row r="65">
      <x:c r="A65" s="18" t="str">
        <x:v>NYT-20-4914245f3082bd79</x:v>
      </x:c>
      <x:c r="B65" s="18" t="str">
        <x:v>Reserve Bank of India – Bulletin Weekly Statistical Supplement – Extract</x:v>
      </x:c>
      <x:c r="C65" s="18" t="str">
        <x:v>2026-06-26</x:v>
      </x:c>
      <x:c r="D65" s="18" t="n">
        <x:v>2026</x:v>
      </x:c>
      <x:c r="E65" s="18" t="str">
        <x:v>2026-06</x:v>
      </x:c>
      <x:c r="F65" s="18" t="str"/>
      <x:c r="G65" s="18" t="str"/>
      <x:c r="H65" s="18" t="str"/>
      <x:c r="I65" s="18" t="str"/>
      <x:c r="J65" s="20" t="str"/>
      <x:c r="K65" s="18" t="str"/>
      <x:c r="L65" s="22" t="str">
        <x:v>https://rbidocs.rbi.org.in/rdocs/PressRelease/PDFs/PR553WSSD4E71EFAD72C4CB8810A17E3560D5F76.PDF</x:v>
      </x:c>
      <x:c r="M65" s="18" t="str">
        <x:v>2026-06-26</x:v>
      </x:c>
      <x:c r="N65" s="18" t="str">
        <x:v>RBI</x:v>
      </x:c>
      <x:c r="O65" s="18" t="str">
        <x:v>Reserve Bank of India – Bulletin Weekly Statistical Supplement – Extract</x:v>
      </x:c>
      <x:c r="P65" s="18" t="str"/>
      <x:c r="Q65" s="18" t="str">
        <x:v>57</x:v>
      </x:c>
      <x:c r="R65" s="18" t="str">
        <x:v>routine</x:v>
      </x:c>
      <x:c r="S65" s="18" t="str">
        <x:v>https://rbi.org.in/Scripts/BS_PressReleaseDisplay.aspx?prid=63031</x:v>
      </x:c>
      <x:c r="T65" s="18" t="str">
        <x:v>DEFINED_TERMINAL_OR_FEED_SCOPE</x:v>
      </x:c>
      <x:c r="U65" s="18" t="str">
        <x:v>national_regulatory_watch.json — published records loaded</x:v>
      </x:c>
      <x:c r="V65" s="18" t="str"/>
      <x:c r="W65" s="18" t="str"/>
      <x:c r="X65" s="20" t="n">
        <x:v>151</x:v>
      </x:c>
      <x:c r="Y65" s="19" t="n">
        <x:f>IFERROR(TODAY()-DATEVALUE(C65),"")</x:f>
        <x:v>76</x:v>
      </x:c>
      <x:c r="Z65" s="21" t="n">
        <x:f>ROUND(COUNTA(A65:K65)/11*100,0)</x:f>
        <x:v>100</x:v>
      </x:c>
      <x:c r="AA65" s="18" t="str">
        <x:v>Reserve Bank of India</x:v>
      </x:c>
      <x:c r="AB65" s="22" t="str">
        <x:v>https://rbi.org.in/Scripts/BS_PressReleaseDisplay.aspx?prid=63031</x:v>
      </x:c>
      <x:c r="AC65" s="18" t="str">
        <x:v>2026-06-26</x:v>
      </x:c>
      <x:c r="AD65" s="18" t="n">
        <x:v>46275.114583333336</x:v>
      </x:c>
      <x:c r="AE65" s="18" t="str">
        <x:v>retained_terminal</x:v>
      </x:c>
      <x:c r="AF65" s="18" t="str">
        <x:v>READY</x:v>
      </x:c>
    </x:row>
    <x:row r="66">
      <x:c r="A66" s="18" t="str">
        <x:v>NYT-20-d19ebec0d5a2f221</x:v>
      </x:c>
      <x:c r="B66" s="18" t="str">
        <x:v>Auction of State Government Securities</x:v>
      </x:c>
      <x:c r="C66" s="18" t="str">
        <x:v>2026-06-25</x:v>
      </x:c>
      <x:c r="D66" s="18" t="n">
        <x:v>2026</x:v>
      </x:c>
      <x:c r="E66" s="18" t="str">
        <x:v>2026-06</x:v>
      </x:c>
      <x:c r="F66" s="18" t="str"/>
      <x:c r="G66" s="18" t="str"/>
      <x:c r="H66" s="18" t="str"/>
      <x:c r="I66" s="18" t="str"/>
      <x:c r="J66" s="20" t="str"/>
      <x:c r="K66" s="18" t="str"/>
      <x:c r="L66" s="22" t="str">
        <x:v>https://rbidocs.rbi.org.in/rdocs/PressRelease/PDFs/PR552A0DD1EEB48A74EB28BA88FAD8B8086EE.PDF</x:v>
      </x:c>
      <x:c r="M66" s="18" t="str">
        <x:v>2026-06-25</x:v>
      </x:c>
      <x:c r="N66" s="18" t="str">
        <x:v>RBI</x:v>
      </x:c>
      <x:c r="O66" s="18" t="str">
        <x:v>Auction of State Government Securities</x:v>
      </x:c>
      <x:c r="P66" s="18" t="str"/>
      <x:c r="Q66" s="18" t="str">
        <x:v>58</x:v>
      </x:c>
      <x:c r="R66" s="18" t="str">
        <x:v>routine</x:v>
      </x:c>
      <x:c r="S66" s="18" t="str">
        <x:v>https://rbi.org.in/Scripts/BS_PressReleaseDisplay.aspx?prid=63030</x:v>
      </x:c>
      <x:c r="T66" s="18" t="str">
        <x:v>DEFINED_TERMINAL_OR_FEED_SCOPE</x:v>
      </x:c>
      <x:c r="U66" s="18" t="str">
        <x:v>national_regulatory_watch.json — published records loaded</x:v>
      </x:c>
      <x:c r="V66" s="18" t="str"/>
      <x:c r="W66" s="18" t="str"/>
      <x:c r="X66" s="20" t="n">
        <x:v>151</x:v>
      </x:c>
      <x:c r="Y66" s="19" t="n">
        <x:f>IFERROR(TODAY()-DATEVALUE(C66),"")</x:f>
        <x:v>77</x:v>
      </x:c>
      <x:c r="Z66" s="21" t="n">
        <x:f>ROUND(COUNTA(A66:K66)/11*100,0)</x:f>
        <x:v>100</x:v>
      </x:c>
      <x:c r="AA66" s="18" t="str">
        <x:v>Reserve Bank of India</x:v>
      </x:c>
      <x:c r="AB66" s="22" t="str">
        <x:v>https://rbi.org.in/Scripts/BS_PressReleaseDisplay.aspx?prid=63030</x:v>
      </x:c>
      <x:c r="AC66" s="18" t="str">
        <x:v>2026-06-25</x:v>
      </x:c>
      <x:c r="AD66" s="18" t="n">
        <x:v>46275.114583333336</x:v>
      </x:c>
      <x:c r="AE66" s="18" t="str">
        <x:v>retained_terminal</x:v>
      </x:c>
      <x:c r="AF66" s="18" t="str">
        <x:v>READY</x:v>
      </x:c>
    </x:row>
    <x:row r="67">
      <x:c r="A67" s="18" t="str">
        <x:v>NYT-20-9a1933a4453ff1a0</x:v>
      </x:c>
      <x:c r="B67" s="18" t="str">
        <x:v>Indicative Calendar of Market borrowings by State Governments/ Union Territories for the Quarter July – September 2026</x:v>
      </x:c>
      <x:c r="C67" s="18" t="str">
        <x:v>2026-06-25</x:v>
      </x:c>
      <x:c r="D67" s="18" t="n">
        <x:v>2026</x:v>
      </x:c>
      <x:c r="E67" s="18" t="str">
        <x:v>2026-06</x:v>
      </x:c>
      <x:c r="F67" s="18" t="str"/>
      <x:c r="G67" s="18" t="str"/>
      <x:c r="H67" s="18" t="str"/>
      <x:c r="I67" s="18" t="str"/>
      <x:c r="J67" s="20" t="str"/>
      <x:c r="K67" s="18" t="str"/>
      <x:c r="L67" s="22" t="str">
        <x:v>https://rbidocs.rbi.org.in/rdocs/PressRelease/PDFs/PR551D0A345C9B4794D30BE093FF717DB8A49.PDF</x:v>
      </x:c>
      <x:c r="M67" s="18" t="str">
        <x:v>2026-06-25</x:v>
      </x:c>
      <x:c r="N67" s="18" t="str">
        <x:v>RBI</x:v>
      </x:c>
      <x:c r="O67" s="18" t="str">
        <x:v>Indicative Calendar of Market borrowings by State Governments/ Union Territories for the Quarter July – September 2026</x:v>
      </x:c>
      <x:c r="P67" s="18" t="str"/>
      <x:c r="Q67" s="18" t="str">
        <x:v>59</x:v>
      </x:c>
      <x:c r="R67" s="18" t="str">
        <x:v>other</x:v>
      </x:c>
      <x:c r="S67" s="18" t="str">
        <x:v>https://rbi.org.in/Scripts/BS_PressReleaseDisplay.aspx?prid=63029</x:v>
      </x:c>
      <x:c r="T67" s="18" t="str">
        <x:v>DEFINED_TERMINAL_OR_FEED_SCOPE</x:v>
      </x:c>
      <x:c r="U67" s="18" t="str">
        <x:v>national_regulatory_watch.json — published records loaded</x:v>
      </x:c>
      <x:c r="V67" s="18" t="str"/>
      <x:c r="W67" s="18" t="str"/>
      <x:c r="X67" s="20" t="n">
        <x:v>151</x:v>
      </x:c>
      <x:c r="Y67" s="19" t="n">
        <x:f>IFERROR(TODAY()-DATEVALUE(C67),"")</x:f>
        <x:v>77</x:v>
      </x:c>
      <x:c r="Z67" s="21" t="n">
        <x:f>ROUND(COUNTA(A67:K67)/11*100,0)</x:f>
        <x:v>100</x:v>
      </x:c>
      <x:c r="AA67" s="18" t="str">
        <x:v>Reserve Bank of India</x:v>
      </x:c>
      <x:c r="AB67" s="22" t="str">
        <x:v>https://rbi.org.in/Scripts/BS_PressReleaseDisplay.aspx?prid=63029</x:v>
      </x:c>
      <x:c r="AC67" s="18" t="str">
        <x:v>2026-06-25</x:v>
      </x:c>
      <x:c r="AD67" s="18" t="n">
        <x:v>46275.114583333336</x:v>
      </x:c>
      <x:c r="AE67" s="18" t="str">
        <x:v>retained_terminal</x:v>
      </x:c>
      <x:c r="AF67" s="18" t="str">
        <x:v>READY</x:v>
      </x:c>
    </x:row>
    <x:row r="68">
      <x:c r="A68" s="18" t="str">
        <x:v>NYT-20-85979aef36d0d75c</x:v>
      </x:c>
      <x:c r="B68" s="18" t="str">
        <x:v>RBI issues Master Direction – Reserve Bank of India (Credit Derivatives) Directions, 2026</x:v>
      </x:c>
      <x:c r="C68" s="18" t="str">
        <x:v>2026-06-25</x:v>
      </x:c>
      <x:c r="D68" s="18" t="n">
        <x:v>2026</x:v>
      </x:c>
      <x:c r="E68" s="18" t="str">
        <x:v>2026-06</x:v>
      </x:c>
      <x:c r="F68" s="18" t="str"/>
      <x:c r="G68" s="18" t="str"/>
      <x:c r="H68" s="18" t="str"/>
      <x:c r="I68" s="18" t="str"/>
      <x:c r="J68" s="20" t="str"/>
      <x:c r="K68" s="18" t="str"/>
      <x:c r="L68" s="22" t="str">
        <x:v>https://rbidocs.rbi.org.in/rdocs/PressRelease/PDFs/PR550429A3F1B2E764C7386C21B4489BB7FE8.PDF</x:v>
      </x:c>
      <x:c r="M68" s="18" t="str">
        <x:v>2026-06-25</x:v>
      </x:c>
      <x:c r="N68" s="18" t="str">
        <x:v>RBI</x:v>
      </x:c>
      <x:c r="O68" s="18" t="str">
        <x:v>RBI issues Master Direction – Reserve Bank of India (Credit Derivatives) Directions, 2026</x:v>
      </x:c>
      <x:c r="P68" s="18" t="str"/>
      <x:c r="Q68" s="18" t="str">
        <x:v>60</x:v>
      </x:c>
      <x:c r="R68" s="18" t="str">
        <x:v>master_direction</x:v>
      </x:c>
      <x:c r="S68" s="18" t="str">
        <x:v>https://rbi.org.in/Scripts/BS_PressReleaseDisplay.aspx?prid=63028</x:v>
      </x:c>
      <x:c r="T68" s="18" t="str">
        <x:v>DEFINED_TERMINAL_OR_FEED_SCOPE</x:v>
      </x:c>
      <x:c r="U68" s="18" t="str">
        <x:v>national_regulatory_watch.json — published records loaded</x:v>
      </x:c>
      <x:c r="V68" s="18" t="str"/>
      <x:c r="W68" s="18" t="str"/>
      <x:c r="X68" s="20" t="n">
        <x:v>151</x:v>
      </x:c>
      <x:c r="Y68" s="19" t="n">
        <x:f>IFERROR(TODAY()-DATEVALUE(C68),"")</x:f>
        <x:v>77</x:v>
      </x:c>
      <x:c r="Z68" s="21" t="n">
        <x:f>ROUND(COUNTA(A68:K68)/11*100,0)</x:f>
        <x:v>100</x:v>
      </x:c>
      <x:c r="AA68" s="18" t="str">
        <x:v>Reserve Bank of India</x:v>
      </x:c>
      <x:c r="AB68" s="22" t="str">
        <x:v>https://rbi.org.in/Scripts/BS_PressReleaseDisplay.aspx?prid=63028</x:v>
      </x:c>
      <x:c r="AC68" s="18" t="str">
        <x:v>2026-06-25</x:v>
      </x:c>
      <x:c r="AD68" s="18" t="n">
        <x:v>46275.114583333336</x:v>
      </x:c>
      <x:c r="AE68" s="18" t="str">
        <x:v>retained_terminal</x:v>
      </x:c>
      <x:c r="AF68" s="18" t="str">
        <x:v>READY</x:v>
      </x:c>
    </x:row>
    <x:row r="69">
      <x:c r="A69" s="18" t="str">
        <x:v>NYT-20-8c383ef7d31c0210</x:v>
      </x:c>
      <x:c r="B69" s="18" t="str">
        <x:v>RBI to conduct 2-day Variable Rate Repo (VRR) auction under LAF on June 29, 2026</x:v>
      </x:c>
      <x:c r="C69" s="18" t="str">
        <x:v>2026-06-25</x:v>
      </x:c>
      <x:c r="D69" s="18" t="n">
        <x:v>2026</x:v>
      </x:c>
      <x:c r="E69" s="18" t="str">
        <x:v>2026-06</x:v>
      </x:c>
      <x:c r="F69" s="18" t="str"/>
      <x:c r="G69" s="18" t="str"/>
      <x:c r="H69" s="18" t="str"/>
      <x:c r="I69" s="18" t="str"/>
      <x:c r="J69" s="20" t="str"/>
      <x:c r="K69" s="18" t="str"/>
      <x:c r="L69" s="22" t="str">
        <x:v>https://rbidocs.rbi.org.in/rdocs/PressRelease/PDFs/PR5498A68DE0FBA1C4C68B7158BED851799E0.PDF</x:v>
      </x:c>
      <x:c r="M69" s="18" t="str">
        <x:v>2026-06-25</x:v>
      </x:c>
      <x:c r="N69" s="18" t="str">
        <x:v>RBI</x:v>
      </x:c>
      <x:c r="O69" s="18" t="str">
        <x:v>RBI to conduct 2-day Variable Rate Repo (VRR) auction under LAF on June 29, 2026</x:v>
      </x:c>
      <x:c r="P69" s="18" t="str"/>
      <x:c r="Q69" s="18" t="str">
        <x:v>61</x:v>
      </x:c>
      <x:c r="R69" s="18" t="str">
        <x:v>routine</x:v>
      </x:c>
      <x:c r="S69" s="18" t="str">
        <x:v>https://rbi.org.in/Scripts/BS_PressReleaseDisplay.aspx?prid=63027</x:v>
      </x:c>
      <x:c r="T69" s="18" t="str">
        <x:v>DEFINED_TERMINAL_OR_FEED_SCOPE</x:v>
      </x:c>
      <x:c r="U69" s="18" t="str">
        <x:v>national_regulatory_watch.json — published records loaded</x:v>
      </x:c>
      <x:c r="V69" s="18" t="str"/>
      <x:c r="W69" s="18" t="str"/>
      <x:c r="X69" s="20" t="n">
        <x:v>151</x:v>
      </x:c>
      <x:c r="Y69" s="19" t="n">
        <x:f>IFERROR(TODAY()-DATEVALUE(C69),"")</x:f>
        <x:v>77</x:v>
      </x:c>
      <x:c r="Z69" s="21" t="n">
        <x:f>ROUND(COUNTA(A69:K69)/11*100,0)</x:f>
        <x:v>100</x:v>
      </x:c>
      <x:c r="AA69" s="18" t="str">
        <x:v>Reserve Bank of India</x:v>
      </x:c>
      <x:c r="AB69" s="22" t="str">
        <x:v>https://rbi.org.in/Scripts/BS_PressReleaseDisplay.aspx?prid=63027</x:v>
      </x:c>
      <x:c r="AC69" s="18" t="str">
        <x:v>2026-06-25</x:v>
      </x:c>
      <x:c r="AD69" s="18" t="n">
        <x:v>46275.114583333336</x:v>
      </x:c>
      <x:c r="AE69" s="18" t="str">
        <x:v>retained_terminal</x:v>
      </x:c>
      <x:c r="AF69" s="18" t="str">
        <x:v>READY</x:v>
      </x:c>
    </x:row>
    <x:row r="70">
      <x:c r="A70" s="18" t="str">
        <x:v>NYT-20-736ff8883c530ad4</x:v>
      </x:c>
      <x:c r="B70" s="18" t="str">
        <x:v>Auction of 91-Day, 182-Day and 364-Day Treasury Bills</x:v>
      </x:c>
      <x:c r="C70" s="18" t="str">
        <x:v>2026-06-25</x:v>
      </x:c>
      <x:c r="D70" s="18" t="n">
        <x:v>2026</x:v>
      </x:c>
      <x:c r="E70" s="18" t="str">
        <x:v>2026-06</x:v>
      </x:c>
      <x:c r="F70" s="18" t="str"/>
      <x:c r="G70" s="18" t="str"/>
      <x:c r="H70" s="18" t="str"/>
      <x:c r="I70" s="18" t="str"/>
      <x:c r="J70" s="20" t="str"/>
      <x:c r="K70" s="18" t="str"/>
      <x:c r="L70" s="22" t="str">
        <x:v>https://rbidocs.rbi.org.in/rdocs/PressRelease/PDFs/PR548DE7BF69A79EE4F26B5687289A6EC18C3.PDF</x:v>
      </x:c>
      <x:c r="M70" s="18" t="str">
        <x:v>2026-06-25</x:v>
      </x:c>
      <x:c r="N70" s="18" t="str">
        <x:v>RBI</x:v>
      </x:c>
      <x:c r="O70" s="18" t="str">
        <x:v>Auction of 91-Day, 182-Day and 364-Day Treasury Bills</x:v>
      </x:c>
      <x:c r="P70" s="18" t="str"/>
      <x:c r="Q70" s="18" t="str">
        <x:v>62</x:v>
      </x:c>
      <x:c r="R70" s="18" t="str">
        <x:v>routine</x:v>
      </x:c>
      <x:c r="S70" s="18" t="str">
        <x:v>https://rbi.org.in/Scripts/BS_PressReleaseDisplay.aspx?prid=63026</x:v>
      </x:c>
      <x:c r="T70" s="18" t="str">
        <x:v>DEFINED_TERMINAL_OR_FEED_SCOPE</x:v>
      </x:c>
      <x:c r="U70" s="18" t="str">
        <x:v>national_regulatory_watch.json — published records loaded</x:v>
      </x:c>
      <x:c r="V70" s="18" t="str"/>
      <x:c r="W70" s="18" t="str"/>
      <x:c r="X70" s="20" t="n">
        <x:v>151</x:v>
      </x:c>
      <x:c r="Y70" s="19" t="n">
        <x:f>IFERROR(TODAY()-DATEVALUE(C70),"")</x:f>
        <x:v>77</x:v>
      </x:c>
      <x:c r="Z70" s="21" t="n">
        <x:f>ROUND(COUNTA(A70:K70)/11*100,0)</x:f>
        <x:v>100</x:v>
      </x:c>
      <x:c r="AA70" s="18" t="str">
        <x:v>Reserve Bank of India</x:v>
      </x:c>
      <x:c r="AB70" s="22" t="str">
        <x:v>https://rbi.org.in/Scripts/BS_PressReleaseDisplay.aspx?prid=63026</x:v>
      </x:c>
      <x:c r="AC70" s="18" t="str">
        <x:v>2026-06-25</x:v>
      </x:c>
      <x:c r="AD70" s="18" t="n">
        <x:v>46275.114583333336</x:v>
      </x:c>
      <x:c r="AE70" s="18" t="str">
        <x:v>retained_terminal</x:v>
      </x:c>
      <x:c r="AF70" s="18" t="str">
        <x:v>READY</x:v>
      </x:c>
    </x:row>
    <x:row r="71">
      <x:c r="A71" s="18" t="str">
        <x:v>NYT-20-53a2c48259aa595e</x:v>
      </x:c>
      <x:c r="B71" s="18" t="str">
        <x:v>Calendar for Auction of Government of India Treasury Bills</x:v>
      </x:c>
      <x:c r="C71" s="18" t="str">
        <x:v>2026-06-25</x:v>
      </x:c>
      <x:c r="D71" s="18" t="n">
        <x:v>2026</x:v>
      </x:c>
      <x:c r="E71" s="18" t="str">
        <x:v>2026-06</x:v>
      </x:c>
      <x:c r="F71" s="18" t="str"/>
      <x:c r="G71" s="18" t="str"/>
      <x:c r="H71" s="18" t="str"/>
      <x:c r="I71" s="18" t="str"/>
      <x:c r="J71" s="20" t="str"/>
      <x:c r="K71" s="18" t="str"/>
      <x:c r="L71" s="22" t="str">
        <x:v>https://rbidocs.rbi.org.in/rdocs/PressRelease/PDFs/PR54713B1C360D0734D8183CD3CC7466B4DE1.PDF</x:v>
      </x:c>
      <x:c r="M71" s="18" t="str">
        <x:v>2026-06-25</x:v>
      </x:c>
      <x:c r="N71" s="18" t="str">
        <x:v>RBI</x:v>
      </x:c>
      <x:c r="O71" s="18" t="str">
        <x:v>Calendar for Auction of Government of India Treasury Bills</x:v>
      </x:c>
      <x:c r="P71" s="18" t="str"/>
      <x:c r="Q71" s="18" t="str">
        <x:v>63</x:v>
      </x:c>
      <x:c r="R71" s="18" t="str">
        <x:v>routine</x:v>
      </x:c>
      <x:c r="S71" s="18" t="str">
        <x:v>https://rbi.org.in/Scripts/BS_PressReleaseDisplay.aspx?prid=63025</x:v>
      </x:c>
      <x:c r="T71" s="18" t="str">
        <x:v>DEFINED_TERMINAL_OR_FEED_SCOPE</x:v>
      </x:c>
      <x:c r="U71" s="18" t="str">
        <x:v>national_regulatory_watch.json — published records loaded</x:v>
      </x:c>
      <x:c r="V71" s="18" t="str"/>
      <x:c r="W71" s="18" t="str"/>
      <x:c r="X71" s="20" t="n">
        <x:v>151</x:v>
      </x:c>
      <x:c r="Y71" s="19" t="n">
        <x:f>IFERROR(TODAY()-DATEVALUE(C71),"")</x:f>
        <x:v>77</x:v>
      </x:c>
      <x:c r="Z71" s="21" t="n">
        <x:f>ROUND(COUNTA(A71:K71)/11*100,0)</x:f>
        <x:v>100</x:v>
      </x:c>
      <x:c r="AA71" s="18" t="str">
        <x:v>Reserve Bank of India</x:v>
      </x:c>
      <x:c r="AB71" s="22" t="str">
        <x:v>https://rbi.org.in/Scripts/BS_PressReleaseDisplay.aspx?prid=63025</x:v>
      </x:c>
      <x:c r="AC71" s="18" t="str">
        <x:v>2026-06-25</x:v>
      </x:c>
      <x:c r="AD71" s="18" t="n">
        <x:v>46275.114583333336</x:v>
      </x:c>
      <x:c r="AE71" s="18" t="str">
        <x:v>retained_terminal</x:v>
      </x:c>
      <x:c r="AF71" s="18" t="str">
        <x:v>READY</x:v>
      </x:c>
    </x:row>
    <x:row r="72">
      <x:c r="A72" s="18" t="str">
        <x:v>NYT-20-290dbb23498f3c89</x:v>
      </x:c>
      <x:c r="B72" s="18" t="str">
        <x:v>Governor, Reserve Bank of India meets Representatives of Export Organisations in Mumbai on June 25, 2026</x:v>
      </x:c>
      <x:c r="C72" s="18" t="str">
        <x:v>2026-06-25</x:v>
      </x:c>
      <x:c r="D72" s="18" t="n">
        <x:v>2026</x:v>
      </x:c>
      <x:c r="E72" s="18" t="str">
        <x:v>2026-06</x:v>
      </x:c>
      <x:c r="F72" s="18" t="str"/>
      <x:c r="G72" s="18" t="str"/>
      <x:c r="H72" s="18" t="str"/>
      <x:c r="I72" s="18" t="str"/>
      <x:c r="J72" s="20" t="str"/>
      <x:c r="K72" s="18" t="str"/>
      <x:c r="L72" s="22" t="str">
        <x:v>https://rbidocs.rbi.org.in/rdocs/PressRelease/PDFs/PR5466646B862EB674E96AF9702CBA4AD3091.PDF</x:v>
      </x:c>
      <x:c r="M72" s="18" t="str">
        <x:v>2026-06-25</x:v>
      </x:c>
      <x:c r="N72" s="18" t="str">
        <x:v>RBI</x:v>
      </x:c>
      <x:c r="O72" s="18" t="str">
        <x:v>Governor, Reserve Bank of India meets Representatives of Export Organisations in Mumbai on June 25, 2026</x:v>
      </x:c>
      <x:c r="P72" s="18" t="str"/>
      <x:c r="Q72" s="18" t="str">
        <x:v>64</x:v>
      </x:c>
      <x:c r="R72" s="18" t="str">
        <x:v>other</x:v>
      </x:c>
      <x:c r="S72" s="18" t="str">
        <x:v>https://rbi.org.in/Scripts/BS_PressReleaseDisplay.aspx?prid=63024</x:v>
      </x:c>
      <x:c r="T72" s="18" t="str">
        <x:v>DEFINED_TERMINAL_OR_FEED_SCOPE</x:v>
      </x:c>
      <x:c r="U72" s="18" t="str">
        <x:v>national_regulatory_watch.json — published records loaded</x:v>
      </x:c>
      <x:c r="V72" s="18" t="str"/>
      <x:c r="W72" s="18" t="str"/>
      <x:c r="X72" s="20" t="n">
        <x:v>151</x:v>
      </x:c>
      <x:c r="Y72" s="19" t="n">
        <x:f>IFERROR(TODAY()-DATEVALUE(C72),"")</x:f>
        <x:v>77</x:v>
      </x:c>
      <x:c r="Z72" s="21" t="n">
        <x:f>ROUND(COUNTA(A72:K72)/11*100,0)</x:f>
        <x:v>100</x:v>
      </x:c>
      <x:c r="AA72" s="18" t="str">
        <x:v>Reserve Bank of India</x:v>
      </x:c>
      <x:c r="AB72" s="22" t="str">
        <x:v>https://rbi.org.in/Scripts/BS_PressReleaseDisplay.aspx?prid=63024</x:v>
      </x:c>
      <x:c r="AC72" s="18" t="str">
        <x:v>2026-06-25</x:v>
      </x:c>
      <x:c r="AD72" s="18" t="n">
        <x:v>46275.114583333336</x:v>
      </x:c>
      <x:c r="AE72" s="18" t="str">
        <x:v>retained_terminal</x:v>
      </x:c>
      <x:c r="AF72" s="18" t="str">
        <x:v>READY</x:v>
      </x:c>
    </x:row>
    <x:row r="73">
      <x:c r="A73" s="18" t="str">
        <x:v>NYT-20-c2279f6f934391cf</x:v>
      </x:c>
      <x:c r="B73" s="18" t="str">
        <x:v>RBI releases draft Master Direction - Reserve Bank of India (Call, Notice and Term Money Markets) Directions, 2026</x:v>
      </x:c>
      <x:c r="C73" s="18" t="str">
        <x:v>2026-06-25</x:v>
      </x:c>
      <x:c r="D73" s="18" t="n">
        <x:v>2026</x:v>
      </x:c>
      <x:c r="E73" s="18" t="str">
        <x:v>2026-06</x:v>
      </x:c>
      <x:c r="F73" s="18" t="str"/>
      <x:c r="G73" s="18" t="str"/>
      <x:c r="H73" s="18" t="str"/>
      <x:c r="I73" s="18" t="str"/>
      <x:c r="J73" s="20" t="str"/>
      <x:c r="K73" s="18" t="str"/>
      <x:c r="L73" s="22" t="str">
        <x:v>https://rbidocs.rbi.org.in/rdocs/PressRelease/PDFs/PR545C6123CF54F644562B1EF463F869DA788.PDF</x:v>
      </x:c>
      <x:c r="M73" s="18" t="str">
        <x:v>2026-06-25</x:v>
      </x:c>
      <x:c r="N73" s="18" t="str">
        <x:v>RBI</x:v>
      </x:c>
      <x:c r="O73" s="18" t="str">
        <x:v>RBI releases draft Master Direction - Reserve Bank of India (Call, Notice and Term Money Markets) Directions, 2026</x:v>
      </x:c>
      <x:c r="P73" s="18" t="str"/>
      <x:c r="Q73" s="18" t="str">
        <x:v>65</x:v>
      </x:c>
      <x:c r="R73" s="18" t="str">
        <x:v>master_direction</x:v>
      </x:c>
      <x:c r="S73" s="18" t="str">
        <x:v>https://rbi.org.in/Scripts/BS_PressReleaseDisplay.aspx?prid=63023</x:v>
      </x:c>
      <x:c r="T73" s="18" t="str">
        <x:v>DEFINED_TERMINAL_OR_FEED_SCOPE</x:v>
      </x:c>
      <x:c r="U73" s="18" t="str">
        <x:v>national_regulatory_watch.json — published records loaded</x:v>
      </x:c>
      <x:c r="V73" s="18" t="str"/>
      <x:c r="W73" s="18" t="str"/>
      <x:c r="X73" s="20" t="n">
        <x:v>151</x:v>
      </x:c>
      <x:c r="Y73" s="19" t="n">
        <x:f>IFERROR(TODAY()-DATEVALUE(C73),"")</x:f>
        <x:v>77</x:v>
      </x:c>
      <x:c r="Z73" s="21" t="n">
        <x:f>ROUND(COUNTA(A73:K73)/11*100,0)</x:f>
        <x:v>100</x:v>
      </x:c>
      <x:c r="AA73" s="18" t="str">
        <x:v>Reserve Bank of India</x:v>
      </x:c>
      <x:c r="AB73" s="22" t="str">
        <x:v>https://rbi.org.in/Scripts/BS_PressReleaseDisplay.aspx?prid=63023</x:v>
      </x:c>
      <x:c r="AC73" s="18" t="str">
        <x:v>2026-06-25</x:v>
      </x:c>
      <x:c r="AD73" s="18" t="n">
        <x:v>46275.114583333336</x:v>
      </x:c>
      <x:c r="AE73" s="18" t="str">
        <x:v>retained_terminal</x:v>
      </x:c>
      <x:c r="AF73" s="18" t="str">
        <x:v>READY</x:v>
      </x:c>
    </x:row>
    <x:row r="74">
      <x:c r="A74" s="18" t="str">
        <x:v>NYT-20-4ed14d49858cd088</x:v>
      </x:c>
      <x:c r="B74" s="18" t="str">
        <x:v>RBI imposes monetary penalty on The Nabapalli Cooperative Bank Limited, West Bengal</x:v>
      </x:c>
      <x:c r="C74" s="18" t="str">
        <x:v>2026-06-25</x:v>
      </x:c>
      <x:c r="D74" s="18" t="n">
        <x:v>2026</x:v>
      </x:c>
      <x:c r="E74" s="18" t="str">
        <x:v>2026-06</x:v>
      </x:c>
      <x:c r="F74" s="18" t="str"/>
      <x:c r="G74" s="18" t="str"/>
      <x:c r="H74" s="18" t="str"/>
      <x:c r="I74" s="18" t="str"/>
      <x:c r="J74" s="20" t="str"/>
      <x:c r="K74" s="18" t="str"/>
      <x:c r="L74" s="22" t="str">
        <x:v>https://rbidocs.rbi.org.in/rdocs/PressRelease/PDFs/PR54432DCCC02F7064758B3FC66056F873A1C.PDF</x:v>
      </x:c>
      <x:c r="M74" s="18" t="str">
        <x:v>2026-06-25</x:v>
      </x:c>
      <x:c r="N74" s="18" t="str">
        <x:v>RBI</x:v>
      </x:c>
      <x:c r="O74" s="18" t="str">
        <x:v>RBI imposes monetary penalty on The Nabapalli Cooperative Bank Limited, West Bengal</x:v>
      </x:c>
      <x:c r="P74" s="18" t="str"/>
      <x:c r="Q74" s="18" t="str">
        <x:v>66</x:v>
      </x:c>
      <x:c r="R74" s="18" t="str">
        <x:v>penalty</x:v>
      </x:c>
      <x:c r="S74" s="18" t="str">
        <x:v>https://rbi.org.in/Scripts/BS_PressReleaseDisplay.aspx?prid=63022</x:v>
      </x:c>
      <x:c r="T74" s="18" t="str">
        <x:v>DEFINED_TERMINAL_OR_FEED_SCOPE</x:v>
      </x:c>
      <x:c r="U74" s="18" t="str">
        <x:v>national_regulatory_watch.json — published records loaded</x:v>
      </x:c>
      <x:c r="V74" s="18" t="str"/>
      <x:c r="W74" s="18" t="str"/>
      <x:c r="X74" s="20" t="n">
        <x:v>151</x:v>
      </x:c>
      <x:c r="Y74" s="19" t="n">
        <x:f>IFERROR(TODAY()-DATEVALUE(C74),"")</x:f>
        <x:v>77</x:v>
      </x:c>
      <x:c r="Z74" s="21" t="n">
        <x:f>ROUND(COUNTA(A74:K74)/11*100,0)</x:f>
        <x:v>100</x:v>
      </x:c>
      <x:c r="AA74" s="18" t="str">
        <x:v>Reserve Bank of India</x:v>
      </x:c>
      <x:c r="AB74" s="22" t="str">
        <x:v>https://rbi.org.in/Scripts/BS_PressReleaseDisplay.aspx?prid=63022</x:v>
      </x:c>
      <x:c r="AC74" s="18" t="str">
        <x:v>2026-06-25</x:v>
      </x:c>
      <x:c r="AD74" s="18" t="n">
        <x:v>46275.114583333336</x:v>
      </x:c>
      <x:c r="AE74" s="18" t="str">
        <x:v>retained_terminal</x:v>
      </x:c>
      <x:c r="AF74" s="18" t="str">
        <x:v>READY</x:v>
      </x:c>
    </x:row>
    <x:row r="75">
      <x:c r="A75" s="18" t="str">
        <x:v>NYT-20-b43f86860c3438df</x:v>
      </x:c>
      <x:c r="B75" s="18" t="str">
        <x:v>RBI imposes monetary penalty on The Modern Co-operative Bank Limited, Chalisgaon, Maharashtra</x:v>
      </x:c>
      <x:c r="C75" s="18" t="str">
        <x:v>2026-06-25</x:v>
      </x:c>
      <x:c r="D75" s="18" t="n">
        <x:v>2026</x:v>
      </x:c>
      <x:c r="E75" s="18" t="str">
        <x:v>2026-06</x:v>
      </x:c>
      <x:c r="F75" s="18" t="str"/>
      <x:c r="G75" s="18" t="str"/>
      <x:c r="H75" s="18" t="str"/>
      <x:c r="I75" s="18" t="str"/>
      <x:c r="J75" s="20" t="str"/>
      <x:c r="K75" s="18" t="str"/>
      <x:c r="L75" s="22" t="str">
        <x:v>https://rbidocs.rbi.org.in/rdocs/PressRelease/PDFs/PR5437500559178CA4EF6AC34C30609A78616.PDF</x:v>
      </x:c>
      <x:c r="M75" s="18" t="str">
        <x:v>2026-06-25</x:v>
      </x:c>
      <x:c r="N75" s="18" t="str">
        <x:v>RBI</x:v>
      </x:c>
      <x:c r="O75" s="18" t="str">
        <x:v>RBI imposes monetary penalty on The Modern Co-operative Bank Limited, Chalisgaon, Maharashtra</x:v>
      </x:c>
      <x:c r="P75" s="18" t="str"/>
      <x:c r="Q75" s="18" t="str">
        <x:v>67</x:v>
      </x:c>
      <x:c r="R75" s="18" t="str">
        <x:v>penalty</x:v>
      </x:c>
      <x:c r="S75" s="18" t="str">
        <x:v>https://rbi.org.in/Scripts/BS_PressReleaseDisplay.aspx?prid=63021</x:v>
      </x:c>
      <x:c r="T75" s="18" t="str">
        <x:v>DEFINED_TERMINAL_OR_FEED_SCOPE</x:v>
      </x:c>
      <x:c r="U75" s="18" t="str">
        <x:v>national_regulatory_watch.json — published records loaded</x:v>
      </x:c>
      <x:c r="V75" s="18" t="str"/>
      <x:c r="W75" s="18" t="str"/>
      <x:c r="X75" s="20" t="n">
        <x:v>151</x:v>
      </x:c>
      <x:c r="Y75" s="19" t="n">
        <x:f>IFERROR(TODAY()-DATEVALUE(C75),"")</x:f>
        <x:v>77</x:v>
      </x:c>
      <x:c r="Z75" s="21" t="n">
        <x:f>ROUND(COUNTA(A75:K75)/11*100,0)</x:f>
        <x:v>100</x:v>
      </x:c>
      <x:c r="AA75" s="18" t="str">
        <x:v>Reserve Bank of India</x:v>
      </x:c>
      <x:c r="AB75" s="22" t="str">
        <x:v>https://rbi.org.in/Scripts/BS_PressReleaseDisplay.aspx?prid=63021</x:v>
      </x:c>
      <x:c r="AC75" s="18" t="str">
        <x:v>2026-06-25</x:v>
      </x:c>
      <x:c r="AD75" s="18" t="n">
        <x:v>46275.114583333336</x:v>
      </x:c>
      <x:c r="AE75" s="18" t="str">
        <x:v>retained_terminal</x:v>
      </x:c>
      <x:c r="AF75" s="18" t="str">
        <x:v>READY</x:v>
      </x:c>
    </x:row>
    <x:row r="76">
      <x:c r="A76" s="18" t="str">
        <x:v>NYT-20-6278cad60f3e8bec</x:v>
      </x:c>
      <x:c r="B76" s="18" t="str">
        <x:v>RBI imposes monetary penalty on The Lalgudi Co-operative Urban Bank Ltd., Tamil Nadu</x:v>
      </x:c>
      <x:c r="C76" s="18" t="str">
        <x:v>2026-06-25</x:v>
      </x:c>
      <x:c r="D76" s="18" t="n">
        <x:v>2026</x:v>
      </x:c>
      <x:c r="E76" s="18" t="str">
        <x:v>2026-06</x:v>
      </x:c>
      <x:c r="F76" s="18" t="str"/>
      <x:c r="G76" s="18" t="str"/>
      <x:c r="H76" s="18" t="str"/>
      <x:c r="I76" s="18" t="str"/>
      <x:c r="J76" s="20" t="str"/>
      <x:c r="K76" s="18" t="str"/>
      <x:c r="L76" s="22" t="str">
        <x:v>https://rbidocs.rbi.org.in/rdocs/PressRelease/PDFs/PR542ABB636DE60F54249A84FD39BA46D82F4.PDF</x:v>
      </x:c>
      <x:c r="M76" s="18" t="str">
        <x:v>2026-06-25</x:v>
      </x:c>
      <x:c r="N76" s="18" t="str">
        <x:v>RBI</x:v>
      </x:c>
      <x:c r="O76" s="18" t="str">
        <x:v>RBI imposes monetary penalty on The Lalgudi Co-operative Urban Bank Ltd., Tamil Nadu</x:v>
      </x:c>
      <x:c r="P76" s="18" t="str"/>
      <x:c r="Q76" s="18" t="str">
        <x:v>68</x:v>
      </x:c>
      <x:c r="R76" s="18" t="str">
        <x:v>penalty</x:v>
      </x:c>
      <x:c r="S76" s="18" t="str">
        <x:v>https://rbi.org.in/Scripts/BS_PressReleaseDisplay.aspx?prid=63020</x:v>
      </x:c>
      <x:c r="T76" s="18" t="str">
        <x:v>DEFINED_TERMINAL_OR_FEED_SCOPE</x:v>
      </x:c>
      <x:c r="U76" s="18" t="str">
        <x:v>national_regulatory_watch.json — published records loaded</x:v>
      </x:c>
      <x:c r="V76" s="18" t="str"/>
      <x:c r="W76" s="18" t="str"/>
      <x:c r="X76" s="20" t="n">
        <x:v>151</x:v>
      </x:c>
      <x:c r="Y76" s="19" t="n">
        <x:f>IFERROR(TODAY()-DATEVALUE(C76),"")</x:f>
        <x:v>77</x:v>
      </x:c>
      <x:c r="Z76" s="21" t="n">
        <x:f>ROUND(COUNTA(A76:K76)/11*100,0)</x:f>
        <x:v>100</x:v>
      </x:c>
      <x:c r="AA76" s="18" t="str">
        <x:v>Reserve Bank of India</x:v>
      </x:c>
      <x:c r="AB76" s="22" t="str">
        <x:v>https://rbi.org.in/Scripts/BS_PressReleaseDisplay.aspx?prid=63020</x:v>
      </x:c>
      <x:c r="AC76" s="18" t="str">
        <x:v>2026-06-25</x:v>
      </x:c>
      <x:c r="AD76" s="18" t="n">
        <x:v>46275.114583333336</x:v>
      </x:c>
      <x:c r="AE76" s="18" t="str">
        <x:v>retained_terminal</x:v>
      </x:c>
      <x:c r="AF76" s="18" t="str">
        <x:v>READY</x:v>
      </x:c>
    </x:row>
    <x:row r="77">
      <x:c r="A77" s="18" t="str">
        <x:v>NYT-20-5842ae82aa9d05ab</x:v>
      </x:c>
      <x:c r="B77" s="18" t="str">
        <x:v>RBI releases draft Master Direction – Reserve Bank of India (Secondary Market Transactions in Government Securities) Directions, 2026</x:v>
      </x:c>
      <x:c r="C77" s="18" t="str">
        <x:v>2026-06-25</x:v>
      </x:c>
      <x:c r="D77" s="18" t="n">
        <x:v>2026</x:v>
      </x:c>
      <x:c r="E77" s="18" t="str">
        <x:v>2026-06</x:v>
      </x:c>
      <x:c r="F77" s="18" t="str"/>
      <x:c r="G77" s="18" t="str"/>
      <x:c r="H77" s="18" t="str"/>
      <x:c r="I77" s="18" t="str"/>
      <x:c r="J77" s="20" t="str"/>
      <x:c r="K77" s="18" t="str"/>
      <x:c r="L77" s="22" t="str">
        <x:v>https://rbidocs.rbi.org.in/rdocs/PressRelease/PDFs/PR541A7327933D2064CB9890D2DCC498C05CC.PDF</x:v>
      </x:c>
      <x:c r="M77" s="18" t="str">
        <x:v>2026-06-25</x:v>
      </x:c>
      <x:c r="N77" s="18" t="str">
        <x:v>RBI</x:v>
      </x:c>
      <x:c r="O77" s="18" t="str">
        <x:v>RBI releases draft Master Direction – Reserve Bank of India (Secondary Market Transactions in Government Securities) Directions, 2026</x:v>
      </x:c>
      <x:c r="P77" s="18" t="str"/>
      <x:c r="Q77" s="18" t="str">
        <x:v>69</x:v>
      </x:c>
      <x:c r="R77" s="18" t="str">
        <x:v>master_direction</x:v>
      </x:c>
      <x:c r="S77" s="18" t="str">
        <x:v>https://rbi.org.in/Scripts/BS_PressReleaseDisplay.aspx?prid=63019</x:v>
      </x:c>
      <x:c r="T77" s="18" t="str">
        <x:v>DEFINED_TERMINAL_OR_FEED_SCOPE</x:v>
      </x:c>
      <x:c r="U77" s="18" t="str">
        <x:v>national_regulatory_watch.json — published records loaded</x:v>
      </x:c>
      <x:c r="V77" s="18" t="str"/>
      <x:c r="W77" s="18" t="str"/>
      <x:c r="X77" s="20" t="n">
        <x:v>151</x:v>
      </x:c>
      <x:c r="Y77" s="19" t="n">
        <x:f>IFERROR(TODAY()-DATEVALUE(C77),"")</x:f>
        <x:v>77</x:v>
      </x:c>
      <x:c r="Z77" s="21" t="n">
        <x:f>ROUND(COUNTA(A77:K77)/11*100,0)</x:f>
        <x:v>100</x:v>
      </x:c>
      <x:c r="AA77" s="18" t="str">
        <x:v>Reserve Bank of India</x:v>
      </x:c>
      <x:c r="AB77" s="22" t="str">
        <x:v>https://rbi.org.in/Scripts/BS_PressReleaseDisplay.aspx?prid=63019</x:v>
      </x:c>
      <x:c r="AC77" s="18" t="str">
        <x:v>2026-06-25</x:v>
      </x:c>
      <x:c r="AD77" s="18" t="n">
        <x:v>46275.114583333336</x:v>
      </x:c>
      <x:c r="AE77" s="18" t="str">
        <x:v>retained_terminal</x:v>
      </x:c>
      <x:c r="AF77" s="18" t="str">
        <x:v>READY</x:v>
      </x:c>
    </x:row>
    <x:row r="78">
      <x:c r="A78" s="18" t="str">
        <x:v>NYT-20-dd85dfacfb513787</x:v>
      </x:c>
      <x:c r="B78" s="18" t="str">
        <x:v>Money Supply for the fortnight ended on June 15, 2026</x:v>
      </x:c>
      <x:c r="C78" s="18" t="str">
        <x:v>2026-06-25</x:v>
      </x:c>
      <x:c r="D78" s="18" t="n">
        <x:v>2026</x:v>
      </x:c>
      <x:c r="E78" s="18" t="str">
        <x:v>2026-06</x:v>
      </x:c>
      <x:c r="F78" s="18" t="str"/>
      <x:c r="G78" s="18" t="str"/>
      <x:c r="H78" s="18" t="str"/>
      <x:c r="I78" s="18" t="str"/>
      <x:c r="J78" s="20" t="str"/>
      <x:c r="K78" s="18" t="str"/>
      <x:c r="L78" s="22" t="str">
        <x:v>https://rbidocs.rbi.org.in/rdocs/PressRelease/PDFs/PR540D8DDB372EF4846239EEE8BC21D83F030.PDF</x:v>
      </x:c>
      <x:c r="M78" s="18" t="str">
        <x:v>2026-06-25</x:v>
      </x:c>
      <x:c r="N78" s="18" t="str">
        <x:v>RBI</x:v>
      </x:c>
      <x:c r="O78" s="18" t="str">
        <x:v>Money Supply for the fortnight ended on June 15, 2026</x:v>
      </x:c>
      <x:c r="P78" s="18" t="str"/>
      <x:c r="Q78" s="18" t="str">
        <x:v>70</x:v>
      </x:c>
      <x:c r="R78" s="18" t="str">
        <x:v>other</x:v>
      </x:c>
      <x:c r="S78" s="18" t="str">
        <x:v>https://rbi.org.in/Scripts/BS_PressReleaseDisplay.aspx?prid=63018</x:v>
      </x:c>
      <x:c r="T78" s="18" t="str">
        <x:v>DEFINED_TERMINAL_OR_FEED_SCOPE</x:v>
      </x:c>
      <x:c r="U78" s="18" t="str">
        <x:v>national_regulatory_watch.json — published records loaded</x:v>
      </x:c>
      <x:c r="V78" s="18" t="str"/>
      <x:c r="W78" s="18" t="str"/>
      <x:c r="X78" s="20" t="n">
        <x:v>151</x:v>
      </x:c>
      <x:c r="Y78" s="19" t="n">
        <x:f>IFERROR(TODAY()-DATEVALUE(C78),"")</x:f>
        <x:v>77</x:v>
      </x:c>
      <x:c r="Z78" s="21" t="n">
        <x:f>ROUND(COUNTA(A78:K78)/11*100,0)</x:f>
        <x:v>100</x:v>
      </x:c>
      <x:c r="AA78" s="18" t="str">
        <x:v>Reserve Bank of India</x:v>
      </x:c>
      <x:c r="AB78" s="22" t="str">
        <x:v>https://rbi.org.in/Scripts/BS_PressReleaseDisplay.aspx?prid=63018</x:v>
      </x:c>
      <x:c r="AC78" s="18" t="str">
        <x:v>2026-06-25</x:v>
      </x:c>
      <x:c r="AD78" s="18" t="n">
        <x:v>46275.114583333336</x:v>
      </x:c>
      <x:c r="AE78" s="18" t="str">
        <x:v>retained_terminal</x:v>
      </x:c>
      <x:c r="AF78" s="18" t="str">
        <x:v>READY</x:v>
      </x:c>
    </x:row>
    <x:row r="79">
      <x:c r="A79" s="18" t="str">
        <x:v>NYT-20-27f572a3057c4b05</x:v>
      </x:c>
      <x:c r="B79" s="18" t="str">
        <x:v>Government Stock - Full Auction Results</x:v>
      </x:c>
      <x:c r="C79" s="18" t="str">
        <x:v>2026-06-25</x:v>
      </x:c>
      <x:c r="D79" s="18" t="n">
        <x:v>2026</x:v>
      </x:c>
      <x:c r="E79" s="18" t="str">
        <x:v>2026-06</x:v>
      </x:c>
      <x:c r="F79" s="18" t="str"/>
      <x:c r="G79" s="18" t="str"/>
      <x:c r="H79" s="18" t="str"/>
      <x:c r="I79" s="18" t="str"/>
      <x:c r="J79" s="20" t="str"/>
      <x:c r="K79" s="18" t="str"/>
      <x:c r="L79" s="22" t="str">
        <x:v>https://rbidocs.rbi.org.in/rdocs/PressRelease/PDFs/PR5391FC425F7F2BA4C6A91A31FD8CB5DCE81.PDF</x:v>
      </x:c>
      <x:c r="M79" s="18" t="str">
        <x:v>2026-06-25</x:v>
      </x:c>
      <x:c r="N79" s="18" t="str">
        <x:v>RBI</x:v>
      </x:c>
      <x:c r="O79" s="18" t="str">
        <x:v>Government Stock - Full Auction Results</x:v>
      </x:c>
      <x:c r="P79" s="18" t="str"/>
      <x:c r="Q79" s="18" t="str">
        <x:v>71</x:v>
      </x:c>
      <x:c r="R79" s="18" t="str">
        <x:v>other</x:v>
      </x:c>
      <x:c r="S79" s="18" t="str">
        <x:v>https://rbi.org.in/Scripts/BS_PressReleaseDisplay.aspx?prid=63017</x:v>
      </x:c>
      <x:c r="T79" s="18" t="str">
        <x:v>DEFINED_TERMINAL_OR_FEED_SCOPE</x:v>
      </x:c>
      <x:c r="U79" s="18" t="str">
        <x:v>national_regulatory_watch.json — published records loaded</x:v>
      </x:c>
      <x:c r="V79" s="18" t="str"/>
      <x:c r="W79" s="18" t="str"/>
      <x:c r="X79" s="20" t="n">
        <x:v>151</x:v>
      </x:c>
      <x:c r="Y79" s="19" t="n">
        <x:f>IFERROR(TODAY()-DATEVALUE(C79),"")</x:f>
        <x:v>77</x:v>
      </x:c>
      <x:c r="Z79" s="21" t="n">
        <x:f>ROUND(COUNTA(A79:K79)/11*100,0)</x:f>
        <x:v>100</x:v>
      </x:c>
      <x:c r="AA79" s="18" t="str">
        <x:v>Reserve Bank of India</x:v>
      </x:c>
      <x:c r="AB79" s="22" t="str">
        <x:v>https://rbi.org.in/Scripts/BS_PressReleaseDisplay.aspx?prid=63017</x:v>
      </x:c>
      <x:c r="AC79" s="18" t="str">
        <x:v>2026-06-25</x:v>
      </x:c>
      <x:c r="AD79" s="18" t="n">
        <x:v>46275.114583333336</x:v>
      </x:c>
      <x:c r="AE79" s="18" t="str">
        <x:v>retained_terminal</x:v>
      </x:c>
      <x:c r="AF79" s="18" t="str">
        <x:v>READY</x:v>
      </x:c>
    </x:row>
    <x:row r="80">
      <x:c r="A80" s="18" t="str">
        <x:v>NYT-20-bea853b365931b05</x:v>
      </x:c>
      <x:c r="B80" s="18" t="str">
        <x:v>Government Stock - Auction Results: Cut-off</x:v>
      </x:c>
      <x:c r="C80" s="18" t="str">
        <x:v>2026-06-25</x:v>
      </x:c>
      <x:c r="D80" s="18" t="n">
        <x:v>2026</x:v>
      </x:c>
      <x:c r="E80" s="18" t="str">
        <x:v>2026-06</x:v>
      </x:c>
      <x:c r="F80" s="18" t="str"/>
      <x:c r="G80" s="18" t="str"/>
      <x:c r="H80" s="18" t="str"/>
      <x:c r="I80" s="18" t="str"/>
      <x:c r="J80" s="20" t="str"/>
      <x:c r="K80" s="18" t="str"/>
      <x:c r="L80" s="22" t="str">
        <x:v>https://rbidocs.rbi.org.in/rdocs/PressRelease/PDFs/PR53802AA6D8E0C384EDBB15C2D081FE1E706.PDF</x:v>
      </x:c>
      <x:c r="M80" s="18" t="str">
        <x:v>2026-06-25</x:v>
      </x:c>
      <x:c r="N80" s="18" t="str">
        <x:v>RBI</x:v>
      </x:c>
      <x:c r="O80" s="18" t="str">
        <x:v>Government Stock - Auction Results: Cut-off</x:v>
      </x:c>
      <x:c r="P80" s="18" t="str"/>
      <x:c r="Q80" s="18" t="str">
        <x:v>72</x:v>
      </x:c>
      <x:c r="R80" s="18" t="str">
        <x:v>other</x:v>
      </x:c>
      <x:c r="S80" s="18" t="str">
        <x:v>https://rbi.org.in/Scripts/BS_PressReleaseDisplay.aspx?prid=63016</x:v>
      </x:c>
      <x:c r="T80" s="18" t="str">
        <x:v>DEFINED_TERMINAL_OR_FEED_SCOPE</x:v>
      </x:c>
      <x:c r="U80" s="18" t="str">
        <x:v>national_regulatory_watch.json — published records loaded</x:v>
      </x:c>
      <x:c r="V80" s="18" t="str"/>
      <x:c r="W80" s="18" t="str"/>
      <x:c r="X80" s="20" t="n">
        <x:v>151</x:v>
      </x:c>
      <x:c r="Y80" s="19" t="n">
        <x:f>IFERROR(TODAY()-DATEVALUE(C80),"")</x:f>
        <x:v>77</x:v>
      </x:c>
      <x:c r="Z80" s="21" t="n">
        <x:f>ROUND(COUNTA(A80:K80)/11*100,0)</x:f>
        <x:v>100</x:v>
      </x:c>
      <x:c r="AA80" s="18" t="str">
        <x:v>Reserve Bank of India</x:v>
      </x:c>
      <x:c r="AB80" s="22" t="str">
        <x:v>https://rbi.org.in/Scripts/BS_PressReleaseDisplay.aspx?prid=63016</x:v>
      </x:c>
      <x:c r="AC80" s="18" t="str">
        <x:v>2026-06-25</x:v>
      </x:c>
      <x:c r="AD80" s="18" t="n">
        <x:v>46275.114583333336</x:v>
      </x:c>
      <x:c r="AE80" s="18" t="str">
        <x:v>retained_terminal</x:v>
      </x:c>
      <x:c r="AF80" s="18" t="str">
        <x:v>READY</x:v>
      </x:c>
    </x:row>
    <x:row r="81">
      <x:c r="A81" s="18" t="str">
        <x:v>NYT-20-98954df383332f41</x:v>
      </x:c>
      <x:c r="B81" s="18" t="str">
        <x:v>Result of the 4-day Variable Rate Repo (VRR) auction held on June 25, 2026</x:v>
      </x:c>
      <x:c r="C81" s="18" t="str">
        <x:v>2026-06-25</x:v>
      </x:c>
      <x:c r="D81" s="18" t="n">
        <x:v>2026</x:v>
      </x:c>
      <x:c r="E81" s="18" t="str">
        <x:v>2026-06</x:v>
      </x:c>
      <x:c r="F81" s="18" t="str"/>
      <x:c r="G81" s="18" t="str"/>
      <x:c r="H81" s="18" t="str"/>
      <x:c r="I81" s="18" t="str"/>
      <x:c r="J81" s="20" t="str"/>
      <x:c r="K81" s="18" t="str"/>
      <x:c r="L81" s="22" t="str">
        <x:v>https://rbidocs.rbi.org.in/rdocs/PressRelease/PDFs/PR53760F667559D9E4B29BB5C72288780A3B8.PDF</x:v>
      </x:c>
      <x:c r="M81" s="18" t="str">
        <x:v>2026-06-25</x:v>
      </x:c>
      <x:c r="N81" s="18" t="str">
        <x:v>RBI</x:v>
      </x:c>
      <x:c r="O81" s="18" t="str">
        <x:v>Result of the 4-day Variable Rate Repo (VRR) auction held on June 25, 2026</x:v>
      </x:c>
      <x:c r="P81" s="18" t="str"/>
      <x:c r="Q81" s="18" t="str">
        <x:v>73</x:v>
      </x:c>
      <x:c r="R81" s="18" t="str">
        <x:v>routine</x:v>
      </x:c>
      <x:c r="S81" s="18" t="str">
        <x:v>https://rbi.org.in/Scripts/BS_PressReleaseDisplay.aspx?prid=63015</x:v>
      </x:c>
      <x:c r="T81" s="18" t="str">
        <x:v>DEFINED_TERMINAL_OR_FEED_SCOPE</x:v>
      </x:c>
      <x:c r="U81" s="18" t="str">
        <x:v>national_regulatory_watch.json — published records loaded</x:v>
      </x:c>
      <x:c r="V81" s="18" t="str"/>
      <x:c r="W81" s="18" t="str"/>
      <x:c r="X81" s="20" t="n">
        <x:v>151</x:v>
      </x:c>
      <x:c r="Y81" s="19" t="n">
        <x:f>IFERROR(TODAY()-DATEVALUE(C81),"")</x:f>
        <x:v>77</x:v>
      </x:c>
      <x:c r="Z81" s="21" t="n">
        <x:f>ROUND(COUNTA(A81:K81)/11*100,0)</x:f>
        <x:v>100</x:v>
      </x:c>
      <x:c r="AA81" s="18" t="str">
        <x:v>Reserve Bank of India</x:v>
      </x:c>
      <x:c r="AB81" s="22" t="str">
        <x:v>https://rbi.org.in/Scripts/BS_PressReleaseDisplay.aspx?prid=63015</x:v>
      </x:c>
      <x:c r="AC81" s="18" t="str">
        <x:v>2026-06-25</x:v>
      </x:c>
      <x:c r="AD81" s="18" t="n">
        <x:v>46275.114583333336</x:v>
      </x:c>
      <x:c r="AE81" s="18" t="str">
        <x:v>retained_terminal</x:v>
      </x:c>
      <x:c r="AF81" s="18" t="str">
        <x:v>READY</x:v>
      </x:c>
    </x:row>
    <x:row r="82">
      <x:c r="A82" s="18" t="str">
        <x:v>NYT-20-fc5acb01d9680231</x:v>
      </x:c>
      <x:c r="B82" s="18" t="str">
        <x:v>Result of Underwriting Auction conducted on June 25, 2026</x:v>
      </x:c>
      <x:c r="C82" s="18" t="str">
        <x:v>2026-06-25</x:v>
      </x:c>
      <x:c r="D82" s="18" t="n">
        <x:v>2026</x:v>
      </x:c>
      <x:c r="E82" s="18" t="str">
        <x:v>2026-06</x:v>
      </x:c>
      <x:c r="F82" s="18" t="str"/>
      <x:c r="G82" s="18" t="str"/>
      <x:c r="H82" s="18" t="str"/>
      <x:c r="I82" s="18" t="str"/>
      <x:c r="J82" s="20" t="str"/>
      <x:c r="K82" s="18" t="str"/>
      <x:c r="L82" s="22" t="str">
        <x:v>https://rbidocs.rbi.org.in/rdocs/PressRelease/PDFs/PR53682026DE0E4DA4BB7949988D55187A0A2.PDF</x:v>
      </x:c>
      <x:c r="M82" s="18" t="str">
        <x:v>2026-06-25</x:v>
      </x:c>
      <x:c r="N82" s="18" t="str">
        <x:v>RBI</x:v>
      </x:c>
      <x:c r="O82" s="18" t="str">
        <x:v>Result of Underwriting Auction conducted on June 25, 2026</x:v>
      </x:c>
      <x:c r="P82" s="18" t="str"/>
      <x:c r="Q82" s="18" t="str">
        <x:v>74</x:v>
      </x:c>
      <x:c r="R82" s="18" t="str">
        <x:v>other</x:v>
      </x:c>
      <x:c r="S82" s="18" t="str">
        <x:v>https://rbi.org.in/Scripts/BS_PressReleaseDisplay.aspx?prid=63014</x:v>
      </x:c>
      <x:c r="T82" s="18" t="str">
        <x:v>DEFINED_TERMINAL_OR_FEED_SCOPE</x:v>
      </x:c>
      <x:c r="U82" s="18" t="str">
        <x:v>national_regulatory_watch.json — published records loaded</x:v>
      </x:c>
      <x:c r="V82" s="18" t="str"/>
      <x:c r="W82" s="18" t="str"/>
      <x:c r="X82" s="20" t="n">
        <x:v>151</x:v>
      </x:c>
      <x:c r="Y82" s="19" t="n">
        <x:f>IFERROR(TODAY()-DATEVALUE(C82),"")</x:f>
        <x:v>77</x:v>
      </x:c>
      <x:c r="Z82" s="21" t="n">
        <x:f>ROUND(COUNTA(A82:K82)/11*100,0)</x:f>
        <x:v>100</x:v>
      </x:c>
      <x:c r="AA82" s="18" t="str">
        <x:v>Reserve Bank of India</x:v>
      </x:c>
      <x:c r="AB82" s="22" t="str">
        <x:v>https://rbi.org.in/Scripts/BS_PressReleaseDisplay.aspx?prid=63014</x:v>
      </x:c>
      <x:c r="AC82" s="18" t="str">
        <x:v>2026-06-25</x:v>
      </x:c>
      <x:c r="AD82" s="18" t="n">
        <x:v>46275.114583333336</x:v>
      </x:c>
      <x:c r="AE82" s="18" t="str">
        <x:v>retained_terminal</x:v>
      </x:c>
      <x:c r="AF82" s="18" t="str">
        <x:v>READY</x:v>
      </x:c>
    </x:row>
    <x:row r="83">
      <x:c r="A83" s="18" t="str">
        <x:v>NYT-20-9b626a9d2d9c93ca</x:v>
      </x:c>
      <x:c r="B83" s="18" t="str">
        <x:v>RBI to conduct 4-day Variable Rate Repo (VRR) auction under LAF on June 25, 2026</x:v>
      </x:c>
      <x:c r="C83" s="18" t="str">
        <x:v>2026-06-25</x:v>
      </x:c>
      <x:c r="D83" s="18" t="n">
        <x:v>2026</x:v>
      </x:c>
      <x:c r="E83" s="18" t="str">
        <x:v>2026-06</x:v>
      </x:c>
      <x:c r="F83" s="18" t="str"/>
      <x:c r="G83" s="18" t="str"/>
      <x:c r="H83" s="18" t="str"/>
      <x:c r="I83" s="18" t="str"/>
      <x:c r="J83" s="20" t="str"/>
      <x:c r="K83" s="18" t="str"/>
      <x:c r="L83" s="22" t="str">
        <x:v>https://rbidocs.rbi.org.in/rdocs/PressRelease/PDFs/PR53578266A0E2ABA409DBC5857E532853F4C.PDF</x:v>
      </x:c>
      <x:c r="M83" s="18" t="str">
        <x:v>2026-06-25</x:v>
      </x:c>
      <x:c r="N83" s="18" t="str">
        <x:v>RBI</x:v>
      </x:c>
      <x:c r="O83" s="18" t="str">
        <x:v>RBI to conduct 4-day Variable Rate Repo (VRR) auction under LAF on June 25, 2026</x:v>
      </x:c>
      <x:c r="P83" s="18" t="str"/>
      <x:c r="Q83" s="18" t="str">
        <x:v>75</x:v>
      </x:c>
      <x:c r="R83" s="18" t="str">
        <x:v>routine</x:v>
      </x:c>
      <x:c r="S83" s="18" t="str">
        <x:v>https://rbi.org.in/Scripts/BS_PressReleaseDisplay.aspx?prid=63013</x:v>
      </x:c>
      <x:c r="T83" s="18" t="str">
        <x:v>DEFINED_TERMINAL_OR_FEED_SCOPE</x:v>
      </x:c>
      <x:c r="U83" s="18" t="str">
        <x:v>national_regulatory_watch.json — published records loaded</x:v>
      </x:c>
      <x:c r="V83" s="18" t="str"/>
      <x:c r="W83" s="18" t="str"/>
      <x:c r="X83" s="20" t="n">
        <x:v>151</x:v>
      </x:c>
      <x:c r="Y83" s="19" t="n">
        <x:f>IFERROR(TODAY()-DATEVALUE(C83),"")</x:f>
        <x:v>77</x:v>
      </x:c>
      <x:c r="Z83" s="21" t="n">
        <x:f>ROUND(COUNTA(A83:K83)/11*100,0)</x:f>
        <x:v>100</x:v>
      </x:c>
      <x:c r="AA83" s="18" t="str">
        <x:v>Reserve Bank of India</x:v>
      </x:c>
      <x:c r="AB83" s="22" t="str">
        <x:v>https://rbi.org.in/Scripts/BS_PressReleaseDisplay.aspx?prid=63013</x:v>
      </x:c>
      <x:c r="AC83" s="18" t="str">
        <x:v>2026-06-25</x:v>
      </x:c>
      <x:c r="AD83" s="18" t="n">
        <x:v>46275.114583333336</x:v>
      </x:c>
      <x:c r="AE83" s="18" t="str">
        <x:v>retained_terminal</x:v>
      </x:c>
      <x:c r="AF83" s="18" t="str">
        <x:v>READY</x:v>
      </x:c>
    </x:row>
    <x:row r="84">
      <x:c r="A84" s="18" t="str">
        <x:v>NYT-20-7da05ddd76b78567</x:v>
      </x:c>
      <x:c r="B84" s="18" t="str">
        <x:v>Money Market Operations as on June 24, 2026</x:v>
      </x:c>
      <x:c r="C84" s="18" t="str">
        <x:v>2026-06-25</x:v>
      </x:c>
      <x:c r="D84" s="18" t="n">
        <x:v>2026</x:v>
      </x:c>
      <x:c r="E84" s="18" t="str">
        <x:v>2026-06</x:v>
      </x:c>
      <x:c r="F84" s="18" t="str"/>
      <x:c r="G84" s="18" t="str"/>
      <x:c r="H84" s="18" t="str"/>
      <x:c r="I84" s="18" t="str"/>
      <x:c r="J84" s="20" t="str"/>
      <x:c r="K84" s="18" t="str"/>
      <x:c r="L84" s="22" t="str">
        <x:v>https://rbidocs.rbi.org.in/rdocs/PressRelease/PDFs/PR534MMOE416510EAC3E4905A45814F4352F6DC5.PDF</x:v>
      </x:c>
      <x:c r="M84" s="18" t="str">
        <x:v>2026-06-25</x:v>
      </x:c>
      <x:c r="N84" s="18" t="str">
        <x:v>RBI</x:v>
      </x:c>
      <x:c r="O84" s="18" t="str">
        <x:v>Money Market Operations as on June 24, 2026</x:v>
      </x:c>
      <x:c r="P84" s="18" t="str"/>
      <x:c r="Q84" s="18" t="str">
        <x:v>76</x:v>
      </x:c>
      <x:c r="R84" s="18" t="str">
        <x:v>routine</x:v>
      </x:c>
      <x:c r="S84" s="18" t="str">
        <x:v>https://rbi.org.in/Scripts/BS_PressReleaseDisplay.aspx?prid=63012</x:v>
      </x:c>
      <x:c r="T84" s="18" t="str">
        <x:v>DEFINED_TERMINAL_OR_FEED_SCOPE</x:v>
      </x:c>
      <x:c r="U84" s="18" t="str">
        <x:v>national_regulatory_watch.json — published records loaded</x:v>
      </x:c>
      <x:c r="V84" s="18" t="str"/>
      <x:c r="W84" s="18" t="str"/>
      <x:c r="X84" s="20" t="n">
        <x:v>151</x:v>
      </x:c>
      <x:c r="Y84" s="19" t="n">
        <x:f>IFERROR(TODAY()-DATEVALUE(C84),"")</x:f>
        <x:v>77</x:v>
      </x:c>
      <x:c r="Z84" s="21" t="n">
        <x:f>ROUND(COUNTA(A84:K84)/11*100,0)</x:f>
        <x:v>100</x:v>
      </x:c>
      <x:c r="AA84" s="18" t="str">
        <x:v>Reserve Bank of India</x:v>
      </x:c>
      <x:c r="AB84" s="22" t="str">
        <x:v>https://rbi.org.in/Scripts/BS_PressReleaseDisplay.aspx?prid=63012</x:v>
      </x:c>
      <x:c r="AC84" s="18" t="str">
        <x:v>2026-06-25</x:v>
      </x:c>
      <x:c r="AD84" s="18" t="n">
        <x:v>46275.114583333336</x:v>
      </x:c>
      <x:c r="AE84" s="18" t="str">
        <x:v>retained_terminal</x:v>
      </x:c>
      <x:c r="AF84" s="18" t="str">
        <x:v>READY</x:v>
      </x:c>
    </x:row>
    <x:row r="85">
      <x:c r="A85" s="18" t="str">
        <x:v>NYT-20-6a04259e015ee9e9</x:v>
      </x:c>
      <x:c r="B85" s="18" t="str">
        <x:v>Master Circular for Alternative Investment Funds (AIFs)</x:v>
      </x:c>
      <x:c r="C85" s="18" t="str">
        <x:v>2026-06-03</x:v>
      </x:c>
      <x:c r="D85" s="18" t="n">
        <x:v>2026</x:v>
      </x:c>
      <x:c r="E85" s="18" t="str">
        <x:v>2026-06</x:v>
      </x:c>
      <x:c r="F85" s="18" t="str"/>
      <x:c r="G85" s="18" t="str"/>
      <x:c r="H85" s="18" t="str"/>
      <x:c r="I85" s="18" t="str"/>
      <x:c r="J85" s="20" t="str"/>
      <x:c r="K85" s="18" t="str"/>
      <x:c r="L85" s="22" t="str"/>
      <x:c r="M85" s="18" t="str">
        <x:v>2026-06-03</x:v>
      </x:c>
      <x:c r="N85" s="18" t="str">
        <x:v>SEBI</x:v>
      </x:c>
      <x:c r="O85" s="18" t="str">
        <x:v>Master Circular for Alternative Investment Funds (AIFs)</x:v>
      </x:c>
      <x:c r="P85" s="18" t="str"/>
      <x:c r="Q85" s="18" t="str">
        <x:v>77</x:v>
      </x:c>
      <x:c r="R85" s="18" t="str">
        <x:v>master_direction</x:v>
      </x:c>
      <x:c r="S85" s="18" t="str">
        <x:v>https://www.sebi.gov.in/legal/master-circulars/jun-2026/master-circular-for-alternative-investment-funds-aifs-_101817.html</x:v>
      </x:c>
      <x:c r="T85" s="18" t="str">
        <x:v>DEFINED_TERMINAL_OR_FEED_SCOPE</x:v>
      </x:c>
      <x:c r="U85" s="18" t="str">
        <x:v>national_regulatory_watch.json — published records loaded</x:v>
      </x:c>
      <x:c r="V85" s="18" t="str"/>
      <x:c r="W85" s="18" t="str"/>
      <x:c r="X85" s="20" t="n">
        <x:v>151</x:v>
      </x:c>
      <x:c r="Y85" s="19" t="n">
        <x:f>IFERROR(TODAY()-DATEVALUE(C85),"")</x:f>
        <x:v>99</x:v>
      </x:c>
      <x:c r="Z85" s="21" t="n">
        <x:f>ROUND(COUNTA(A85:K85)/11*100,0)</x:f>
        <x:v>100</x:v>
      </x:c>
      <x:c r="AA85" s="18" t="str">
        <x:v>Reserve Bank of India</x:v>
      </x:c>
      <x:c r="AB85" s="22" t="str">
        <x:v>https://www.sebi.gov.in/legal/master-circulars/jun-2026/master-circular-for-alternative-investment-funds-aifs-_101817.html</x:v>
      </x:c>
      <x:c r="AC85" s="18" t="str">
        <x:v>2026-06-03</x:v>
      </x:c>
      <x:c r="AD85" s="18" t="n">
        <x:v>46275.114583333336</x:v>
      </x:c>
      <x:c r="AE85" s="18" t="str">
        <x:v>retained_terminal</x:v>
      </x:c>
      <x:c r="AF85" s="18" t="str">
        <x:v>READY</x:v>
      </x:c>
    </x:row>
    <x:row r="86">
      <x:c r="A86" s="18" t="str">
        <x:v>NYT-20-af8e05e1efbc0472</x:v>
      </x:c>
      <x:c r="B86" s="18" t="str">
        <x:v>Master Circular on Surveillance of Securities Market</x:v>
      </x:c>
      <x:c r="C86" s="18" t="str">
        <x:v>2026-05-15</x:v>
      </x:c>
      <x:c r="D86" s="18" t="n">
        <x:v>2026</x:v>
      </x:c>
      <x:c r="E86" s="18" t="str">
        <x:v>2026-05</x:v>
      </x:c>
      <x:c r="F86" s="18" t="str"/>
      <x:c r="G86" s="18" t="str"/>
      <x:c r="H86" s="18" t="str"/>
      <x:c r="I86" s="18" t="str"/>
      <x:c r="J86" s="20" t="str"/>
      <x:c r="K86" s="18" t="str"/>
      <x:c r="L86" s="22" t="str"/>
      <x:c r="M86" s="18" t="str">
        <x:v>2026-05-15</x:v>
      </x:c>
      <x:c r="N86" s="18" t="str">
        <x:v>SEBI</x:v>
      </x:c>
      <x:c r="O86" s="18" t="str">
        <x:v>Master Circular on Surveillance of Securities Market</x:v>
      </x:c>
      <x:c r="P86" s="18" t="str"/>
      <x:c r="Q86" s="18" t="str">
        <x:v>78</x:v>
      </x:c>
      <x:c r="R86" s="18" t="str">
        <x:v>master_direction</x:v>
      </x:c>
      <x:c r="S86" s="18" t="str">
        <x:v>https://www.sebi.gov.in/legal/master-circulars/may-2026/master-circular-on-surveillance-of-securities-market_101473.html</x:v>
      </x:c>
      <x:c r="T86" s="18" t="str">
        <x:v>DEFINED_TERMINAL_OR_FEED_SCOPE</x:v>
      </x:c>
      <x:c r="U86" s="18" t="str">
        <x:v>national_regulatory_watch.json — published records loaded</x:v>
      </x:c>
      <x:c r="V86" s="18" t="str"/>
      <x:c r="W86" s="18" t="str"/>
      <x:c r="X86" s="20" t="n">
        <x:v>151</x:v>
      </x:c>
      <x:c r="Y86" s="19" t="n">
        <x:f>IFERROR(TODAY()-DATEVALUE(C86),"")</x:f>
        <x:v>118</x:v>
      </x:c>
      <x:c r="Z86" s="21" t="n">
        <x:f>ROUND(COUNTA(A86:K86)/11*100,0)</x:f>
        <x:v>100</x:v>
      </x:c>
      <x:c r="AA86" s="18" t="str">
        <x:v>Reserve Bank of India</x:v>
      </x:c>
      <x:c r="AB86" s="22" t="str">
        <x:v>https://www.sebi.gov.in/legal/master-circulars/may-2026/master-circular-on-surveillance-of-securities-market_101473.html</x:v>
      </x:c>
      <x:c r="AC86" s="18" t="str">
        <x:v>2026-05-15</x:v>
      </x:c>
      <x:c r="AD86" s="18" t="n">
        <x:v>46275.114583333336</x:v>
      </x:c>
      <x:c r="AE86" s="18" t="str">
        <x:v>retained_terminal</x:v>
      </x:c>
      <x:c r="AF86" s="18" t="str">
        <x:v>READY</x:v>
      </x:c>
    </x:row>
    <x:row r="87">
      <x:c r="A87" s="18" t="str">
        <x:v>NYT-20-169c0fb3930826b4</x:v>
      </x:c>
      <x:c r="B87" s="18" t="str">
        <x:v>Master Circular for Mutual Funds</x:v>
      </x:c>
      <x:c r="C87" s="18" t="str">
        <x:v>2026-03-20</x:v>
      </x:c>
      <x:c r="D87" s="18" t="n">
        <x:v>2026</x:v>
      </x:c>
      <x:c r="E87" s="18" t="str">
        <x:v>2026-03</x:v>
      </x:c>
      <x:c r="F87" s="18" t="str"/>
      <x:c r="G87" s="18" t="str"/>
      <x:c r="H87" s="18" t="str"/>
      <x:c r="I87" s="18" t="str"/>
      <x:c r="J87" s="20" t="str"/>
      <x:c r="K87" s="18" t="str"/>
      <x:c r="L87" s="22" t="str"/>
      <x:c r="M87" s="18" t="str">
        <x:v>2026-03-20</x:v>
      </x:c>
      <x:c r="N87" s="18" t="str">
        <x:v>SEBI</x:v>
      </x:c>
      <x:c r="O87" s="18" t="str">
        <x:v>Master Circular for Mutual Funds</x:v>
      </x:c>
      <x:c r="P87" s="18" t="str"/>
      <x:c r="Q87" s="18" t="str">
        <x:v>79</x:v>
      </x:c>
      <x:c r="R87" s="18" t="str">
        <x:v>master_direction</x:v>
      </x:c>
      <x:c r="S87" s="18" t="str">
        <x:v>https://www.sebi.gov.in/legal/master-circulars/mar-2026/master-circular-for-mutual-funds_100491.html</x:v>
      </x:c>
      <x:c r="T87" s="18" t="str">
        <x:v>DEFINED_TERMINAL_OR_FEED_SCOPE</x:v>
      </x:c>
      <x:c r="U87" s="18" t="str">
        <x:v>national_regulatory_watch.json — published records loaded</x:v>
      </x:c>
      <x:c r="V87" s="18" t="str"/>
      <x:c r="W87" s="18" t="str"/>
      <x:c r="X87" s="20" t="n">
        <x:v>151</x:v>
      </x:c>
      <x:c r="Y87" s="19" t="n">
        <x:f>IFERROR(TODAY()-DATEVALUE(C87),"")</x:f>
        <x:v>174</x:v>
      </x:c>
      <x:c r="Z87" s="21" t="n">
        <x:f>ROUND(COUNTA(A87:K87)/11*100,0)</x:f>
        <x:v>100</x:v>
      </x:c>
      <x:c r="AA87" s="18" t="str">
        <x:v>Reserve Bank of India</x:v>
      </x:c>
      <x:c r="AB87" s="22" t="str">
        <x:v>https://www.sebi.gov.in/legal/master-circulars/mar-2026/master-circular-for-mutual-funds_100491.html</x:v>
      </x:c>
      <x:c r="AC87" s="18" t="str">
        <x:v>2026-03-20</x:v>
      </x:c>
      <x:c r="AD87" s="18" t="n">
        <x:v>46275.114583333336</x:v>
      </x:c>
      <x:c r="AE87" s="18" t="str">
        <x:v>retained_terminal</x:v>
      </x:c>
      <x:c r="AF87" s="18" t="str">
        <x:v>READY</x:v>
      </x:c>
    </x:row>
    <x:row r="88">
      <x:c r="A88" s="18" t="str">
        <x:v>NYT-20-fff792744aab7ed9</x:v>
      </x:c>
      <x:c r="B88" s="18" t="str">
        <x:v>Master Circular for Issue of Capital and Disclosure Requirements</x:v>
      </x:c>
      <x:c r="C88" s="18" t="str">
        <x:v>2026-02-09</x:v>
      </x:c>
      <x:c r="D88" s="18" t="n">
        <x:v>2026</x:v>
      </x:c>
      <x:c r="E88" s="18" t="str">
        <x:v>2026-02</x:v>
      </x:c>
      <x:c r="F88" s="18" t="str"/>
      <x:c r="G88" s="18" t="str"/>
      <x:c r="H88" s="18" t="str"/>
      <x:c r="I88" s="18" t="str"/>
      <x:c r="J88" s="20" t="str"/>
      <x:c r="K88" s="18" t="str"/>
      <x:c r="L88" s="22" t="str"/>
      <x:c r="M88" s="18" t="str">
        <x:v>2026-02-09</x:v>
      </x:c>
      <x:c r="N88" s="18" t="str">
        <x:v>SEBI</x:v>
      </x:c>
      <x:c r="O88" s="18" t="str">
        <x:v>Master Circular for Issue of Capital and Disclosure Requirements</x:v>
      </x:c>
      <x:c r="P88" s="18" t="str"/>
      <x:c r="Q88" s="18" t="str">
        <x:v>80</x:v>
      </x:c>
      <x:c r="R88" s="18" t="str">
        <x:v>master_direction</x:v>
      </x:c>
      <x:c r="S88" s="18" t="str">
        <x:v>https://www.sebi.gov.in/legal/master-circulars/feb-2026/master-circular-for-issue-of-capital-and-disclosure-requirements_99611.html</x:v>
      </x:c>
      <x:c r="T88" s="18" t="str">
        <x:v>DEFINED_TERMINAL_OR_FEED_SCOPE</x:v>
      </x:c>
      <x:c r="U88" s="18" t="str">
        <x:v>national_regulatory_watch.json — published records loaded</x:v>
      </x:c>
      <x:c r="V88" s="18" t="str"/>
      <x:c r="W88" s="18" t="str"/>
      <x:c r="X88" s="20" t="n">
        <x:v>151</x:v>
      </x:c>
      <x:c r="Y88" s="19" t="n">
        <x:f>IFERROR(TODAY()-DATEVALUE(C88),"")</x:f>
        <x:v>213</x:v>
      </x:c>
      <x:c r="Z88" s="21" t="n">
        <x:f>ROUND(COUNTA(A88:K88)/11*100,0)</x:f>
        <x:v>100</x:v>
      </x:c>
      <x:c r="AA88" s="18" t="str">
        <x:v>Reserve Bank of India</x:v>
      </x:c>
      <x:c r="AB88" s="22" t="str">
        <x:v>https://www.sebi.gov.in/legal/master-circulars/feb-2026/master-circular-for-issue-of-capital-and-disclosure-requirements_99611.html</x:v>
      </x:c>
      <x:c r="AC88" s="18" t="str">
        <x:v>2026-02-09</x:v>
      </x:c>
      <x:c r="AD88" s="18" t="n">
        <x:v>46275.114583333336</x:v>
      </x:c>
      <x:c r="AE88" s="18" t="str">
        <x:v>retained_terminal</x:v>
      </x:c>
      <x:c r="AF88" s="18" t="str">
        <x:v>READY</x:v>
      </x:c>
    </x:row>
    <x:row r="89">
      <x:c r="A89" s="18" t="str">
        <x:v>NYT-20-3b469f94ae1efb24</x:v>
      </x:c>
      <x:c r="B89" s="18" t="str">
        <x:v>Master Circular for Research Analysts</x:v>
      </x:c>
      <x:c r="C89" s="18" t="str">
        <x:v>2026-02-06</x:v>
      </x:c>
      <x:c r="D89" s="18" t="n">
        <x:v>2026</x:v>
      </x:c>
      <x:c r="E89" s="18" t="str">
        <x:v>2026-02</x:v>
      </x:c>
      <x:c r="F89" s="18" t="str"/>
      <x:c r="G89" s="18" t="str"/>
      <x:c r="H89" s="18" t="str"/>
      <x:c r="I89" s="18" t="str"/>
      <x:c r="J89" s="20" t="str"/>
      <x:c r="K89" s="18" t="str"/>
      <x:c r="L89" s="22" t="str"/>
      <x:c r="M89" s="18" t="str">
        <x:v>2026-02-06</x:v>
      </x:c>
      <x:c r="N89" s="18" t="str">
        <x:v>SEBI</x:v>
      </x:c>
      <x:c r="O89" s="18" t="str">
        <x:v>Master Circular for Research Analysts</x:v>
      </x:c>
      <x:c r="P89" s="18" t="str"/>
      <x:c r="Q89" s="18" t="str">
        <x:v>81</x:v>
      </x:c>
      <x:c r="R89" s="18" t="str">
        <x:v>master_direction</x:v>
      </x:c>
      <x:c r="S89" s="18" t="str">
        <x:v>https://www.sebi.gov.in/legal/master-circulars/feb-2026/master-circular-for-research-analysts_99571.html</x:v>
      </x:c>
      <x:c r="T89" s="18" t="str">
        <x:v>DEFINED_TERMINAL_OR_FEED_SCOPE</x:v>
      </x:c>
      <x:c r="U89" s="18" t="str">
        <x:v>national_regulatory_watch.json — published records loaded</x:v>
      </x:c>
      <x:c r="V89" s="18" t="str"/>
      <x:c r="W89" s="18" t="str"/>
      <x:c r="X89" s="20" t="n">
        <x:v>151</x:v>
      </x:c>
      <x:c r="Y89" s="19" t="n">
        <x:f>IFERROR(TODAY()-DATEVALUE(C89),"")</x:f>
        <x:v>216</x:v>
      </x:c>
      <x:c r="Z89" s="21" t="n">
        <x:f>ROUND(COUNTA(A89:K89)/11*100,0)</x:f>
        <x:v>100</x:v>
      </x:c>
      <x:c r="AA89" s="18" t="str">
        <x:v>Reserve Bank of India</x:v>
      </x:c>
      <x:c r="AB89" s="22" t="str">
        <x:v>https://www.sebi.gov.in/legal/master-circulars/feb-2026/master-circular-for-research-analysts_99571.html</x:v>
      </x:c>
      <x:c r="AC89" s="18" t="str">
        <x:v>2026-02-06</x:v>
      </x:c>
      <x:c r="AD89" s="18" t="n">
        <x:v>46275.114583333336</x:v>
      </x:c>
      <x:c r="AE89" s="18" t="str">
        <x:v>retained_terminal</x:v>
      </x:c>
      <x:c r="AF89" s="18" t="str">
        <x:v>READY</x:v>
      </x:c>
    </x:row>
    <x:row r="90">
      <x:c r="A90" s="18" t="str">
        <x:v>NYT-20-9da367ac7281ac6e</x:v>
      </x:c>
      <x:c r="B90" s="18" t="str">
        <x:v>Master Circular for Investment Advisers</x:v>
      </x:c>
      <x:c r="C90" s="18" t="str">
        <x:v>2026-02-06</x:v>
      </x:c>
      <x:c r="D90" s="18" t="n">
        <x:v>2026</x:v>
      </x:c>
      <x:c r="E90" s="18" t="str">
        <x:v>2026-02</x:v>
      </x:c>
      <x:c r="F90" s="18" t="str"/>
      <x:c r="G90" s="18" t="str"/>
      <x:c r="H90" s="18" t="str"/>
      <x:c r="I90" s="18" t="str"/>
      <x:c r="J90" s="20" t="str"/>
      <x:c r="K90" s="18" t="str"/>
      <x:c r="L90" s="22" t="str"/>
      <x:c r="M90" s="18" t="str">
        <x:v>2026-02-06</x:v>
      </x:c>
      <x:c r="N90" s="18" t="str">
        <x:v>SEBI</x:v>
      </x:c>
      <x:c r="O90" s="18" t="str">
        <x:v>Master Circular for Investment Advisers</x:v>
      </x:c>
      <x:c r="P90" s="18" t="str"/>
      <x:c r="Q90" s="18" t="str">
        <x:v>82</x:v>
      </x:c>
      <x:c r="R90" s="18" t="str">
        <x:v>master_direction</x:v>
      </x:c>
      <x:c r="S90" s="18" t="str">
        <x:v>https://www.sebi.gov.in/legal/master-circulars/feb-2026/master-circular-for-investment-advisers_99569.html</x:v>
      </x:c>
      <x:c r="T90" s="18" t="str">
        <x:v>DEFINED_TERMINAL_OR_FEED_SCOPE</x:v>
      </x:c>
      <x:c r="U90" s="18" t="str">
        <x:v>national_regulatory_watch.json — published records loaded</x:v>
      </x:c>
      <x:c r="V90" s="18" t="str"/>
      <x:c r="W90" s="18" t="str"/>
      <x:c r="X90" s="20" t="n">
        <x:v>151</x:v>
      </x:c>
      <x:c r="Y90" s="19" t="n">
        <x:f>IFERROR(TODAY()-DATEVALUE(C90),"")</x:f>
        <x:v>216</x:v>
      </x:c>
      <x:c r="Z90" s="21" t="n">
        <x:f>ROUND(COUNTA(A90:K90)/11*100,0)</x:f>
        <x:v>100</x:v>
      </x:c>
      <x:c r="AA90" s="18" t="str">
        <x:v>Reserve Bank of India</x:v>
      </x:c>
      <x:c r="AB90" s="22" t="str">
        <x:v>https://www.sebi.gov.in/legal/master-circulars/feb-2026/master-circular-for-investment-advisers_99569.html</x:v>
      </x:c>
      <x:c r="AC90" s="18" t="str">
        <x:v>2026-02-06</x:v>
      </x:c>
      <x:c r="AD90" s="18" t="n">
        <x:v>46275.114583333336</x:v>
      </x:c>
      <x:c r="AE90" s="18" t="str">
        <x:v>retained_terminal</x:v>
      </x:c>
      <x:c r="AF90" s="18" t="str">
        <x:v>READY</x:v>
      </x:c>
    </x:row>
    <x:row r="91">
      <x:c r="A91" s="18" t="str">
        <x:v>NYT-20-b8fca318849664ae</x:v>
      </x:c>
      <x:c r="B91" s="18" t="str">
        <x:v>Master Circular for Registrars to an Issue and Share Transfer Agents</x:v>
      </x:c>
      <x:c r="C91" s="18" t="str">
        <x:v>2026-02-06</x:v>
      </x:c>
      <x:c r="D91" s="18" t="n">
        <x:v>2026</x:v>
      </x:c>
      <x:c r="E91" s="18" t="str">
        <x:v>2026-02</x:v>
      </x:c>
      <x:c r="F91" s="18" t="str"/>
      <x:c r="G91" s="18" t="str"/>
      <x:c r="H91" s="18" t="str"/>
      <x:c r="I91" s="18" t="str"/>
      <x:c r="J91" s="20" t="str"/>
      <x:c r="K91" s="18" t="str"/>
      <x:c r="L91" s="22" t="str"/>
      <x:c r="M91" s="18" t="str">
        <x:v>2026-02-06</x:v>
      </x:c>
      <x:c r="N91" s="18" t="str">
        <x:v>SEBI</x:v>
      </x:c>
      <x:c r="O91" s="18" t="str">
        <x:v>Master Circular for Registrars to an Issue and Share Transfer Agents</x:v>
      </x:c>
      <x:c r="P91" s="18" t="str"/>
      <x:c r="Q91" s="18" t="str">
        <x:v>83</x:v>
      </x:c>
      <x:c r="R91" s="18" t="str">
        <x:v>master_direction</x:v>
      </x:c>
      <x:c r="S91" s="18" t="str">
        <x:v>https://www.sebi.gov.in/legal/master-circulars/feb-2026/master-circular-for-registrars-to-an-issue-and-share-transfer-agents_99567.html</x:v>
      </x:c>
      <x:c r="T91" s="18" t="str">
        <x:v>DEFINED_TERMINAL_OR_FEED_SCOPE</x:v>
      </x:c>
      <x:c r="U91" s="18" t="str">
        <x:v>national_regulatory_watch.json — published records loaded</x:v>
      </x:c>
      <x:c r="V91" s="18" t="str"/>
      <x:c r="W91" s="18" t="str"/>
      <x:c r="X91" s="20" t="n">
        <x:v>151</x:v>
      </x:c>
      <x:c r="Y91" s="19" t="n">
        <x:f>IFERROR(TODAY()-DATEVALUE(C91),"")</x:f>
        <x:v>216</x:v>
      </x:c>
      <x:c r="Z91" s="21" t="n">
        <x:f>ROUND(COUNTA(A91:K91)/11*100,0)</x:f>
        <x:v>100</x:v>
      </x:c>
      <x:c r="AA91" s="18" t="str">
        <x:v>Reserve Bank of India</x:v>
      </x:c>
      <x:c r="AB91" s="22" t="str">
        <x:v>https://www.sebi.gov.in/legal/master-circulars/feb-2026/master-circular-for-registrars-to-an-issue-and-share-transfer-agents_99567.html</x:v>
      </x:c>
      <x:c r="AC91" s="18" t="str">
        <x:v>2026-02-06</x:v>
      </x:c>
      <x:c r="AD91" s="18" t="n">
        <x:v>46275.114583333336</x:v>
      </x:c>
      <x:c r="AE91" s="18" t="str">
        <x:v>retained_terminal</x:v>
      </x:c>
      <x:c r="AF91" s="18" t="str">
        <x:v>READY</x:v>
      </x:c>
    </x:row>
    <x:row r="92">
      <x:c r="A92" s="18" t="str">
        <x:v>NYT-20-0c9ade858eaf38a5</x:v>
      </x:c>
      <x:c r="B92" s="18" t="str">
        <x:v>Master Circular for compliance with the provisions of the Securities and Exchange Board of India (Listing Obligations and Disclosure Requirements) Regulations, 2015 by listed entities</x:v>
      </x:c>
      <x:c r="C92" s="18" t="str">
        <x:v>2026-01-30</x:v>
      </x:c>
      <x:c r="D92" s="18" t="n">
        <x:v>2026</x:v>
      </x:c>
      <x:c r="E92" s="18" t="str">
        <x:v>2026-01</x:v>
      </x:c>
      <x:c r="F92" s="18" t="str"/>
      <x:c r="G92" s="18" t="str"/>
      <x:c r="H92" s="18" t="str"/>
      <x:c r="I92" s="18" t="str"/>
      <x:c r="J92" s="20" t="str"/>
      <x:c r="K92" s="18" t="str"/>
      <x:c r="L92" s="22" t="str"/>
      <x:c r="M92" s="18" t="str">
        <x:v>2026-01-30</x:v>
      </x:c>
      <x:c r="N92" s="18" t="str">
        <x:v>SEBI</x:v>
      </x:c>
      <x:c r="O92" s="18" t="str">
        <x:v>Master Circular for compliance with the provisions of the Securities and Exchange Board of India (Listing Obligations and Disclosure Requirements) Regulations, 2015 by listed entities</x:v>
      </x:c>
      <x:c r="P92" s="18" t="str"/>
      <x:c r="Q92" s="18" t="str">
        <x:v>84</x:v>
      </x:c>
      <x:c r="R92" s="18" t="str">
        <x:v>master_direction</x:v>
      </x:c>
      <x:c r="S92" s="18" t="str">
        <x:v>https://www.sebi.gov.in/legal/master-circulars/jan-2026/master-circular-for-compliance-with-the-provisions-of-the-securities-and-exchange-board-of-india-listing-obligations-and-disclosure-requirements-regulations-2015-by-listed-entities_99432.html</x:v>
      </x:c>
      <x:c r="T92" s="18" t="str">
        <x:v>DEFINED_TERMINAL_OR_FEED_SCOPE</x:v>
      </x:c>
      <x:c r="U92" s="18" t="str">
        <x:v>national_regulatory_watch.json — published records loaded</x:v>
      </x:c>
      <x:c r="V92" s="18" t="str"/>
      <x:c r="W92" s="18" t="str"/>
      <x:c r="X92" s="20" t="n">
        <x:v>151</x:v>
      </x:c>
      <x:c r="Y92" s="19" t="n">
        <x:f>IFERROR(TODAY()-DATEVALUE(C92),"")</x:f>
        <x:v>223</x:v>
      </x:c>
      <x:c r="Z92" s="21" t="n">
        <x:f>ROUND(COUNTA(A92:K92)/11*100,0)</x:f>
        <x:v>100</x:v>
      </x:c>
      <x:c r="AA92" s="18" t="str">
        <x:v>Reserve Bank of India</x:v>
      </x:c>
      <x:c r="AB92" s="22" t="str">
        <x:v>https://www.sebi.gov.in/legal/master-circulars/jan-2026/master-circular-for-compliance-with-the-provisions-of-the-securities-and-exchange-board-of-india-listing-obligations-and-disclosure-requirements-regulations-2015-by-listed-entities_99432.html</x:v>
      </x:c>
      <x:c r="AC92" s="18" t="str">
        <x:v>2026-01-30</x:v>
      </x:c>
      <x:c r="AD92" s="18" t="n">
        <x:v>46275.114583333336</x:v>
      </x:c>
      <x:c r="AE92" s="18" t="str">
        <x:v>retained_terminal</x:v>
      </x:c>
      <x:c r="AF92" s="18" t="str">
        <x:v>READY</x:v>
      </x:c>
    </x:row>
    <x:row r="93">
      <x:c r="A93" s="18" t="str">
        <x:v>NYT-20-17fd4759bfdabfb7</x:v>
      </x:c>
      <x:c r="B93" s="18" t="str">
        <x:v>Master Circular for Framework on Social Stock Exchange.</x:v>
      </x:c>
      <x:c r="C93" s="18" t="str">
        <x:v>2026-01-19</x:v>
      </x:c>
      <x:c r="D93" s="18" t="n">
        <x:v>2026</x:v>
      </x:c>
      <x:c r="E93" s="18" t="str">
        <x:v>2026-01</x:v>
      </x:c>
      <x:c r="F93" s="18" t="str"/>
      <x:c r="G93" s="18" t="str"/>
      <x:c r="H93" s="18" t="str"/>
      <x:c r="I93" s="18" t="str"/>
      <x:c r="J93" s="20" t="str"/>
      <x:c r="K93" s="18" t="str"/>
      <x:c r="L93" s="22" t="str"/>
      <x:c r="M93" s="18" t="str">
        <x:v>2026-01-19</x:v>
      </x:c>
      <x:c r="N93" s="18" t="str">
        <x:v>SEBI</x:v>
      </x:c>
      <x:c r="O93" s="18" t="str">
        <x:v>Master Circular for Framework on Social Stock Exchange.</x:v>
      </x:c>
      <x:c r="P93" s="18" t="str"/>
      <x:c r="Q93" s="18" t="str">
        <x:v>85</x:v>
      </x:c>
      <x:c r="R93" s="18" t="str">
        <x:v>master_direction</x:v>
      </x:c>
      <x:c r="S93" s="18" t="str">
        <x:v>https://www.sebi.gov.in/legal/master-circulars/jan-2026/master-circular-for-framework-on-social-stock-exchange-_99166.html</x:v>
      </x:c>
      <x:c r="T93" s="18" t="str">
        <x:v>DEFINED_TERMINAL_OR_FEED_SCOPE</x:v>
      </x:c>
      <x:c r="U93" s="18" t="str">
        <x:v>national_regulatory_watch.json — published records loaded</x:v>
      </x:c>
      <x:c r="V93" s="18" t="str"/>
      <x:c r="W93" s="18" t="str"/>
      <x:c r="X93" s="20" t="n">
        <x:v>151</x:v>
      </x:c>
      <x:c r="Y93" s="19" t="n">
        <x:f>IFERROR(TODAY()-DATEVALUE(C93),"")</x:f>
        <x:v>234</x:v>
      </x:c>
      <x:c r="Z93" s="21" t="n">
        <x:f>ROUND(COUNTA(A93:K93)/11*100,0)</x:f>
        <x:v>100</x:v>
      </x:c>
      <x:c r="AA93" s="18" t="str">
        <x:v>Reserve Bank of India</x:v>
      </x:c>
      <x:c r="AB93" s="22" t="str">
        <x:v>https://www.sebi.gov.in/legal/master-circulars/jan-2026/master-circular-for-framework-on-social-stock-exchange-_99166.html</x:v>
      </x:c>
      <x:c r="AC93" s="18" t="str">
        <x:v>2026-01-19</x:v>
      </x:c>
      <x:c r="AD93" s="18" t="n">
        <x:v>46275.114583333336</x:v>
      </x:c>
      <x:c r="AE93" s="18" t="str">
        <x:v>retained_terminal</x:v>
      </x:c>
      <x:c r="AF93" s="18" t="str">
        <x:v>READY</x:v>
      </x:c>
    </x:row>
    <x:row r="94">
      <x:c r="A94" s="18" t="str">
        <x:v>NYT-20-b123b1e03b46421f</x:v>
      </x:c>
      <x:c r="B94" s="18" t="str">
        <x:v>Master Circular for issue and listing of Non-convertible Securities, Securitised Debt Instruments, Security Receipts, Municipal Debt Securities and Commercial Paper</x:v>
      </x:c>
      <x:c r="C94" s="18" t="str">
        <x:v>2025-10-15</x:v>
      </x:c>
      <x:c r="D94" s="18" t="n">
        <x:v>2025</x:v>
      </x:c>
      <x:c r="E94" s="18" t="str">
        <x:v>2025-10</x:v>
      </x:c>
      <x:c r="F94" s="18" t="str"/>
      <x:c r="G94" s="18" t="str"/>
      <x:c r="H94" s="18" t="str"/>
      <x:c r="I94" s="18" t="str"/>
      <x:c r="J94" s="20" t="str"/>
      <x:c r="K94" s="18" t="str"/>
      <x:c r="L94" s="22" t="str"/>
      <x:c r="M94" s="18" t="str">
        <x:v>2025-10-15</x:v>
      </x:c>
      <x:c r="N94" s="18" t="str">
        <x:v>SEBI</x:v>
      </x:c>
      <x:c r="O94" s="18" t="str">
        <x:v>Master Circular for issue and listing of Non-convertible Securities, Securitised Debt Instruments, Security Receipts, Municipal Debt Securities and Commercial Paper</x:v>
      </x:c>
      <x:c r="P94" s="18" t="str"/>
      <x:c r="Q94" s="18" t="str">
        <x:v>86</x:v>
      </x:c>
      <x:c r="R94" s="18" t="str">
        <x:v>master_direction</x:v>
      </x:c>
      <x:c r="S94" s="18" t="str">
        <x:v>https://www.sebi.gov.in/legal/master-circulars/oct-2025/master-circular-for-issue-and-listing-of-non-convertible-securities-securitised-debt-instruments-security-receipts-municipal-debt-securities-and-commercial-paper_97343.html</x:v>
      </x:c>
      <x:c r="T94" s="18" t="str">
        <x:v>DEFINED_TERMINAL_OR_FEED_SCOPE</x:v>
      </x:c>
      <x:c r="U94" s="18" t="str">
        <x:v>national_regulatory_watch.json — published records loaded</x:v>
      </x:c>
      <x:c r="V94" s="18" t="str"/>
      <x:c r="W94" s="18" t="str"/>
      <x:c r="X94" s="20" t="n">
        <x:v>151</x:v>
      </x:c>
      <x:c r="Y94" s="19" t="n">
        <x:f>IFERROR(TODAY()-DATEVALUE(C94),"")</x:f>
        <x:v>330</x:v>
      </x:c>
      <x:c r="Z94" s="21" t="n">
        <x:f>ROUND(COUNTA(A94:K94)/11*100,0)</x:f>
        <x:v>100</x:v>
      </x:c>
      <x:c r="AA94" s="18" t="str">
        <x:v>Reserve Bank of India</x:v>
      </x:c>
      <x:c r="AB94" s="22" t="str">
        <x:v>https://www.sebi.gov.in/legal/master-circulars/oct-2025/master-circular-for-issue-and-listing-of-non-convertible-securities-securitised-debt-instruments-security-receipts-municipal-debt-securities-and-commercial-paper_97343.html</x:v>
      </x:c>
      <x:c r="AC94" s="18" t="str">
        <x:v>2025-10-15</x:v>
      </x:c>
      <x:c r="AD94" s="18" t="n">
        <x:v>46275.114583333336</x:v>
      </x:c>
      <x:c r="AE94" s="18" t="str">
        <x:v>retained_terminal</x:v>
      </x:c>
      <x:c r="AF94" s="18" t="str">
        <x:v>READY</x:v>
      </x:c>
    </x:row>
    <x:row r="95">
      <x:c r="A95" s="18" t="str">
        <x:v>NYT-20-fa6e18c0cef95214</x:v>
      </x:c>
      <x:c r="B95" s="18" t="str">
        <x:v>Master Circular for Debenture Trustees (DTs)</x:v>
      </x:c>
      <x:c r="C95" s="18" t="str">
        <x:v>2025-08-13</x:v>
      </x:c>
      <x:c r="D95" s="18" t="n">
        <x:v>2025</x:v>
      </x:c>
      <x:c r="E95" s="18" t="str">
        <x:v>2025-08</x:v>
      </x:c>
      <x:c r="F95" s="18" t="str"/>
      <x:c r="G95" s="18" t="str"/>
      <x:c r="H95" s="18" t="str"/>
      <x:c r="I95" s="18" t="str"/>
      <x:c r="J95" s="20" t="str"/>
      <x:c r="K95" s="18" t="str"/>
      <x:c r="L95" s="22" t="str"/>
      <x:c r="M95" s="18" t="str">
        <x:v>2025-08-13</x:v>
      </x:c>
      <x:c r="N95" s="18" t="str">
        <x:v>SEBI</x:v>
      </x:c>
      <x:c r="O95" s="18" t="str">
        <x:v>Master Circular for Debenture Trustees (DTs)</x:v>
      </x:c>
      <x:c r="P95" s="18" t="str"/>
      <x:c r="Q95" s="18" t="str">
        <x:v>87</x:v>
      </x:c>
      <x:c r="R95" s="18" t="str">
        <x:v>master_direction</x:v>
      </x:c>
      <x:c r="S95" s="18" t="str">
        <x:v>https://www.sebi.gov.in/legal/master-circulars/aug-2025/master-circular-for-debenture-trustees-dts-_96073.html</x:v>
      </x:c>
      <x:c r="T95" s="18" t="str">
        <x:v>DEFINED_TERMINAL_OR_FEED_SCOPE</x:v>
      </x:c>
      <x:c r="U95" s="18" t="str">
        <x:v>national_regulatory_watch.json — published records loaded</x:v>
      </x:c>
      <x:c r="V95" s="18" t="str"/>
      <x:c r="W95" s="18" t="str"/>
      <x:c r="X95" s="20" t="n">
        <x:v>151</x:v>
      </x:c>
      <x:c r="Y95" s="19" t="n">
        <x:f>IFERROR(TODAY()-DATEVALUE(C95),"")</x:f>
        <x:v>393</x:v>
      </x:c>
      <x:c r="Z95" s="21" t="n">
        <x:f>ROUND(COUNTA(A95:K95)/11*100,0)</x:f>
        <x:v>100</x:v>
      </x:c>
      <x:c r="AA95" s="18" t="str">
        <x:v>Reserve Bank of India</x:v>
      </x:c>
      <x:c r="AB95" s="22" t="str">
        <x:v>https://www.sebi.gov.in/legal/master-circulars/aug-2025/master-circular-for-debenture-trustees-dts-_96073.html</x:v>
      </x:c>
      <x:c r="AC95" s="18" t="str">
        <x:v>2025-08-13</x:v>
      </x:c>
      <x:c r="AD95" s="18" t="n">
        <x:v>46275.114583333336</x:v>
      </x:c>
      <x:c r="AE95" s="18" t="str">
        <x:v>retained_terminal</x:v>
      </x:c>
      <x:c r="AF95" s="18" t="str">
        <x:v>READY</x:v>
      </x:c>
    </x:row>
    <x:row r="96">
      <x:c r="A96" s="18" t="str">
        <x:v>NYT-20-6a5ebf899cfaf8fe</x:v>
      </x:c>
      <x:c r="B96" s="18" t="str">
        <x:v>Master Circular for Portfolio Managers</x:v>
      </x:c>
      <x:c r="C96" s="18" t="str">
        <x:v>2025-07-16</x:v>
      </x:c>
      <x:c r="D96" s="18" t="n">
        <x:v>2025</x:v>
      </x:c>
      <x:c r="E96" s="18" t="str">
        <x:v>2025-07</x:v>
      </x:c>
      <x:c r="F96" s="18" t="str"/>
      <x:c r="G96" s="18" t="str"/>
      <x:c r="H96" s="18" t="str"/>
      <x:c r="I96" s="18" t="str"/>
      <x:c r="J96" s="20" t="str"/>
      <x:c r="K96" s="18" t="str"/>
      <x:c r="L96" s="22" t="str"/>
      <x:c r="M96" s="18" t="str">
        <x:v>2025-07-16</x:v>
      </x:c>
      <x:c r="N96" s="18" t="str">
        <x:v>SEBI</x:v>
      </x:c>
      <x:c r="O96" s="18" t="str">
        <x:v>Master Circular for Portfolio Managers</x:v>
      </x:c>
      <x:c r="P96" s="18" t="str"/>
      <x:c r="Q96" s="18" t="str">
        <x:v>88</x:v>
      </x:c>
      <x:c r="R96" s="18" t="str">
        <x:v>master_direction</x:v>
      </x:c>
      <x:c r="S96" s="18" t="str">
        <x:v>https://www.sebi.gov.in/legal/master-circulars/jul-2025/master-circular-for-portfolio-managers_95347.html</x:v>
      </x:c>
      <x:c r="T96" s="18" t="str">
        <x:v>DEFINED_TERMINAL_OR_FEED_SCOPE</x:v>
      </x:c>
      <x:c r="U96" s="18" t="str">
        <x:v>national_regulatory_watch.json — published records loaded</x:v>
      </x:c>
      <x:c r="V96" s="18" t="str"/>
      <x:c r="W96" s="18" t="str"/>
      <x:c r="X96" s="20" t="n">
        <x:v>151</x:v>
      </x:c>
      <x:c r="Y96" s="19" t="n">
        <x:f>IFERROR(TODAY()-DATEVALUE(C96),"")</x:f>
        <x:v>421</x:v>
      </x:c>
      <x:c r="Z96" s="21" t="n">
        <x:f>ROUND(COUNTA(A96:K96)/11*100,0)</x:f>
        <x:v>100</x:v>
      </x:c>
      <x:c r="AA96" s="18" t="str">
        <x:v>Reserve Bank of India</x:v>
      </x:c>
      <x:c r="AB96" s="22" t="str">
        <x:v>https://www.sebi.gov.in/legal/master-circulars/jul-2025/master-circular-for-portfolio-managers_95347.html</x:v>
      </x:c>
      <x:c r="AC96" s="18" t="str">
        <x:v>2025-07-16</x:v>
      </x:c>
      <x:c r="AD96" s="18" t="n">
        <x:v>46275.114583333336</x:v>
      </x:c>
      <x:c r="AE96" s="18" t="str">
        <x:v>retained_terminal</x:v>
      </x:c>
      <x:c r="AF96" s="18" t="str">
        <x:v>READY</x:v>
      </x:c>
    </x:row>
    <x:row r="97">
      <x:c r="A97" s="18" t="str">
        <x:v>NYT-20-4880314a136fc571</x:v>
      </x:c>
      <x:c r="B97" s="18" t="str">
        <x:v>Master Circular for Infrastructure Investment Trusts (InvITs)</x:v>
      </x:c>
      <x:c r="C97" s="18" t="str">
        <x:v>2025-07-11</x:v>
      </x:c>
      <x:c r="D97" s="18" t="n">
        <x:v>2025</x:v>
      </x:c>
      <x:c r="E97" s="18" t="str">
        <x:v>2025-07</x:v>
      </x:c>
      <x:c r="F97" s="18" t="str"/>
      <x:c r="G97" s="18" t="str"/>
      <x:c r="H97" s="18" t="str"/>
      <x:c r="I97" s="18" t="str"/>
      <x:c r="J97" s="20" t="str"/>
      <x:c r="K97" s="18" t="str"/>
      <x:c r="L97" s="22" t="str"/>
      <x:c r="M97" s="18" t="str">
        <x:v>2025-07-11</x:v>
      </x:c>
      <x:c r="N97" s="18" t="str">
        <x:v>SEBI</x:v>
      </x:c>
      <x:c r="O97" s="18" t="str">
        <x:v>Master Circular for Infrastructure Investment Trusts (InvITs)</x:v>
      </x:c>
      <x:c r="P97" s="18" t="str"/>
      <x:c r="Q97" s="18" t="str">
        <x:v>89</x:v>
      </x:c>
      <x:c r="R97" s="18" t="str">
        <x:v>master_direction</x:v>
      </x:c>
      <x:c r="S97" s="18" t="str">
        <x:v>https://www.sebi.gov.in/legal/master-circulars/jul-2025/master-circular-for-infrastructure-investment-trusts-invits-_95233.html</x:v>
      </x:c>
      <x:c r="T97" s="18" t="str">
        <x:v>DEFINED_TERMINAL_OR_FEED_SCOPE</x:v>
      </x:c>
      <x:c r="U97" s="18" t="str">
        <x:v>national_regulatory_watch.json — published records loaded</x:v>
      </x:c>
      <x:c r="V97" s="18" t="str"/>
      <x:c r="W97" s="18" t="str"/>
      <x:c r="X97" s="20" t="n">
        <x:v>151</x:v>
      </x:c>
      <x:c r="Y97" s="19" t="n">
        <x:f>IFERROR(TODAY()-DATEVALUE(C97),"")</x:f>
        <x:v>426</x:v>
      </x:c>
      <x:c r="Z97" s="21" t="n">
        <x:f>ROUND(COUNTA(A97:K97)/11*100,0)</x:f>
        <x:v>100</x:v>
      </x:c>
      <x:c r="AA97" s="18" t="str">
        <x:v>Reserve Bank of India</x:v>
      </x:c>
      <x:c r="AB97" s="22" t="str">
        <x:v>https://www.sebi.gov.in/legal/master-circulars/jul-2025/master-circular-for-infrastructure-investment-trusts-invits-_95233.html</x:v>
      </x:c>
      <x:c r="AC97" s="18" t="str">
        <x:v>2025-07-11</x:v>
      </x:c>
      <x:c r="AD97" s="18" t="n">
        <x:v>46275.114583333336</x:v>
      </x:c>
      <x:c r="AE97" s="18" t="str">
        <x:v>retained_terminal</x:v>
      </x:c>
      <x:c r="AF97" s="18" t="str">
        <x:v>READY</x:v>
      </x:c>
    </x:row>
    <x:row r="98">
      <x:c r="A98" s="18" t="str">
        <x:v>NYT-20-8b656b17895e68b9</x:v>
      </x:c>
      <x:c r="B98" s="18" t="str">
        <x:v>Master Circular for Real Estate Investment Trusts (REITs)</x:v>
      </x:c>
      <x:c r="C98" s="18" t="str">
        <x:v>2025-07-11</x:v>
      </x:c>
      <x:c r="D98" s="18" t="n">
        <x:v>2025</x:v>
      </x:c>
      <x:c r="E98" s="18" t="str">
        <x:v>2025-07</x:v>
      </x:c>
      <x:c r="F98" s="18" t="str"/>
      <x:c r="G98" s="18" t="str"/>
      <x:c r="H98" s="18" t="str"/>
      <x:c r="I98" s="18" t="str"/>
      <x:c r="J98" s="20" t="str"/>
      <x:c r="K98" s="18" t="str"/>
      <x:c r="L98" s="22" t="str"/>
      <x:c r="M98" s="18" t="str">
        <x:v>2025-07-11</x:v>
      </x:c>
      <x:c r="N98" s="18" t="str">
        <x:v>SEBI</x:v>
      </x:c>
      <x:c r="O98" s="18" t="str">
        <x:v>Master Circular for Real Estate Investment Trusts (REITs)</x:v>
      </x:c>
      <x:c r="P98" s="18" t="str"/>
      <x:c r="Q98" s="18" t="str">
        <x:v>90</x:v>
      </x:c>
      <x:c r="R98" s="18" t="str">
        <x:v>master_direction</x:v>
      </x:c>
      <x:c r="S98" s="18" t="str">
        <x:v>https://www.sebi.gov.in/legal/master-circulars/jul-2025/master-circular-for-real-estate-investment-trusts-reits-_95232.html</x:v>
      </x:c>
      <x:c r="T98" s="18" t="str">
        <x:v>DEFINED_TERMINAL_OR_FEED_SCOPE</x:v>
      </x:c>
      <x:c r="U98" s="18" t="str">
        <x:v>national_regulatory_watch.json — published records loaded</x:v>
      </x:c>
      <x:c r="V98" s="18" t="str"/>
      <x:c r="W98" s="18" t="str"/>
      <x:c r="X98" s="20" t="n">
        <x:v>151</x:v>
      </x:c>
      <x:c r="Y98" s="19" t="n">
        <x:f>IFERROR(TODAY()-DATEVALUE(C98),"")</x:f>
        <x:v>426</x:v>
      </x:c>
      <x:c r="Z98" s="21" t="n">
        <x:f>ROUND(COUNTA(A98:K98)/11*100,0)</x:f>
        <x:v>100</x:v>
      </x:c>
      <x:c r="AA98" s="18" t="str">
        <x:v>Reserve Bank of India</x:v>
      </x:c>
      <x:c r="AB98" s="22" t="str">
        <x:v>https://www.sebi.gov.in/legal/master-circulars/jul-2025/master-circular-for-real-estate-investment-trusts-reits-_95232.html</x:v>
      </x:c>
      <x:c r="AC98" s="18" t="str">
        <x:v>2025-07-11</x:v>
      </x:c>
      <x:c r="AD98" s="18" t="n">
        <x:v>46275.114583333336</x:v>
      </x:c>
      <x:c r="AE98" s="18" t="str">
        <x:v>retained_terminal</x:v>
      </x:c>
      <x:c r="AF98" s="18" t="str">
        <x:v>READY</x:v>
      </x:c>
    </x:row>
    <x:row r="99">
      <x:c r="A99" s="18" t="str">
        <x:v>NYT-20-f075fcf2edf8fb42</x:v>
      </x:c>
      <x:c r="B99" s="18" t="str">
        <x:v>Master Circular for listing obligations and disclosure requirements for Non-convertible Securities, Securitized Debt Instruments and/ or Commercial Paper</x:v>
      </x:c>
      <x:c r="C99" s="18" t="str">
        <x:v>2025-07-11</x:v>
      </x:c>
      <x:c r="D99" s="18" t="n">
        <x:v>2025</x:v>
      </x:c>
      <x:c r="E99" s="18" t="str">
        <x:v>2025-07</x:v>
      </x:c>
      <x:c r="F99" s="18" t="str"/>
      <x:c r="G99" s="18" t="str"/>
      <x:c r="H99" s="18" t="str"/>
      <x:c r="I99" s="18" t="str"/>
      <x:c r="J99" s="20" t="str"/>
      <x:c r="K99" s="18" t="str"/>
      <x:c r="L99" s="22" t="str"/>
      <x:c r="M99" s="18" t="str">
        <x:v>2025-07-11</x:v>
      </x:c>
      <x:c r="N99" s="18" t="str">
        <x:v>SEBI</x:v>
      </x:c>
      <x:c r="O99" s="18" t="str">
        <x:v>Master Circular for listing obligations and disclosure requirements for Non-convertible Securities, Securitized Debt Instruments and/ or Commercial Paper</x:v>
      </x:c>
      <x:c r="P99" s="18" t="str"/>
      <x:c r="Q99" s="18" t="str">
        <x:v>91</x:v>
      </x:c>
      <x:c r="R99" s="18" t="str">
        <x:v>master_direction</x:v>
      </x:c>
      <x:c r="S99" s="18" t="str">
        <x:v>https://www.sebi.gov.in/legal/master-circulars/jul-2025/master-circular-for-listing-obligations-and-disclosure-requirements-for-non-convertible-securities-securitized-debt-instruments-and-or-commercial-paper_95230.html</x:v>
      </x:c>
      <x:c r="T99" s="18" t="str">
        <x:v>DEFINED_TERMINAL_OR_FEED_SCOPE</x:v>
      </x:c>
      <x:c r="U99" s="18" t="str">
        <x:v>national_regulatory_watch.json — published records loaded</x:v>
      </x:c>
      <x:c r="V99" s="18" t="str"/>
      <x:c r="W99" s="18" t="str"/>
      <x:c r="X99" s="20" t="n">
        <x:v>151</x:v>
      </x:c>
      <x:c r="Y99" s="19" t="n">
        <x:f>IFERROR(TODAY()-DATEVALUE(C99),"")</x:f>
        <x:v>426</x:v>
      </x:c>
      <x:c r="Z99" s="21" t="n">
        <x:f>ROUND(COUNTA(A99:K99)/11*100,0)</x:f>
        <x:v>100</x:v>
      </x:c>
      <x:c r="AA99" s="18" t="str">
        <x:v>Reserve Bank of India</x:v>
      </x:c>
      <x:c r="AB99" s="22" t="str">
        <x:v>https://www.sebi.gov.in/legal/master-circulars/jul-2025/master-circular-for-listing-obligations-and-disclosure-requirements-for-non-convertible-securities-securitized-debt-instruments-and-or-commercial-paper_95230.html</x:v>
      </x:c>
      <x:c r="AC99" s="18" t="str">
        <x:v>2025-07-11</x:v>
      </x:c>
      <x:c r="AD99" s="18" t="n">
        <x:v>46275.114583333336</x:v>
      </x:c>
      <x:c r="AE99" s="18" t="str">
        <x:v>retained_terminal</x:v>
      </x:c>
      <x:c r="AF99" s="18" t="str">
        <x:v>READY</x:v>
      </x:c>
    </x:row>
    <x:row r="100">
      <x:c r="A100" s="18" t="str">
        <x:v>NYT-20-72fa1c6117ff3765</x:v>
      </x:c>
      <x:c r="B100" s="18" t="str">
        <x:v>Master Circular for Credit Rating Agencies (CRAs)</x:v>
      </x:c>
      <x:c r="C100" s="18" t="str">
        <x:v>2025-07-11</x:v>
      </x:c>
      <x:c r="D100" s="18" t="n">
        <x:v>2025</x:v>
      </x:c>
      <x:c r="E100" s="18" t="str">
        <x:v>2025-07</x:v>
      </x:c>
      <x:c r="F100" s="18" t="str"/>
      <x:c r="G100" s="18" t="str"/>
      <x:c r="H100" s="18" t="str"/>
      <x:c r="I100" s="18" t="str"/>
      <x:c r="J100" s="20" t="str"/>
      <x:c r="K100" s="18" t="str"/>
      <x:c r="L100" s="22" t="str"/>
      <x:c r="M100" s="18" t="str">
        <x:v>2025-07-11</x:v>
      </x:c>
      <x:c r="N100" s="18" t="str">
        <x:v>SEBI</x:v>
      </x:c>
      <x:c r="O100" s="18" t="str">
        <x:v>Master Circular for Credit Rating Agencies (CRAs)</x:v>
      </x:c>
      <x:c r="P100" s="18" t="str"/>
      <x:c r="Q100" s="18" t="str">
        <x:v>92</x:v>
      </x:c>
      <x:c r="R100" s="18" t="str">
        <x:v>master_direction</x:v>
      </x:c>
      <x:c r="S100" s="18" t="str">
        <x:v>https://www.sebi.gov.in/legal/master-circulars/jul-2025/master-circular-for-credit-rating-agencies-cras-_95221.html</x:v>
      </x:c>
      <x:c r="T100" s="18" t="str">
        <x:v>DEFINED_TERMINAL_OR_FEED_SCOPE</x:v>
      </x:c>
      <x:c r="U100" s="18" t="str">
        <x:v>national_regulatory_watch.json — published records loaded</x:v>
      </x:c>
      <x:c r="V100" s="18" t="str"/>
      <x:c r="W100" s="18" t="str"/>
      <x:c r="X100" s="20" t="n">
        <x:v>151</x:v>
      </x:c>
      <x:c r="Y100" s="19" t="n">
        <x:f>IFERROR(TODAY()-DATEVALUE(C100),"")</x:f>
        <x:v>426</x:v>
      </x:c>
      <x:c r="Z100" s="21" t="n">
        <x:f>ROUND(COUNTA(A100:K100)/11*100,0)</x:f>
        <x:v>100</x:v>
      </x:c>
      <x:c r="AA100" s="18" t="str">
        <x:v>Reserve Bank of India</x:v>
      </x:c>
      <x:c r="AB100" s="22" t="str">
        <x:v>https://www.sebi.gov.in/legal/master-circulars/jul-2025/master-circular-for-credit-rating-agencies-cras-_95221.html</x:v>
      </x:c>
      <x:c r="AC100" s="18" t="str">
        <x:v>2025-07-11</x:v>
      </x:c>
      <x:c r="AD100" s="18" t="n">
        <x:v>46275.114583333336</x:v>
      </x:c>
      <x:c r="AE100" s="18" t="str">
        <x:v>retained_terminal</x:v>
      </x:c>
      <x:c r="AF100" s="18" t="str">
        <x:v>READY</x:v>
      </x:c>
    </x:row>
    <x:row r="101">
      <x:c r="A101" s="18" t="str">
        <x:v>NYT-20-177e0ea113fd5622</x:v>
      </x:c>
      <x:c r="B101" s="18" t="str">
        <x:v>Master Circular for ESG Rating Providers (ERPs)</x:v>
      </x:c>
      <x:c r="C101" s="18" t="str">
        <x:v>2025-07-11</x:v>
      </x:c>
      <x:c r="D101" s="18" t="n">
        <x:v>2025</x:v>
      </x:c>
      <x:c r="E101" s="18" t="str">
        <x:v>2025-07</x:v>
      </x:c>
      <x:c r="F101" s="18" t="str"/>
      <x:c r="G101" s="18" t="str"/>
      <x:c r="H101" s="18" t="str"/>
      <x:c r="I101" s="18" t="str"/>
      <x:c r="J101" s="20" t="str"/>
      <x:c r="K101" s="18" t="str"/>
      <x:c r="L101" s="22" t="str"/>
      <x:c r="M101" s="18" t="str">
        <x:v>2025-07-11</x:v>
      </x:c>
      <x:c r="N101" s="18" t="str">
        <x:v>SEBI</x:v>
      </x:c>
      <x:c r="O101" s="18" t="str">
        <x:v>Master Circular for ESG Rating Providers (ERPs)</x:v>
      </x:c>
      <x:c r="P101" s="18" t="str"/>
      <x:c r="Q101" s="18" t="str">
        <x:v>93</x:v>
      </x:c>
      <x:c r="R101" s="18" t="str">
        <x:v>master_direction</x:v>
      </x:c>
      <x:c r="S101" s="18" t="str">
        <x:v>https://www.sebi.gov.in/legal/master-circulars/jul-2025/master-circular-for-esg-rating-providers-erps-_95219.html</x:v>
      </x:c>
      <x:c r="T101" s="18" t="str">
        <x:v>DEFINED_TERMINAL_OR_FEED_SCOPE</x:v>
      </x:c>
      <x:c r="U101" s="18" t="str">
        <x:v>national_regulatory_watch.json — published records loaded</x:v>
      </x:c>
      <x:c r="V101" s="18" t="str"/>
      <x:c r="W101" s="18" t="str"/>
      <x:c r="X101" s="20" t="n">
        <x:v>151</x:v>
      </x:c>
      <x:c r="Y101" s="19" t="n">
        <x:f>IFERROR(TODAY()-DATEVALUE(C101),"")</x:f>
        <x:v>426</x:v>
      </x:c>
      <x:c r="Z101" s="21" t="n">
        <x:f>ROUND(COUNTA(A101:K101)/11*100,0)</x:f>
        <x:v>100</x:v>
      </x:c>
      <x:c r="AA101" s="18" t="str">
        <x:v>Reserve Bank of India</x:v>
      </x:c>
      <x:c r="AB101" s="22" t="str">
        <x:v>https://www.sebi.gov.in/legal/master-circulars/jul-2025/master-circular-for-esg-rating-providers-erps-_95219.html</x:v>
      </x:c>
      <x:c r="AC101" s="18" t="str">
        <x:v>2025-07-11</x:v>
      </x:c>
      <x:c r="AD101" s="18" t="n">
        <x:v>46275.114583333336</x:v>
      </x:c>
      <x:c r="AE101" s="18" t="str">
        <x:v>retained_terminal</x:v>
      </x:c>
      <x:c r="AF101" s="18" t="str">
        <x:v>READY</x:v>
      </x:c>
    </x:row>
    <x:row r="102">
      <x:c r="A102" s="18" t="str">
        <x:v>NYT-20-9d07588e2fca1379</x:v>
      </x:c>
      <x:c r="B102" s="18" t="str">
        <x:v>Master Circular for Research Analysts</x:v>
      </x:c>
      <x:c r="C102" s="18" t="str">
        <x:v>2025-06-27</x:v>
      </x:c>
      <x:c r="D102" s="18" t="n">
        <x:v>2025</x:v>
      </x:c>
      <x:c r="E102" s="18" t="str">
        <x:v>2025-06</x:v>
      </x:c>
      <x:c r="F102" s="18" t="str"/>
      <x:c r="G102" s="18" t="str"/>
      <x:c r="H102" s="18" t="str"/>
      <x:c r="I102" s="18" t="str"/>
      <x:c r="J102" s="20" t="str"/>
      <x:c r="K102" s="18" t="str"/>
      <x:c r="L102" s="22" t="str"/>
      <x:c r="M102" s="18" t="str">
        <x:v>2025-06-27</x:v>
      </x:c>
      <x:c r="N102" s="18" t="str">
        <x:v>SEBI</x:v>
      </x:c>
      <x:c r="O102" s="18" t="str">
        <x:v>Master Circular for Research Analysts</x:v>
      </x:c>
      <x:c r="P102" s="18" t="str"/>
      <x:c r="Q102" s="18" t="str">
        <x:v>94</x:v>
      </x:c>
      <x:c r="R102" s="18" t="str">
        <x:v>master_direction</x:v>
      </x:c>
      <x:c r="S102" s="18" t="str">
        <x:v>https://www.sebi.gov.in/legal/master-circulars/jun-2025/master-circular-for-research-analysts_94840.html</x:v>
      </x:c>
      <x:c r="T102" s="18" t="str">
        <x:v>DEFINED_TERMINAL_OR_FEED_SCOPE</x:v>
      </x:c>
      <x:c r="U102" s="18" t="str">
        <x:v>national_regulatory_watch.json — published records loaded</x:v>
      </x:c>
      <x:c r="V102" s="18" t="str"/>
      <x:c r="W102" s="18" t="str"/>
      <x:c r="X102" s="20" t="n">
        <x:v>151</x:v>
      </x:c>
      <x:c r="Y102" s="19" t="n">
        <x:f>IFERROR(TODAY()-DATEVALUE(C102),"")</x:f>
        <x:v>440</x:v>
      </x:c>
      <x:c r="Z102" s="21" t="n">
        <x:f>ROUND(COUNTA(A102:K102)/11*100,0)</x:f>
        <x:v>100</x:v>
      </x:c>
      <x:c r="AA102" s="18" t="str">
        <x:v>Reserve Bank of India</x:v>
      </x:c>
      <x:c r="AB102" s="22" t="str">
        <x:v>https://www.sebi.gov.in/legal/master-circulars/jun-2025/master-circular-for-research-analysts_94840.html</x:v>
      </x:c>
      <x:c r="AC102" s="18" t="str">
        <x:v>2025-06-27</x:v>
      </x:c>
      <x:c r="AD102" s="18" t="n">
        <x:v>46275.114583333336</x:v>
      </x:c>
      <x:c r="AE102" s="18" t="str">
        <x:v>retained_terminal</x:v>
      </x:c>
      <x:c r="AF102" s="18" t="str">
        <x:v>READY</x:v>
      </x:c>
    </x:row>
    <x:row r="103">
      <x:c r="A103" s="18" t="str">
        <x:v>NYT-20-606449e26d4c98a1</x:v>
      </x:c>
      <x:c r="B103" s="18" t="str">
        <x:v>Master Circular for Investment Advisers</x:v>
      </x:c>
      <x:c r="C103" s="18" t="str">
        <x:v>2025-06-27</x:v>
      </x:c>
      <x:c r="D103" s="18" t="n">
        <x:v>2025</x:v>
      </x:c>
      <x:c r="E103" s="18" t="str">
        <x:v>2025-06</x:v>
      </x:c>
      <x:c r="F103" s="18" t="str"/>
      <x:c r="G103" s="18" t="str"/>
      <x:c r="H103" s="18" t="str"/>
      <x:c r="I103" s="18" t="str"/>
      <x:c r="J103" s="20" t="str"/>
      <x:c r="K103" s="18" t="str"/>
      <x:c r="L103" s="22" t="str"/>
      <x:c r="M103" s="18" t="str">
        <x:v>2025-06-27</x:v>
      </x:c>
      <x:c r="N103" s="18" t="str">
        <x:v>SEBI</x:v>
      </x:c>
      <x:c r="O103" s="18" t="str">
        <x:v>Master Circular for Investment Advisers</x:v>
      </x:c>
      <x:c r="P103" s="18" t="str"/>
      <x:c r="Q103" s="18" t="str">
        <x:v>95</x:v>
      </x:c>
      <x:c r="R103" s="18" t="str">
        <x:v>master_direction</x:v>
      </x:c>
      <x:c r="S103" s="18" t="str">
        <x:v>https://www.sebi.gov.in/legal/master-circulars/jun-2025/master-circular-for-investment-advisers_94821.html</x:v>
      </x:c>
      <x:c r="T103" s="18" t="str">
        <x:v>DEFINED_TERMINAL_OR_FEED_SCOPE</x:v>
      </x:c>
      <x:c r="U103" s="18" t="str">
        <x:v>national_regulatory_watch.json — published records loaded</x:v>
      </x:c>
      <x:c r="V103" s="18" t="str"/>
      <x:c r="W103" s="18" t="str"/>
      <x:c r="X103" s="20" t="n">
        <x:v>151</x:v>
      </x:c>
      <x:c r="Y103" s="19" t="n">
        <x:f>IFERROR(TODAY()-DATEVALUE(C103),"")</x:f>
        <x:v>440</x:v>
      </x:c>
      <x:c r="Z103" s="21" t="n">
        <x:f>ROUND(COUNTA(A103:K103)/11*100,0)</x:f>
        <x:v>100</x:v>
      </x:c>
      <x:c r="AA103" s="18" t="str">
        <x:v>Reserve Bank of India</x:v>
      </x:c>
      <x:c r="AB103" s="22" t="str">
        <x:v>https://www.sebi.gov.in/legal/master-circulars/jun-2025/master-circular-for-investment-advisers_94821.html</x:v>
      </x:c>
      <x:c r="AC103" s="18" t="str">
        <x:v>2025-06-27</x:v>
      </x:c>
      <x:c r="AD103" s="18" t="n">
        <x:v>46275.114583333336</x:v>
      </x:c>
      <x:c r="AE103" s="18" t="str">
        <x:v>retained_terminal</x:v>
      </x:c>
      <x:c r="AF103" s="18" t="str">
        <x:v>READY</x:v>
      </x:c>
    </x:row>
    <x:row r="104">
      <x:c r="A104" s="18" t="str">
        <x:v>NYT-20-78bc8cb167dc10cc</x:v>
      </x:c>
      <x:c r="B104" s="18" t="str">
        <x:v>Master Circular for Registrars to an Issue and Share Transfer Agents</x:v>
      </x:c>
      <x:c r="C104" s="18" t="str">
        <x:v>2025-06-23</x:v>
      </x:c>
      <x:c r="D104" s="18" t="n">
        <x:v>2025</x:v>
      </x:c>
      <x:c r="E104" s="18" t="str">
        <x:v>2025-06</x:v>
      </x:c>
      <x:c r="F104" s="18" t="str"/>
      <x:c r="G104" s="18" t="str"/>
      <x:c r="H104" s="18" t="str"/>
      <x:c r="I104" s="18" t="str"/>
      <x:c r="J104" s="20" t="str"/>
      <x:c r="K104" s="18" t="str"/>
      <x:c r="L104" s="22" t="str"/>
      <x:c r="M104" s="18" t="str">
        <x:v>2025-06-23</x:v>
      </x:c>
      <x:c r="N104" s="18" t="str">
        <x:v>SEBI</x:v>
      </x:c>
      <x:c r="O104" s="18" t="str">
        <x:v>Master Circular for Registrars to an Issue and Share Transfer Agents</x:v>
      </x:c>
      <x:c r="P104" s="18" t="str"/>
      <x:c r="Q104" s="18" t="str">
        <x:v>96</x:v>
      </x:c>
      <x:c r="R104" s="18" t="str">
        <x:v>master_direction</x:v>
      </x:c>
      <x:c r="S104" s="18" t="str">
        <x:v>https://www.sebi.gov.in/legal/master-circulars/jun-2025/master-circular-for-registrars-to-an-issue-and-share-transfer-agents_94735.html</x:v>
      </x:c>
      <x:c r="T104" s="18" t="str">
        <x:v>DEFINED_TERMINAL_OR_FEED_SCOPE</x:v>
      </x:c>
      <x:c r="U104" s="18" t="str">
        <x:v>national_regulatory_watch.json — published records loaded</x:v>
      </x:c>
      <x:c r="V104" s="18" t="str"/>
      <x:c r="W104" s="18" t="str"/>
      <x:c r="X104" s="20" t="n">
        <x:v>151</x:v>
      </x:c>
      <x:c r="Y104" s="19" t="n">
        <x:f>IFERROR(TODAY()-DATEVALUE(C104),"")</x:f>
        <x:v>444</x:v>
      </x:c>
      <x:c r="Z104" s="21" t="n">
        <x:f>ROUND(COUNTA(A104:K104)/11*100,0)</x:f>
        <x:v>100</x:v>
      </x:c>
      <x:c r="AA104" s="18" t="str">
        <x:v>Reserve Bank of India</x:v>
      </x:c>
      <x:c r="AB104" s="22" t="str">
        <x:v>https://www.sebi.gov.in/legal/master-circulars/jun-2025/master-circular-for-registrars-to-an-issue-and-share-transfer-agents_94735.html</x:v>
      </x:c>
      <x:c r="AC104" s="18" t="str">
        <x:v>2025-06-23</x:v>
      </x:c>
      <x:c r="AD104" s="18" t="n">
        <x:v>46275.114583333336</x:v>
      </x:c>
      <x:c r="AE104" s="18" t="str">
        <x:v>retained_terminal</x:v>
      </x:c>
      <x:c r="AF104" s="18" t="str">
        <x:v>READY</x:v>
      </x:c>
    </x:row>
    <x:row r="105">
      <x:c r="A105" s="18" t="str">
        <x:v>NYT-20-d7b9bfe48d2a1965</x:v>
      </x:c>
      <x:c r="B105" s="18" t="str">
        <x:v>Master Circular for Stock Brokers</x:v>
      </x:c>
      <x:c r="C105" s="18" t="str">
        <x:v>2025-06-17</x:v>
      </x:c>
      <x:c r="D105" s="18" t="n">
        <x:v>2025</x:v>
      </x:c>
      <x:c r="E105" s="18" t="str">
        <x:v>2025-06</x:v>
      </x:c>
      <x:c r="F105" s="18" t="str"/>
      <x:c r="G105" s="18" t="str"/>
      <x:c r="H105" s="18" t="str"/>
      <x:c r="I105" s="18" t="str"/>
      <x:c r="J105" s="20" t="str"/>
      <x:c r="K105" s="18" t="str"/>
      <x:c r="L105" s="22" t="str"/>
      <x:c r="M105" s="18" t="str">
        <x:v>2025-06-17</x:v>
      </x:c>
      <x:c r="N105" s="18" t="str">
        <x:v>SEBI</x:v>
      </x:c>
      <x:c r="O105" s="18" t="str">
        <x:v>Master Circular for Stock Brokers</x:v>
      </x:c>
      <x:c r="P105" s="18" t="str"/>
      <x:c r="Q105" s="18" t="str">
        <x:v>97</x:v>
      </x:c>
      <x:c r="R105" s="18" t="str">
        <x:v>master_direction</x:v>
      </x:c>
      <x:c r="S105" s="18" t="str">
        <x:v>https://www.sebi.gov.in/legal/master-circulars/jun-2025/master-circular-for-stock-brokers_94623.html</x:v>
      </x:c>
      <x:c r="T105" s="18" t="str">
        <x:v>DEFINED_TERMINAL_OR_FEED_SCOPE</x:v>
      </x:c>
      <x:c r="U105" s="18" t="str">
        <x:v>national_regulatory_watch.json — published records loaded</x:v>
      </x:c>
      <x:c r="V105" s="18" t="str"/>
      <x:c r="W105" s="18" t="str"/>
      <x:c r="X105" s="20" t="n">
        <x:v>151</x:v>
      </x:c>
      <x:c r="Y105" s="19" t="n">
        <x:f>IFERROR(TODAY()-DATEVALUE(C105),"")</x:f>
        <x:v>450</x:v>
      </x:c>
      <x:c r="Z105" s="21" t="n">
        <x:f>ROUND(COUNTA(A105:K105)/11*100,0)</x:f>
        <x:v>100</x:v>
      </x:c>
      <x:c r="AA105" s="18" t="str">
        <x:v>Reserve Bank of India</x:v>
      </x:c>
      <x:c r="AB105" s="22" t="str">
        <x:v>https://www.sebi.gov.in/legal/master-circulars/jun-2025/master-circular-for-stock-brokers_94623.html</x:v>
      </x:c>
      <x:c r="AC105" s="18" t="str">
        <x:v>2025-06-17</x:v>
      </x:c>
      <x:c r="AD105" s="18" t="n">
        <x:v>46275.114583333336</x:v>
      </x:c>
      <x:c r="AE105" s="18" t="str">
        <x:v>retained_terminal</x:v>
      </x:c>
      <x:c r="AF105" s="18" t="str">
        <x:v>READY</x:v>
      </x:c>
    </x:row>
    <x:row r="106">
      <x:c r="A106" s="18" t="str">
        <x:v>NYT-20-48b95085f919bea2</x:v>
      </x:c>
      <x:c r="B106" s="18" t="str">
        <x:v>Master Circular for Stock Exchanges and Clearing Corporations</x:v>
      </x:c>
      <x:c r="C106" s="18" t="str">
        <x:v>2024-12-30</x:v>
      </x:c>
      <x:c r="D106" s="18" t="n">
        <x:v>2024</x:v>
      </x:c>
      <x:c r="E106" s="18" t="str">
        <x:v>2024-12</x:v>
      </x:c>
      <x:c r="F106" s="18" t="str"/>
      <x:c r="G106" s="18" t="str"/>
      <x:c r="H106" s="18" t="str"/>
      <x:c r="I106" s="18" t="str"/>
      <x:c r="J106" s="20" t="str"/>
      <x:c r="K106" s="18" t="str"/>
      <x:c r="L106" s="22" t="str"/>
      <x:c r="M106" s="18" t="str">
        <x:v>2024-12-30</x:v>
      </x:c>
      <x:c r="N106" s="18" t="str">
        <x:v>SEBI</x:v>
      </x:c>
      <x:c r="O106" s="18" t="str">
        <x:v>Master Circular for Stock Exchanges and Clearing Corporations</x:v>
      </x:c>
      <x:c r="P106" s="18" t="str"/>
      <x:c r="Q106" s="18" t="str">
        <x:v>98</x:v>
      </x:c>
      <x:c r="R106" s="18" t="str">
        <x:v>master_direction</x:v>
      </x:c>
      <x:c r="S106" s="18" t="str">
        <x:v>https://www.sebi.gov.in/legal/master-circulars/dec-2024/master-circular-for-stock-exchanges-and-clearing-corporations_90353.html</x:v>
      </x:c>
      <x:c r="T106" s="18" t="str">
        <x:v>DEFINED_TERMINAL_OR_FEED_SCOPE</x:v>
      </x:c>
      <x:c r="U106" s="18" t="str">
        <x:v>national_regulatory_watch.json — published records loaded</x:v>
      </x:c>
      <x:c r="V106" s="18" t="str"/>
      <x:c r="W106" s="18" t="str"/>
      <x:c r="X106" s="20" t="n">
        <x:v>151</x:v>
      </x:c>
      <x:c r="Y106" s="19" t="n">
        <x:f>IFERROR(TODAY()-DATEVALUE(C106),"")</x:f>
        <x:v>619</x:v>
      </x:c>
      <x:c r="Z106" s="21" t="n">
        <x:f>ROUND(COUNTA(A106:K106)/11*100,0)</x:f>
        <x:v>100</x:v>
      </x:c>
      <x:c r="AA106" s="18" t="str">
        <x:v>Reserve Bank of India</x:v>
      </x:c>
      <x:c r="AB106" s="22" t="str">
        <x:v>https://www.sebi.gov.in/legal/master-circulars/dec-2024/master-circular-for-stock-exchanges-and-clearing-corporations_90353.html</x:v>
      </x:c>
      <x:c r="AC106" s="18" t="str">
        <x:v>2024-12-30</x:v>
      </x:c>
      <x:c r="AD106" s="18" t="n">
        <x:v>46275.114583333336</x:v>
      </x:c>
      <x:c r="AE106" s="18" t="str">
        <x:v>retained_terminal</x:v>
      </x:c>
      <x:c r="AF106" s="18" t="str">
        <x:v>READY</x:v>
      </x:c>
    </x:row>
    <x:row r="107">
      <x:c r="A107" s="18" t="str">
        <x:v>NYT-20-594545af61b53f69</x:v>
      </x:c>
      <x:c r="B107" s="18" t="str">
        <x:v>Master Circular for Depositories</x:v>
      </x:c>
      <x:c r="C107" s="18" t="str">
        <x:v>2024-12-03</x:v>
      </x:c>
      <x:c r="D107" s="18" t="n">
        <x:v>2024</x:v>
      </x:c>
      <x:c r="E107" s="18" t="str">
        <x:v>2024-12</x:v>
      </x:c>
      <x:c r="F107" s="18" t="str"/>
      <x:c r="G107" s="18" t="str"/>
      <x:c r="H107" s="18" t="str"/>
      <x:c r="I107" s="18" t="str"/>
      <x:c r="J107" s="20" t="str"/>
      <x:c r="K107" s="18" t="str"/>
      <x:c r="L107" s="22" t="str"/>
      <x:c r="M107" s="18" t="str">
        <x:v>2024-12-03</x:v>
      </x:c>
      <x:c r="N107" s="18" t="str">
        <x:v>SEBI</x:v>
      </x:c>
      <x:c r="O107" s="18" t="str">
        <x:v>Master Circular for Depositories</x:v>
      </x:c>
      <x:c r="P107" s="18" t="str"/>
      <x:c r="Q107" s="18" t="str">
        <x:v>99</x:v>
      </x:c>
      <x:c r="R107" s="18" t="str">
        <x:v>master_direction</x:v>
      </x:c>
      <x:c r="S107" s="18" t="str">
        <x:v>https://www.sebi.gov.in/legal/master-circulars/dec-2024/master-circular-for-depositories_89245.html</x:v>
      </x:c>
      <x:c r="T107" s="18" t="str">
        <x:v>DEFINED_TERMINAL_OR_FEED_SCOPE</x:v>
      </x:c>
      <x:c r="U107" s="18" t="str">
        <x:v>national_regulatory_watch.json — published records loaded</x:v>
      </x:c>
      <x:c r="V107" s="18" t="str"/>
      <x:c r="W107" s="18" t="str"/>
      <x:c r="X107" s="20" t="n">
        <x:v>151</x:v>
      </x:c>
      <x:c r="Y107" s="19" t="n">
        <x:f>IFERROR(TODAY()-DATEVALUE(C107),"")</x:f>
        <x:v>646</x:v>
      </x:c>
      <x:c r="Z107" s="21" t="n">
        <x:f>ROUND(COUNTA(A107:K107)/11*100,0)</x:f>
        <x:v>100</x:v>
      </x:c>
      <x:c r="AA107" s="18" t="str">
        <x:v>Reserve Bank of India</x:v>
      </x:c>
      <x:c r="AB107" s="22" t="str">
        <x:v>https://www.sebi.gov.in/legal/master-circulars/dec-2024/master-circular-for-depositories_89245.html</x:v>
      </x:c>
      <x:c r="AC107" s="18" t="str">
        <x:v>2024-12-03</x:v>
      </x:c>
      <x:c r="AD107" s="18" t="n">
        <x:v>46275.114583333336</x:v>
      </x:c>
      <x:c r="AE107" s="18" t="str">
        <x:v>retained_terminal</x:v>
      </x:c>
      <x:c r="AF107" s="18" t="str">
        <x:v>READY</x:v>
      </x:c>
    </x:row>
    <x:row r="108">
      <x:c r="A108" s="18" t="str">
        <x:v>NYT-20-40d47173490770e9</x:v>
      </x:c>
      <x:c r="B108" s="18" t="str">
        <x:v>Master Circular for Issue of Capital and Disclosure Requirements</x:v>
      </x:c>
      <x:c r="C108" s="18" t="str">
        <x:v>2024-11-11</x:v>
      </x:c>
      <x:c r="D108" s="18" t="n">
        <x:v>2024</x:v>
      </x:c>
      <x:c r="E108" s="18" t="str">
        <x:v>2024-11</x:v>
      </x:c>
      <x:c r="F108" s="18" t="str"/>
      <x:c r="G108" s="18" t="str"/>
      <x:c r="H108" s="18" t="str"/>
      <x:c r="I108" s="18" t="str"/>
      <x:c r="J108" s="20" t="str"/>
      <x:c r="K108" s="18" t="str"/>
      <x:c r="L108" s="22" t="str"/>
      <x:c r="M108" s="18" t="str">
        <x:v>2024-11-11</x:v>
      </x:c>
      <x:c r="N108" s="18" t="str">
        <x:v>SEBI</x:v>
      </x:c>
      <x:c r="O108" s="18" t="str">
        <x:v>Master Circular for Issue of Capital and Disclosure Requirements</x:v>
      </x:c>
      <x:c r="P108" s="18" t="str"/>
      <x:c r="Q108" s="18" t="str">
        <x:v>100</x:v>
      </x:c>
      <x:c r="R108" s="18" t="str">
        <x:v>master_direction</x:v>
      </x:c>
      <x:c r="S108" s="18" t="str">
        <x:v>https://www.sebi.gov.in/legal/master-circulars/nov-2024/master-circular-for-issue-of-capital-and-disclosure-requirements_88398.html</x:v>
      </x:c>
      <x:c r="T108" s="18" t="str">
        <x:v>DEFINED_TERMINAL_OR_FEED_SCOPE</x:v>
      </x:c>
      <x:c r="U108" s="18" t="str">
        <x:v>national_regulatory_watch.json — published records loaded</x:v>
      </x:c>
      <x:c r="V108" s="18" t="str"/>
      <x:c r="W108" s="18" t="str"/>
      <x:c r="X108" s="20" t="n">
        <x:v>151</x:v>
      </x:c>
      <x:c r="Y108" s="19" t="n">
        <x:f>IFERROR(TODAY()-DATEVALUE(C108),"")</x:f>
        <x:v>668</x:v>
      </x:c>
      <x:c r="Z108" s="21" t="n">
        <x:f>ROUND(COUNTA(A108:K108)/11*100,0)</x:f>
        <x:v>100</x:v>
      </x:c>
      <x:c r="AA108" s="18" t="str">
        <x:v>Reserve Bank of India</x:v>
      </x:c>
      <x:c r="AB108" s="22" t="str">
        <x:v>https://www.sebi.gov.in/legal/master-circulars/nov-2024/master-circular-for-issue-of-capital-and-disclosure-requirements_88398.html</x:v>
      </x:c>
      <x:c r="AC108" s="18" t="str">
        <x:v>2024-11-11</x:v>
      </x:c>
      <x:c r="AD108" s="18" t="n">
        <x:v>46275.114583333336</x:v>
      </x:c>
      <x:c r="AE108" s="18" t="str">
        <x:v>retained_terminal</x:v>
      </x:c>
      <x:c r="AF108" s="18" t="str">
        <x:v>READY</x:v>
      </x:c>
    </x:row>
    <x:row r="109">
      <x:c r="A109" s="18" t="str">
        <x:v>NYT-20-e3793b5e491917c6</x:v>
      </x:c>
      <x:c r="B109" s="18" t="str">
        <x:v>Master circular for compliance with the provisions of the Securities and Exchange Board of India (Listing Obligations and Disclosure Requirements) Regulations, 2015 by listed entities</x:v>
      </x:c>
      <x:c r="C109" s="18" t="str">
        <x:v>2024-11-11</x:v>
      </x:c>
      <x:c r="D109" s="18" t="n">
        <x:v>2024</x:v>
      </x:c>
      <x:c r="E109" s="18" t="str">
        <x:v>2024-11</x:v>
      </x:c>
      <x:c r="F109" s="18" t="str"/>
      <x:c r="G109" s="18" t="str"/>
      <x:c r="H109" s="18" t="str"/>
      <x:c r="I109" s="18" t="str"/>
      <x:c r="J109" s="20" t="str"/>
      <x:c r="K109" s="18" t="str"/>
      <x:c r="L109" s="22" t="str"/>
      <x:c r="M109" s="18" t="str">
        <x:v>2024-11-11</x:v>
      </x:c>
      <x:c r="N109" s="18" t="str">
        <x:v>SEBI</x:v>
      </x:c>
      <x:c r="O109" s="18" t="str">
        <x:v>Master circular for compliance with the provisions of the Securities and Exchange Board of India (Listing Obligations and Disclosure Requirements) Regulations, 2015 by listed entities</x:v>
      </x:c>
      <x:c r="P109" s="18" t="str"/>
      <x:c r="Q109" s="18" t="str">
        <x:v>101</x:v>
      </x:c>
      <x:c r="R109" s="18" t="str">
        <x:v>master_direction</x:v>
      </x:c>
      <x:c r="S109" s="18" t="str">
        <x:v>https://www.sebi.gov.in/legal/master-circulars/nov-2024/master-circular-for-compliance-with-the-provisions-of-the-securities-and-exchange-board-of-india-listing-obligations-and-disclosure-requirements-regulations-2015-by-listed-entities_88388.html</x:v>
      </x:c>
      <x:c r="T109" s="18" t="str">
        <x:v>DEFINED_TERMINAL_OR_FEED_SCOPE</x:v>
      </x:c>
      <x:c r="U109" s="18" t="str">
        <x:v>national_regulatory_watch.json — published records loaded</x:v>
      </x:c>
      <x:c r="V109" s="18" t="str"/>
      <x:c r="W109" s="18" t="str"/>
      <x:c r="X109" s="20" t="n">
        <x:v>151</x:v>
      </x:c>
      <x:c r="Y109" s="19" t="n">
        <x:f>IFERROR(TODAY()-DATEVALUE(C109),"")</x:f>
        <x:v>668</x:v>
      </x:c>
      <x:c r="Z109" s="21" t="n">
        <x:f>ROUND(COUNTA(A109:K109)/11*100,0)</x:f>
        <x:v>100</x:v>
      </x:c>
      <x:c r="AA109" s="18" t="str">
        <x:v>Reserve Bank of India</x:v>
      </x:c>
      <x:c r="AB109" s="22" t="str">
        <x:v>https://www.sebi.gov.in/legal/master-circulars/nov-2024/master-circular-for-compliance-with-the-provisions-of-the-securities-and-exchange-board-of-india-listing-obligations-and-disclosure-requirements-regulations-2015-by-listed-entities_88388.html</x:v>
      </x:c>
      <x:c r="AC109" s="18" t="str">
        <x:v>2024-11-11</x:v>
      </x:c>
      <x:c r="AD109" s="18" t="n">
        <x:v>46275.114583333336</x:v>
      </x:c>
      <x:c r="AE109" s="18" t="str">
        <x:v>retained_terminal</x:v>
      </x:c>
      <x:c r="AF109" s="18" t="str">
        <x:v>READY</x:v>
      </x:c>
    </x:row>
    <x:row r="110">
      <x:c r="A110" s="18" t="str">
        <x:v>NYT-20-0cdcc2785cbc12af</x:v>
      </x:c>
      <x:c r="B110" s="18" t="str">
        <x:v>RBI to conduct 3-day Variable Rate Reverse Repo (VRRR) auction under LAF on August 11, 2026</x:v>
      </x:c>
      <x:c r="C110" s="18" t="str">
        <x:v>2026-08-10</x:v>
      </x:c>
      <x:c r="D110" s="18" t="n">
        <x:v>2026</x:v>
      </x:c>
      <x:c r="E110" s="18" t="str">
        <x:v>2026-08</x:v>
      </x:c>
      <x:c r="F110" s="18" t="str"/>
      <x:c r="G110" s="18" t="str"/>
      <x:c r="H110" s="18" t="str"/>
      <x:c r="I110" s="18" t="str"/>
      <x:c r="J110" s="20" t="str"/>
      <x:c r="K110" s="18" t="str"/>
      <x:c r="L110" s="22" t="str"/>
      <x:c r="M110" s="18" t="str">
        <x:v>2026-08-10</x:v>
      </x:c>
      <x:c r="N110" s="18" t="str">
        <x:v>RBI</x:v>
      </x:c>
      <x:c r="O110" s="18" t="str">
        <x:v>RBI to conduct 3-day Variable Rate Reverse Repo (VRRR) auction under LAF on August 11, 2026</x:v>
      </x:c>
      <x:c r="P110" s="18" t="str"/>
      <x:c r="Q110" s="18" t="str">
        <x:v>rbi_63333</x:v>
      </x:c>
      <x:c r="R110" s="18" t="str">
        <x:v>routine</x:v>
      </x:c>
      <x:c r="S110" s="18" t="str">
        <x:v>https://www.rbi.org.in/scripts/BS_PressReleaseDisplay.aspx?prid=63333</x:v>
      </x:c>
      <x:c r="T110" s="18" t="str">
        <x:v>DEFINED_TERMINAL_OR_FEED_SCOPE</x:v>
      </x:c>
      <x:c r="U110" s="18" t="str">
        <x:v>national_regulatory_watch.json — published records loaded</x:v>
      </x:c>
      <x:c r="V110" s="18" t="str"/>
      <x:c r="W110" s="18" t="str"/>
      <x:c r="X110" s="20" t="n">
        <x:v>151</x:v>
      </x:c>
      <x:c r="Y110" s="19" t="n">
        <x:f>IFERROR(TODAY()-DATEVALUE(C110),"")</x:f>
        <x:v>31</x:v>
      </x:c>
      <x:c r="Z110" s="21" t="n">
        <x:f>ROUND(COUNTA(A110:K110)/11*100,0)</x:f>
        <x:v>100</x:v>
      </x:c>
      <x:c r="AA110" s="18" t="str">
        <x:v>Reserve Bank of India</x:v>
      </x:c>
      <x:c r="AB110" s="22" t="str">
        <x:v>https://www.rbi.org.in/scripts/BS_PressReleaseDisplay.aspx?prid=63333</x:v>
      </x:c>
      <x:c r="AC110" s="18" t="str">
        <x:v>2026-08-10</x:v>
      </x:c>
      <x:c r="AD110" s="18" t="n">
        <x:v>46275.114583333336</x:v>
      </x:c>
      <x:c r="AE110" s="18" t="str">
        <x:v>retained_terminal</x:v>
      </x:c>
      <x:c r="AF110" s="18" t="str">
        <x:v>READY</x:v>
      </x:c>
    </x:row>
    <x:row r="111">
      <x:c r="A111" s="18" t="str">
        <x:v>NYT-20-90308934d2ff6b1e</x:v>
      </x:c>
      <x:c r="B111" s="18" t="str">
        <x:v>Premature redemption under Sovereign Gold Bond (SGB) Scheme - Redemption Price for premature redemption of SGB 2019-20 Series IX and SGB 2020-21 Series V due on August 11, 2026</x:v>
      </x:c>
      <x:c r="C111" s="18" t="str">
        <x:v>2026-08-10</x:v>
      </x:c>
      <x:c r="D111" s="18" t="n">
        <x:v>2026</x:v>
      </x:c>
      <x:c r="E111" s="18" t="str">
        <x:v>2026-08</x:v>
      </x:c>
      <x:c r="F111" s="18" t="str"/>
      <x:c r="G111" s="18" t="str"/>
      <x:c r="H111" s="18" t="str"/>
      <x:c r="I111" s="18" t="str"/>
      <x:c r="J111" s="20" t="str"/>
      <x:c r="K111" s="18" t="str"/>
      <x:c r="L111" s="22" t="str">
        <x:v>https://rbidocs.rbi.org.in/rdocs/content/pdfs/SGBN30092019.pdf</x:v>
      </x:c>
      <x:c r="M111" s="18" t="str">
        <x:v>2026-08-10</x:v>
      </x:c>
      <x:c r="N111" s="18" t="str">
        <x:v>RBI</x:v>
      </x:c>
      <x:c r="O111" s="18" t="str">
        <x:v>Premature redemption under Sovereign Gold Bond (SGB) Scheme - Redemption Price for premature redemption of SGB 2019-20 Series IX and SGB 2020-21 Series V due on August 11, 2026</x:v>
      </x:c>
      <x:c r="P111" s="18" t="str"/>
      <x:c r="Q111" s="18" t="str">
        <x:v>rbi_63332</x:v>
      </x:c>
      <x:c r="R111" s="18" t="str">
        <x:v>routine</x:v>
      </x:c>
      <x:c r="S111" s="18" t="str">
        <x:v>https://www.rbi.org.in/scripts/BS_PressReleaseDisplay.aspx?prid=63332</x:v>
      </x:c>
      <x:c r="T111" s="18" t="str">
        <x:v>DEFINED_TERMINAL_OR_FEED_SCOPE</x:v>
      </x:c>
      <x:c r="U111" s="18" t="str">
        <x:v>national_regulatory_watch.json — published records loaded</x:v>
      </x:c>
      <x:c r="V111" s="18" t="str"/>
      <x:c r="W111" s="18" t="str"/>
      <x:c r="X111" s="20" t="n">
        <x:v>151</x:v>
      </x:c>
      <x:c r="Y111" s="19" t="n">
        <x:f>IFERROR(TODAY()-DATEVALUE(C111),"")</x:f>
        <x:v>31</x:v>
      </x:c>
      <x:c r="Z111" s="21" t="n">
        <x:f>ROUND(COUNTA(A111:K111)/11*100,0)</x:f>
        <x:v>100</x:v>
      </x:c>
      <x:c r="AA111" s="18" t="str">
        <x:v>Reserve Bank of India</x:v>
      </x:c>
      <x:c r="AB111" s="22" t="str">
        <x:v>https://www.rbi.org.in/scripts/BS_PressReleaseDisplay.aspx?prid=63332</x:v>
      </x:c>
      <x:c r="AC111" s="18" t="str">
        <x:v>2026-08-10</x:v>
      </x:c>
      <x:c r="AD111" s="18" t="n">
        <x:v>46275.114583333336</x:v>
      </x:c>
      <x:c r="AE111" s="18" t="str">
        <x:v>retained_terminal</x:v>
      </x:c>
      <x:c r="AF111" s="18" t="str">
        <x:v>READY</x:v>
      </x:c>
    </x:row>
    <x:row r="112">
      <x:c r="A112" s="18" t="str">
        <x:v>NYT-20-710bfacc8c47190b</x:v>
      </x:c>
      <x:c r="B112" s="18" t="str">
        <x:v>RBI imposes monetary penalty on The Amravati District Central Co-operative Bank Ltd., Maharashtra</x:v>
      </x:c>
      <x:c r="C112" s="18" t="str">
        <x:v>2026-08-10</x:v>
      </x:c>
      <x:c r="D112" s="18" t="n">
        <x:v>2026</x:v>
      </x:c>
      <x:c r="E112" s="18" t="str">
        <x:v>2026-08</x:v>
      </x:c>
      <x:c r="F112" s="18" t="str"/>
      <x:c r="G112" s="18" t="str"/>
      <x:c r="H112" s="18" t="str"/>
      <x:c r="I112" s="18" t="str"/>
      <x:c r="J112" s="20" t="str"/>
      <x:c r="K112" s="18" t="str"/>
      <x:c r="L112" s="22" t="str"/>
      <x:c r="M112" s="18" t="str">
        <x:v>2026-08-10</x:v>
      </x:c>
      <x:c r="N112" s="18" t="str">
        <x:v>RBI</x:v>
      </x:c>
      <x:c r="O112" s="18" t="str">
        <x:v>RBI imposes monetary penalty on The Amravati District Central Co-operative Bank Ltd., Maharashtra</x:v>
      </x:c>
      <x:c r="P112" s="18" t="str"/>
      <x:c r="Q112" s="18" t="str">
        <x:v>rbi_63331</x:v>
      </x:c>
      <x:c r="R112" s="18" t="str">
        <x:v>penalty</x:v>
      </x:c>
      <x:c r="S112" s="18" t="str">
        <x:v>https://www.rbi.org.in/scripts/BS_PressReleaseDisplay.aspx?prid=63331</x:v>
      </x:c>
      <x:c r="T112" s="18" t="str">
        <x:v>DEFINED_TERMINAL_OR_FEED_SCOPE</x:v>
      </x:c>
      <x:c r="U112" s="18" t="str">
        <x:v>national_regulatory_watch.json — published records loaded</x:v>
      </x:c>
      <x:c r="V112" s="18" t="str"/>
      <x:c r="W112" s="18" t="str"/>
      <x:c r="X112" s="20" t="n">
        <x:v>151</x:v>
      </x:c>
      <x:c r="Y112" s="19" t="n">
        <x:f>IFERROR(TODAY()-DATEVALUE(C112),"")</x:f>
        <x:v>31</x:v>
      </x:c>
      <x:c r="Z112" s="21" t="n">
        <x:f>ROUND(COUNTA(A112:K112)/11*100,0)</x:f>
        <x:v>100</x:v>
      </x:c>
      <x:c r="AA112" s="18" t="str">
        <x:v>Reserve Bank of India</x:v>
      </x:c>
      <x:c r="AB112" s="22" t="str">
        <x:v>https://www.rbi.org.in/scripts/BS_PressReleaseDisplay.aspx?prid=63331</x:v>
      </x:c>
      <x:c r="AC112" s="18" t="str">
        <x:v>2026-08-10</x:v>
      </x:c>
      <x:c r="AD112" s="18" t="n">
        <x:v>46275.114583333336</x:v>
      </x:c>
      <x:c r="AE112" s="18" t="str">
        <x:v>retained_terminal</x:v>
      </x:c>
      <x:c r="AF112" s="18" t="str">
        <x:v>READY</x:v>
      </x:c>
    </x:row>
    <x:row r="113">
      <x:c r="A113" s="18" t="str">
        <x:v>NYT-20-26a8eb0f774181c6</x:v>
      </x:c>
      <x:c r="B113" s="18" t="str">
        <x:v>Auction of Government of India Dated Securities</x:v>
      </x:c>
      <x:c r="C113" s="18" t="str">
        <x:v>2026-08-10</x:v>
      </x:c>
      <x:c r="D113" s="18" t="n">
        <x:v>2026</x:v>
      </x:c>
      <x:c r="E113" s="18" t="str">
        <x:v>2026-08</x:v>
      </x:c>
      <x:c r="F113" s="18" t="str"/>
      <x:c r="G113" s="18" t="str"/>
      <x:c r="H113" s="18" t="str"/>
      <x:c r="I113" s="18" t="str"/>
      <x:c r="J113" s="20" t="str"/>
      <x:c r="K113" s="18" t="str"/>
      <x:c r="L113" s="22" t="str">
        <x:v>https://rbidocs.rbi.org.in/rdocs/content/pdfs/GSECN10082026.pdf</x:v>
      </x:c>
      <x:c r="M113" s="18" t="str">
        <x:v>2026-08-10</x:v>
      </x:c>
      <x:c r="N113" s="18" t="str">
        <x:v>RBI</x:v>
      </x:c>
      <x:c r="O113" s="18" t="str">
        <x:v>Auction of Government of India Dated Securities</x:v>
      </x:c>
      <x:c r="P113" s="18" t="str"/>
      <x:c r="Q113" s="18" t="str">
        <x:v>rbi_63330</x:v>
      </x:c>
      <x:c r="R113" s="18" t="str">
        <x:v>routine</x:v>
      </x:c>
      <x:c r="S113" s="18" t="str">
        <x:v>https://www.rbi.org.in/scripts/BS_PressReleaseDisplay.aspx?prid=63330</x:v>
      </x:c>
      <x:c r="T113" s="18" t="str">
        <x:v>DEFINED_TERMINAL_OR_FEED_SCOPE</x:v>
      </x:c>
      <x:c r="U113" s="18" t="str">
        <x:v>national_regulatory_watch.json — published records loaded</x:v>
      </x:c>
      <x:c r="V113" s="18" t="str"/>
      <x:c r="W113" s="18" t="str"/>
      <x:c r="X113" s="20" t="n">
        <x:v>151</x:v>
      </x:c>
      <x:c r="Y113" s="19" t="n">
        <x:f>IFERROR(TODAY()-DATEVALUE(C113),"")</x:f>
        <x:v>31</x:v>
      </x:c>
      <x:c r="Z113" s="21" t="n">
        <x:f>ROUND(COUNTA(A113:K113)/11*100,0)</x:f>
        <x:v>100</x:v>
      </x:c>
      <x:c r="AA113" s="18" t="str">
        <x:v>Reserve Bank of India</x:v>
      </x:c>
      <x:c r="AB113" s="22" t="str">
        <x:v>https://www.rbi.org.in/scripts/BS_PressReleaseDisplay.aspx?prid=63330</x:v>
      </x:c>
      <x:c r="AC113" s="18" t="str">
        <x:v>2026-08-10</x:v>
      </x:c>
      <x:c r="AD113" s="18" t="n">
        <x:v>46275.114583333336</x:v>
      </x:c>
      <x:c r="AE113" s="18" t="str">
        <x:v>retained_terminal</x:v>
      </x:c>
      <x:c r="AF113" s="18" t="str">
        <x:v>READY</x:v>
      </x:c>
    </x:row>
    <x:row r="114">
      <x:c r="A114" s="18" t="str">
        <x:v>NYT-20-a348b45c586d2aeb</x:v>
      </x:c>
      <x:c r="B114" s="18" t="str">
        <x:v>Money Supply for the fortnight ended on July 31, 2026</x:v>
      </x:c>
      <x:c r="C114" s="18" t="str">
        <x:v>2026-08-10</x:v>
      </x:c>
      <x:c r="D114" s="18" t="n">
        <x:v>2026</x:v>
      </x:c>
      <x:c r="E114" s="18" t="str">
        <x:v>2026-08</x:v>
      </x:c>
      <x:c r="F114" s="18" t="str"/>
      <x:c r="G114" s="18" t="str"/>
      <x:c r="H114" s="18" t="str"/>
      <x:c r="I114" s="18" t="str"/>
      <x:c r="J114" s="20" t="str"/>
      <x:c r="K114" s="18" t="str"/>
      <x:c r="L114" s="22" t="str"/>
      <x:c r="M114" s="18" t="str">
        <x:v>2026-08-10</x:v>
      </x:c>
      <x:c r="N114" s="18" t="str">
        <x:v>RBI</x:v>
      </x:c>
      <x:c r="O114" s="18" t="str">
        <x:v>Money Supply for the fortnight ended on July 31, 2026</x:v>
      </x:c>
      <x:c r="P114" s="18" t="str"/>
      <x:c r="Q114" s="18" t="str">
        <x:v>rbi_63329</x:v>
      </x:c>
      <x:c r="R114" s="18" t="str">
        <x:v>other</x:v>
      </x:c>
      <x:c r="S114" s="18" t="str">
        <x:v>https://www.rbi.org.in/scripts/BS_PressReleaseDisplay.aspx?prid=63329</x:v>
      </x:c>
      <x:c r="T114" s="18" t="str">
        <x:v>DEFINED_TERMINAL_OR_FEED_SCOPE</x:v>
      </x:c>
      <x:c r="U114" s="18" t="str">
        <x:v>national_regulatory_watch.json — published records loaded</x:v>
      </x:c>
      <x:c r="V114" s="18" t="str"/>
      <x:c r="W114" s="18" t="str"/>
      <x:c r="X114" s="20" t="n">
        <x:v>151</x:v>
      </x:c>
      <x:c r="Y114" s="19" t="n">
        <x:f>IFERROR(TODAY()-DATEVALUE(C114),"")</x:f>
        <x:v>31</x:v>
      </x:c>
      <x:c r="Z114" s="21" t="n">
        <x:f>ROUND(COUNTA(A114:K114)/11*100,0)</x:f>
        <x:v>100</x:v>
      </x:c>
      <x:c r="AA114" s="18" t="str">
        <x:v>Reserve Bank of India</x:v>
      </x:c>
      <x:c r="AB114" s="22" t="str">
        <x:v>https://www.rbi.org.in/scripts/BS_PressReleaseDisplay.aspx?prid=63329</x:v>
      </x:c>
      <x:c r="AC114" s="18" t="str">
        <x:v>2026-08-10</x:v>
      </x:c>
      <x:c r="AD114" s="18" t="n">
        <x:v>46275.114583333336</x:v>
      </x:c>
      <x:c r="AE114" s="18" t="str">
        <x:v>retained_terminal</x:v>
      </x:c>
      <x:c r="AF114" s="18" t="str">
        <x:v>READY</x:v>
      </x:c>
    </x:row>
    <x:row r="115">
      <x:c r="A115" s="18" t="str">
        <x:v>NYT-20-47d718792960aab6</x:v>
      </x:c>
      <x:c r="B115" s="18" t="str">
        <x:v>Money Market Operations as on August 09, 2026</x:v>
      </x:c>
      <x:c r="C115" s="18" t="str">
        <x:v>2026-08-10</x:v>
      </x:c>
      <x:c r="D115" s="18" t="n">
        <x:v>2026</x:v>
      </x:c>
      <x:c r="E115" s="18" t="str">
        <x:v>2026-08</x:v>
      </x:c>
      <x:c r="F115" s="18" t="str"/>
      <x:c r="G115" s="18" t="str"/>
      <x:c r="H115" s="18" t="str"/>
      <x:c r="I115" s="18" t="str"/>
      <x:c r="J115" s="20" t="str"/>
      <x:c r="K115" s="18" t="str"/>
      <x:c r="L115" s="22" t="str"/>
      <x:c r="M115" s="18" t="str">
        <x:v>2026-08-10</x:v>
      </x:c>
      <x:c r="N115" s="18" t="str">
        <x:v>RBI</x:v>
      </x:c>
      <x:c r="O115" s="18" t="str">
        <x:v>Money Market Operations as on August 09, 2026</x:v>
      </x:c>
      <x:c r="P115" s="18" t="str"/>
      <x:c r="Q115" s="18" t="str">
        <x:v>rbi_63328</x:v>
      </x:c>
      <x:c r="R115" s="18" t="str">
        <x:v>routine</x:v>
      </x:c>
      <x:c r="S115" s="18" t="str">
        <x:v>https://www.rbi.org.in/scripts/BS_PressReleaseDisplay.aspx?prid=63328</x:v>
      </x:c>
      <x:c r="T115" s="18" t="str">
        <x:v>DEFINED_TERMINAL_OR_FEED_SCOPE</x:v>
      </x:c>
      <x:c r="U115" s="18" t="str">
        <x:v>national_regulatory_watch.json — published records loaded</x:v>
      </x:c>
      <x:c r="V115" s="18" t="str"/>
      <x:c r="W115" s="18" t="str"/>
      <x:c r="X115" s="20" t="n">
        <x:v>151</x:v>
      </x:c>
      <x:c r="Y115" s="19" t="n">
        <x:f>IFERROR(TODAY()-DATEVALUE(C115),"")</x:f>
        <x:v>31</x:v>
      </x:c>
      <x:c r="Z115" s="21" t="n">
        <x:f>ROUND(COUNTA(A115:K115)/11*100,0)</x:f>
        <x:v>100</x:v>
      </x:c>
      <x:c r="AA115" s="18" t="str">
        <x:v>Reserve Bank of India</x:v>
      </x:c>
      <x:c r="AB115" s="22" t="str">
        <x:v>https://www.rbi.org.in/scripts/BS_PressReleaseDisplay.aspx?prid=63328</x:v>
      </x:c>
      <x:c r="AC115" s="18" t="str">
        <x:v>2026-08-10</x:v>
      </x:c>
      <x:c r="AD115" s="18" t="n">
        <x:v>46275.114583333336</x:v>
      </x:c>
      <x:c r="AE115" s="18" t="str">
        <x:v>retained_terminal</x:v>
      </x:c>
      <x:c r="AF115" s="18" t="str">
        <x:v>READY</x:v>
      </x:c>
    </x:row>
    <x:row r="116">
      <x:c r="A116" s="18" t="str">
        <x:v>NYT-20-cb90bc1ff2f88515</x:v>
      </x:c>
      <x:c r="B116" s="18" t="str">
        <x:v>Money Market Operations as on August 08, 2026</x:v>
      </x:c>
      <x:c r="C116" s="18" t="str">
        <x:v>2026-08-10</x:v>
      </x:c>
      <x:c r="D116" s="18" t="n">
        <x:v>2026</x:v>
      </x:c>
      <x:c r="E116" s="18" t="str">
        <x:v>2026-08</x:v>
      </x:c>
      <x:c r="F116" s="18" t="str"/>
      <x:c r="G116" s="18" t="str"/>
      <x:c r="H116" s="18" t="str"/>
      <x:c r="I116" s="18" t="str"/>
      <x:c r="J116" s="20" t="str"/>
      <x:c r="K116" s="18" t="str"/>
      <x:c r="L116" s="22" t="str"/>
      <x:c r="M116" s="18" t="str">
        <x:v>2026-08-10</x:v>
      </x:c>
      <x:c r="N116" s="18" t="str">
        <x:v>RBI</x:v>
      </x:c>
      <x:c r="O116" s="18" t="str">
        <x:v>Money Market Operations as on August 08, 2026</x:v>
      </x:c>
      <x:c r="P116" s="18" t="str"/>
      <x:c r="Q116" s="18" t="str">
        <x:v>rbi_63327</x:v>
      </x:c>
      <x:c r="R116" s="18" t="str">
        <x:v>routine</x:v>
      </x:c>
      <x:c r="S116" s="18" t="str">
        <x:v>https://www.rbi.org.in/scripts/BS_PressReleaseDisplay.aspx?prid=63327</x:v>
      </x:c>
      <x:c r="T116" s="18" t="str">
        <x:v>DEFINED_TERMINAL_OR_FEED_SCOPE</x:v>
      </x:c>
      <x:c r="U116" s="18" t="str">
        <x:v>national_regulatory_watch.json — published records loaded</x:v>
      </x:c>
      <x:c r="V116" s="18" t="str"/>
      <x:c r="W116" s="18" t="str"/>
      <x:c r="X116" s="20" t="n">
        <x:v>151</x:v>
      </x:c>
      <x:c r="Y116" s="19" t="n">
        <x:f>IFERROR(TODAY()-DATEVALUE(C116),"")</x:f>
        <x:v>31</x:v>
      </x:c>
      <x:c r="Z116" s="21" t="n">
        <x:f>ROUND(COUNTA(A116:K116)/11*100,0)</x:f>
        <x:v>100</x:v>
      </x:c>
      <x:c r="AA116" s="18" t="str">
        <x:v>Reserve Bank of India</x:v>
      </x:c>
      <x:c r="AB116" s="22" t="str">
        <x:v>https://www.rbi.org.in/scripts/BS_PressReleaseDisplay.aspx?prid=63327</x:v>
      </x:c>
      <x:c r="AC116" s="18" t="str">
        <x:v>2026-08-10</x:v>
      </x:c>
      <x:c r="AD116" s="18" t="n">
        <x:v>46275.114583333336</x:v>
      </x:c>
      <x:c r="AE116" s="18" t="str">
        <x:v>retained_terminal</x:v>
      </x:c>
      <x:c r="AF116" s="18" t="str">
        <x:v>READY</x:v>
      </x:c>
    </x:row>
    <x:row r="117">
      <x:c r="A117" s="18" t="str">
        <x:v>NYT-20-a347113ab0eeba31</x:v>
      </x:c>
      <x:c r="B117" s="18" t="str">
        <x:v>Result of the Overnight Variable Rate Reverse Repo (VRRR) auction held on August 10, 2026</x:v>
      </x:c>
      <x:c r="C117" s="18" t="str">
        <x:v>2026-08-10</x:v>
      </x:c>
      <x:c r="D117" s="18" t="n">
        <x:v>2026</x:v>
      </x:c>
      <x:c r="E117" s="18" t="str">
        <x:v>2026-08</x:v>
      </x:c>
      <x:c r="F117" s="18" t="str"/>
      <x:c r="G117" s="18" t="str"/>
      <x:c r="H117" s="18" t="str"/>
      <x:c r="I117" s="18" t="str"/>
      <x:c r="J117" s="20" t="str"/>
      <x:c r="K117" s="18" t="str"/>
      <x:c r="L117" s="22" t="str"/>
      <x:c r="M117" s="18" t="str">
        <x:v>2026-08-10</x:v>
      </x:c>
      <x:c r="N117" s="18" t="str">
        <x:v>RBI</x:v>
      </x:c>
      <x:c r="O117" s="18" t="str">
        <x:v>Result of the Overnight Variable Rate Reverse Repo (VRRR) auction held on August 10, 2026</x:v>
      </x:c>
      <x:c r="P117" s="18" t="str"/>
      <x:c r="Q117" s="18" t="str">
        <x:v>rbi_63326</x:v>
      </x:c>
      <x:c r="R117" s="18" t="str">
        <x:v>routine</x:v>
      </x:c>
      <x:c r="S117" s="18" t="str">
        <x:v>https://www.rbi.org.in/scripts/BS_PressReleaseDisplay.aspx?prid=63326</x:v>
      </x:c>
      <x:c r="T117" s="18" t="str">
        <x:v>DEFINED_TERMINAL_OR_FEED_SCOPE</x:v>
      </x:c>
      <x:c r="U117" s="18" t="str">
        <x:v>national_regulatory_watch.json — published records loaded</x:v>
      </x:c>
      <x:c r="V117" s="18" t="str"/>
      <x:c r="W117" s="18" t="str"/>
      <x:c r="X117" s="20" t="n">
        <x:v>151</x:v>
      </x:c>
      <x:c r="Y117" s="19" t="n">
        <x:f>IFERROR(TODAY()-DATEVALUE(C117),"")</x:f>
        <x:v>31</x:v>
      </x:c>
      <x:c r="Z117" s="21" t="n">
        <x:f>ROUND(COUNTA(A117:K117)/11*100,0)</x:f>
        <x:v>100</x:v>
      </x:c>
      <x:c r="AA117" s="18" t="str">
        <x:v>Reserve Bank of India</x:v>
      </x:c>
      <x:c r="AB117" s="22" t="str">
        <x:v>https://www.rbi.org.in/scripts/BS_PressReleaseDisplay.aspx?prid=63326</x:v>
      </x:c>
      <x:c r="AC117" s="18" t="str">
        <x:v>2026-08-10</x:v>
      </x:c>
      <x:c r="AD117" s="18" t="n">
        <x:v>46275.114583333336</x:v>
      </x:c>
      <x:c r="AE117" s="18" t="str">
        <x:v>retained_terminal</x:v>
      </x:c>
      <x:c r="AF117" s="18" t="str">
        <x:v>READY</x:v>
      </x:c>
    </x:row>
    <x:row r="118">
      <x:c r="A118" s="18" t="str">
        <x:v>NYT-20-8ee5b455c9e57c85</x:v>
      </x:c>
      <x:c r="B118" s="18" t="str">
        <x:v>RBI to conduct Overnight Variable Rate Reverse Repo (VRRR) auction under LAF on August 10, 2026</x:v>
      </x:c>
      <x:c r="C118" s="18" t="str">
        <x:v>2026-08-10</x:v>
      </x:c>
      <x:c r="D118" s="18" t="n">
        <x:v>2026</x:v>
      </x:c>
      <x:c r="E118" s="18" t="str">
        <x:v>2026-08</x:v>
      </x:c>
      <x:c r="F118" s="18" t="str"/>
      <x:c r="G118" s="18" t="str"/>
      <x:c r="H118" s="18" t="str"/>
      <x:c r="I118" s="18" t="str"/>
      <x:c r="J118" s="20" t="str"/>
      <x:c r="K118" s="18" t="str"/>
      <x:c r="L118" s="22" t="str"/>
      <x:c r="M118" s="18" t="str">
        <x:v>2026-08-10</x:v>
      </x:c>
      <x:c r="N118" s="18" t="str">
        <x:v>RBI</x:v>
      </x:c>
      <x:c r="O118" s="18" t="str">
        <x:v>RBI to conduct Overnight Variable Rate Reverse Repo (VRRR) auction under LAF on August 10, 2026</x:v>
      </x:c>
      <x:c r="P118" s="18" t="str"/>
      <x:c r="Q118" s="18" t="str">
        <x:v>rbi_63325</x:v>
      </x:c>
      <x:c r="R118" s="18" t="str">
        <x:v>routine</x:v>
      </x:c>
      <x:c r="S118" s="18" t="str">
        <x:v>https://www.rbi.org.in/scripts/BS_PressReleaseDisplay.aspx?prid=63325</x:v>
      </x:c>
      <x:c r="T118" s="18" t="str">
        <x:v>DEFINED_TERMINAL_OR_FEED_SCOPE</x:v>
      </x:c>
      <x:c r="U118" s="18" t="str">
        <x:v>national_regulatory_watch.json — published records loaded</x:v>
      </x:c>
      <x:c r="V118" s="18" t="str"/>
      <x:c r="W118" s="18" t="str"/>
      <x:c r="X118" s="20" t="n">
        <x:v>151</x:v>
      </x:c>
      <x:c r="Y118" s="19" t="n">
        <x:f>IFERROR(TODAY()-DATEVALUE(C118),"")</x:f>
        <x:v>31</x:v>
      </x:c>
      <x:c r="Z118" s="21" t="n">
        <x:f>ROUND(COUNTA(A118:K118)/11*100,0)</x:f>
        <x:v>100</x:v>
      </x:c>
      <x:c r="AA118" s="18" t="str">
        <x:v>Reserve Bank of India</x:v>
      </x:c>
      <x:c r="AB118" s="22" t="str">
        <x:v>https://www.rbi.org.in/scripts/BS_PressReleaseDisplay.aspx?prid=63325</x:v>
      </x:c>
      <x:c r="AC118" s="18" t="str">
        <x:v>2026-08-10</x:v>
      </x:c>
      <x:c r="AD118" s="18" t="n">
        <x:v>46275.114583333336</x:v>
      </x:c>
      <x:c r="AE118" s="18" t="str">
        <x:v>retained_terminal</x:v>
      </x:c>
      <x:c r="AF118" s="18" t="str">
        <x:v>READY</x:v>
      </x:c>
    </x:row>
    <x:row r="119">
      <x:c r="A119" s="18" t="str">
        <x:v>NYT-20-22e8c392f5847f38</x:v>
      </x:c>
      <x:c r="B119" s="18" t="str">
        <x:v>Result of the 7-day Variable Rate Reverse Repo (VRRR) auction held on August 10, 2026</x:v>
      </x:c>
      <x:c r="C119" s="18" t="str">
        <x:v>2026-08-10</x:v>
      </x:c>
      <x:c r="D119" s="18" t="n">
        <x:v>2026</x:v>
      </x:c>
      <x:c r="E119" s="18" t="str">
        <x:v>2026-08</x:v>
      </x:c>
      <x:c r="F119" s="18" t="str"/>
      <x:c r="G119" s="18" t="str"/>
      <x:c r="H119" s="18" t="str"/>
      <x:c r="I119" s="18" t="str"/>
      <x:c r="J119" s="20" t="str"/>
      <x:c r="K119" s="18" t="str"/>
      <x:c r="L119" s="22" t="str"/>
      <x:c r="M119" s="18" t="str">
        <x:v>2026-08-10</x:v>
      </x:c>
      <x:c r="N119" s="18" t="str">
        <x:v>RBI</x:v>
      </x:c>
      <x:c r="O119" s="18" t="str">
        <x:v>Result of the 7-day Variable Rate Reverse Repo (VRRR) auction held on August 10, 2026</x:v>
      </x:c>
      <x:c r="P119" s="18" t="str"/>
      <x:c r="Q119" s="18" t="str">
        <x:v>rbi_63324</x:v>
      </x:c>
      <x:c r="R119" s="18" t="str">
        <x:v>routine</x:v>
      </x:c>
      <x:c r="S119" s="18" t="str">
        <x:v>https://www.rbi.org.in/scripts/BS_PressReleaseDisplay.aspx?prid=63324</x:v>
      </x:c>
      <x:c r="T119" s="18" t="str">
        <x:v>DEFINED_TERMINAL_OR_FEED_SCOPE</x:v>
      </x:c>
      <x:c r="U119" s="18" t="str">
        <x:v>national_regulatory_watch.json — published records loaded</x:v>
      </x:c>
      <x:c r="V119" s="18" t="str"/>
      <x:c r="W119" s="18" t="str"/>
      <x:c r="X119" s="20" t="n">
        <x:v>151</x:v>
      </x:c>
      <x:c r="Y119" s="19" t="n">
        <x:f>IFERROR(TODAY()-DATEVALUE(C119),"")</x:f>
        <x:v>31</x:v>
      </x:c>
      <x:c r="Z119" s="21" t="n">
        <x:f>ROUND(COUNTA(A119:K119)/11*100,0)</x:f>
        <x:v>100</x:v>
      </x:c>
      <x:c r="AA119" s="18" t="str">
        <x:v>Reserve Bank of India</x:v>
      </x:c>
      <x:c r="AB119" s="22" t="str">
        <x:v>https://www.rbi.org.in/scripts/BS_PressReleaseDisplay.aspx?prid=63324</x:v>
      </x:c>
      <x:c r="AC119" s="18" t="str">
        <x:v>2026-08-10</x:v>
      </x:c>
      <x:c r="AD119" s="18" t="n">
        <x:v>46275.114583333336</x:v>
      </x:c>
      <x:c r="AE119" s="18" t="str">
        <x:v>retained_terminal</x:v>
      </x:c>
      <x:c r="AF119" s="18" t="str">
        <x:v>READY</x:v>
      </x:c>
    </x:row>
    <x:row r="120">
      <x:c r="A120" s="18" t="str">
        <x:v>NYT-20-9f27372a774f7ce6</x:v>
      </x:c>
      <x:c r="B120" s="18" t="str">
        <x:v>Formation of new districts in the Union Territory of Ladakh – Assignment of Lead Bank Responsibility</x:v>
      </x:c>
      <x:c r="C120" s="18" t="str">
        <x:v>2026-08-10</x:v>
      </x:c>
      <x:c r="D120" s="18" t="n">
        <x:v>2026</x:v>
      </x:c>
      <x:c r="E120" s="18" t="str">
        <x:v>2026-08</x:v>
      </x:c>
      <x:c r="F120" s="18" t="str"/>
      <x:c r="G120" s="18" t="str"/>
      <x:c r="H120" s="18" t="str"/>
      <x:c r="I120" s="18" t="str"/>
      <x:c r="J120" s="20" t="str"/>
      <x:c r="K120" s="18" t="str"/>
      <x:c r="L120" s="22" t="str"/>
      <x:c r="M120" s="18" t="str">
        <x:v>2026-08-10</x:v>
      </x:c>
      <x:c r="N120" s="18" t="str">
        <x:v>RBI</x:v>
      </x:c>
      <x:c r="O120" s="18" t="str">
        <x:v>Formation of new districts in the Union Territory of Ladakh – Assignment of Lead Bank Responsibility</x:v>
      </x:c>
      <x:c r="P120" s="18" t="str"/>
      <x:c r="Q120" s="18" t="str">
        <x:v>rbi_13675</x:v>
      </x:c>
      <x:c r="R120" s="18" t="str">
        <x:v>other</x:v>
      </x:c>
      <x:c r="S120" s="18" t="str">
        <x:v>https://www.rbi.org.in/scripts/NotificationUser.aspx?Id=13675&amp;Mode=0</x:v>
      </x:c>
      <x:c r="T120" s="18" t="str">
        <x:v>DEFINED_TERMINAL_OR_FEED_SCOPE</x:v>
      </x:c>
      <x:c r="U120" s="18" t="str">
        <x:v>national_regulatory_watch.json — published records loaded</x:v>
      </x:c>
      <x:c r="V120" s="18" t="str"/>
      <x:c r="W120" s="18" t="str"/>
      <x:c r="X120" s="20" t="n">
        <x:v>151</x:v>
      </x:c>
      <x:c r="Y120" s="19" t="n">
        <x:f>IFERROR(TODAY()-DATEVALUE(C120),"")</x:f>
        <x:v>31</x:v>
      </x:c>
      <x:c r="Z120" s="21" t="n">
        <x:f>ROUND(COUNTA(A120:K120)/11*100,0)</x:f>
        <x:v>100</x:v>
      </x:c>
      <x:c r="AA120" s="18" t="str">
        <x:v>Reserve Bank of India</x:v>
      </x:c>
      <x:c r="AB120" s="22" t="str">
        <x:v>https://www.rbi.org.in/scripts/NotificationUser.aspx?Id=13675&amp;Mode=0</x:v>
      </x:c>
      <x:c r="AC120" s="18" t="str">
        <x:v>2026-08-10</x:v>
      </x:c>
      <x:c r="AD120" s="18" t="n">
        <x:v>46275.114583333336</x:v>
      </x:c>
      <x:c r="AE120" s="18" t="str">
        <x:v>retained_terminal</x:v>
      </x:c>
      <x:c r="AF120" s="18" t="str">
        <x:v>READY</x:v>
      </x:c>
    </x:row>
    <x:row r="121">
      <x:c r="A121" s="18" t="str">
        <x:v>NYT-20-fc769a5d55f8853d</x:v>
      </x:c>
      <x:c r="B121" s="18" t="str">
        <x:v>Reserve Bank of India (Priority Sector Lending – Targets and Classification) Second Amendment Directions, 2026</x:v>
      </x:c>
      <x:c r="C121" s="18" t="str">
        <x:v>2026-08-07</x:v>
      </x:c>
      <x:c r="D121" s="18" t="n">
        <x:v>2026</x:v>
      </x:c>
      <x:c r="E121" s="18" t="str">
        <x:v>2026-08</x:v>
      </x:c>
      <x:c r="F121" s="18" t="str"/>
      <x:c r="G121" s="18" t="str"/>
      <x:c r="H121" s="18" t="str"/>
      <x:c r="I121" s="18" t="str"/>
      <x:c r="J121" s="20" t="str"/>
      <x:c r="K121" s="18" t="str"/>
      <x:c r="L121" s="22" t="str"/>
      <x:c r="M121" s="18" t="str">
        <x:v>2026-08-07</x:v>
      </x:c>
      <x:c r="N121" s="18" t="str">
        <x:v>RBI</x:v>
      </x:c>
      <x:c r="O121" s="18" t="str">
        <x:v>Reserve Bank of India (Priority Sector Lending – Targets and Classification) Second Amendment Directions, 2026</x:v>
      </x:c>
      <x:c r="P121" s="18" t="str"/>
      <x:c r="Q121" s="18" t="str">
        <x:v>rbi_13674</x:v>
      </x:c>
      <x:c r="R121" s="18" t="str">
        <x:v>other</x:v>
      </x:c>
      <x:c r="S121" s="18" t="str">
        <x:v>https://www.rbi.org.in/scripts/NotificationUser.aspx?Id=13674&amp;Mode=0</x:v>
      </x:c>
      <x:c r="T121" s="18" t="str">
        <x:v>DEFINED_TERMINAL_OR_FEED_SCOPE</x:v>
      </x:c>
      <x:c r="U121" s="18" t="str">
        <x:v>national_regulatory_watch.json — published records loaded</x:v>
      </x:c>
      <x:c r="V121" s="18" t="str"/>
      <x:c r="W121" s="18" t="str"/>
      <x:c r="X121" s="20" t="n">
        <x:v>151</x:v>
      </x:c>
      <x:c r="Y121" s="19" t="n">
        <x:f>IFERROR(TODAY()-DATEVALUE(C121),"")</x:f>
        <x:v>34</x:v>
      </x:c>
      <x:c r="Z121" s="21" t="n">
        <x:f>ROUND(COUNTA(A121:K121)/11*100,0)</x:f>
        <x:v>100</x:v>
      </x:c>
      <x:c r="AA121" s="18" t="str">
        <x:v>Reserve Bank of India</x:v>
      </x:c>
      <x:c r="AB121" s="22" t="str">
        <x:v>https://www.rbi.org.in/scripts/NotificationUser.aspx?Id=13674&amp;Mode=0</x:v>
      </x:c>
      <x:c r="AC121" s="18" t="str">
        <x:v>2026-08-07</x:v>
      </x:c>
      <x:c r="AD121" s="18" t="n">
        <x:v>46275.114583333336</x:v>
      </x:c>
      <x:c r="AE121" s="18" t="str">
        <x:v>retained_terminal</x:v>
      </x:c>
      <x:c r="AF121" s="18" t="str">
        <x:v>READY</x:v>
      </x:c>
    </x:row>
    <x:row r="122">
      <x:c r="A122" s="18" t="str">
        <x:v>NYT-20-aac456089e4d1b17</x:v>
      </x:c>
      <x:c r="B122" s="18" t="str">
        <x:v>Reserve Bank of India (Housing Finance Companies) Third Amendment Directions, 2026</x:v>
      </x:c>
      <x:c r="C122" s="18" t="str">
        <x:v>2026-08-06</x:v>
      </x:c>
      <x:c r="D122" s="18" t="n">
        <x:v>2026</x:v>
      </x:c>
      <x:c r="E122" s="18" t="str">
        <x:v>2026-08</x:v>
      </x:c>
      <x:c r="F122" s="18" t="str"/>
      <x:c r="G122" s="18" t="str"/>
      <x:c r="H122" s="18" t="str"/>
      <x:c r="I122" s="18" t="str"/>
      <x:c r="J122" s="20" t="str"/>
      <x:c r="K122" s="18" t="str"/>
      <x:c r="L122" s="22" t="str"/>
      <x:c r="M122" s="18" t="str">
        <x:v>2026-08-06</x:v>
      </x:c>
      <x:c r="N122" s="18" t="str">
        <x:v>RBI</x:v>
      </x:c>
      <x:c r="O122" s="18" t="str">
        <x:v>Reserve Bank of India (Housing Finance Companies) Third Amendment Directions, 2026</x:v>
      </x:c>
      <x:c r="P122" s="18" t="str"/>
      <x:c r="Q122" s="18" t="str">
        <x:v>rbi_13673</x:v>
      </x:c>
      <x:c r="R122" s="18" t="str">
        <x:v>other</x:v>
      </x:c>
      <x:c r="S122" s="18" t="str">
        <x:v>https://www.rbi.org.in/scripts/NotificationUser.aspx?Id=13673&amp;Mode=0</x:v>
      </x:c>
      <x:c r="T122" s="18" t="str">
        <x:v>DEFINED_TERMINAL_OR_FEED_SCOPE</x:v>
      </x:c>
      <x:c r="U122" s="18" t="str">
        <x:v>national_regulatory_watch.json — published records loaded</x:v>
      </x:c>
      <x:c r="V122" s="18" t="str"/>
      <x:c r="W122" s="18" t="str"/>
      <x:c r="X122" s="20" t="n">
        <x:v>151</x:v>
      </x:c>
      <x:c r="Y122" s="19" t="n">
        <x:f>IFERROR(TODAY()-DATEVALUE(C122),"")</x:f>
        <x:v>35</x:v>
      </x:c>
      <x:c r="Z122" s="21" t="n">
        <x:f>ROUND(COUNTA(A122:K122)/11*100,0)</x:f>
        <x:v>100</x:v>
      </x:c>
      <x:c r="AA122" s="18" t="str">
        <x:v>Reserve Bank of India</x:v>
      </x:c>
      <x:c r="AB122" s="22" t="str">
        <x:v>https://www.rbi.org.in/scripts/NotificationUser.aspx?Id=13673&amp;Mode=0</x:v>
      </x:c>
      <x:c r="AC122" s="18" t="str">
        <x:v>2026-08-06</x:v>
      </x:c>
      <x:c r="AD122" s="18" t="n">
        <x:v>46275.114583333336</x:v>
      </x:c>
      <x:c r="AE122" s="18" t="str">
        <x:v>retained_terminal</x:v>
      </x:c>
      <x:c r="AF122" s="18" t="str">
        <x:v>READY</x:v>
      </x:c>
    </x:row>
    <x:row r="123">
      <x:c r="A123" s="18" t="str">
        <x:v>NYT-20-e12fe5b5dbecaeab</x:v>
      </x:c>
      <x:c r="B123" s="18" t="str">
        <x:v>Reserve Bank of India (Non-Banking Financial Companies - Responsible Business Conduct) Third Amendment Directions, 2026</x:v>
      </x:c>
      <x:c r="C123" s="18" t="str">
        <x:v>2026-08-06</x:v>
      </x:c>
      <x:c r="D123" s="18" t="n">
        <x:v>2026</x:v>
      </x:c>
      <x:c r="E123" s="18" t="str">
        <x:v>2026-08</x:v>
      </x:c>
      <x:c r="F123" s="18" t="str"/>
      <x:c r="G123" s="18" t="str"/>
      <x:c r="H123" s="18" t="str"/>
      <x:c r="I123" s="18" t="str"/>
      <x:c r="J123" s="20" t="str"/>
      <x:c r="K123" s="18" t="str"/>
      <x:c r="L123" s="22" t="str"/>
      <x:c r="M123" s="18" t="str">
        <x:v>2026-08-06</x:v>
      </x:c>
      <x:c r="N123" s="18" t="str">
        <x:v>RBI</x:v>
      </x:c>
      <x:c r="O123" s="18" t="str">
        <x:v>Reserve Bank of India (Non-Banking Financial Companies - Responsible Business Conduct) Third Amendment Directions, 2026</x:v>
      </x:c>
      <x:c r="P123" s="18" t="str"/>
      <x:c r="Q123" s="18" t="str">
        <x:v>rbi_13672</x:v>
      </x:c>
      <x:c r="R123" s="18" t="str">
        <x:v>other</x:v>
      </x:c>
      <x:c r="S123" s="18" t="str">
        <x:v>https://www.rbi.org.in/scripts/NotificationUser.aspx?Id=13672&amp;Mode=0</x:v>
      </x:c>
      <x:c r="T123" s="18" t="str">
        <x:v>DEFINED_TERMINAL_OR_FEED_SCOPE</x:v>
      </x:c>
      <x:c r="U123" s="18" t="str">
        <x:v>national_regulatory_watch.json — published records loaded</x:v>
      </x:c>
      <x:c r="V123" s="18" t="str"/>
      <x:c r="W123" s="18" t="str"/>
      <x:c r="X123" s="20" t="n">
        <x:v>151</x:v>
      </x:c>
      <x:c r="Y123" s="19" t="n">
        <x:f>IFERROR(TODAY()-DATEVALUE(C123),"")</x:f>
        <x:v>35</x:v>
      </x:c>
      <x:c r="Z123" s="21" t="n">
        <x:f>ROUND(COUNTA(A123:K123)/11*100,0)</x:f>
        <x:v>100</x:v>
      </x:c>
      <x:c r="AA123" s="18" t="str">
        <x:v>Reserve Bank of India</x:v>
      </x:c>
      <x:c r="AB123" s="22" t="str">
        <x:v>https://www.rbi.org.in/scripts/NotificationUser.aspx?Id=13672&amp;Mode=0</x:v>
      </x:c>
      <x:c r="AC123" s="18" t="str">
        <x:v>2026-08-06</x:v>
      </x:c>
      <x:c r="AD123" s="18" t="n">
        <x:v>46275.114583333336</x:v>
      </x:c>
      <x:c r="AE123" s="18" t="str">
        <x:v>retained_terminal</x:v>
      </x:c>
      <x:c r="AF123" s="18" t="str">
        <x:v>READY</x:v>
      </x:c>
    </x:row>
    <x:row r="124">
      <x:c r="A124" s="18" t="str">
        <x:v>NYT-20-089cebd0da27752a</x:v>
      </x:c>
      <x:c r="B124" s="18" t="str">
        <x:v>Reserve Bank of India (All India Financial Institutions - Responsible Business Conduct) Third Amendment Directions, 2026</x:v>
      </x:c>
      <x:c r="C124" s="18" t="str">
        <x:v>2026-08-06</x:v>
      </x:c>
      <x:c r="D124" s="18" t="n">
        <x:v>2026</x:v>
      </x:c>
      <x:c r="E124" s="18" t="str">
        <x:v>2026-08</x:v>
      </x:c>
      <x:c r="F124" s="18" t="str"/>
      <x:c r="G124" s="18" t="str"/>
      <x:c r="H124" s="18" t="str"/>
      <x:c r="I124" s="18" t="str"/>
      <x:c r="J124" s="20" t="str"/>
      <x:c r="K124" s="18" t="str"/>
      <x:c r="L124" s="22" t="str"/>
      <x:c r="M124" s="18" t="str">
        <x:v>2026-08-06</x:v>
      </x:c>
      <x:c r="N124" s="18" t="str">
        <x:v>RBI</x:v>
      </x:c>
      <x:c r="O124" s="18" t="str">
        <x:v>Reserve Bank of India (All India Financial Institutions - Responsible Business Conduct) Third Amendment Directions, 2026</x:v>
      </x:c>
      <x:c r="P124" s="18" t="str"/>
      <x:c r="Q124" s="18" t="str">
        <x:v>rbi_13671</x:v>
      </x:c>
      <x:c r="R124" s="18" t="str">
        <x:v>other</x:v>
      </x:c>
      <x:c r="S124" s="18" t="str">
        <x:v>https://www.rbi.org.in/scripts/NotificationUser.aspx?Id=13671&amp;Mode=0</x:v>
      </x:c>
      <x:c r="T124" s="18" t="str">
        <x:v>DEFINED_TERMINAL_OR_FEED_SCOPE</x:v>
      </x:c>
      <x:c r="U124" s="18" t="str">
        <x:v>national_regulatory_watch.json — published records loaded</x:v>
      </x:c>
      <x:c r="V124" s="18" t="str"/>
      <x:c r="W124" s="18" t="str"/>
      <x:c r="X124" s="20" t="n">
        <x:v>151</x:v>
      </x:c>
      <x:c r="Y124" s="19" t="n">
        <x:f>IFERROR(TODAY()-DATEVALUE(C124),"")</x:f>
        <x:v>35</x:v>
      </x:c>
      <x:c r="Z124" s="21" t="n">
        <x:f>ROUND(COUNTA(A124:K124)/11*100,0)</x:f>
        <x:v>100</x:v>
      </x:c>
      <x:c r="AA124" s="18" t="str">
        <x:v>Reserve Bank of India</x:v>
      </x:c>
      <x:c r="AB124" s="22" t="str">
        <x:v>https://www.rbi.org.in/scripts/NotificationUser.aspx?Id=13671&amp;Mode=0</x:v>
      </x:c>
      <x:c r="AC124" s="18" t="str">
        <x:v>2026-08-06</x:v>
      </x:c>
      <x:c r="AD124" s="18" t="n">
        <x:v>46275.114583333336</x:v>
      </x:c>
      <x:c r="AE124" s="18" t="str">
        <x:v>retained_terminal</x:v>
      </x:c>
      <x:c r="AF124" s="18" t="str">
        <x:v>READY</x:v>
      </x:c>
    </x:row>
    <x:row r="125">
      <x:c r="A125" s="18" t="str">
        <x:v>NYT-20-f8220928872a0512</x:v>
      </x:c>
      <x:c r="B125" s="18" t="str">
        <x:v>Reserve Bank of India (Rural Co-operative Banks - Responsible Business Conduct) Fourth Amendment Directions, 2026</x:v>
      </x:c>
      <x:c r="C125" s="18" t="str">
        <x:v>2026-08-06</x:v>
      </x:c>
      <x:c r="D125" s="18" t="n">
        <x:v>2026</x:v>
      </x:c>
      <x:c r="E125" s="18" t="str">
        <x:v>2026-08</x:v>
      </x:c>
      <x:c r="F125" s="18" t="str"/>
      <x:c r="G125" s="18" t="str"/>
      <x:c r="H125" s="18" t="str"/>
      <x:c r="I125" s="18" t="str"/>
      <x:c r="J125" s="20" t="str"/>
      <x:c r="K125" s="18" t="str"/>
      <x:c r="L125" s="22" t="str"/>
      <x:c r="M125" s="18" t="str">
        <x:v>2026-08-06</x:v>
      </x:c>
      <x:c r="N125" s="18" t="str">
        <x:v>RBI</x:v>
      </x:c>
      <x:c r="O125" s="18" t="str">
        <x:v>Reserve Bank of India (Rural Co-operative Banks - Responsible Business Conduct) Fourth Amendment Directions, 2026</x:v>
      </x:c>
      <x:c r="P125" s="18" t="str"/>
      <x:c r="Q125" s="18" t="str">
        <x:v>rbi_13670</x:v>
      </x:c>
      <x:c r="R125" s="18" t="str">
        <x:v>other</x:v>
      </x:c>
      <x:c r="S125" s="18" t="str">
        <x:v>https://www.rbi.org.in/scripts/NotificationUser.aspx?Id=13670&amp;Mode=0</x:v>
      </x:c>
      <x:c r="T125" s="18" t="str">
        <x:v>DEFINED_TERMINAL_OR_FEED_SCOPE</x:v>
      </x:c>
      <x:c r="U125" s="18" t="str">
        <x:v>national_regulatory_watch.json — published records loaded</x:v>
      </x:c>
      <x:c r="V125" s="18" t="str"/>
      <x:c r="W125" s="18" t="str"/>
      <x:c r="X125" s="20" t="n">
        <x:v>151</x:v>
      </x:c>
      <x:c r="Y125" s="19" t="n">
        <x:f>IFERROR(TODAY()-DATEVALUE(C125),"")</x:f>
        <x:v>35</x:v>
      </x:c>
      <x:c r="Z125" s="21" t="n">
        <x:f>ROUND(COUNTA(A125:K125)/11*100,0)</x:f>
        <x:v>100</x:v>
      </x:c>
      <x:c r="AA125" s="18" t="str">
        <x:v>Reserve Bank of India</x:v>
      </x:c>
      <x:c r="AB125" s="22" t="str">
        <x:v>https://www.rbi.org.in/scripts/NotificationUser.aspx?Id=13670&amp;Mode=0</x:v>
      </x:c>
      <x:c r="AC125" s="18" t="str">
        <x:v>2026-08-06</x:v>
      </x:c>
      <x:c r="AD125" s="18" t="n">
        <x:v>46275.114583333336</x:v>
      </x:c>
      <x:c r="AE125" s="18" t="str">
        <x:v>retained_terminal</x:v>
      </x:c>
      <x:c r="AF125" s="18" t="str">
        <x:v>READY</x:v>
      </x:c>
    </x:row>
    <x:row r="126">
      <x:c r="A126" s="18" t="str">
        <x:v>NYT-20-c7e2fb695dd8ff2e</x:v>
      </x:c>
      <x:c r="B126" s="18" t="str">
        <x:v>Reserve Bank of India (Urban Co-operative Banks - Responsible Business Conduct) Fourth Amendment Directions, 2026</x:v>
      </x:c>
      <x:c r="C126" s="18" t="str">
        <x:v>2026-08-06</x:v>
      </x:c>
      <x:c r="D126" s="18" t="n">
        <x:v>2026</x:v>
      </x:c>
      <x:c r="E126" s="18" t="str">
        <x:v>2026-08</x:v>
      </x:c>
      <x:c r="F126" s="18" t="str"/>
      <x:c r="G126" s="18" t="str"/>
      <x:c r="H126" s="18" t="str"/>
      <x:c r="I126" s="18" t="str"/>
      <x:c r="J126" s="20" t="str"/>
      <x:c r="K126" s="18" t="str"/>
      <x:c r="L126" s="22" t="str"/>
      <x:c r="M126" s="18" t="str">
        <x:v>2026-08-06</x:v>
      </x:c>
      <x:c r="N126" s="18" t="str">
        <x:v>RBI</x:v>
      </x:c>
      <x:c r="O126" s="18" t="str">
        <x:v>Reserve Bank of India (Urban Co-operative Banks - Responsible Business Conduct) Fourth Amendment Directions, 2026</x:v>
      </x:c>
      <x:c r="P126" s="18" t="str"/>
      <x:c r="Q126" s="18" t="str">
        <x:v>rbi_13669</x:v>
      </x:c>
      <x:c r="R126" s="18" t="str">
        <x:v>other</x:v>
      </x:c>
      <x:c r="S126" s="18" t="str">
        <x:v>https://www.rbi.org.in/scripts/NotificationUser.aspx?Id=13669&amp;Mode=0</x:v>
      </x:c>
      <x:c r="T126" s="18" t="str">
        <x:v>DEFINED_TERMINAL_OR_FEED_SCOPE</x:v>
      </x:c>
      <x:c r="U126" s="18" t="str">
        <x:v>national_regulatory_watch.json — published records loaded</x:v>
      </x:c>
      <x:c r="V126" s="18" t="str"/>
      <x:c r="W126" s="18" t="str"/>
      <x:c r="X126" s="20" t="n">
        <x:v>151</x:v>
      </x:c>
      <x:c r="Y126" s="19" t="n">
        <x:f>IFERROR(TODAY()-DATEVALUE(C126),"")</x:f>
        <x:v>35</x:v>
      </x:c>
      <x:c r="Z126" s="21" t="n">
        <x:f>ROUND(COUNTA(A126:K126)/11*100,0)</x:f>
        <x:v>100</x:v>
      </x:c>
      <x:c r="AA126" s="18" t="str">
        <x:v>Reserve Bank of India</x:v>
      </x:c>
      <x:c r="AB126" s="22" t="str">
        <x:v>https://www.rbi.org.in/scripts/NotificationUser.aspx?Id=13669&amp;Mode=0</x:v>
      </x:c>
      <x:c r="AC126" s="18" t="str">
        <x:v>2026-08-06</x:v>
      </x:c>
      <x:c r="AD126" s="18" t="n">
        <x:v>46275.114583333336</x:v>
      </x:c>
      <x:c r="AE126" s="18" t="str">
        <x:v>retained_terminal</x:v>
      </x:c>
      <x:c r="AF126" s="18" t="str">
        <x:v>READY</x:v>
      </x:c>
    </x:row>
    <x:row r="127">
      <x:c r="A127" s="18" t="str">
        <x:v>NYT-20-925a885c16387e21</x:v>
      </x:c>
      <x:c r="B127" s="18" t="str">
        <x:v>Reserve Bank of India (Regional Rural Banks - Responsible Business Conduct) Fourth Amendment Directions, 2026</x:v>
      </x:c>
      <x:c r="C127" s="18" t="str">
        <x:v>2026-08-06</x:v>
      </x:c>
      <x:c r="D127" s="18" t="n">
        <x:v>2026</x:v>
      </x:c>
      <x:c r="E127" s="18" t="str">
        <x:v>2026-08</x:v>
      </x:c>
      <x:c r="F127" s="18" t="str"/>
      <x:c r="G127" s="18" t="str"/>
      <x:c r="H127" s="18" t="str"/>
      <x:c r="I127" s="18" t="str"/>
      <x:c r="J127" s="20" t="str"/>
      <x:c r="K127" s="18" t="str"/>
      <x:c r="L127" s="22" t="str"/>
      <x:c r="M127" s="18" t="str">
        <x:v>2026-08-06</x:v>
      </x:c>
      <x:c r="N127" s="18" t="str">
        <x:v>RBI</x:v>
      </x:c>
      <x:c r="O127" s="18" t="str">
        <x:v>Reserve Bank of India (Regional Rural Banks - Responsible Business Conduct) Fourth Amendment Directions, 2026</x:v>
      </x:c>
      <x:c r="P127" s="18" t="str"/>
      <x:c r="Q127" s="18" t="str">
        <x:v>rbi_13668</x:v>
      </x:c>
      <x:c r="R127" s="18" t="str">
        <x:v>other</x:v>
      </x:c>
      <x:c r="S127" s="18" t="str">
        <x:v>https://www.rbi.org.in/scripts/NotificationUser.aspx?Id=13668&amp;Mode=0</x:v>
      </x:c>
      <x:c r="T127" s="18" t="str">
        <x:v>DEFINED_TERMINAL_OR_FEED_SCOPE</x:v>
      </x:c>
      <x:c r="U127" s="18" t="str">
        <x:v>national_regulatory_watch.json — published records loaded</x:v>
      </x:c>
      <x:c r="V127" s="18" t="str"/>
      <x:c r="W127" s="18" t="str"/>
      <x:c r="X127" s="20" t="n">
        <x:v>151</x:v>
      </x:c>
      <x:c r="Y127" s="19" t="n">
        <x:f>IFERROR(TODAY()-DATEVALUE(C127),"")</x:f>
        <x:v>35</x:v>
      </x:c>
      <x:c r="Z127" s="21" t="n">
        <x:f>ROUND(COUNTA(A127:K127)/11*100,0)</x:f>
        <x:v>100</x:v>
      </x:c>
      <x:c r="AA127" s="18" t="str">
        <x:v>Reserve Bank of India</x:v>
      </x:c>
      <x:c r="AB127" s="22" t="str">
        <x:v>https://www.rbi.org.in/scripts/NotificationUser.aspx?Id=13668&amp;Mode=0</x:v>
      </x:c>
      <x:c r="AC127" s="18" t="str">
        <x:v>2026-08-06</x:v>
      </x:c>
      <x:c r="AD127" s="18" t="n">
        <x:v>46275.114583333336</x:v>
      </x:c>
      <x:c r="AE127" s="18" t="str">
        <x:v>retained_terminal</x:v>
      </x:c>
      <x:c r="AF127" s="18" t="str">
        <x:v>READY</x:v>
      </x:c>
    </x:row>
    <x:row r="128">
      <x:c r="A128" s="18" t="str">
        <x:v>NYT-20-fdf6476baa8407a6</x:v>
      </x:c>
      <x:c r="B128" s="18" t="str">
        <x:v>Reserve Bank of India (Local Area Banks - Responsible Business Conduct) Fourth Amendment Directions, 2026</x:v>
      </x:c>
      <x:c r="C128" s="18" t="str">
        <x:v>2026-08-06</x:v>
      </x:c>
      <x:c r="D128" s="18" t="n">
        <x:v>2026</x:v>
      </x:c>
      <x:c r="E128" s="18" t="str">
        <x:v>2026-08</x:v>
      </x:c>
      <x:c r="F128" s="18" t="str"/>
      <x:c r="G128" s="18" t="str"/>
      <x:c r="H128" s="18" t="str"/>
      <x:c r="I128" s="18" t="str"/>
      <x:c r="J128" s="20" t="str"/>
      <x:c r="K128" s="18" t="str"/>
      <x:c r="L128" s="22" t="str"/>
      <x:c r="M128" s="18" t="str">
        <x:v>2026-08-06</x:v>
      </x:c>
      <x:c r="N128" s="18" t="str">
        <x:v>RBI</x:v>
      </x:c>
      <x:c r="O128" s="18" t="str">
        <x:v>Reserve Bank of India (Local Area Banks - Responsible Business Conduct) Fourth Amendment Directions, 2026</x:v>
      </x:c>
      <x:c r="P128" s="18" t="str"/>
      <x:c r="Q128" s="18" t="str">
        <x:v>rbi_13667</x:v>
      </x:c>
      <x:c r="R128" s="18" t="str">
        <x:v>other</x:v>
      </x:c>
      <x:c r="S128" s="18" t="str">
        <x:v>https://www.rbi.org.in/scripts/NotificationUser.aspx?Id=13667&amp;Mode=0</x:v>
      </x:c>
      <x:c r="T128" s="18" t="str">
        <x:v>DEFINED_TERMINAL_OR_FEED_SCOPE</x:v>
      </x:c>
      <x:c r="U128" s="18" t="str">
        <x:v>national_regulatory_watch.json — published records loaded</x:v>
      </x:c>
      <x:c r="V128" s="18" t="str"/>
      <x:c r="W128" s="18" t="str"/>
      <x:c r="X128" s="20" t="n">
        <x:v>151</x:v>
      </x:c>
      <x:c r="Y128" s="19" t="n">
        <x:f>IFERROR(TODAY()-DATEVALUE(C128),"")</x:f>
        <x:v>35</x:v>
      </x:c>
      <x:c r="Z128" s="21" t="n">
        <x:f>ROUND(COUNTA(A128:K128)/11*100,0)</x:f>
        <x:v>100</x:v>
      </x:c>
      <x:c r="AA128" s="18" t="str">
        <x:v>Reserve Bank of India</x:v>
      </x:c>
      <x:c r="AB128" s="22" t="str">
        <x:v>https://www.rbi.org.in/scripts/NotificationUser.aspx?Id=13667&amp;Mode=0</x:v>
      </x:c>
      <x:c r="AC128" s="18" t="str">
        <x:v>2026-08-06</x:v>
      </x:c>
      <x:c r="AD128" s="18" t="n">
        <x:v>46275.114583333336</x:v>
      </x:c>
      <x:c r="AE128" s="18" t="str">
        <x:v>retained_terminal</x:v>
      </x:c>
      <x:c r="AF128" s="18" t="str">
        <x:v>READY</x:v>
      </x:c>
    </x:row>
    <x:row r="129">
      <x:c r="A129" s="18" t="str">
        <x:v>NYT-20-349a348bdba20477</x:v>
      </x:c>
      <x:c r="B129" s="18" t="str">
        <x:v>Reserve Bank of India (Small Finance Banks - Responsible Business Conduct) Fourth Amendment Directions, 2026</x:v>
      </x:c>
      <x:c r="C129" s="18" t="str">
        <x:v>2026-08-06</x:v>
      </x:c>
      <x:c r="D129" s="18" t="n">
        <x:v>2026</x:v>
      </x:c>
      <x:c r="E129" s="18" t="str">
        <x:v>2026-08</x:v>
      </x:c>
      <x:c r="F129" s="18" t="str"/>
      <x:c r="G129" s="18" t="str"/>
      <x:c r="H129" s="18" t="str"/>
      <x:c r="I129" s="18" t="str"/>
      <x:c r="J129" s="20" t="str"/>
      <x:c r="K129" s="18" t="str"/>
      <x:c r="L129" s="22" t="str"/>
      <x:c r="M129" s="18" t="str">
        <x:v>2026-08-06</x:v>
      </x:c>
      <x:c r="N129" s="18" t="str">
        <x:v>RBI</x:v>
      </x:c>
      <x:c r="O129" s="18" t="str">
        <x:v>Reserve Bank of India (Small Finance Banks - Responsible Business Conduct) Fourth Amendment Directions, 2026</x:v>
      </x:c>
      <x:c r="P129" s="18" t="str"/>
      <x:c r="Q129" s="18" t="str">
        <x:v>rbi_13666</x:v>
      </x:c>
      <x:c r="R129" s="18" t="str">
        <x:v>other</x:v>
      </x:c>
      <x:c r="S129" s="18" t="str">
        <x:v>https://www.rbi.org.in/scripts/NotificationUser.aspx?Id=13666&amp;Mode=0</x:v>
      </x:c>
      <x:c r="T129" s="18" t="str">
        <x:v>DEFINED_TERMINAL_OR_FEED_SCOPE</x:v>
      </x:c>
      <x:c r="U129" s="18" t="str">
        <x:v>national_regulatory_watch.json — published records loaded</x:v>
      </x:c>
      <x:c r="V129" s="18" t="str"/>
      <x:c r="W129" s="18" t="str"/>
      <x:c r="X129" s="20" t="n">
        <x:v>151</x:v>
      </x:c>
      <x:c r="Y129" s="19" t="n">
        <x:f>IFERROR(TODAY()-DATEVALUE(C129),"")</x:f>
        <x:v>35</x:v>
      </x:c>
      <x:c r="Z129" s="21" t="n">
        <x:f>ROUND(COUNTA(A129:K129)/11*100,0)</x:f>
        <x:v>100</x:v>
      </x:c>
      <x:c r="AA129" s="18" t="str">
        <x:v>Reserve Bank of India</x:v>
      </x:c>
      <x:c r="AB129" s="22" t="str">
        <x:v>https://www.rbi.org.in/scripts/NotificationUser.aspx?Id=13666&amp;Mode=0</x:v>
      </x:c>
      <x:c r="AC129" s="18" t="str">
        <x:v>2026-08-06</x:v>
      </x:c>
      <x:c r="AD129" s="18" t="n">
        <x:v>46275.114583333336</x:v>
      </x:c>
      <x:c r="AE129" s="18" t="str">
        <x:v>retained_terminal</x:v>
      </x:c>
      <x:c r="AF129" s="18" t="str">
        <x:v>READY</x:v>
      </x:c>
    </x:row>
    <x:row r="130">
      <x:c r="A130" s="18" t="str">
        <x:v>NYT-20-28dfdbc7aaf63d35</x:v>
      </x:c>
      <x:c r="B130" s="18" t="str">
        <x:v>Release Order – Kamlesh Ahuja [Defaulter] (PAN: ADFPA4706R) in the matter of dealings in Illiquid Stock Options at BSE. under Certificate No. 8037 of 2024.</x:v>
      </x:c>
      <x:c r="C130" s="18" t="str">
        <x:v>2026-08-10</x:v>
      </x:c>
      <x:c r="D130" s="18" t="n">
        <x:v>2026</x:v>
      </x:c>
      <x:c r="E130" s="18" t="str">
        <x:v>2026-08</x:v>
      </x:c>
      <x:c r="F130" s="18" t="str"/>
      <x:c r="G130" s="18" t="str">
        <x:v>enforcement/recovery proceedings</x:v>
      </x:c>
      <x:c r="H130" s="18" t="str"/>
      <x:c r="I130" s="18" t="str">
        <x:v>Kamlesh Ahuja</x:v>
      </x:c>
      <x:c r="J130" s="20" t="str"/>
      <x:c r="K130" s="18" t="str"/>
      <x:c r="L130" s="22" t="str"/>
      <x:c r="M130" s="18" t="str">
        <x:v>2026-08-10</x:v>
      </x:c>
      <x:c r="N130" s="18" t="str"/>
      <x:c r="O130" s="18" t="str">
        <x:v>Release Order – Kamlesh Ahuja [Defaulter] (PAN: ADFPA4706R) in the matter of dealings in Illiquid Stock Options at BSE. under Certificate No. 8037 of 2024.</x:v>
      </x:c>
      <x:c r="P130" s="18" t="str">
        <x:v>Kamlesh Ahuja</x:v>
      </x:c>
      <x:c r="Q130" s="18" t="str">
        <x:v>sebi_103474</x:v>
      </x:c>
      <x:c r="R130" s="18" t="str"/>
      <x:c r="S130" s="18" t="str"/>
      <x:c r="T130" s="18" t="str">
        <x:v>DEFINED_TERMINAL_OR_FEED_SCOPE</x:v>
      </x:c>
      <x:c r="U130" s="18" t="str">
        <x:v>national_sebi_orders.json — published records loaded</x:v>
      </x:c>
      <x:c r="V130" s="18" t="str"/>
      <x:c r="W130" s="18" t="str"/>
      <x:c r="X130" s="20" t="n">
        <x:v>151</x:v>
      </x:c>
      <x:c r="Y130" s="19" t="n">
        <x:f>IFERROR(TODAY()-DATEVALUE(C130),"")</x:f>
        <x:v>31</x:v>
      </x:c>
      <x:c r="Z130" s="21" t="n">
        <x:f>ROUND(COUNTA(A130:K130)/11*100,0)</x:f>
        <x:v>100</x:v>
      </x:c>
      <x:c r="AA130" s="18" t="str">
        <x:v>Reserve Bank of India</x:v>
      </x:c>
      <x:c r="AB130" s="22" t="str">
        <x:v>https://www.sebi.gov.in/enforcement/recovery-proceedings/aug-2026/release-order-kamlesh-ahuja-defaulter-pan-adfpa4706r-in-the-matter-of-dealings-in-illiquid-stock-options-at-bse-under-certificate-no-8037-of-2024-_103474.html</x:v>
      </x:c>
      <x:c r="AC130" s="18" t="str">
        <x:v>2026-08-10</x:v>
      </x:c>
      <x:c r="AD130" s="18" t="n">
        <x:v>46275.114583333336</x:v>
      </x:c>
      <x:c r="AE130" s="18" t="str">
        <x:v>retained_terminal</x:v>
      </x:c>
      <x:c r="AF130" s="18" t="str">
        <x:v>READY</x:v>
      </x:c>
    </x:row>
    <x:row r="131">
      <x:c r="A131" s="18" t="str">
        <x:v>NYT-20-5574e33bcb3e2196</x:v>
      </x:c>
      <x:c r="B131" s="18" t="str">
        <x:v>Completion of Recovery Certificate No. 8037 of 2024 dated September 19, 2024 issued to Kamlesh Ahuja [Defaulter] (PAN: ADFPA4706R) in the matter of dealings in Illiquid Stock Options at BSE.</x:v>
      </x:c>
      <x:c r="C131" s="18" t="str">
        <x:v>2026-08-10</x:v>
      </x:c>
      <x:c r="D131" s="18" t="n">
        <x:v>2026</x:v>
      </x:c>
      <x:c r="E131" s="18" t="str">
        <x:v>2026-08</x:v>
      </x:c>
      <x:c r="F131" s="18" t="str"/>
      <x:c r="G131" s="18" t="str">
        <x:v>enforcement/recovery proceedings</x:v>
      </x:c>
      <x:c r="H131" s="18" t="str"/>
      <x:c r="I131" s="18" t="str"/>
      <x:c r="J131" s="20" t="str"/>
      <x:c r="K131" s="18" t="str"/>
      <x:c r="L131" s="22" t="str"/>
      <x:c r="M131" s="18" t="str">
        <x:v>2026-08-10</x:v>
      </x:c>
      <x:c r="N131" s="18" t="str"/>
      <x:c r="O131" s="18" t="str">
        <x:v>Completion of Recovery Certificate No. 8037 of 2024 dated September 19, 2024 issued to Kamlesh Ahuja [Defaulter] (PAN: ADFPA4706R) in the matter of dealings in Illiquid Stock Options at BSE.</x:v>
      </x:c>
      <x:c r="P131" s="18" t="str"/>
      <x:c r="Q131" s="18" t="str">
        <x:v>sebi_103472</x:v>
      </x:c>
      <x:c r="R131" s="18" t="str"/>
      <x:c r="S131" s="18" t="str"/>
      <x:c r="T131" s="18" t="str">
        <x:v>DEFINED_TERMINAL_OR_FEED_SCOPE</x:v>
      </x:c>
      <x:c r="U131" s="18" t="str">
        <x:v>national_sebi_orders.json — published records loaded</x:v>
      </x:c>
      <x:c r="V131" s="18" t="str"/>
      <x:c r="W131" s="18" t="str"/>
      <x:c r="X131" s="20" t="n">
        <x:v>151</x:v>
      </x:c>
      <x:c r="Y131" s="19" t="n">
        <x:f>IFERROR(TODAY()-DATEVALUE(C131),"")</x:f>
        <x:v>31</x:v>
      </x:c>
      <x:c r="Z131" s="21" t="n">
        <x:f>ROUND(COUNTA(A131:K131)/11*100,0)</x:f>
        <x:v>100</x:v>
      </x:c>
      <x:c r="AA131" s="18" t="str">
        <x:v>Reserve Bank of India</x:v>
      </x:c>
      <x:c r="AB131" s="22" t="str">
        <x:v>https://www.sebi.gov.in/enforcement/recovery-proceedings/aug-2026/completion-of-recovery-certificate-no-8037-of-2024-dated-september-19-2024-issued-to-kamlesh-ahuja-defaulter-pan-adfpa4706r-in-the-matter-of-dealings-in-illiquid-stock-options-at-bse-_103472.html</x:v>
      </x:c>
      <x:c r="AC131" s="18" t="str">
        <x:v>2026-08-10</x:v>
      </x:c>
      <x:c r="AD131" s="18" t="n">
        <x:v>46275.114583333336</x:v>
      </x:c>
      <x:c r="AE131" s="18" t="str">
        <x:v>retained_terminal</x:v>
      </x:c>
      <x:c r="AF131" s="18" t="str">
        <x:v>READY</x:v>
      </x:c>
    </x:row>
    <x:row r="132">
      <x:c r="A132" s="18" t="str">
        <x:v>NYT-20-c44857134662e391</x:v>
      </x:c>
      <x:c r="B132" s="18" t="str">
        <x:v>Remittance Advice against: Santosh Kumar [Defaulter] (PAN: AEKPK6751Q) in the matter of Investigation into the trading activities of certain entities in the scrip of Delta Leasing and Finance Ltd. under Recovery Certificate No. 9152 of 2026.</x:v>
      </x:c>
      <x:c r="C132" s="18" t="str">
        <x:v>2026-08-10</x:v>
      </x:c>
      <x:c r="D132" s="18" t="n">
        <x:v>2026</x:v>
      </x:c>
      <x:c r="E132" s="18" t="str">
        <x:v>2026-08</x:v>
      </x:c>
      <x:c r="F132" s="18" t="str"/>
      <x:c r="G132" s="18" t="str">
        <x:v>enforcement/recovery proceedings</x:v>
      </x:c>
      <x:c r="H132" s="18" t="str"/>
      <x:c r="I132" s="18" t="str"/>
      <x:c r="J132" s="20" t="str"/>
      <x:c r="K132" s="18" t="str"/>
      <x:c r="L132" s="22" t="str"/>
      <x:c r="M132" s="18" t="str">
        <x:v>2026-08-10</x:v>
      </x:c>
      <x:c r="N132" s="18" t="str"/>
      <x:c r="O132" s="18" t="str">
        <x:v>Remittance Advice against: Santosh Kumar [Defaulter] (PAN: AEKPK6751Q) in the matter of Investigation into the trading activities of certain entities in the scrip of Delta Leasing and Finance Ltd. under Recovery Certificate No. 9152 of 2026.</x:v>
      </x:c>
      <x:c r="P132" s="18" t="str"/>
      <x:c r="Q132" s="18" t="str">
        <x:v>sebi_103471</x:v>
      </x:c>
      <x:c r="R132" s="18" t="str"/>
      <x:c r="S132" s="18" t="str"/>
      <x:c r="T132" s="18" t="str">
        <x:v>DEFINED_TERMINAL_OR_FEED_SCOPE</x:v>
      </x:c>
      <x:c r="U132" s="18" t="str">
        <x:v>national_sebi_orders.json — published records loaded</x:v>
      </x:c>
      <x:c r="V132" s="18" t="str"/>
      <x:c r="W132" s="18" t="str"/>
      <x:c r="X132" s="20" t="n">
        <x:v>151</x:v>
      </x:c>
      <x:c r="Y132" s="19" t="n">
        <x:f>IFERROR(TODAY()-DATEVALUE(C132),"")</x:f>
        <x:v>31</x:v>
      </x:c>
      <x:c r="Z132" s="21" t="n">
        <x:f>ROUND(COUNTA(A132:K132)/11*100,0)</x:f>
        <x:v>100</x:v>
      </x:c>
      <x:c r="AA132" s="18" t="str">
        <x:v>Reserve Bank of India</x:v>
      </x:c>
      <x:c r="AB132" s="22" t="str">
        <x:v>https://www.sebi.gov.in/enforcement/recovery-proceedings/aug-2026/remittance-advice-against-santosh-kumar-defaulter-pan-aekpk6751q-in-the-matter-of-investigation-into-the-trading-activities-of-certain-entities-in-the-scrip-of-delta-leasing-and-finance-ltd-und-_103471.html</x:v>
      </x:c>
      <x:c r="AC132" s="18" t="str">
        <x:v>2026-08-10</x:v>
      </x:c>
      <x:c r="AD132" s="18" t="n">
        <x:v>46275.114583333336</x:v>
      </x:c>
      <x:c r="AE132" s="18" t="str">
        <x:v>retained_terminal</x:v>
      </x:c>
      <x:c r="AF132" s="18" t="str">
        <x:v>READY</x:v>
      </x:c>
    </x:row>
    <x:row r="133">
      <x:c r="A133" s="18" t="str">
        <x:v>NYT-20-d55a54b6bf70b54a</x:v>
      </x:c>
      <x:c r="B133" s="18" t="str">
        <x:v>Completion of Recovery Certificate No. 9074 of 2026 dated March 26, 2026 issued to RATI AGARWAL [Defaulter] PAN: AJMPA4349K in the matter of ISO at BSE-RATI AGARWAL.</x:v>
      </x:c>
      <x:c r="C133" s="18" t="str">
        <x:v>2026-08-10</x:v>
      </x:c>
      <x:c r="D133" s="18" t="n">
        <x:v>2026</x:v>
      </x:c>
      <x:c r="E133" s="18" t="str">
        <x:v>2026-08</x:v>
      </x:c>
      <x:c r="F133" s="18" t="str"/>
      <x:c r="G133" s="18" t="str">
        <x:v>enforcement/recovery proceedings</x:v>
      </x:c>
      <x:c r="H133" s="18" t="str"/>
      <x:c r="I133" s="18" t="str"/>
      <x:c r="J133" s="20" t="str"/>
      <x:c r="K133" s="18" t="str"/>
      <x:c r="L133" s="22" t="str"/>
      <x:c r="M133" s="18" t="str">
        <x:v>2026-08-10</x:v>
      </x:c>
      <x:c r="N133" s="18" t="str"/>
      <x:c r="O133" s="18" t="str">
        <x:v>Completion of Recovery Certificate No. 9074 of 2026 dated March 26, 2026 issued to RATI AGARWAL [Defaulter] PAN: AJMPA4349K in the matter of ISO at BSE-RATI AGARWAL.</x:v>
      </x:c>
      <x:c r="P133" s="18" t="str"/>
      <x:c r="Q133" s="18" t="str">
        <x:v>sebi_103469</x:v>
      </x:c>
      <x:c r="R133" s="18" t="str"/>
      <x:c r="S133" s="18" t="str"/>
      <x:c r="T133" s="18" t="str">
        <x:v>DEFINED_TERMINAL_OR_FEED_SCOPE</x:v>
      </x:c>
      <x:c r="U133" s="18" t="str">
        <x:v>national_sebi_orders.json — published records loaded</x:v>
      </x:c>
      <x:c r="V133" s="18" t="str"/>
      <x:c r="W133" s="18" t="str"/>
      <x:c r="X133" s="20" t="n">
        <x:v>151</x:v>
      </x:c>
      <x:c r="Y133" s="19" t="n">
        <x:f>IFERROR(TODAY()-DATEVALUE(C133),"")</x:f>
        <x:v>31</x:v>
      </x:c>
      <x:c r="Z133" s="21" t="n">
        <x:f>ROUND(COUNTA(A133:K133)/11*100,0)</x:f>
        <x:v>100</x:v>
      </x:c>
      <x:c r="AA133" s="18" t="str">
        <x:v>Reserve Bank of India</x:v>
      </x:c>
      <x:c r="AB133" s="22" t="str">
        <x:v>https://www.sebi.gov.in/enforcement/recovery-proceedings/aug-2026/completion-of-recovery-certificate-no-9074-of-2026-dated-march-26-2026-issued-to-rati-agarwal-defaulter-pan-ajmpa4349k-in-the-matter-of-iso-at-bse-rati-agarwal-_103469.html</x:v>
      </x:c>
      <x:c r="AC133" s="18" t="str">
        <x:v>2026-08-10</x:v>
      </x:c>
      <x:c r="AD133" s="18" t="n">
        <x:v>46275.114583333336</x:v>
      </x:c>
      <x:c r="AE133" s="18" t="str">
        <x:v>retained_terminal</x:v>
      </x:c>
      <x:c r="AF133" s="18" t="str">
        <x:v>READY</x:v>
      </x:c>
    </x:row>
    <x:row r="134">
      <x:c r="A134" s="18" t="str">
        <x:v>NYT-20-0d30e5b9fa5562f4</x:v>
      </x:c>
      <x:c r="B134" s="18" t="str">
        <x:v>Order in the matter of Nirman Agri Genetics Limited</x:v>
      </x:c>
      <x:c r="C134" s="18" t="str">
        <x:v>2026-08-10</x:v>
      </x:c>
      <x:c r="D134" s="18" t="n">
        <x:v>2026</x:v>
      </x:c>
      <x:c r="E134" s="18" t="str">
        <x:v>2026-08</x:v>
      </x:c>
      <x:c r="F134" s="18" t="str"/>
      <x:c r="G134" s="18" t="str">
        <x:v>enforcement/orders</x:v>
      </x:c>
      <x:c r="H134" s="18" t="str"/>
      <x:c r="I134" s="18" t="str">
        <x:v>in the matter of Nirman Agri Genetics Limited</x:v>
      </x:c>
      <x:c r="J134" s="20" t="str"/>
      <x:c r="K134" s="18" t="str"/>
      <x:c r="L134" s="22" t="str"/>
      <x:c r="M134" s="18" t="str">
        <x:v>2026-08-10</x:v>
      </x:c>
      <x:c r="N134" s="18" t="str"/>
      <x:c r="O134" s="18" t="str">
        <x:v>Order in the matter of Nirman Agri Genetics Limited</x:v>
      </x:c>
      <x:c r="P134" s="18" t="str">
        <x:v>in the matter of Nirman Agri Genetics Limited</x:v>
      </x:c>
      <x:c r="Q134" s="18" t="str">
        <x:v>sebi_103467</x:v>
      </x:c>
      <x:c r="R134" s="18" t="str"/>
      <x:c r="S134" s="18" t="str"/>
      <x:c r="T134" s="18" t="str">
        <x:v>DEFINED_TERMINAL_OR_FEED_SCOPE</x:v>
      </x:c>
      <x:c r="U134" s="18" t="str">
        <x:v>national_sebi_orders.json — published records loaded</x:v>
      </x:c>
      <x:c r="V134" s="18" t="str"/>
      <x:c r="W134" s="18" t="str"/>
      <x:c r="X134" s="20" t="n">
        <x:v>151</x:v>
      </x:c>
      <x:c r="Y134" s="19" t="n">
        <x:f>IFERROR(TODAY()-DATEVALUE(C134),"")</x:f>
        <x:v>31</x:v>
      </x:c>
      <x:c r="Z134" s="21" t="n">
        <x:f>ROUND(COUNTA(A134:K134)/11*100,0)</x:f>
        <x:v>100</x:v>
      </x:c>
      <x:c r="AA134" s="18" t="str">
        <x:v>Reserve Bank of India</x:v>
      </x:c>
      <x:c r="AB134" s="22" t="str">
        <x:v>https://www.sebi.gov.in/enforcement/orders/aug-2026/order-in-the-matter-of-nirman-agri-genetics-limited_103467.html</x:v>
      </x:c>
      <x:c r="AC134" s="18" t="str">
        <x:v>2026-08-10</x:v>
      </x:c>
      <x:c r="AD134" s="18" t="n">
        <x:v>46275.114583333336</x:v>
      </x:c>
      <x:c r="AE134" s="18" t="str">
        <x:v>retained_terminal</x:v>
      </x:c>
      <x:c r="AF134" s="18" t="str">
        <x:v>READY</x:v>
      </x:c>
    </x:row>
    <x:row r="135">
      <x:c r="A135" s="18" t="str">
        <x:v>NYT-20-f7f166e37b8025cc</x:v>
      </x:c>
      <x:c r="B135" s="18" t="str">
        <x:v>Release Order – RATI AGARWAL [Defaulter] PAN: AJMPA4349K in the matter of ISO at BSE-RATI AGARWAL. under Certificate No. 9074 of 2026.</x:v>
      </x:c>
      <x:c r="C135" s="18" t="str">
        <x:v>2026-08-10</x:v>
      </x:c>
      <x:c r="D135" s="18" t="n">
        <x:v>2026</x:v>
      </x:c>
      <x:c r="E135" s="18" t="str">
        <x:v>2026-08</x:v>
      </x:c>
      <x:c r="F135" s="18" t="str"/>
      <x:c r="G135" s="18" t="str">
        <x:v>enforcement/recovery proceedings</x:v>
      </x:c>
      <x:c r="H135" s="18" t="str"/>
      <x:c r="I135" s="18" t="str">
        <x:v>RATI AGARWAL</x:v>
      </x:c>
      <x:c r="J135" s="20" t="str"/>
      <x:c r="K135" s="18" t="str"/>
      <x:c r="L135" s="22" t="str"/>
      <x:c r="M135" s="18" t="str">
        <x:v>2026-08-10</x:v>
      </x:c>
      <x:c r="N135" s="18" t="str"/>
      <x:c r="O135" s="18" t="str">
        <x:v>Release Order – RATI AGARWAL [Defaulter] PAN: AJMPA4349K in the matter of ISO at BSE-RATI AGARWAL. under Certificate No. 9074 of 2026.</x:v>
      </x:c>
      <x:c r="P135" s="18" t="str">
        <x:v>RATI AGARWAL</x:v>
      </x:c>
      <x:c r="Q135" s="18" t="str">
        <x:v>sebi_103465</x:v>
      </x:c>
      <x:c r="R135" s="18" t="str"/>
      <x:c r="S135" s="18" t="str"/>
      <x:c r="T135" s="18" t="str">
        <x:v>DEFINED_TERMINAL_OR_FEED_SCOPE</x:v>
      </x:c>
      <x:c r="U135" s="18" t="str">
        <x:v>national_sebi_orders.json — published records loaded</x:v>
      </x:c>
      <x:c r="V135" s="18" t="str"/>
      <x:c r="W135" s="18" t="str"/>
      <x:c r="X135" s="20" t="n">
        <x:v>151</x:v>
      </x:c>
      <x:c r="Y135" s="19" t="n">
        <x:f>IFERROR(TODAY()-DATEVALUE(C135),"")</x:f>
        <x:v>31</x:v>
      </x:c>
      <x:c r="Z135" s="21" t="n">
        <x:f>ROUND(COUNTA(A135:K135)/11*100,0)</x:f>
        <x:v>100</x:v>
      </x:c>
      <x:c r="AA135" s="18" t="str">
        <x:v>Reserve Bank of India</x:v>
      </x:c>
      <x:c r="AB135" s="22" t="str">
        <x:v>https://www.sebi.gov.in/enforcement/recovery-proceedings/aug-2026/release-order-rati-agarwal-defaulter-pan-ajmpa4349k-in-the-matter-of-iso-at-bse-rati-agarwal-under-certificate-no-9074-of-2026-_103465.html</x:v>
      </x:c>
      <x:c r="AC135" s="18" t="str">
        <x:v>2026-08-10</x:v>
      </x:c>
      <x:c r="AD135" s="18" t="n">
        <x:v>46275.114583333336</x:v>
      </x:c>
      <x:c r="AE135" s="18" t="str">
        <x:v>retained_terminal</x:v>
      </x:c>
      <x:c r="AF135" s="18" t="str">
        <x:v>READY</x:v>
      </x:c>
    </x:row>
    <x:row r="136">
      <x:c r="A136" s="18" t="str">
        <x:v>NYT-20-208e52ea151aa61c</x:v>
      </x:c>
      <x:c r="B136" s="18" t="str">
        <x:v>Notice of Demand under Recovery Certificate number 9277 of 2026 dated August 10, 2026 issued to Mr. Kapil Wadhawan (PAN:AAOPW6145L) [Defaulter] in the matter of Dewan Housing Finance Corporation Limited.</x:v>
      </x:c>
      <x:c r="C136" s="18" t="str">
        <x:v>2026-08-10</x:v>
      </x:c>
      <x:c r="D136" s="18" t="n">
        <x:v>2026</x:v>
      </x:c>
      <x:c r="E136" s="18" t="str">
        <x:v>2026-08</x:v>
      </x:c>
      <x:c r="F136" s="18" t="str"/>
      <x:c r="G136" s="18" t="str">
        <x:v>enforcement/recovery proceedings</x:v>
      </x:c>
      <x:c r="H136" s="18" t="str"/>
      <x:c r="I136" s="18" t="str"/>
      <x:c r="J136" s="20" t="str"/>
      <x:c r="K136" s="18" t="str"/>
      <x:c r="L136" s="22" t="str"/>
      <x:c r="M136" s="18" t="str">
        <x:v>2026-08-10</x:v>
      </x:c>
      <x:c r="N136" s="18" t="str"/>
      <x:c r="O136" s="18" t="str">
        <x:v>Notice of Demand under Recovery Certificate number 9277 of 2026 dated August 10, 2026 issued to Mr. Kapil Wadhawan (PAN:AAOPW6145L) [Defaulter] in the matter of Dewan Housing Finance Corporation Limited.</x:v>
      </x:c>
      <x:c r="P136" s="18" t="str"/>
      <x:c r="Q136" s="18" t="str">
        <x:v>sebi_103463</x:v>
      </x:c>
      <x:c r="R136" s="18" t="str"/>
      <x:c r="S136" s="18" t="str"/>
      <x:c r="T136" s="18" t="str">
        <x:v>DEFINED_TERMINAL_OR_FEED_SCOPE</x:v>
      </x:c>
      <x:c r="U136" s="18" t="str">
        <x:v>national_sebi_orders.json — published records loaded</x:v>
      </x:c>
      <x:c r="V136" s="18" t="str"/>
      <x:c r="W136" s="18" t="str"/>
      <x:c r="X136" s="20" t="n">
        <x:v>151</x:v>
      </x:c>
      <x:c r="Y136" s="19" t="n">
        <x:f>IFERROR(TODAY()-DATEVALUE(C136),"")</x:f>
        <x:v>31</x:v>
      </x:c>
      <x:c r="Z136" s="21" t="n">
        <x:f>ROUND(COUNTA(A136:K136)/11*100,0)</x:f>
        <x:v>100</x:v>
      </x:c>
      <x:c r="AA136" s="18" t="str">
        <x:v>Reserve Bank of India</x:v>
      </x:c>
      <x:c r="AB136" s="22" t="str">
        <x:v>https://www.sebi.gov.in/enforcement/recovery-proceedings/aug-2026/notice-of-demand-under-recovery-certificate-number-9277-of-2026-dated-august-10-2026-issued-to-mr-kapil-wadhawan-pan-aaopw6145l-defaulter-in-the-matter-of-dewan-housing-finance-corporation-limit-_103463.html</x:v>
      </x:c>
      <x:c r="AC136" s="18" t="str">
        <x:v>2026-08-10</x:v>
      </x:c>
      <x:c r="AD136" s="18" t="n">
        <x:v>46275.114583333336</x:v>
      </x:c>
      <x:c r="AE136" s="18" t="str">
        <x:v>retained_terminal</x:v>
      </x:c>
      <x:c r="AF136" s="18" t="str">
        <x:v>READY</x:v>
      </x:c>
    </x:row>
    <x:row r="137">
      <x:c r="A137" s="18" t="str">
        <x:v>NYT-20-2afba495eb79476a</x:v>
      </x:c>
      <x:c r="B137" s="18" t="str">
        <x:v>Cancellation of Recovery Certificate No. 8625 of 2025 dated February 13, 2025 issued against Sudhakar Anchan (PAN: AHWPA1468K) in the matter of Sharepro Services (I) Pvt. Ltd.</x:v>
      </x:c>
      <x:c r="C137" s="18" t="str">
        <x:v>2026-08-10</x:v>
      </x:c>
      <x:c r="D137" s="18" t="n">
        <x:v>2026</x:v>
      </x:c>
      <x:c r="E137" s="18" t="str">
        <x:v>2026-08</x:v>
      </x:c>
      <x:c r="F137" s="18" t="str"/>
      <x:c r="G137" s="18" t="str">
        <x:v>enforcement/recovery proceedings</x:v>
      </x:c>
      <x:c r="H137" s="18" t="str"/>
      <x:c r="I137" s="18" t="str"/>
      <x:c r="J137" s="20" t="str"/>
      <x:c r="K137" s="18" t="str"/>
      <x:c r="L137" s="22" t="str"/>
      <x:c r="M137" s="18" t="str">
        <x:v>2026-08-10</x:v>
      </x:c>
      <x:c r="N137" s="18" t="str"/>
      <x:c r="O137" s="18" t="str">
        <x:v>Cancellation of Recovery Certificate No. 8625 of 2025 dated February 13, 2025 issued against Sudhakar Anchan (PAN: AHWPA1468K) in the matter of Sharepro Services (I) Pvt. Ltd.</x:v>
      </x:c>
      <x:c r="P137" s="18" t="str"/>
      <x:c r="Q137" s="18" t="str">
        <x:v>sebi_103460</x:v>
      </x:c>
      <x:c r="R137" s="18" t="str"/>
      <x:c r="S137" s="18" t="str"/>
      <x:c r="T137" s="18" t="str">
        <x:v>DEFINED_TERMINAL_OR_FEED_SCOPE</x:v>
      </x:c>
      <x:c r="U137" s="18" t="str">
        <x:v>national_sebi_orders.json — published records loaded</x:v>
      </x:c>
      <x:c r="V137" s="18" t="str"/>
      <x:c r="W137" s="18" t="str"/>
      <x:c r="X137" s="20" t="n">
        <x:v>151</x:v>
      </x:c>
      <x:c r="Y137" s="19" t="n">
        <x:f>IFERROR(TODAY()-DATEVALUE(C137),"")</x:f>
        <x:v>31</x:v>
      </x:c>
      <x:c r="Z137" s="21" t="n">
        <x:f>ROUND(COUNTA(A137:K137)/11*100,0)</x:f>
        <x:v>100</x:v>
      </x:c>
      <x:c r="AA137" s="18" t="str">
        <x:v>Reserve Bank of India</x:v>
      </x:c>
      <x:c r="AB137" s="22" t="str">
        <x:v>https://www.sebi.gov.in/enforcement/recovery-proceedings/aug-2026/cancellation-of-recovery-certificate-no-8625-of-2025-dated-february-13-2025-issued-against-sudhakar-anchan-pan-ahwpa1468k-in-the-matter-of-sharepro-services-i-pvt-ltd-_103460.html</x:v>
      </x:c>
      <x:c r="AC137" s="18" t="str">
        <x:v>2026-08-10</x:v>
      </x:c>
      <x:c r="AD137" s="18" t="n">
        <x:v>46275.114583333336</x:v>
      </x:c>
      <x:c r="AE137" s="18" t="str">
        <x:v>retained_terminal</x:v>
      </x:c>
      <x:c r="AF137" s="18" t="str">
        <x:v>READY</x:v>
      </x:c>
    </x:row>
    <x:row r="138">
      <x:c r="A138" s="18" t="str">
        <x:v>NYT-20-70d1edd802ae7aaf</x:v>
      </x:c>
      <x:c r="B138" s="18" t="str">
        <x:v>Adjudication Order in respect to twenty entities in the matter of Ultracab (India) Limited</x:v>
      </x:c>
      <x:c r="C138" s="18" t="str">
        <x:v>2026-08-07</x:v>
      </x:c>
      <x:c r="D138" s="18" t="n">
        <x:v>2026</x:v>
      </x:c>
      <x:c r="E138" s="18" t="str">
        <x:v>2026-08</x:v>
      </x:c>
      <x:c r="F138" s="18" t="str"/>
      <x:c r="G138" s="18" t="str">
        <x:v>enforcement/orders</x:v>
      </x:c>
      <x:c r="H138" s="18" t="str"/>
      <x:c r="I138" s="18" t="str">
        <x:v>in respect to twenty entities</x:v>
      </x:c>
      <x:c r="J138" s="20" t="str"/>
      <x:c r="K138" s="18" t="str"/>
      <x:c r="L138" s="22" t="str"/>
      <x:c r="M138" s="18" t="str">
        <x:v>2026-08-07</x:v>
      </x:c>
      <x:c r="N138" s="18" t="str"/>
      <x:c r="O138" s="18" t="str">
        <x:v>Adjudication Order in respect to twenty entities in the matter of Ultracab (India) Limited</x:v>
      </x:c>
      <x:c r="P138" s="18" t="str">
        <x:v>in respect to twenty entities</x:v>
      </x:c>
      <x:c r="Q138" s="18" t="str">
        <x:v>sebi_103452</x:v>
      </x:c>
      <x:c r="R138" s="18" t="str"/>
      <x:c r="S138" s="18" t="str"/>
      <x:c r="T138" s="18" t="str">
        <x:v>DEFINED_TERMINAL_OR_FEED_SCOPE</x:v>
      </x:c>
      <x:c r="U138" s="18" t="str">
        <x:v>national_sebi_orders.json — published records loaded</x:v>
      </x:c>
      <x:c r="V138" s="18" t="str"/>
      <x:c r="W138" s="18" t="str"/>
      <x:c r="X138" s="20" t="n">
        <x:v>151</x:v>
      </x:c>
      <x:c r="Y138" s="19" t="n">
        <x:f>IFERROR(TODAY()-DATEVALUE(C138),"")</x:f>
        <x:v>34</x:v>
      </x:c>
      <x:c r="Z138" s="21" t="n">
        <x:f>ROUND(COUNTA(A138:K138)/11*100,0)</x:f>
        <x:v>100</x:v>
      </x:c>
      <x:c r="AA138" s="18" t="str">
        <x:v>Reserve Bank of India</x:v>
      </x:c>
      <x:c r="AB138" s="22" t="str">
        <x:v>https://www.sebi.gov.in/enforcement/orders/aug-2026/adjudication-order-in-respect-to-twenty-entities-in-the-matter-of-ultracab-india-limited_103452.html</x:v>
      </x:c>
      <x:c r="AC138" s="18" t="str">
        <x:v>2026-08-07</x:v>
      </x:c>
      <x:c r="AD138" s="18" t="n">
        <x:v>46275.114583333336</x:v>
      </x:c>
      <x:c r="AE138" s="18" t="str">
        <x:v>retained_terminal</x:v>
      </x:c>
      <x:c r="AF138" s="18" t="str">
        <x:v>READY</x:v>
      </x:c>
    </x:row>
    <x:row r="139">
      <x:c r="A139" s="18" t="str">
        <x:v>NYT-20-a88d476bdacb1a78</x:v>
      </x:c>
      <x:c r="B139" s="18" t="str">
        <x:v>Order in the matter of certain Investment Advisers</x:v>
      </x:c>
      <x:c r="C139" s="18" t="str">
        <x:v>2026-08-07</x:v>
      </x:c>
      <x:c r="D139" s="18" t="n">
        <x:v>2026</x:v>
      </x:c>
      <x:c r="E139" s="18" t="str">
        <x:v>2026-08</x:v>
      </x:c>
      <x:c r="F139" s="18" t="str"/>
      <x:c r="G139" s="18" t="str">
        <x:v>enforcement/orders</x:v>
      </x:c>
      <x:c r="H139" s="18" t="str"/>
      <x:c r="I139" s="18" t="str">
        <x:v>in the matter of certain Investment Advisers</x:v>
      </x:c>
      <x:c r="J139" s="20" t="str"/>
      <x:c r="K139" s="18" t="str"/>
      <x:c r="L139" s="22" t="str"/>
      <x:c r="M139" s="18" t="str">
        <x:v>2026-08-07</x:v>
      </x:c>
      <x:c r="N139" s="18" t="str"/>
      <x:c r="O139" s="18" t="str">
        <x:v>Order in the matter of certain Investment Advisers</x:v>
      </x:c>
      <x:c r="P139" s="18" t="str">
        <x:v>in the matter of certain Investment Advisers</x:v>
      </x:c>
      <x:c r="Q139" s="18" t="str">
        <x:v>sebi_103450</x:v>
      </x:c>
      <x:c r="R139" s="18" t="str"/>
      <x:c r="S139" s="18" t="str"/>
      <x:c r="T139" s="18" t="str">
        <x:v>DEFINED_TERMINAL_OR_FEED_SCOPE</x:v>
      </x:c>
      <x:c r="U139" s="18" t="str">
        <x:v>national_sebi_orders.json — published records loaded</x:v>
      </x:c>
      <x:c r="V139" s="18" t="str"/>
      <x:c r="W139" s="18" t="str"/>
      <x:c r="X139" s="20" t="n">
        <x:v>151</x:v>
      </x:c>
      <x:c r="Y139" s="19" t="n">
        <x:f>IFERROR(TODAY()-DATEVALUE(C139),"")</x:f>
        <x:v>34</x:v>
      </x:c>
      <x:c r="Z139" s="21" t="n">
        <x:f>ROUND(COUNTA(A139:K139)/11*100,0)</x:f>
        <x:v>100</x:v>
      </x:c>
      <x:c r="AA139" s="18" t="str">
        <x:v>Reserve Bank of India</x:v>
      </x:c>
      <x:c r="AB139" s="22" t="str">
        <x:v>https://www.sebi.gov.in/enforcement/orders/aug-2026/order-in-the-matter-of-certain-investment-advisers_103450.html</x:v>
      </x:c>
      <x:c r="AC139" s="18" t="str">
        <x:v>2026-08-07</x:v>
      </x:c>
      <x:c r="AD139" s="18" t="n">
        <x:v>46275.114583333336</x:v>
      </x:c>
      <x:c r="AE139" s="18" t="str">
        <x:v>retained_terminal</x:v>
      </x:c>
      <x:c r="AF139" s="18" t="str">
        <x:v>READY</x:v>
      </x:c>
    </x:row>
    <x:row r="140">
      <x:c r="A140" s="18" t="str">
        <x:v>NYT-20-56e3372e5c60c9f6</x:v>
      </x:c>
      <x:c r="B140" s="18" t="str">
        <x:v>Order No. 01 of 2026 issued under RC No. 424 of 2014 drawn against Mr. Bhargav Ranchodlal Panchal (PAN: AFUPP7738M) in the matter of IPO irregularities.</x:v>
      </x:c>
      <x:c r="C140" s="18" t="str">
        <x:v>2026-08-07</x:v>
      </x:c>
      <x:c r="D140" s="18" t="n">
        <x:v>2026</x:v>
      </x:c>
      <x:c r="E140" s="18" t="str">
        <x:v>2026-08</x:v>
      </x:c>
      <x:c r="F140" s="18" t="str"/>
      <x:c r="G140" s="18" t="str">
        <x:v>enforcement/recovery proceedings</x:v>
      </x:c>
      <x:c r="H140" s="18" t="str"/>
      <x:c r="I140" s="18" t="str">
        <x:v>No. 01 of 2026 issued</x:v>
      </x:c>
      <x:c r="J140" s="20" t="str"/>
      <x:c r="K140" s="18" t="str"/>
      <x:c r="L140" s="22" t="str"/>
      <x:c r="M140" s="18" t="str">
        <x:v>2026-08-07</x:v>
      </x:c>
      <x:c r="N140" s="18" t="str"/>
      <x:c r="O140" s="18" t="str">
        <x:v>Order No. 01 of 2026 issued under RC No. 424 of 2014 drawn against Mr. Bhargav Ranchodlal Panchal (PAN: AFUPP7738M) in the matter of IPO irregularities.</x:v>
      </x:c>
      <x:c r="P140" s="18" t="str">
        <x:v>No. 01 of 2026 issued</x:v>
      </x:c>
      <x:c r="Q140" s="18" t="str">
        <x:v>sebi_103448</x:v>
      </x:c>
      <x:c r="R140" s="18" t="str"/>
      <x:c r="S140" s="18" t="str"/>
      <x:c r="T140" s="18" t="str">
        <x:v>DEFINED_TERMINAL_OR_FEED_SCOPE</x:v>
      </x:c>
      <x:c r="U140" s="18" t="str">
        <x:v>national_sebi_orders.json — published records loaded</x:v>
      </x:c>
      <x:c r="V140" s="18" t="str"/>
      <x:c r="W140" s="18" t="str"/>
      <x:c r="X140" s="20" t="n">
        <x:v>151</x:v>
      </x:c>
      <x:c r="Y140" s="19" t="n">
        <x:f>IFERROR(TODAY()-DATEVALUE(C140),"")</x:f>
        <x:v>34</x:v>
      </x:c>
      <x:c r="Z140" s="21" t="n">
        <x:f>ROUND(COUNTA(A140:K140)/11*100,0)</x:f>
        <x:v>100</x:v>
      </x:c>
      <x:c r="AA140" s="18" t="str">
        <x:v>Reserve Bank of India</x:v>
      </x:c>
      <x:c r="AB140" s="22" t="str">
        <x:v>https://www.sebi.gov.in/enforcement/recovery-proceedings/aug-2026/order-no-01-of-2026-issued-under-rc-no-424-of-2014-drawn-against-mr-bhargav-ranchodlal-panchal-pan-afupp7738m-in-the-matter-of-ipo-irregularities-_103448.html</x:v>
      </x:c>
      <x:c r="AC140" s="18" t="str">
        <x:v>2026-08-07</x:v>
      </x:c>
      <x:c r="AD140" s="18" t="n">
        <x:v>46275.114583333336</x:v>
      </x:c>
      <x:c r="AE140" s="18" t="str">
        <x:v>retained_terminal</x:v>
      </x:c>
      <x:c r="AF140" s="18" t="str">
        <x:v>READY</x:v>
      </x:c>
    </x:row>
    <x:row r="141">
      <x:c r="A141" s="18" t="str">
        <x:v>NYT-20-1b100b2c02a4b4e8</x:v>
      </x:c>
      <x:c r="B141" s="18" t="str">
        <x:v>Order in the matter of certain Investment Advisers</x:v>
      </x:c>
      <x:c r="C141" s="18" t="str">
        <x:v>2026-08-07</x:v>
      </x:c>
      <x:c r="D141" s="18" t="n">
        <x:v>2026</x:v>
      </x:c>
      <x:c r="E141" s="18" t="str">
        <x:v>2026-08</x:v>
      </x:c>
      <x:c r="F141" s="18" t="str"/>
      <x:c r="G141" s="18" t="str">
        <x:v>enforcement/orders</x:v>
      </x:c>
      <x:c r="H141" s="18" t="str"/>
      <x:c r="I141" s="18" t="str">
        <x:v>in the matter of certain Investment Advisers</x:v>
      </x:c>
      <x:c r="J141" s="20" t="str"/>
      <x:c r="K141" s="18" t="str"/>
      <x:c r="L141" s="22" t="str"/>
      <x:c r="M141" s="18" t="str">
        <x:v>2026-08-07</x:v>
      </x:c>
      <x:c r="N141" s="18" t="str"/>
      <x:c r="O141" s="18" t="str">
        <x:v>Order in the matter of certain Investment Advisers</x:v>
      </x:c>
      <x:c r="P141" s="18" t="str">
        <x:v>in the matter of certain Investment Advisers</x:v>
      </x:c>
      <x:c r="Q141" s="18" t="str">
        <x:v>sebi_103447</x:v>
      </x:c>
      <x:c r="R141" s="18" t="str"/>
      <x:c r="S141" s="18" t="str"/>
      <x:c r="T141" s="18" t="str">
        <x:v>DEFINED_TERMINAL_OR_FEED_SCOPE</x:v>
      </x:c>
      <x:c r="U141" s="18" t="str">
        <x:v>national_sebi_orders.json — published records loaded</x:v>
      </x:c>
      <x:c r="V141" s="18" t="str"/>
      <x:c r="W141" s="18" t="str"/>
      <x:c r="X141" s="20" t="n">
        <x:v>151</x:v>
      </x:c>
      <x:c r="Y141" s="19" t="n">
        <x:f>IFERROR(TODAY()-DATEVALUE(C141),"")</x:f>
        <x:v>34</x:v>
      </x:c>
      <x:c r="Z141" s="21" t="n">
        <x:f>ROUND(COUNTA(A141:K141)/11*100,0)</x:f>
        <x:v>100</x:v>
      </x:c>
      <x:c r="AA141" s="18" t="str">
        <x:v>Reserve Bank of India</x:v>
      </x:c>
      <x:c r="AB141" s="22" t="str">
        <x:v>https://www.sebi.gov.in/enforcement/orders/aug-2026/order-in-the-matter-of-certain-investment-advisers_103447.html</x:v>
      </x:c>
      <x:c r="AC141" s="18" t="str">
        <x:v>2026-08-07</x:v>
      </x:c>
      <x:c r="AD141" s="18" t="n">
        <x:v>46275.114583333336</x:v>
      </x:c>
      <x:c r="AE141" s="18" t="str">
        <x:v>retained_terminal</x:v>
      </x:c>
      <x:c r="AF141" s="18" t="str">
        <x:v>READY</x:v>
      </x:c>
    </x:row>
    <x:row r="142">
      <x:c r="A142" s="18" t="str">
        <x:v>NYT-20-9dbc86aec5f46718</x:v>
      </x:c>
      <x:c r="B142" s="18" t="str">
        <x:v>Release Order - Certificate No. RC9216 of 2026 in respect of Prabhjeet Singh Chawla (PAN: ACAPC4870A) in the matter of Illiquid Stock Options</x:v>
      </x:c>
      <x:c r="C142" s="18" t="str">
        <x:v>2026-08-07</x:v>
      </x:c>
      <x:c r="D142" s="18" t="n">
        <x:v>2026</x:v>
      </x:c>
      <x:c r="E142" s="18" t="str">
        <x:v>2026-08</x:v>
      </x:c>
      <x:c r="F142" s="18" t="str"/>
      <x:c r="G142" s="18" t="str">
        <x:v>enforcement/recovery proceedings</x:v>
      </x:c>
      <x:c r="H142" s="18" t="str"/>
      <x:c r="I142" s="18" t="str">
        <x:v>Certificate No. RC9216 of 2026 in respect of Prabhjeet Singh Chawla (PAN: ACAPC4870A)</x:v>
      </x:c>
      <x:c r="J142" s="20" t="str"/>
      <x:c r="K142" s="18" t="str"/>
      <x:c r="L142" s="22" t="str"/>
      <x:c r="M142" s="18" t="str">
        <x:v>2026-08-07</x:v>
      </x:c>
      <x:c r="N142" s="18" t="str"/>
      <x:c r="O142" s="18" t="str">
        <x:v>Release Order - Certificate No. RC9216 of 2026 in respect of Prabhjeet Singh Chawla (PAN: ACAPC4870A) in the matter of Illiquid Stock Options</x:v>
      </x:c>
      <x:c r="P142" s="18" t="str">
        <x:v>Certificate No. RC9216 of 2026 in respect of Prabhjeet Singh Chawla (PAN: ACAPC4870A)</x:v>
      </x:c>
      <x:c r="Q142" s="18" t="str">
        <x:v>sebi_103446</x:v>
      </x:c>
      <x:c r="R142" s="18" t="str"/>
      <x:c r="S142" s="18" t="str"/>
      <x:c r="T142" s="18" t="str">
        <x:v>DEFINED_TERMINAL_OR_FEED_SCOPE</x:v>
      </x:c>
      <x:c r="U142" s="18" t="str">
        <x:v>national_sebi_orders.json — published records loaded</x:v>
      </x:c>
      <x:c r="V142" s="18" t="str"/>
      <x:c r="W142" s="18" t="str"/>
      <x:c r="X142" s="20" t="n">
        <x:v>151</x:v>
      </x:c>
      <x:c r="Y142" s="19" t="n">
        <x:f>IFERROR(TODAY()-DATEVALUE(C142),"")</x:f>
        <x:v>34</x:v>
      </x:c>
      <x:c r="Z142" s="21" t="n">
        <x:f>ROUND(COUNTA(A142:K142)/11*100,0)</x:f>
        <x:v>100</x:v>
      </x:c>
      <x:c r="AA142" s="18" t="str">
        <x:v>Reserve Bank of India</x:v>
      </x:c>
      <x:c r="AB142" s="22" t="str">
        <x:v>https://www.sebi.gov.in/enforcement/recovery-proceedings/aug-2026/release-order-certificate-no-rc9216-of-2026-in-respect-of-prabhjeet-singh-chawla-pan-acapc4870a-in-the-matter-of-illiquid-stock-options_103446.html</x:v>
      </x:c>
      <x:c r="AC142" s="18" t="str">
        <x:v>2026-08-07</x:v>
      </x:c>
      <x:c r="AD142" s="18" t="n">
        <x:v>46275.114583333336</x:v>
      </x:c>
      <x:c r="AE142" s="18" t="str">
        <x:v>retained_terminal</x:v>
      </x:c>
      <x:c r="AF142" s="18" t="str">
        <x:v>READY</x:v>
      </x:c>
    </x:row>
    <x:row r="143">
      <x:c r="A143" s="18" t="str">
        <x:v>NYT-20-5e0152977376db92</x:v>
      </x:c>
      <x:c r="B143" s="18" t="str">
        <x:v>Completion of Recovery Certificate No. RC9216 of 2026 in respect of Prabhjeet Singh Chawla (PAN: ACAPC4870A) in the matter of Illiquid Stock Options</x:v>
      </x:c>
      <x:c r="C143" s="18" t="str">
        <x:v>2026-08-07</x:v>
      </x:c>
      <x:c r="D143" s="18" t="n">
        <x:v>2026</x:v>
      </x:c>
      <x:c r="E143" s="18" t="str">
        <x:v>2026-08</x:v>
      </x:c>
      <x:c r="F143" s="18" t="str"/>
      <x:c r="G143" s="18" t="str">
        <x:v>enforcement/recovery proceedings</x:v>
      </x:c>
      <x:c r="H143" s="18" t="str"/>
      <x:c r="I143" s="18" t="str"/>
      <x:c r="J143" s="20" t="str"/>
      <x:c r="K143" s="18" t="str"/>
      <x:c r="L143" s="22" t="str"/>
      <x:c r="M143" s="18" t="str">
        <x:v>2026-08-07</x:v>
      </x:c>
      <x:c r="N143" s="18" t="str"/>
      <x:c r="O143" s="18" t="str">
        <x:v>Completion of Recovery Certificate No. RC9216 of 2026 in respect of Prabhjeet Singh Chawla (PAN: ACAPC4870A) in the matter of Illiquid Stock Options</x:v>
      </x:c>
      <x:c r="P143" s="18" t="str"/>
      <x:c r="Q143" s="18" t="str">
        <x:v>sebi_103444</x:v>
      </x:c>
      <x:c r="R143" s="18" t="str"/>
      <x:c r="S143" s="18" t="str"/>
      <x:c r="T143" s="18" t="str">
        <x:v>DEFINED_TERMINAL_OR_FEED_SCOPE</x:v>
      </x:c>
      <x:c r="U143" s="18" t="str">
        <x:v>national_sebi_orders.json — published records loaded</x:v>
      </x:c>
      <x:c r="V143" s="18" t="str"/>
      <x:c r="W143" s="18" t="str"/>
      <x:c r="X143" s="20" t="n">
        <x:v>151</x:v>
      </x:c>
      <x:c r="Y143" s="19" t="n">
        <x:f>IFERROR(TODAY()-DATEVALUE(C143),"")</x:f>
        <x:v>34</x:v>
      </x:c>
      <x:c r="Z143" s="21" t="n">
        <x:f>ROUND(COUNTA(A143:K143)/11*100,0)</x:f>
        <x:v>100</x:v>
      </x:c>
      <x:c r="AA143" s="18" t="str">
        <x:v>Reserve Bank of India</x:v>
      </x:c>
      <x:c r="AB143" s="22" t="str">
        <x:v>https://www.sebi.gov.in/enforcement/recovery-proceedings/aug-2026/completion-of-recovery-certificate-no-rc9216-of-2026-in-respect-of-prabhjeet-singh-chawla-pan-acapc4870a-in-the-matter-of-illiquid-stock-options_103444.html</x:v>
      </x:c>
      <x:c r="AC143" s="18" t="str">
        <x:v>2026-08-07</x:v>
      </x:c>
      <x:c r="AD143" s="18" t="n">
        <x:v>46275.114583333336</x:v>
      </x:c>
      <x:c r="AE143" s="18" t="str">
        <x:v>retained_terminal</x:v>
      </x:c>
      <x:c r="AF143" s="18" t="str">
        <x:v>READY</x:v>
      </x:c>
    </x:row>
    <x:row r="144">
      <x:c r="A144" s="18" t="str">
        <x:v>NYT-20-25a5ecbbed86ea30</x:v>
      </x:c>
      <x:c r="B144" s="18" t="str">
        <x:v>Appeal No. 6976 of 2026 filed by Chhabeg Singh</x:v>
      </x:c>
      <x:c r="C144" s="18" t="str">
        <x:v>2026-08-07</x:v>
      </x:c>
      <x:c r="D144" s="18" t="n">
        <x:v>2026</x:v>
      </x:c>
      <x:c r="E144" s="18" t="str">
        <x:v>2026-08</x:v>
      </x:c>
      <x:c r="F144" s="18" t="str"/>
      <x:c r="G144" s="18" t="str">
        <x:v>enforcement/orders</x:v>
      </x:c>
      <x:c r="H144" s="18" t="str"/>
      <x:c r="I144" s="18" t="str"/>
      <x:c r="J144" s="20" t="str"/>
      <x:c r="K144" s="18" t="str"/>
      <x:c r="L144" s="22" t="str"/>
      <x:c r="M144" s="18" t="str">
        <x:v>2026-08-07</x:v>
      </x:c>
      <x:c r="N144" s="18" t="str"/>
      <x:c r="O144" s="18" t="str">
        <x:v>Appeal No. 6976 of 2026 filed by Chhabeg Singh</x:v>
      </x:c>
      <x:c r="P144" s="18" t="str"/>
      <x:c r="Q144" s="18" t="str">
        <x:v>sebi_103442</x:v>
      </x:c>
      <x:c r="R144" s="18" t="str"/>
      <x:c r="S144" s="18" t="str"/>
      <x:c r="T144" s="18" t="str">
        <x:v>DEFINED_TERMINAL_OR_FEED_SCOPE</x:v>
      </x:c>
      <x:c r="U144" s="18" t="str">
        <x:v>national_sebi_orders.json — published records loaded</x:v>
      </x:c>
      <x:c r="V144" s="18" t="str"/>
      <x:c r="W144" s="18" t="str"/>
      <x:c r="X144" s="20" t="n">
        <x:v>151</x:v>
      </x:c>
      <x:c r="Y144" s="19" t="n">
        <x:f>IFERROR(TODAY()-DATEVALUE(C144),"")</x:f>
        <x:v>34</x:v>
      </x:c>
      <x:c r="Z144" s="21" t="n">
        <x:f>ROUND(COUNTA(A144:K144)/11*100,0)</x:f>
        <x:v>100</x:v>
      </x:c>
      <x:c r="AA144" s="18" t="str">
        <x:v>Reserve Bank of India</x:v>
      </x:c>
      <x:c r="AB144" s="22" t="str">
        <x:v>https://www.sebi.gov.in/enforcement/orders/aug-2026/appeal-no-6976-of-2026-filed-by-chhabeg-singh_103442.html</x:v>
      </x:c>
      <x:c r="AC144" s="18" t="str">
        <x:v>2026-08-07</x:v>
      </x:c>
      <x:c r="AD144" s="18" t="n">
        <x:v>46275.114583333336</x:v>
      </x:c>
      <x:c r="AE144" s="18" t="str">
        <x:v>retained_terminal</x:v>
      </x:c>
      <x:c r="AF144" s="18" t="str">
        <x:v>READY</x:v>
      </x:c>
    </x:row>
    <x:row r="145">
      <x:c r="A145" s="18" t="str">
        <x:v>NYT-20-1ae869f09163d944</x:v>
      </x:c>
      <x:c r="B145" s="18" t="str">
        <x:v>Appeal No. 6974 of 2026 filed by Sudha Devi</x:v>
      </x:c>
      <x:c r="C145" s="18" t="str">
        <x:v>2026-08-07</x:v>
      </x:c>
      <x:c r="D145" s="18" t="n">
        <x:v>2026</x:v>
      </x:c>
      <x:c r="E145" s="18" t="str">
        <x:v>2026-08</x:v>
      </x:c>
      <x:c r="F145" s="18" t="str"/>
      <x:c r="G145" s="18" t="str">
        <x:v>enforcement/orders</x:v>
      </x:c>
      <x:c r="H145" s="18" t="str"/>
      <x:c r="I145" s="18" t="str"/>
      <x:c r="J145" s="20" t="str"/>
      <x:c r="K145" s="18" t="str"/>
      <x:c r="L145" s="22" t="str"/>
      <x:c r="M145" s="18" t="str">
        <x:v>2026-08-07</x:v>
      </x:c>
      <x:c r="N145" s="18" t="str"/>
      <x:c r="O145" s="18" t="str">
        <x:v>Appeal No. 6974 of 2026 filed by Sudha Devi</x:v>
      </x:c>
      <x:c r="P145" s="18" t="str"/>
      <x:c r="Q145" s="18" t="str">
        <x:v>sebi_103440</x:v>
      </x:c>
      <x:c r="R145" s="18" t="str"/>
      <x:c r="S145" s="18" t="str"/>
      <x:c r="T145" s="18" t="str">
        <x:v>DEFINED_TERMINAL_OR_FEED_SCOPE</x:v>
      </x:c>
      <x:c r="U145" s="18" t="str">
        <x:v>national_sebi_orders.json — published records loaded</x:v>
      </x:c>
      <x:c r="V145" s="18" t="str"/>
      <x:c r="W145" s="18" t="str"/>
      <x:c r="X145" s="20" t="n">
        <x:v>151</x:v>
      </x:c>
      <x:c r="Y145" s="19" t="n">
        <x:f>IFERROR(TODAY()-DATEVALUE(C145),"")</x:f>
        <x:v>34</x:v>
      </x:c>
      <x:c r="Z145" s="21" t="n">
        <x:f>ROUND(COUNTA(A145:K145)/11*100,0)</x:f>
        <x:v>100</x:v>
      </x:c>
      <x:c r="AA145" s="18" t="str">
        <x:v>Reserve Bank of India</x:v>
      </x:c>
      <x:c r="AB145" s="22" t="str">
        <x:v>https://www.sebi.gov.in/enforcement/orders/aug-2026/appeal-no-6974-of-2026-filed-by-sudha-devi_103440.html</x:v>
      </x:c>
      <x:c r="AC145" s="18" t="str">
        <x:v>2026-08-07</x:v>
      </x:c>
      <x:c r="AD145" s="18" t="n">
        <x:v>46275.114583333336</x:v>
      </x:c>
      <x:c r="AE145" s="18" t="str">
        <x:v>retained_terminal</x:v>
      </x:c>
      <x:c r="AF145" s="18" t="str">
        <x:v>READY</x:v>
      </x:c>
    </x:row>
    <x:row r="146">
      <x:c r="A146" s="18" t="str">
        <x:v>NYT-20-d4be8d7f2a340fb0</x:v>
      </x:c>
      <x:c r="B146" s="18" t="str">
        <x:v>Appeal No. 6973 of 2026 filed by Bharat Bhushan Sharma</x:v>
      </x:c>
      <x:c r="C146" s="18" t="str">
        <x:v>2026-08-07</x:v>
      </x:c>
      <x:c r="D146" s="18" t="n">
        <x:v>2026</x:v>
      </x:c>
      <x:c r="E146" s="18" t="str">
        <x:v>2026-08</x:v>
      </x:c>
      <x:c r="F146" s="18" t="str"/>
      <x:c r="G146" s="18" t="str">
        <x:v>enforcement/orders</x:v>
      </x:c>
      <x:c r="H146" s="18" t="str"/>
      <x:c r="I146" s="18" t="str"/>
      <x:c r="J146" s="20" t="str"/>
      <x:c r="K146" s="18" t="str"/>
      <x:c r="L146" s="22" t="str"/>
      <x:c r="M146" s="18" t="str">
        <x:v>2026-08-07</x:v>
      </x:c>
      <x:c r="N146" s="18" t="str"/>
      <x:c r="O146" s="18" t="str">
        <x:v>Appeal No. 6973 of 2026 filed by Bharat Bhushan Sharma</x:v>
      </x:c>
      <x:c r="P146" s="18" t="str"/>
      <x:c r="Q146" s="18" t="str">
        <x:v>sebi_103439</x:v>
      </x:c>
      <x:c r="R146" s="18" t="str"/>
      <x:c r="S146" s="18" t="str"/>
      <x:c r="T146" s="18" t="str">
        <x:v>DEFINED_TERMINAL_OR_FEED_SCOPE</x:v>
      </x:c>
      <x:c r="U146" s="18" t="str">
        <x:v>national_sebi_orders.json — published records loaded</x:v>
      </x:c>
      <x:c r="V146" s="18" t="str"/>
      <x:c r="W146" s="18" t="str"/>
      <x:c r="X146" s="20" t="n">
        <x:v>151</x:v>
      </x:c>
      <x:c r="Y146" s="19" t="n">
        <x:f>IFERROR(TODAY()-DATEVALUE(C146),"")</x:f>
        <x:v>34</x:v>
      </x:c>
      <x:c r="Z146" s="21" t="n">
        <x:f>ROUND(COUNTA(A146:K146)/11*100,0)</x:f>
        <x:v>100</x:v>
      </x:c>
      <x:c r="AA146" s="18" t="str">
        <x:v>Reserve Bank of India</x:v>
      </x:c>
      <x:c r="AB146" s="22" t="str">
        <x:v>https://www.sebi.gov.in/enforcement/orders/aug-2026/appeal-no-6973-of-2026-filed-by-bharat-bhushan-sharma_103439.html</x:v>
      </x:c>
      <x:c r="AC146" s="18" t="str">
        <x:v>2026-08-07</x:v>
      </x:c>
      <x:c r="AD146" s="18" t="n">
        <x:v>46275.114583333336</x:v>
      </x:c>
      <x:c r="AE146" s="18" t="str">
        <x:v>retained_terminal</x:v>
      </x:c>
      <x:c r="AF146" s="18" t="str">
        <x:v>READY</x:v>
      </x:c>
    </x:row>
    <x:row r="147">
      <x:c r="A147" s="18" t="str">
        <x:v>NYT-20-0652646edd947584</x:v>
      </x:c>
      <x:c r="B147" s="18" t="str">
        <x:v>Appeal No. 6972 of 2026 filed by Sunil Kumari</x:v>
      </x:c>
      <x:c r="C147" s="18" t="str">
        <x:v>2026-08-07</x:v>
      </x:c>
      <x:c r="D147" s="18" t="n">
        <x:v>2026</x:v>
      </x:c>
      <x:c r="E147" s="18" t="str">
        <x:v>2026-08</x:v>
      </x:c>
      <x:c r="F147" s="18" t="str"/>
      <x:c r="G147" s="18" t="str">
        <x:v>enforcement/orders</x:v>
      </x:c>
      <x:c r="H147" s="18" t="str"/>
      <x:c r="I147" s="18" t="str"/>
      <x:c r="J147" s="20" t="str"/>
      <x:c r="K147" s="18" t="str"/>
      <x:c r="L147" s="22" t="str"/>
      <x:c r="M147" s="18" t="str">
        <x:v>2026-08-07</x:v>
      </x:c>
      <x:c r="N147" s="18" t="str"/>
      <x:c r="O147" s="18" t="str">
        <x:v>Appeal No. 6972 of 2026 filed by Sunil Kumari</x:v>
      </x:c>
      <x:c r="P147" s="18" t="str"/>
      <x:c r="Q147" s="18" t="str">
        <x:v>sebi_103438</x:v>
      </x:c>
      <x:c r="R147" s="18" t="str"/>
      <x:c r="S147" s="18" t="str"/>
      <x:c r="T147" s="18" t="str">
        <x:v>DEFINED_TERMINAL_OR_FEED_SCOPE</x:v>
      </x:c>
      <x:c r="U147" s="18" t="str">
        <x:v>national_sebi_orders.json — published records loaded</x:v>
      </x:c>
      <x:c r="V147" s="18" t="str"/>
      <x:c r="W147" s="18" t="str"/>
      <x:c r="X147" s="20" t="n">
        <x:v>151</x:v>
      </x:c>
      <x:c r="Y147" s="19" t="n">
        <x:f>IFERROR(TODAY()-DATEVALUE(C147),"")</x:f>
        <x:v>34</x:v>
      </x:c>
      <x:c r="Z147" s="21" t="n">
        <x:f>ROUND(COUNTA(A147:K147)/11*100,0)</x:f>
        <x:v>100</x:v>
      </x:c>
      <x:c r="AA147" s="18" t="str">
        <x:v>Reserve Bank of India</x:v>
      </x:c>
      <x:c r="AB147" s="22" t="str">
        <x:v>https://www.sebi.gov.in/enforcement/orders/aug-2026/appeal-no-6972-of-2026-filed-by-sunil-kumari_103438.html</x:v>
      </x:c>
      <x:c r="AC147" s="18" t="str">
        <x:v>2026-08-07</x:v>
      </x:c>
      <x:c r="AD147" s="18" t="n">
        <x:v>46275.114583333336</x:v>
      </x:c>
      <x:c r="AE147" s="18" t="str">
        <x:v>retained_terminal</x:v>
      </x:c>
      <x:c r="AF147" s="18" t="str">
        <x:v>READY</x:v>
      </x:c>
    </x:row>
    <x:row r="148">
      <x:c r="A148" s="18" t="str">
        <x:v>NYT-20-fdd479800060576c</x:v>
      </x:c>
      <x:c r="B148" s="18" t="str">
        <x:v>Appeal No. 6971 of 2026 filed by Piyush Agarwal</x:v>
      </x:c>
      <x:c r="C148" s="18" t="str">
        <x:v>2026-08-07</x:v>
      </x:c>
      <x:c r="D148" s="18" t="n">
        <x:v>2026</x:v>
      </x:c>
      <x:c r="E148" s="18" t="str">
        <x:v>2026-08</x:v>
      </x:c>
      <x:c r="F148" s="18" t="str"/>
      <x:c r="G148" s="18" t="str">
        <x:v>enforcement/orders</x:v>
      </x:c>
      <x:c r="H148" s="18" t="str"/>
      <x:c r="I148" s="18" t="str"/>
      <x:c r="J148" s="20" t="str"/>
      <x:c r="K148" s="18" t="str"/>
      <x:c r="L148" s="22" t="str"/>
      <x:c r="M148" s="18" t="str">
        <x:v>2026-08-07</x:v>
      </x:c>
      <x:c r="N148" s="18" t="str"/>
      <x:c r="O148" s="18" t="str">
        <x:v>Appeal No. 6971 of 2026 filed by Piyush Agarwal</x:v>
      </x:c>
      <x:c r="P148" s="18" t="str"/>
      <x:c r="Q148" s="18" t="str">
        <x:v>sebi_103436</x:v>
      </x:c>
      <x:c r="R148" s="18" t="str"/>
      <x:c r="S148" s="18" t="str"/>
      <x:c r="T148" s="18" t="str">
        <x:v>DEFINED_TERMINAL_OR_FEED_SCOPE</x:v>
      </x:c>
      <x:c r="U148" s="18" t="str">
        <x:v>national_sebi_orders.json — published records loaded</x:v>
      </x:c>
      <x:c r="V148" s="18" t="str"/>
      <x:c r="W148" s="18" t="str"/>
      <x:c r="X148" s="20" t="n">
        <x:v>151</x:v>
      </x:c>
      <x:c r="Y148" s="19" t="n">
        <x:f>IFERROR(TODAY()-DATEVALUE(C148),"")</x:f>
        <x:v>34</x:v>
      </x:c>
      <x:c r="Z148" s="21" t="n">
        <x:f>ROUND(COUNTA(A148:K148)/11*100,0)</x:f>
        <x:v>100</x:v>
      </x:c>
      <x:c r="AA148" s="18" t="str">
        <x:v>Reserve Bank of India</x:v>
      </x:c>
      <x:c r="AB148" s="22" t="str">
        <x:v>https://www.sebi.gov.in/enforcement/orders/aug-2026/appeal-no-6971-of-2026-filed-by-piyush-agarwal_103436.html</x:v>
      </x:c>
      <x:c r="AC148" s="18" t="str">
        <x:v>2026-08-07</x:v>
      </x:c>
      <x:c r="AD148" s="18" t="n">
        <x:v>46275.114583333336</x:v>
      </x:c>
      <x:c r="AE148" s="18" t="str">
        <x:v>retained_terminal</x:v>
      </x:c>
      <x:c r="AF148" s="18" t="str">
        <x:v>READY</x:v>
      </x:c>
    </x:row>
    <x:row r="149">
      <x:c r="A149" s="18" t="str">
        <x:v>NYT-20-2159c934a422e9df</x:v>
      </x:c>
      <x:c r="B149" s="18" t="str">
        <x:v>SEBI streamlines inspection of market intermediaries</x:v>
      </x:c>
      <x:c r="C149" s="18" t="str">
        <x:v>2026-08-07</x:v>
      </x:c>
      <x:c r="D149" s="18" t="n">
        <x:v>2026</x:v>
      </x:c>
      <x:c r="E149" s="18" t="str">
        <x:v>2026-08</x:v>
      </x:c>
      <x:c r="F149" s="18" t="str"/>
      <x:c r="G149" s="18" t="str">
        <x:v>media and notifications/press releases</x:v>
      </x:c>
      <x:c r="H149" s="18" t="str"/>
      <x:c r="I149" s="18" t="str"/>
      <x:c r="J149" s="20" t="str"/>
      <x:c r="K149" s="18" t="str"/>
      <x:c r="L149" s="22" t="str"/>
      <x:c r="M149" s="18" t="str">
        <x:v>2026-08-07</x:v>
      </x:c>
      <x:c r="N149" s="18" t="str"/>
      <x:c r="O149" s="18" t="str">
        <x:v>SEBI streamlines inspection of market intermediaries</x:v>
      </x:c>
      <x:c r="P149" s="18" t="str"/>
      <x:c r="Q149" s="18" t="str">
        <x:v>sebi_103434</x:v>
      </x:c>
      <x:c r="R149" s="18" t="str"/>
      <x:c r="S149" s="18" t="str"/>
      <x:c r="T149" s="18" t="str">
        <x:v>DEFINED_TERMINAL_OR_FEED_SCOPE</x:v>
      </x:c>
      <x:c r="U149" s="18" t="str">
        <x:v>national_sebi_orders.json — published records loaded</x:v>
      </x:c>
      <x:c r="V149" s="18" t="str"/>
      <x:c r="W149" s="18" t="str"/>
      <x:c r="X149" s="20" t="n">
        <x:v>151</x:v>
      </x:c>
      <x:c r="Y149" s="19" t="n">
        <x:f>IFERROR(TODAY()-DATEVALUE(C149),"")</x:f>
        <x:v>34</x:v>
      </x:c>
      <x:c r="Z149" s="21" t="n">
        <x:f>ROUND(COUNTA(A149:K149)/11*100,0)</x:f>
        <x:v>100</x:v>
      </x:c>
      <x:c r="AA149" s="18" t="str">
        <x:v>Reserve Bank of India</x:v>
      </x:c>
      <x:c r="AB149" s="22" t="str">
        <x:v>https://www.sebi.gov.in/media-and-notifications/press-releases/aug-2026/sebi-streamlines-inspection-of-market-intermediaries_103434.html</x:v>
      </x:c>
      <x:c r="AC149" s="18" t="str">
        <x:v>2026-08-07</x:v>
      </x:c>
      <x:c r="AD149" s="18" t="n">
        <x:v>46275.114583333336</x:v>
      </x:c>
      <x:c r="AE149" s="18" t="str">
        <x:v>retained_terminal</x:v>
      </x:c>
      <x:c r="AF149" s="18" t="str">
        <x:v>READY</x:v>
      </x:c>
    </x:row>
    <x:row r="150">
      <x:c r="A150" s="18" t="str">
        <x:v>NYT-20-5c9fee01c4fc0797</x:v>
      </x:c>
      <x:c r="B150" s="18" t="str">
        <x:v>Release order for RC No. 4397 of 2021-Kesava Mallikarjuna Prasad Chivukula in the matter of CAT Technologies Ltd.</x:v>
      </x:c>
      <x:c r="C150" s="18" t="str">
        <x:v>2026-08-06</x:v>
      </x:c>
      <x:c r="D150" s="18" t="n">
        <x:v>2026</x:v>
      </x:c>
      <x:c r="E150" s="18" t="str">
        <x:v>2026-08</x:v>
      </x:c>
      <x:c r="F150" s="18" t="str"/>
      <x:c r="G150" s="18" t="str">
        <x:v>enforcement/recovery proceedings</x:v>
      </x:c>
      <x:c r="H150" s="18" t="str"/>
      <x:c r="I150" s="18" t="str">
        <x:v>for RC No. 4397 of 2021-Kesava Mallikarjuna Prasad Chivukula</x:v>
      </x:c>
      <x:c r="J150" s="20" t="str"/>
      <x:c r="K150" s="18" t="str"/>
      <x:c r="L150" s="22" t="str"/>
      <x:c r="M150" s="18" t="str">
        <x:v>2026-08-06</x:v>
      </x:c>
      <x:c r="N150" s="18" t="str"/>
      <x:c r="O150" s="18" t="str">
        <x:v>Release order for RC No. 4397 of 2021-Kesava Mallikarjuna Prasad Chivukula in the matter of CAT Technologies Ltd.</x:v>
      </x:c>
      <x:c r="P150" s="18" t="str">
        <x:v>for RC No. 4397 of 2021-Kesava Mallikarjuna Prasad Chivukula</x:v>
      </x:c>
      <x:c r="Q150" s="18" t="str">
        <x:v>sebi_103423</x:v>
      </x:c>
      <x:c r="R150" s="18" t="str"/>
      <x:c r="S150" s="18" t="str"/>
      <x:c r="T150" s="18" t="str">
        <x:v>DEFINED_TERMINAL_OR_FEED_SCOPE</x:v>
      </x:c>
      <x:c r="U150" s="18" t="str">
        <x:v>national_sebi_orders.json — published records loaded</x:v>
      </x:c>
      <x:c r="V150" s="18" t="str"/>
      <x:c r="W150" s="18" t="str"/>
      <x:c r="X150" s="20" t="n">
        <x:v>151</x:v>
      </x:c>
      <x:c r="Y150" s="19" t="n">
        <x:f>IFERROR(TODAY()-DATEVALUE(C150),"")</x:f>
        <x:v>35</x:v>
      </x:c>
      <x:c r="Z150" s="21" t="n">
        <x:f>ROUND(COUNTA(A150:K150)/11*100,0)</x:f>
        <x:v>100</x:v>
      </x:c>
      <x:c r="AA150" s="18" t="str">
        <x:v>Reserve Bank of India</x:v>
      </x:c>
      <x:c r="AB150" s="22" t="str">
        <x:v>https://www.sebi.gov.in/enforcement/recovery-proceedings/aug-2026/release-order-for-rc-no-4397-of-2021-kesava-mallikarjuna-prasad-chivukula-in-the-matter-of-cat-technologies-ltd-_103423.html</x:v>
      </x:c>
      <x:c r="AC150" s="18" t="str">
        <x:v>2026-08-06</x:v>
      </x:c>
      <x:c r="AD150" s="18" t="n">
        <x:v>46275.114583333336</x:v>
      </x:c>
      <x:c r="AE150" s="18" t="str">
        <x:v>retained_terminal</x:v>
      </x:c>
      <x:c r="AF150" s="18" t="str">
        <x:v>READY</x:v>
      </x:c>
    </x:row>
    <x:row r="151">
      <x:c r="A151" s="18" t="str">
        <x:v>NYT-20-ad10dc115d668546</x:v>
      </x:c>
      <x:c r="B151" s="18" t="str">
        <x:v>Completion of Recovery Certificate No. 4397 of 2021-Kesava Mallikarjuna Prasad Chivukula in the matter of CAT Technologies Ltd.</x:v>
      </x:c>
      <x:c r="C151" s="18" t="str">
        <x:v>2026-08-06</x:v>
      </x:c>
      <x:c r="D151" s="18" t="n">
        <x:v>2026</x:v>
      </x:c>
      <x:c r="E151" s="18" t="str">
        <x:v>2026-08</x:v>
      </x:c>
      <x:c r="F151" s="18" t="str"/>
      <x:c r="G151" s="18" t="str">
        <x:v>enforcement/recovery proceedings</x:v>
      </x:c>
      <x:c r="H151" s="18" t="str"/>
      <x:c r="I151" s="18" t="str"/>
      <x:c r="J151" s="20" t="str"/>
      <x:c r="K151" s="18" t="str"/>
      <x:c r="L151" s="22" t="str"/>
      <x:c r="M151" s="18" t="str">
        <x:v>2026-08-06</x:v>
      </x:c>
      <x:c r="N151" s="18" t="str"/>
      <x:c r="O151" s="18" t="str">
        <x:v>Completion of Recovery Certificate No. 4397 of 2021-Kesava Mallikarjuna Prasad Chivukula in the matter of CAT Technologies Ltd.</x:v>
      </x:c>
      <x:c r="P151" s="18" t="str"/>
      <x:c r="Q151" s="18" t="str">
        <x:v>sebi_103421</x:v>
      </x:c>
      <x:c r="R151" s="18" t="str"/>
      <x:c r="S151" s="18" t="str"/>
      <x:c r="T151" s="18" t="str">
        <x:v>DEFINED_TERMINAL_OR_FEED_SCOPE</x:v>
      </x:c>
      <x:c r="U151" s="18" t="str">
        <x:v>national_sebi_orders.json — published records loaded</x:v>
      </x:c>
      <x:c r="V151" s="18" t="str"/>
      <x:c r="W151" s="18" t="str"/>
      <x:c r="X151" s="20" t="n">
        <x:v>151</x:v>
      </x:c>
      <x:c r="Y151" s="19" t="n">
        <x:f>IFERROR(TODAY()-DATEVALUE(C151),"")</x:f>
        <x:v>35</x:v>
      </x:c>
      <x:c r="Z151" s="21" t="n">
        <x:f>ROUND(COUNTA(A151:K151)/11*100,0)</x:f>
        <x:v>100</x:v>
      </x:c>
      <x:c r="AA151" s="18" t="str">
        <x:v>Reserve Bank of India</x:v>
      </x:c>
      <x:c r="AB151" s="22" t="str">
        <x:v>https://www.sebi.gov.in/enforcement/recovery-proceedings/aug-2026/completion-of-recovery-certificate-no-4397-of-2021-kesava-mallikarjuna-prasad-chivukula-in-the-matter-of-cat-technologies-ltd-_103421.html</x:v>
      </x:c>
      <x:c r="AC151" s="18" t="str">
        <x:v>2026-08-06</x:v>
      </x:c>
      <x:c r="AD151" s="18" t="n">
        <x:v>46275.114583333336</x:v>
      </x:c>
      <x:c r="AE151" s="18" t="str">
        <x:v>retained_terminal</x:v>
      </x:c>
      <x:c r="AF151" s="18" t="str">
        <x:v>READY</x:v>
      </x:c>
    </x:row>
    <x:row r="152">
      <x:c r="A152" s="18" t="str">
        <x:v>NYT-20-a91abc965c11be0c</x:v>
      </x:c>
      <x:c r="B152" s="18" t="str">
        <x:v>Release order for RC No. 4396 of 2021-Dhaduvai Venkatram in the matter of CAT Technologies Ltd.</x:v>
      </x:c>
      <x:c r="C152" s="18" t="str">
        <x:v>2026-08-06</x:v>
      </x:c>
      <x:c r="D152" s="18" t="n">
        <x:v>2026</x:v>
      </x:c>
      <x:c r="E152" s="18" t="str">
        <x:v>2026-08</x:v>
      </x:c>
      <x:c r="F152" s="18" t="str"/>
      <x:c r="G152" s="18" t="str">
        <x:v>enforcement/recovery proceedings</x:v>
      </x:c>
      <x:c r="H152" s="18" t="str"/>
      <x:c r="I152" s="18" t="str">
        <x:v>for RC No. 4396 of 2021-Dhaduvai Venkatram</x:v>
      </x:c>
      <x:c r="J152" s="20" t="str"/>
      <x:c r="K152" s="18" t="str"/>
      <x:c r="L152" s="22" t="str"/>
      <x:c r="M152" s="18" t="str">
        <x:v>2026-08-06</x:v>
      </x:c>
      <x:c r="N152" s="18" t="str"/>
      <x:c r="O152" s="18" t="str">
        <x:v>Release order for RC No. 4396 of 2021-Dhaduvai Venkatram in the matter of CAT Technologies Ltd.</x:v>
      </x:c>
      <x:c r="P152" s="18" t="str">
        <x:v>for RC No. 4396 of 2021-Dhaduvai Venkatram</x:v>
      </x:c>
      <x:c r="Q152" s="18" t="str">
        <x:v>sebi_103420</x:v>
      </x:c>
      <x:c r="R152" s="18" t="str"/>
      <x:c r="S152" s="18" t="str"/>
      <x:c r="T152" s="18" t="str">
        <x:v>DEFINED_TERMINAL_OR_FEED_SCOPE</x:v>
      </x:c>
      <x:c r="U152" s="18" t="str">
        <x:v>national_sebi_orders.json — published records loaded</x:v>
      </x:c>
      <x:c r="V152" s="18" t="str"/>
      <x:c r="W152" s="18" t="str"/>
      <x:c r="X152" s="20" t="n">
        <x:v>151</x:v>
      </x:c>
      <x:c r="Y152" s="19" t="n">
        <x:f>IFERROR(TODAY()-DATEVALUE(C152),"")</x:f>
        <x:v>35</x:v>
      </x:c>
      <x:c r="Z152" s="21" t="n">
        <x:f>ROUND(COUNTA(A152:K152)/11*100,0)</x:f>
        <x:v>100</x:v>
      </x:c>
      <x:c r="AA152" s="18" t="str">
        <x:v>Reserve Bank of India</x:v>
      </x:c>
      <x:c r="AB152" s="22" t="str">
        <x:v>https://www.sebi.gov.in/enforcement/recovery-proceedings/aug-2026/release-order-for-rc-no-4396-of-2021-dhaduvai-venkatram-in-the-matter-of-cat-technologies-ltd-_103420.html</x:v>
      </x:c>
      <x:c r="AC152" s="18" t="str">
        <x:v>2026-08-06</x:v>
      </x:c>
      <x:c r="AD152" s="18" t="n">
        <x:v>46275.114583333336</x:v>
      </x:c>
      <x:c r="AE152" s="18" t="str">
        <x:v>retained_terminal</x:v>
      </x:c>
      <x:c r="AF152" s="18" t="str">
        <x:v>READY</x:v>
      </x:c>
    </x:row>
    <x:row r="153">
      <x:c r="A153" s="18" t="str">
        <x:v>NYT-20-60d5f400472c3b63</x:v>
      </x:c>
      <x:c r="B153" s="18" t="str">
        <x:v>Completion of Recovery Certificate No. 4396 of 2021-Dhaduvai Venkatram in the matter of CAT Technologies Ltd.</x:v>
      </x:c>
      <x:c r="C153" s="18" t="str">
        <x:v>2026-08-06</x:v>
      </x:c>
      <x:c r="D153" s="18" t="n">
        <x:v>2026</x:v>
      </x:c>
      <x:c r="E153" s="18" t="str">
        <x:v>2026-08</x:v>
      </x:c>
      <x:c r="F153" s="18" t="str"/>
      <x:c r="G153" s="18" t="str">
        <x:v>enforcement/recovery proceedings</x:v>
      </x:c>
      <x:c r="H153" s="18" t="str"/>
      <x:c r="I153" s="18" t="str"/>
      <x:c r="J153" s="20" t="str"/>
      <x:c r="K153" s="18" t="str"/>
      <x:c r="L153" s="22" t="str"/>
      <x:c r="M153" s="18" t="str">
        <x:v>2026-08-06</x:v>
      </x:c>
      <x:c r="N153" s="18" t="str"/>
      <x:c r="O153" s="18" t="str">
        <x:v>Completion of Recovery Certificate No. 4396 of 2021-Dhaduvai Venkatram in the matter of CAT Technologies Ltd.</x:v>
      </x:c>
      <x:c r="P153" s="18" t="str"/>
      <x:c r="Q153" s="18" t="str">
        <x:v>sebi_103418</x:v>
      </x:c>
      <x:c r="R153" s="18" t="str"/>
      <x:c r="S153" s="18" t="str"/>
      <x:c r="T153" s="18" t="str">
        <x:v>DEFINED_TERMINAL_OR_FEED_SCOPE</x:v>
      </x:c>
      <x:c r="U153" s="18" t="str">
        <x:v>national_sebi_orders.json — published records loaded</x:v>
      </x:c>
      <x:c r="V153" s="18" t="str"/>
      <x:c r="W153" s="18" t="str"/>
      <x:c r="X153" s="20" t="n">
        <x:v>151</x:v>
      </x:c>
      <x:c r="Y153" s="19" t="n">
        <x:f>IFERROR(TODAY()-DATEVALUE(C153),"")</x:f>
        <x:v>35</x:v>
      </x:c>
      <x:c r="Z153" s="21" t="n">
        <x:f>ROUND(COUNTA(A153:K153)/11*100,0)</x:f>
        <x:v>100</x:v>
      </x:c>
      <x:c r="AA153" s="18" t="str">
        <x:v>Reserve Bank of India</x:v>
      </x:c>
      <x:c r="AB153" s="22" t="str">
        <x:v>https://www.sebi.gov.in/enforcement/recovery-proceedings/aug-2026/completion-of-recovery-certificate-no-4396-of-2021-dhaduvai-venkatram-in-the-matter-of-cat-technologies-ltd-_103418.html</x:v>
      </x:c>
      <x:c r="AC153" s="18" t="str">
        <x:v>2026-08-06</x:v>
      </x:c>
      <x:c r="AD153" s="18" t="n">
        <x:v>46275.114583333336</x:v>
      </x:c>
      <x:c r="AE153" s="18" t="str">
        <x:v>retained_terminal</x:v>
      </x:c>
      <x:c r="AF153" s="18" t="str">
        <x:v>READY</x:v>
      </x:c>
    </x:row>
    <x:row r="154">
      <x:c r="A154" s="18" t="str">
        <x:v>NYT-20-3e7cdd14265c0652</x:v>
      </x:c>
      <x:c r="B154" s="18" t="str">
        <x:v>SEBI Releases its Annual Report for FY 2025-26</x:v>
      </x:c>
      <x:c r="C154" s="18" t="str">
        <x:v>2026-08-06</x:v>
      </x:c>
      <x:c r="D154" s="18" t="n">
        <x:v>2026</x:v>
      </x:c>
      <x:c r="E154" s="18" t="str">
        <x:v>2026-08</x:v>
      </x:c>
      <x:c r="F154" s="18" t="str"/>
      <x:c r="G154" s="18" t="str">
        <x:v>media and notifications/press releases</x:v>
      </x:c>
      <x:c r="H154" s="18" t="str"/>
      <x:c r="I154" s="18" t="str"/>
      <x:c r="J154" s="20" t="str"/>
      <x:c r="K154" s="18" t="str"/>
      <x:c r="L154" s="22" t="str"/>
      <x:c r="M154" s="18" t="str">
        <x:v>2026-08-06</x:v>
      </x:c>
      <x:c r="N154" s="18" t="str"/>
      <x:c r="O154" s="18" t="str">
        <x:v>SEBI Releases its Annual Report for FY 2025-26</x:v>
      </x:c>
      <x:c r="P154" s="18" t="str"/>
      <x:c r="Q154" s="18" t="str">
        <x:v>sebi_103417</x:v>
      </x:c>
      <x:c r="R154" s="18" t="str"/>
      <x:c r="S154" s="18" t="str"/>
      <x:c r="T154" s="18" t="str">
        <x:v>DEFINED_TERMINAL_OR_FEED_SCOPE</x:v>
      </x:c>
      <x:c r="U154" s="18" t="str">
        <x:v>national_sebi_orders.json — published records loaded</x:v>
      </x:c>
      <x:c r="V154" s="18" t="str"/>
      <x:c r="W154" s="18" t="str"/>
      <x:c r="X154" s="20" t="n">
        <x:v>151</x:v>
      </x:c>
      <x:c r="Y154" s="19" t="n">
        <x:f>IFERROR(TODAY()-DATEVALUE(C154),"")</x:f>
        <x:v>35</x:v>
      </x:c>
      <x:c r="Z154" s="21" t="n">
        <x:f>ROUND(COUNTA(A154:K154)/11*100,0)</x:f>
        <x:v>100</x:v>
      </x:c>
      <x:c r="AA154" s="18" t="str">
        <x:v>Reserve Bank of India</x:v>
      </x:c>
      <x:c r="AB154" s="22" t="str">
        <x:v>https://www.sebi.gov.in/media-and-notifications/press-releases/aug-2026/sebi-releases-its-annual-report-for-fy-2025-26_103417.html</x:v>
      </x:c>
      <x:c r="AC154" s="18" t="str">
        <x:v>2026-08-06</x:v>
      </x:c>
      <x:c r="AD154" s="18" t="n">
        <x:v>46275.114583333336</x:v>
      </x:c>
      <x:c r="AE154" s="18" t="str">
        <x:v>retained_terminal</x:v>
      </x:c>
      <x:c r="AF154" s="18" t="str">
        <x:v>READY</x:v>
      </x:c>
    </x:row>
    <x:row r="155">
      <x:c r="A155" s="18" t="str">
        <x:v>NYT-20-95435393b0e5419e</x:v>
      </x:c>
      <x:c r="B155" s="18" t="str">
        <x:v>Release Order - Certificate No. RC8582 of 2025 in respect of Consolidated Mercantiles Private Limited (PAN: AACCC2960N) in the matter of Illiquid Stock Options</x:v>
      </x:c>
      <x:c r="C155" s="18" t="str">
        <x:v>2026-08-06</x:v>
      </x:c>
      <x:c r="D155" s="18" t="n">
        <x:v>2026</x:v>
      </x:c>
      <x:c r="E155" s="18" t="str">
        <x:v>2026-08</x:v>
      </x:c>
      <x:c r="F155" s="18" t="str"/>
      <x:c r="G155" s="18" t="str">
        <x:v>enforcement/recovery proceedings</x:v>
      </x:c>
      <x:c r="H155" s="18" t="str"/>
      <x:c r="I155" s="18" t="str">
        <x:v>Certificate No. RC8582 of 2025 in respect of Consolidated Mercantiles Private Limited (PAN: AACCC2960N)</x:v>
      </x:c>
      <x:c r="J155" s="20" t="str"/>
      <x:c r="K155" s="18" t="str"/>
      <x:c r="L155" s="22" t="str"/>
      <x:c r="M155" s="18" t="str">
        <x:v>2026-08-06</x:v>
      </x:c>
      <x:c r="N155" s="18" t="str"/>
      <x:c r="O155" s="18" t="str">
        <x:v>Release Order - Certificate No. RC8582 of 2025 in respect of Consolidated Mercantiles Private Limited (PAN: AACCC2960N) in the matter of Illiquid Stock Options</x:v>
      </x:c>
      <x:c r="P155" s="18" t="str">
        <x:v>Certificate No. RC8582 of 2025 in respect of Consolidated Mercantiles Private Limited (PAN: AACCC2960N)</x:v>
      </x:c>
      <x:c r="Q155" s="18" t="str">
        <x:v>sebi_103414</x:v>
      </x:c>
      <x:c r="R155" s="18" t="str"/>
      <x:c r="S155" s="18" t="str"/>
      <x:c r="T155" s="18" t="str">
        <x:v>DEFINED_TERMINAL_OR_FEED_SCOPE</x:v>
      </x:c>
      <x:c r="U155" s="18" t="str">
        <x:v>national_sebi_orders.json — published records loaded</x:v>
      </x:c>
      <x:c r="V155" s="18" t="str"/>
      <x:c r="W155" s="18" t="str"/>
      <x:c r="X155" s="20" t="n">
        <x:v>151</x:v>
      </x:c>
      <x:c r="Y155" s="19" t="n">
        <x:f>IFERROR(TODAY()-DATEVALUE(C155),"")</x:f>
        <x:v>35</x:v>
      </x:c>
      <x:c r="Z155" s="21" t="n">
        <x:f>ROUND(COUNTA(A155:K155)/11*100,0)</x:f>
        <x:v>100</x:v>
      </x:c>
      <x:c r="AA155" s="18" t="str">
        <x:v>Reserve Bank of India</x:v>
      </x:c>
      <x:c r="AB155" s="22" t="str">
        <x:v>https://www.sebi.gov.in/enforcement/recovery-proceedings/aug-2026/release-order-certificate-no-rc8582-of-2025-in-respect-of-consolidated-mercantiles-private-limited-pan-aaccc2960n-in-the-matter-of-illiquid-stock-options_103414.html</x:v>
      </x:c>
      <x:c r="AC155" s="18" t="str">
        <x:v>2026-08-06</x:v>
      </x:c>
      <x:c r="AD155" s="18" t="n">
        <x:v>46275.114583333336</x:v>
      </x:c>
      <x:c r="AE155" s="18" t="str">
        <x:v>retained_terminal</x:v>
      </x:c>
      <x:c r="AF155" s="18" t="str">
        <x:v>READY</x:v>
      </x:c>
    </x:row>
    <x:row r="156">
      <x:c r="A156" s="18" t="str">
        <x:v>NYT-20-87fb222dcf5a9a40</x:v>
      </x:c>
      <x:c r="B156" s="18" t="str">
        <x:v>Notice of Attachment of Demat Accounts and Mutual Fund Folios dated August 05, 2026 under RC 9219 of 2026 against Jitendra Surendra Gupta (PAN – AEJPG1171R) in the matter of Oriental Trimex Limited</x:v>
      </x:c>
      <x:c r="C156" s="18" t="str">
        <x:v>2026-08-05</x:v>
      </x:c>
      <x:c r="D156" s="18" t="n">
        <x:v>2026</x:v>
      </x:c>
      <x:c r="E156" s="18" t="str">
        <x:v>2026-08</x:v>
      </x:c>
      <x:c r="F156" s="18" t="str"/>
      <x:c r="G156" s="18" t="str">
        <x:v>enforcement/recovery proceedings</x:v>
      </x:c>
      <x:c r="H156" s="18" t="str"/>
      <x:c r="I156" s="18" t="str"/>
      <x:c r="J156" s="20" t="str"/>
      <x:c r="K156" s="18" t="str"/>
      <x:c r="L156" s="22" t="str"/>
      <x:c r="M156" s="18" t="str">
        <x:v>2026-08-05</x:v>
      </x:c>
      <x:c r="N156" s="18" t="str"/>
      <x:c r="O156" s="18" t="str">
        <x:v>Notice of Attachment of Demat Accounts and Mutual Fund Folios dated August 05, 2026 under RC 9219 of 2026 against Jitendra Surendra Gupta (PAN – AEJPG1171R) in the matter of Oriental Trimex Limited</x:v>
      </x:c>
      <x:c r="P156" s="18" t="str"/>
      <x:c r="Q156" s="18" t="str">
        <x:v>sebi_103456</x:v>
      </x:c>
      <x:c r="R156" s="18" t="str"/>
      <x:c r="S156" s="18" t="str"/>
      <x:c r="T156" s="18" t="str">
        <x:v>DEFINED_TERMINAL_OR_FEED_SCOPE</x:v>
      </x:c>
      <x:c r="U156" s="18" t="str">
        <x:v>national_sebi_orders.json — published records loaded</x:v>
      </x:c>
      <x:c r="V156" s="18" t="str"/>
      <x:c r="W156" s="18" t="str"/>
      <x:c r="X156" s="20" t="n">
        <x:v>151</x:v>
      </x:c>
      <x:c r="Y156" s="19" t="n">
        <x:f>IFERROR(TODAY()-DATEVALUE(C156),"")</x:f>
        <x:v>36</x:v>
      </x:c>
      <x:c r="Z156" s="21" t="n">
        <x:f>ROUND(COUNTA(A156:K156)/11*100,0)</x:f>
        <x:v>100</x:v>
      </x:c>
      <x:c r="AA156" s="18" t="str">
        <x:v>Reserve Bank of India</x:v>
      </x:c>
      <x:c r="AB156" s="22" t="str">
        <x:v>https://www.sebi.gov.in/enforcement/recovery-proceedings/aug-2026/notice-of-attachment-of-demat-accounts-and-mutual-fund-folios-dated-august-05-2026-under-rc-9219-of-2026-against-jitendra-surendra-gupta-pan-aejpg1171r-in-the-matter-of-oriental-trimex-limited_103456.html</x:v>
      </x:c>
      <x:c r="AC156" s="18" t="str">
        <x:v>2026-08-05</x:v>
      </x:c>
      <x:c r="AD156" s="18" t="n">
        <x:v>46275.114583333336</x:v>
      </x:c>
      <x:c r="AE156" s="18" t="str">
        <x:v>retained_terminal</x:v>
      </x:c>
      <x:c r="AF156" s="18" t="str">
        <x:v>READY</x:v>
      </x:c>
    </x:row>
    <x:row r="157">
      <x:c r="A157" s="18" t="str">
        <x:v>NYT-20-d5b180dfbfe1479e</x:v>
      </x:c>
      <x:c r="B157" s="18" t="str">
        <x:v>Notice of Attachment of Bank Accounts dated August 05, 2026 under RC 9219 of 2026 against Jitendra Surendra Gupta (PAN – AEJPG1171R) in the matter of Oriental Trimex Limited</x:v>
      </x:c>
      <x:c r="C157" s="18" t="str">
        <x:v>2026-08-05</x:v>
      </x:c>
      <x:c r="D157" s="18" t="n">
        <x:v>2026</x:v>
      </x:c>
      <x:c r="E157" s="18" t="str">
        <x:v>2026-08</x:v>
      </x:c>
      <x:c r="F157" s="18" t="str"/>
      <x:c r="G157" s="18" t="str">
        <x:v>enforcement/recovery proceedings</x:v>
      </x:c>
      <x:c r="H157" s="18" t="str"/>
      <x:c r="I157" s="18" t="str"/>
      <x:c r="J157" s="20" t="str"/>
      <x:c r="K157" s="18" t="str"/>
      <x:c r="L157" s="22" t="str"/>
      <x:c r="M157" s="18" t="str">
        <x:v>2026-08-05</x:v>
      </x:c>
      <x:c r="N157" s="18" t="str"/>
      <x:c r="O157" s="18" t="str">
        <x:v>Notice of Attachment of Bank Accounts dated August 05, 2026 under RC 9219 of 2026 against Jitendra Surendra Gupta (PAN – AEJPG1171R) in the matter of Oriental Trimex Limited</x:v>
      </x:c>
      <x:c r="P157" s="18" t="str"/>
      <x:c r="Q157" s="18" t="str">
        <x:v>sebi_103454</x:v>
      </x:c>
      <x:c r="R157" s="18" t="str"/>
      <x:c r="S157" s="18" t="str"/>
      <x:c r="T157" s="18" t="str">
        <x:v>DEFINED_TERMINAL_OR_FEED_SCOPE</x:v>
      </x:c>
      <x:c r="U157" s="18" t="str">
        <x:v>national_sebi_orders.json — published records loaded</x:v>
      </x:c>
      <x:c r="V157" s="18" t="str"/>
      <x:c r="W157" s="18" t="str"/>
      <x:c r="X157" s="20" t="n">
        <x:v>151</x:v>
      </x:c>
      <x:c r="Y157" s="19" t="n">
        <x:f>IFERROR(TODAY()-DATEVALUE(C157),"")</x:f>
        <x:v>36</x:v>
      </x:c>
      <x:c r="Z157" s="21" t="n">
        <x:f>ROUND(COUNTA(A157:K157)/11*100,0)</x:f>
        <x:v>100</x:v>
      </x:c>
      <x:c r="AA157" s="18" t="str">
        <x:v>Reserve Bank of India</x:v>
      </x:c>
      <x:c r="AB157" s="22" t="str">
        <x:v>https://www.sebi.gov.in/enforcement/recovery-proceedings/aug-2026/notice-of-attachment-of-bank-accounts-dated-august-05-2026-under-rc-9219-of-2026-against-jitendra-surendra-gupta-pan-aejpg1171r-in-the-matter-of-oriental-trimex-limited_103454.html</x:v>
      </x:c>
      <x:c r="AC157" s="18" t="str">
        <x:v>2026-08-05</x:v>
      </x:c>
      <x:c r="AD157" s="18" t="n">
        <x:v>46275.114583333336</x:v>
      </x:c>
      <x:c r="AE157" s="18" t="str">
        <x:v>retained_terminal</x:v>
      </x:c>
      <x:c r="AF157" s="18" t="str">
        <x:v>READY</x:v>
      </x:c>
    </x:row>
    <x:row r="158">
      <x:c r="A158" s="18" t="str">
        <x:v>NYT-20-d118e45d41be8337</x:v>
      </x:c>
      <x:c r="B158" s="18" t="str">
        <x:v>Release Order - Certificate No. RC9147 of 2026 in respect of Amar Nath Das (PAN: AMNPD2486Q) &amp; Rajesh Kumar Agarwal (PAN: AFFPA4486E) in the matter of Illiquid Stock Options</x:v>
      </x:c>
      <x:c r="C158" s="18" t="str">
        <x:v>2026-08-05</x:v>
      </x:c>
      <x:c r="D158" s="18" t="n">
        <x:v>2026</x:v>
      </x:c>
      <x:c r="E158" s="18" t="str">
        <x:v>2026-08</x:v>
      </x:c>
      <x:c r="F158" s="18" t="str"/>
      <x:c r="G158" s="18" t="str">
        <x:v>enforcement/recovery proceedings</x:v>
      </x:c>
      <x:c r="H158" s="18" t="str"/>
      <x:c r="I158" s="18" t="str">
        <x:v>Certificate No. RC9147 of 2026 in respect of Amar Nath Das (PAN: AMNPD2486Q) &amp; Rajesh Kumar Agarwal (PAN: AFFPA4486E)</x:v>
      </x:c>
      <x:c r="J158" s="20" t="str"/>
      <x:c r="K158" s="18" t="str"/>
      <x:c r="L158" s="22" t="str"/>
      <x:c r="M158" s="18" t="str">
        <x:v>2026-08-05</x:v>
      </x:c>
      <x:c r="N158" s="18" t="str"/>
      <x:c r="O158" s="18" t="str">
        <x:v>Release Order - Certificate No. RC9147 of 2026 in respect of Amar Nath Das (PAN: AMNPD2486Q) &amp; Rajesh Kumar Agarwal (PAN: AFFPA4486E) in the matter of Illiquid Stock Options</x:v>
      </x:c>
      <x:c r="P158" s="18" t="str">
        <x:v>Certificate No. RC9147 of 2026 in respect of Amar Nath Das (PAN: AMNPD2486Q) &amp; Rajesh Kumar Agarwal (PAN: AFFPA4486E)</x:v>
      </x:c>
      <x:c r="Q158" s="18" t="str">
        <x:v>sebi_103395</x:v>
      </x:c>
      <x:c r="R158" s="18" t="str"/>
      <x:c r="S158" s="18" t="str"/>
      <x:c r="T158" s="18" t="str">
        <x:v>DEFINED_TERMINAL_OR_FEED_SCOPE</x:v>
      </x:c>
      <x:c r="U158" s="18" t="str">
        <x:v>national_sebi_orders.json — published records loaded</x:v>
      </x:c>
      <x:c r="V158" s="18" t="str"/>
      <x:c r="W158" s="18" t="str"/>
      <x:c r="X158" s="20" t="n">
        <x:v>151</x:v>
      </x:c>
      <x:c r="Y158" s="19" t="n">
        <x:f>IFERROR(TODAY()-DATEVALUE(C158),"")</x:f>
        <x:v>36</x:v>
      </x:c>
      <x:c r="Z158" s="21" t="n">
        <x:f>ROUND(COUNTA(A158:K158)/11*100,0)</x:f>
        <x:v>100</x:v>
      </x:c>
      <x:c r="AA158" s="18" t="str">
        <x:v>Reserve Bank of India</x:v>
      </x:c>
      <x:c r="AB158" s="22" t="str">
        <x:v>https://www.sebi.gov.in/enforcement/recovery-proceedings/aug-2026/release-order-certificate-no-rc9147-of-2026-in-respect-of-amar-nath-das-pan-amnpd2486q-and-rajesh-kumar-agarwal-pan-affpa4486e-in-the-matter-of-illiquid-stock-options_103395.html</x:v>
      </x:c>
      <x:c r="AC158" s="18" t="str">
        <x:v>2026-08-05</x:v>
      </x:c>
      <x:c r="AD158" s="18" t="n">
        <x:v>46275.114583333336</x:v>
      </x:c>
      <x:c r="AE158" s="18" t="str">
        <x:v>retained_terminal</x:v>
      </x:c>
      <x:c r="AF158" s="18" t="str">
        <x:v>READY</x:v>
      </x:c>
    </x:row>
    <x:row r="159">
      <x:c r="A159" s="18" t="str">
        <x:v>NYT-20-d3764b08331f3907</x:v>
      </x:c>
      <x:c r="B159" s="18" t="str">
        <x:v>Completion of Recovery Certificate No. RC9147 of 2026 in respect of Amar Nath Das (PAN: AMNPD2486Q) &amp; Rajesh Kumar Agarwal (PAN: AFFPA4486E) in the matter of Illiquid Stock Options</x:v>
      </x:c>
      <x:c r="C159" s="18" t="str">
        <x:v>2026-08-05</x:v>
      </x:c>
      <x:c r="D159" s="18" t="n">
        <x:v>2026</x:v>
      </x:c>
      <x:c r="E159" s="18" t="str">
        <x:v>2026-08</x:v>
      </x:c>
      <x:c r="F159" s="18" t="str"/>
      <x:c r="G159" s="18" t="str">
        <x:v>enforcement/recovery proceedings</x:v>
      </x:c>
      <x:c r="H159" s="18" t="str"/>
      <x:c r="I159" s="18" t="str"/>
      <x:c r="J159" s="20" t="str"/>
      <x:c r="K159" s="18" t="str"/>
      <x:c r="L159" s="22" t="str"/>
      <x:c r="M159" s="18" t="str">
        <x:v>2026-08-05</x:v>
      </x:c>
      <x:c r="N159" s="18" t="str"/>
      <x:c r="O159" s="18" t="str">
        <x:v>Completion of Recovery Certificate No. RC9147 of 2026 in respect of Amar Nath Das (PAN: AMNPD2486Q) &amp; Rajesh Kumar Agarwal (PAN: AFFPA4486E) in the matter of Illiquid Stock Options</x:v>
      </x:c>
      <x:c r="P159" s="18" t="str"/>
      <x:c r="Q159" s="18" t="str">
        <x:v>sebi_103393</x:v>
      </x:c>
      <x:c r="R159" s="18" t="str"/>
      <x:c r="S159" s="18" t="str"/>
      <x:c r="T159" s="18" t="str">
        <x:v>DEFINED_TERMINAL_OR_FEED_SCOPE</x:v>
      </x:c>
      <x:c r="U159" s="18" t="str">
        <x:v>national_sebi_orders.json — published records loaded</x:v>
      </x:c>
      <x:c r="V159" s="18" t="str"/>
      <x:c r="W159" s="18" t="str"/>
      <x:c r="X159" s="20" t="n">
        <x:v>151</x:v>
      </x:c>
      <x:c r="Y159" s="19" t="n">
        <x:f>IFERROR(TODAY()-DATEVALUE(C159),"")</x:f>
        <x:v>36</x:v>
      </x:c>
      <x:c r="Z159" s="21" t="n">
        <x:f>ROUND(COUNTA(A159:K159)/11*100,0)</x:f>
        <x:v>100</x:v>
      </x:c>
      <x:c r="AA159" s="18" t="str">
        <x:v>Reserve Bank of India</x:v>
      </x:c>
      <x:c r="AB159" s="22" t="str">
        <x:v>https://www.sebi.gov.in/enforcement/recovery-proceedings/aug-2026/completion-of-recovery-certificate-no-rc9147-of-2026-in-respect-of-amar-nath-das-pan-amnpd2486q-and-rajesh-kumar-agarwal-pan-affpa4486e-in-the-matter-of-illiquid-stock-options_103393.html</x:v>
      </x:c>
      <x:c r="AC159" s="18" t="str">
        <x:v>2026-08-05</x:v>
      </x:c>
      <x:c r="AD159" s="18" t="n">
        <x:v>46275.114583333336</x:v>
      </x:c>
      <x:c r="AE159" s="18" t="str">
        <x:v>retained_terminal</x:v>
      </x:c>
      <x:c r="AF159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ddd6b69c3444e18"/>
  <x:tableParts count="1">
    <x:tablePart xmlns:r="http://schemas.openxmlformats.org/officeDocument/2006/relationships" r:id="Rff4712064cea451b"/>
  </x:tableParts>
</x:worksheet>
</file>