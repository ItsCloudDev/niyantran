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fafe8727baf4a36" /></Relationships>
</file>

<file path=xl/workbook.xml><?xml version="1.0" encoding="utf-8"?>
<x:workbook xmlns:x="http://schemas.openxmlformats.org/spreadsheetml/2006/main">
  <x:sheets>
    <x:sheet xmlns:r="http://schemas.openxmlformats.org/officeDocument/2006/relationships" name="F27 Budget Utilisation &amp; Scheme" sheetId="1" r:id="R81c4666d7cc947d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0"/>
  </x:numFmts>
  <x:fonts count="7">
    <x:font>
      <x:sz val="11"/>
      <x:name val="Carlito"/>
    </x:font>
    <x:font>
      <x:sz val="9"/>
      <x:color rgb="FF1F2937"/>
      <x:name val="Arial"/>
    </x:font>
    <x:font>
      <x:b/>
      <x:sz val="15"/>
      <x:color rgb="FF1F4E78"/>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1F4E78"/>
      </x:patternFill>
    </x:fill>
  </x:fills>
  <x:borders count="3">
    <x:border/>
    <x:border>
      <x:bottom style="medium">
        <x:color rgb="FF1F4E78"/>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1" fontId="1" fillId="0" borderId="2" xfId="0" applyNumberFormat="1" applyFont="1" applyFill="1" applyBorder="1" applyAlignment="1">
      <x:alignment vertical="top" wrapText="1"/>
    </x:xf>
    <x:xf numFmtId="202" fontId="1" fillId="0" borderId="2" xfId="0" applyNumberFormat="1" applyFont="1" applyFill="1" applyBorder="1" applyAlignment="1">
      <x:alignment vertical="top" wrapText="1"/>
    </x:xf>
    <x:xf numFmtId="0" fontId="6"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d83a7d6ae74e85" /><Relationship Type="http://schemas.openxmlformats.org/officeDocument/2006/relationships/theme" Target="/xl/theme/theme1.xml" Id="R9b3d20174fda48b2" /><Relationship Type="http://schemas.openxmlformats.org/officeDocument/2006/relationships/sharedStrings" Target="/xl/sharedStrings.xml" Id="Ra5c781cd00e34e64" /><Relationship Type="http://schemas.openxmlformats.org/officeDocument/2006/relationships/worksheet" Target="/xl/worksheets/sheet1.xml" Id="R81c4666d7cc947d1" /></Relationships>
</file>

<file path=xl/drawings/_rels/drawing1.xml.rels>&#65279;<?xml version="1.0" encoding="utf-8"?><Relationships xmlns="http://schemas.openxmlformats.org/package/2006/relationships"><Relationship Type="http://schemas.openxmlformats.org/officeDocument/2006/relationships/chart" Target="/xl/drawings/charts/chart1.xml" Id="R1b6e317b70ef4e72" /><Relationship Type="http://schemas.openxmlformats.org/officeDocument/2006/relationships/chart" Target="/xl/drawings/charts/chart2.xml" Id="Rc91afed9a08b4933" /><Relationship Type="http://schemas.openxmlformats.org/officeDocument/2006/relationships/chart" Target="/xl/drawings/charts/chart3.xml" Id="R800ed297a32d465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Allocation, release and expenditure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Records</c:v>
          </c:tx>
          <c:marker>
            <c:symbol val="none"/>
          </c:marker>
          <c:cat>
            <c:strRef>
              <c:f>'F27 Budget Utilisation &amp; Scheme'!$AZ$3:$AZ$17</c:f>
              <c:strCache>
                <c:ptCount val="0"/>
              </c:strCache>
            </c:strRef>
          </c:cat>
          <c:val>
            <c:numRef>
              <c:f>'F27 Budget Utilisation &amp; Scheme'!$BA$3:$BA$17</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Utilisation rate by scheme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'F27 Budget Utilisation &amp; Scheme'!$BC$3</c:f>
              <c:strCache>
                <c:ptCount val="0"/>
              </c:strCache>
            </c:strRef>
          </c:cat>
          <c:val>
            <c:numRef>
              <c:f>'F27 Budget Utilisation &amp; Scheme'!$BD$3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Year-on-year scheme comparison — record count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record count</c:v>
          </c:tx>
          <c:cat>
            <c:strRef>
              <c:f>'F27 Budget Utilisation &amp; Scheme'!$BF$3:$BF$4</c:f>
              <c:strCache>
                <c:ptCount val="0"/>
              </c:strCache>
            </c:strRef>
          </c:cat>
          <c:val>
            <c:numRef>
              <c:f>'F27 Budget Utilisation &amp; Scheme'!$BG$3:$BG$4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b6e317b70ef4e72"/>
        </a:graphicData>
      </a:graphic>
    </xdr:graphicFrame>
    <xdr:clientData/>
  </xdr:twoCellAnchor>
  <xdr:twoCellAnchor>
    <xdr:from>
      <xdr:col>16</xdr:col>
      <xdr:colOff>0</xdr:colOff>
      <xdr:row>1</xdr:row>
      <xdr:rowOff>0</xdr:rowOff>
    </xdr:from>
    <xdr:to>
      <xdr:col>23</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91afed9a08b4933"/>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00ed297a32d4656"/>
        </a:graphicData>
      </a:graphic>
    </xdr:graphicFrame>
    <xdr:clientData/>
  </xdr:twoCellAnchor>
</xdr:wsDr>
</file>

<file path=xl/tables/table1.xml><?xml version="1.0" encoding="utf-8"?>
<x:table xmlns:x="http://schemas.openxmlformats.org/spreadsheetml/2006/main" id="1" name="T_national_27_clean_bda239" displayName="T_national_27_clean_bda239" ref="A8:AC108" headerRowCount="1" totalsRowCount="0" totalsRowShown="0">
  <x:tableColumns count="29">
    <x:tableColumn id="1" name="record_id"/>
    <x:tableColumn id="2" name="record_title"/>
    <x:tableColumn id="3" name="record_date"/>
    <x:tableColumn id="4" name="year"/>
    <x:tableColumn id="5" name="month"/>
    <x:tableColumn id="6" name="status"/>
    <x:tableColumn id="7" name="category"/>
    <x:tableColumn id="8" name="geography"/>
    <x:tableColumn id="9" name="primary_entity"/>
    <x:tableColumn id="10" name="metric_value"/>
    <x:tableColumn id="11" name="metric_unit"/>
    <x:tableColumn id="12" name="title"/>
    <x:tableColumn id="13" name="publisher"/>
    <x:tableColumn id="14" name="query"/>
    <x:tableColumn id="15" name="published_at"/>
    <x:tableColumn id="16" name="publisher_url"/>
    <x:tableColumn id="17" name="coverage_status"/>
    <x:tableColumn id="18" name="coverage_scope"/>
    <x:tableColumn id="19" name="coverage_start"/>
    <x:tableColumn id="20" name="coverage_end"/>
    <x:tableColumn id="21" name="universe_count"/>
    <x:tableColumn id="22" name="record_age_days"/>
    <x:tableColumn id="23" name="record_completeness_pct"/>
    <x:tableColumn id="24" name="source_provider"/>
    <x:tableColumn id="25" name="source_url"/>
    <x:tableColumn id="26" name="source_published_at"/>
    <x:tableColumn id="27" name="source_retrieved_at"/>
    <x:tableColumn id="28" name="provenance"/>
    <x:tableColumn id="29" name="quality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0f307cd065e4a6e" /><Relationship Type="http://schemas.openxmlformats.org/officeDocument/2006/relationships/table" Target="/xl/tables/table1.xml" Id="Raef2bdace7524ca5" /></Relationships>
</file>

<file path=xl/worksheets/sheet1.xml><?xml version="1.0" encoding="utf-8"?>
<x:worksheet xmlns:x="http://schemas.openxmlformats.org/spreadsheetml/2006/main">
  <x:sheetPr>
    <x:tabColor rgb="FF1F4E78"/>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15" hidden="0" customWidth="1"/>
    <x:col min="7" max="7" width="15" hidden="0" customWidth="1"/>
    <x:col min="8" max="8" width="24" hidden="0" customWidth="1"/>
    <x:col min="9" max="9" width="24" hidden="0" customWidth="1"/>
    <x:col min="10" max="10" width="15" hidden="0" customWidth="1"/>
    <x:col min="11" max="11" width="15" hidden="0" customWidth="1"/>
    <x:col min="12" max="12" width="32" hidden="0" customWidth="1"/>
    <x:col min="13" max="13" width="15" hidden="0" customWidth="1"/>
    <x:col min="14" max="14" width="15" hidden="0" customWidth="1"/>
    <x:col min="15" max="15" width="15" hidden="0" customWidth="1"/>
    <x:col min="16" max="16" width="42"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8" hidden="0" customWidth="1"/>
    <x:col min="25" max="25" width="42" hidden="0" customWidth="1"/>
    <x:col min="26" max="26" width="15" hidden="0" customWidth="1"/>
    <x:col min="27" max="27" width="15" hidden="0" customWidth="1"/>
    <x:col min="28" max="28" width="15" hidden="0" customWidth="1"/>
    <x:col min="29" max="29" width="15" hidden="0" customWidth="1"/>
  </x:cols>
  <x:sheetData>
    <x:row r="1" ht="25" customHeight="1">
      <x:c r="A1" s="4" t="str">
        <x:v>Budget Utilisation &amp; Schemes</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100 enrichment records • DEFINED_TERMINAL_OR_FEED_SCOPE • refreshed 2026-09-10</x:v>
      </x:c>
      <x:c r="B2" s="6"/>
      <x:c r="C2" s="6"/>
      <x:c r="D2" s="6"/>
      <x:c r="E2" s="6"/>
      <x:c r="F2" s="6"/>
      <x:c r="G2" s="6"/>
      <x:c r="H2" s="6"/>
      <x:c r="AZ2" s="15" t="str">
        <x:v>Date</x:v>
      </x:c>
      <x:c r="BA2" s="15" t="str">
        <x:v>Records</x:v>
      </x:c>
      <x:c r="BC2" s="15" t="str">
        <x:v>Category / status</x:v>
      </x:c>
      <x:c r="BD2" s="15" t="str">
        <x:v>Records</x:v>
      </x:c>
      <x:c r="BF2" s="15" t="str">
        <x:v>Entity</x:v>
      </x:c>
      <x:c r="BG2" s="15" t="str">
        <x:v>record count</x:v>
      </x:c>
    </x:row>
    <x:row r="3">
      <x:c r="AZ3" s="18" t="str">
        <x:v>2026-08-19</x:v>
      </x:c>
      <x:c r="BA3" s="18" t="n">
        <x:v>1</x:v>
      </x:c>
      <x:c r="BC3" s="18" t="str">
        <x:v>site:pib.gov.in India budget scheme expenditu</x:v>
      </x:c>
      <x:c r="BD3" s="18" t="n">
        <x:v>100</x:v>
      </x:c>
      <x:c r="BF3" s="18" t="str">
        <x:v>PIB</x:v>
      </x:c>
      <x:c r="BG3" s="18" t="n">
        <x:v>99</x:v>
      </x:c>
    </x:row>
    <x:row r="4">
      <x:c r="A4" s="9" t="str">
        <x:v>Records</x:v>
      </x:c>
      <x:c r="B4" s="10" t="n">
        <x:v>100</x:v>
      </x:c>
      <x:c r="C4" s="9" t="str">
        <x:v>Dated records</x:v>
      </x:c>
      <x:c r="D4" s="10" t="n">
        <x:v>100</x:v>
      </x:c>
      <x:c r="E4" s="9" t="str">
        <x:v>Sources</x:v>
      </x:c>
      <x:c r="F4" s="10" t="n">
        <x:v>1</x:v>
      </x:c>
      <x:c r="G4" s="9" t="str">
        <x:v>Freshest record</x:v>
      </x:c>
      <x:c r="H4" s="9" t="str">
        <x:v>2026-09-09</x:v>
      </x:c>
      <x:c r="AZ4" s="18" t="str">
        <x:v>2026-08-20</x:v>
      </x:c>
      <x:c r="BA4" s="18" t="n">
        <x:v>1</x:v>
      </x:c>
      <x:c r="BF4" s="18" t="str">
        <x:v>PIB Archives</x:v>
      </x:c>
      <x:c r="BG4" s="18" t="n">
        <x:v>1</x:v>
      </x:c>
    </x:row>
    <x:row r="5">
      <x:c r="AZ5" s="18" t="str">
        <x:v>2026-08-21</x:v>
      </x:c>
      <x:c r="BA5" s="18" t="n">
        <x:v>1</x:v>
      </x:c>
    </x:row>
    <x:row r="6">
      <x:c r="AZ6" s="18" t="str">
        <x:v>2026-08-28</x:v>
      </x:c>
      <x:c r="BA6" s="18" t="n">
        <x:v>12</x:v>
      </x:c>
    </x:row>
    <x:row r="7">
      <x:c r="AZ7" s="18" t="str">
        <x:v>2026-08-29</x:v>
      </x:c>
      <x:c r="BA7" s="18" t="n">
        <x:v>9</x:v>
      </x:c>
    </x:row>
    <x:row r="8" ht="30" customHeight="1">
      <x:c r="A8" s="15" t="str">
        <x:v>record_id</x:v>
      </x:c>
      <x:c r="B8" s="15" t="str">
        <x:v>record_title</x:v>
      </x:c>
      <x:c r="C8" s="15" t="str">
        <x:v>record_date</x:v>
      </x:c>
      <x:c r="D8" s="15" t="str">
        <x:v>year</x:v>
      </x:c>
      <x:c r="E8" s="15" t="str">
        <x:v>month</x:v>
      </x:c>
      <x:c r="F8" s="15" t="str">
        <x:v>status</x:v>
      </x:c>
      <x:c r="G8" s="15" t="str">
        <x:v>category</x:v>
      </x:c>
      <x:c r="H8" s="15" t="str">
        <x:v>geography</x:v>
      </x:c>
      <x:c r="I8" s="15" t="str">
        <x:v>primary_entity</x:v>
      </x:c>
      <x:c r="J8" s="15" t="str">
        <x:v>metric_value</x:v>
      </x:c>
      <x:c r="K8" s="15" t="str">
        <x:v>metric_unit</x:v>
      </x:c>
      <x:c r="L8" s="15" t="str">
        <x:v>title</x:v>
      </x:c>
      <x:c r="M8" s="15" t="str">
        <x:v>publisher</x:v>
      </x:c>
      <x:c r="N8" s="15" t="str">
        <x:v>query</x:v>
      </x:c>
      <x:c r="O8" s="15" t="str">
        <x:v>published_at</x:v>
      </x:c>
      <x:c r="P8" s="15" t="str">
        <x:v>publisher_url</x:v>
      </x:c>
      <x:c r="Q8" s="15" t="str">
        <x:v>coverage_status</x:v>
      </x:c>
      <x:c r="R8" s="15" t="str">
        <x:v>coverage_scope</x:v>
      </x:c>
      <x:c r="S8" s="15" t="str">
        <x:v>coverage_start</x:v>
      </x:c>
      <x:c r="T8" s="15" t="str">
        <x:v>coverage_end</x:v>
      </x:c>
      <x:c r="U8" s="15" t="str">
        <x:v>universe_count</x:v>
      </x:c>
      <x:c r="V8" s="15" t="str">
        <x:v>record_age_days</x:v>
      </x:c>
      <x:c r="W8" s="15" t="str">
        <x:v>record_completeness_pct</x:v>
      </x:c>
      <x:c r="X8" s="15" t="str">
        <x:v>source_provider</x:v>
      </x:c>
      <x:c r="Y8" s="15" t="str">
        <x:v>source_url</x:v>
      </x:c>
      <x:c r="Z8" s="15" t="str">
        <x:v>source_published_at</x:v>
      </x:c>
      <x:c r="AA8" s="15" t="str">
        <x:v>source_retrieved_at</x:v>
      </x:c>
      <x:c r="AB8" s="15" t="str">
        <x:v>provenance</x:v>
      </x:c>
      <x:c r="AC8" s="15" t="str">
        <x:v>quality_status</x:v>
      </x:c>
      <x:c r="AZ8" s="18" t="str">
        <x:v>2026-08-31</x:v>
      </x:c>
      <x:c r="BA8" s="18" t="n">
        <x:v>7</x:v>
      </x:c>
    </x:row>
    <x:row r="9">
      <x:c r="A9" s="18" t="str">
        <x:v>NYT-27-f1c4ceb4934c5ee1</x:v>
      </x:c>
      <x:c r="B9" s="18" t="str">
        <x:v>Cabinet approves five multitracking projects covering 17 Districts across the states of Tamil Nadu, Andhra Pradesh, Karnataka and Telangana, increasing the existing network of Indian Railways by about 540 Kms - PIB</x:v>
      </x:c>
      <x:c r="C9" s="18" t="str">
        <x:v>2026-09-09</x:v>
      </x:c>
      <x:c r="D9" s="18" t="n">
        <x:v>2026</x:v>
      </x:c>
      <x:c r="E9" s="18" t="str">
        <x:v>2026-09</x:v>
      </x:c>
      <x:c r="F9" s="18" t="str"/>
      <x:c r="G9" s="18" t="str">
        <x:v>site:pib.gov.in India budget scheme expenditure allocation</x:v>
      </x:c>
      <x:c r="H9" s="18" t="str"/>
      <x:c r="I9" s="18" t="str">
        <x:v>PIB</x:v>
      </x:c>
      <x:c r="J9" s="20" t="str"/>
      <x:c r="K9" s="18" t="str"/>
      <x:c r="L9" s="18" t="str">
        <x:v>Cabinet approves five multitracking projects covering 17 Districts across the states of Tamil Nadu, Andhra Pradesh, Karnataka and Telangana, increasing the existing network of Indian Railways by about 540 Kms - PIB</x:v>
      </x:c>
      <x:c r="M9" s="18" t="str">
        <x:v>PIB</x:v>
      </x:c>
      <x:c r="N9" s="18" t="str">
        <x:v>site:pib.gov.in India budget scheme expenditure allocation</x:v>
      </x:c>
      <x:c r="O9" s="18" t="n">
        <x:v>46274.41875</x:v>
      </x:c>
      <x:c r="P9" s="18" t="str">
        <x:v>https://www.pib.gov.in</x:v>
      </x:c>
      <x:c r="Q9" s="18" t="str">
        <x:v>DEFINED_TERMINAL_OR_FEED_SCOPE</x:v>
      </x:c>
      <x:c r="R9" s="18" t="str">
        <x:v>news_budget_schemes_14d.json — published records loaded</x:v>
      </x:c>
      <x:c r="S9" s="18" t="str"/>
      <x:c r="T9" s="18" t="str"/>
      <x:c r="U9" s="20" t="n">
        <x:v>100</x:v>
      </x:c>
      <x:c r="V9" s="19" t="n">
        <x:f>IFERROR(TODAY()-DATEVALUE(C9),"")</x:f>
        <x:v>1</x:v>
      </x:c>
      <x:c r="W9" s="21" t="n">
        <x:f>ROUND(COUNTA(A9:K9)/11*100,0)</x:f>
        <x:v>100</x:v>
      </x:c>
      <x:c r="X9" s="18" t="str">
        <x:v>Google News RSS</x:v>
      </x:c>
      <x:c r="Y9" s="22" t="str">
        <x:v>https://news.google.com/rss/articles/CBMifEFVX3lxTFBvMVlrQjdGU1NMNi14Zm95ZU51b0d0aHBLLTBUbnpIejRVSHg2X3I0U0VLWERud0NWZzdpeHFMa3NEa2h3TzRwQVAxbmttTjhDUE5tQjBCeU5WOWxCVWU2bW5Ccnp1YkhPSXRzQzZNRXg2V0JjTTU3UTNIc3I?oc=5</x:v>
      </x:c>
      <x:c r="Z9" s="18" t="n">
        <x:v>46274.41875</x:v>
      </x:c>
      <x:c r="AA9" s="18" t="n">
        <x:v>46275.38862103009</x:v>
      </x:c>
      <x:c r="AB9" s="18" t="str">
        <x:v>public_rss</x:v>
      </x:c>
      <x:c r="AC9" s="18" t="str">
        <x:v>READY</x:v>
      </x:c>
      <x:c r="AZ9" s="18" t="str">
        <x:v>2026-09-01</x:v>
      </x:c>
      <x:c r="BA9" s="18" t="n">
        <x:v>7</x:v>
      </x:c>
    </x:row>
    <x:row r="10">
      <x:c r="A10" s="18" t="str">
        <x:v>NYT-27-ac1066909d76cb4d</x:v>
      </x:c>
      <x:c r="B10" s="18" t="str">
        <x:v>Cabinet approves three multitracking projects covering 14 Districts across the states of West Bengal, Jharkhand, Odisha, Madhya Pradesh and Chhattisgarh, increasing the existing network of Indian Railways by about 656 Kms - PIB</x:v>
      </x:c>
      <x:c r="C10" s="18" t="str">
        <x:v>2026-09-09</x:v>
      </x:c>
      <x:c r="D10" s="18" t="n">
        <x:v>2026</x:v>
      </x:c>
      <x:c r="E10" s="18" t="str">
        <x:v>2026-09</x:v>
      </x:c>
      <x:c r="F10" s="18" t="str"/>
      <x:c r="G10" s="18" t="str">
        <x:v>site:pib.gov.in India budget scheme expenditure allocation</x:v>
      </x:c>
      <x:c r="H10" s="18" t="str"/>
      <x:c r="I10" s="18" t="str">
        <x:v>PIB</x:v>
      </x:c>
      <x:c r="J10" s="20" t="str"/>
      <x:c r="K10" s="18" t="str"/>
      <x:c r="L10" s="18" t="str">
        <x:v>Cabinet approves three multitracking projects covering 14 Districts across the states of West Bengal, Jharkhand, Odisha, Madhya Pradesh and Chhattisgarh, increasing the existing network of Indian Railways by about 656 Kms - PIB</x:v>
      </x:c>
      <x:c r="M10" s="18" t="str">
        <x:v>PIB</x:v>
      </x:c>
      <x:c r="N10" s="18" t="str">
        <x:v>site:pib.gov.in India budget scheme expenditure allocation</x:v>
      </x:c>
      <x:c r="O10" s="18" t="n">
        <x:v>46274.413194444445</x:v>
      </x:c>
      <x:c r="P10" s="18" t="str">
        <x:v>https://www.pib.gov.in</x:v>
      </x:c>
      <x:c r="Q10" s="18" t="str">
        <x:v>DEFINED_TERMINAL_OR_FEED_SCOPE</x:v>
      </x:c>
      <x:c r="R10" s="18" t="str">
        <x:v>news_budget_schemes_14d.json — published records loaded</x:v>
      </x:c>
      <x:c r="S10" s="18" t="str"/>
      <x:c r="T10" s="18" t="str"/>
      <x:c r="U10" s="20" t="n">
        <x:v>100</x:v>
      </x:c>
      <x:c r="V10" s="19" t="n">
        <x:f>IFERROR(TODAY()-DATEVALUE(C10),"")</x:f>
        <x:v>1</x:v>
      </x:c>
      <x:c r="W10" s="21" t="n">
        <x:f>ROUND(COUNTA(A10:K10)/11*100,0)</x:f>
        <x:v>100</x:v>
      </x:c>
      <x:c r="X10" s="18" t="str">
        <x:v>Google News RSS</x:v>
      </x:c>
      <x:c r="Y10" s="22" t="str">
        <x:v>https://news.google.com/rss/articles/CBMifkFVX3lxTE1ZLVFybXJMODMxY3JMeU41UDJuWV9OcVlBMTZJcEVrTDJ1YkVaSzVBS2xoeWxnaGVBS1FFVzJpYzVOSHBKeVJkN0xsbEg3SUV5ZWM1ZTcyWHJjSUM1UzFuRGpSbVhiM0FPU0phOFZXQjdCa081Yy1ESXpjMzNXdw?oc=5</x:v>
      </x:c>
      <x:c r="Z10" s="18" t="n">
        <x:v>46274.413194444445</x:v>
      </x:c>
      <x:c r="AA10" s="18" t="n">
        <x:v>46275.38862103009</x:v>
      </x:c>
      <x:c r="AB10" s="18" t="str">
        <x:v>public_rss</x:v>
      </x:c>
      <x:c r="AC10" s="18" t="str">
        <x:v>READY</x:v>
      </x:c>
      <x:c r="AZ10" s="18" t="str">
        <x:v>2026-09-02</x:v>
      </x:c>
      <x:c r="BA10" s="18" t="n">
        <x:v>4</x:v>
      </x:c>
    </x:row>
    <x:row r="11">
      <x:c r="A11" s="18" t="str">
        <x:v>NYT-27-a5581ff8fe7e1bf3</x:v>
      </x:c>
      <x:c r="B11" s="18" t="str">
        <x:v>Every School, A Model School - PIB</x:v>
      </x:c>
      <x:c r="C11" s="18" t="str">
        <x:v>2026-09-09</x:v>
      </x:c>
      <x:c r="D11" s="18" t="n">
        <x:v>2026</x:v>
      </x:c>
      <x:c r="E11" s="18" t="str">
        <x:v>2026-09</x:v>
      </x:c>
      <x:c r="F11" s="18" t="str"/>
      <x:c r="G11" s="18" t="str">
        <x:v>site:pib.gov.in India budget scheme expenditure allocation</x:v>
      </x:c>
      <x:c r="H11" s="18" t="str"/>
      <x:c r="I11" s="18" t="str">
        <x:v>PIB</x:v>
      </x:c>
      <x:c r="J11" s="20" t="str"/>
      <x:c r="K11" s="18" t="str"/>
      <x:c r="L11" s="18" t="str">
        <x:v>Every School, A Model School - PIB</x:v>
      </x:c>
      <x:c r="M11" s="18" t="str">
        <x:v>PIB</x:v>
      </x:c>
      <x:c r="N11" s="18" t="str">
        <x:v>site:pib.gov.in India budget scheme expenditure allocation</x:v>
      </x:c>
      <x:c r="O11" s="18" t="n">
        <x:v>46274.282638888886</x:v>
      </x:c>
      <x:c r="P11" s="18" t="str">
        <x:v>https://www.pib.gov.in</x:v>
      </x:c>
      <x:c r="Q11" s="18" t="str">
        <x:v>DEFINED_TERMINAL_OR_FEED_SCOPE</x:v>
      </x:c>
      <x:c r="R11" s="18" t="str">
        <x:v>news_budget_schemes_14d.json — published records loaded</x:v>
      </x:c>
      <x:c r="S11" s="18" t="str"/>
      <x:c r="T11" s="18" t="str"/>
      <x:c r="U11" s="20" t="n">
        <x:v>100</x:v>
      </x:c>
      <x:c r="V11" s="19" t="n">
        <x:f>IFERROR(TODAY()-DATEVALUE(C11),"")</x:f>
        <x:v>1</x:v>
      </x:c>
      <x:c r="W11" s="21" t="n">
        <x:f>ROUND(COUNTA(A11:K11)/11*100,0)</x:f>
        <x:v>100</x:v>
      </x:c>
      <x:c r="X11" s="18" t="str">
        <x:v>Google News RSS</x:v>
      </x:c>
      <x:c r="Y11" s="22" t="str">
        <x:v>https://news.google.com/rss/articles/CBMifkFVX3lxTE9Da2ljM21lN2NxMmo0V0lDb1V4dTNRNl9uc09ueWpZYkhGMlBpcVcteENlWlMydEt2cTFILUVHNVpvMlFTMDhVRmJZUkR6X0tDV0NKQ3dtTVk0eGhsNFR5M3hhRjZBZWZNZDdKeEw2aHJRTHlPMDJUSEN2Nks5Zw?oc=5</x:v>
      </x:c>
      <x:c r="Z11" s="18" t="n">
        <x:v>46274.282638888886</x:v>
      </x:c>
      <x:c r="AA11" s="18" t="n">
        <x:v>46275.38862103009</x:v>
      </x:c>
      <x:c r="AB11" s="18" t="str">
        <x:v>public_rss</x:v>
      </x:c>
      <x:c r="AC11" s="18" t="str">
        <x:v>READY</x:v>
      </x:c>
      <x:c r="AZ11" s="18" t="str">
        <x:v>2026-09-03</x:v>
      </x:c>
      <x:c r="BA11" s="18" t="n">
        <x:v>9</x:v>
      </x:c>
    </x:row>
    <x:row r="12">
      <x:c r="A12" s="18" t="str">
        <x:v>NYT-27-6d869926576cc906</x:v>
      </x:c>
      <x:c r="B12" s="18" t="str">
        <x:v>Department of Land Resources to Launch Operational Guidelines for DILRMP 3.0; Set to Announce ₹565.50 Crore Digital Overhaul of Land Records - PIB</x:v>
      </x:c>
      <x:c r="C12" s="18" t="str">
        <x:v>2026-09-09</x:v>
      </x:c>
      <x:c r="D12" s="18" t="n">
        <x:v>2026</x:v>
      </x:c>
      <x:c r="E12" s="18" t="str">
        <x:v>2026-09</x:v>
      </x:c>
      <x:c r="F12" s="18" t="str"/>
      <x:c r="G12" s="18" t="str">
        <x:v>site:pib.gov.in India budget scheme expenditure allocation</x:v>
      </x:c>
      <x:c r="H12" s="18" t="str"/>
      <x:c r="I12" s="18" t="str">
        <x:v>PIB</x:v>
      </x:c>
      <x:c r="J12" s="20" t="str"/>
      <x:c r="K12" s="18" t="str"/>
      <x:c r="L12" s="18" t="str">
        <x:v>Department of Land Resources to Launch Operational Guidelines for DILRMP 3.0; Set to Announce ₹565.50 Crore Digital Overhaul of Land Records - PIB</x:v>
      </x:c>
      <x:c r="M12" s="18" t="str">
        <x:v>PIB</x:v>
      </x:c>
      <x:c r="N12" s="18" t="str">
        <x:v>site:pib.gov.in India budget scheme expenditure allocation</x:v>
      </x:c>
      <x:c r="O12" s="18" t="n">
        <x:v>46274.626388888886</x:v>
      </x:c>
      <x:c r="P12" s="18" t="str">
        <x:v>https://www.pib.gov.in</x:v>
      </x:c>
      <x:c r="Q12" s="18" t="str">
        <x:v>DEFINED_TERMINAL_OR_FEED_SCOPE</x:v>
      </x:c>
      <x:c r="R12" s="18" t="str">
        <x:v>news_budget_schemes_14d.json — published records loaded</x:v>
      </x:c>
      <x:c r="S12" s="18" t="str"/>
      <x:c r="T12" s="18" t="str"/>
      <x:c r="U12" s="20" t="n">
        <x:v>100</x:v>
      </x:c>
      <x:c r="V12" s="19" t="n">
        <x:f>IFERROR(TODAY()-DATEVALUE(C12),"")</x:f>
        <x:v>1</x:v>
      </x:c>
      <x:c r="W12" s="21" t="n">
        <x:f>ROUND(COUNTA(A12:K12)/11*100,0)</x:f>
        <x:v>100</x:v>
      </x:c>
      <x:c r="X12" s="18" t="str">
        <x:v>Google News RSS</x:v>
      </x:c>
      <x:c r="Y12" s="22" t="str">
        <x:v>https://news.google.com/rss/articles/CBMifEFVX3lxTFA2RmE5eThiSkJEYnlMVmcyclVyRVVSbXE4ZEZwOHo2VG1yZm9qeU13aGxQdU1JVW9RQ0dKUW9GSGhaSjRIZ0lhRDZ4YkZ0RVEzXzlMZXBvLXU3TE51Z3BqWlBudDB2QnFtQjhYM1ZvdzMyNEVDX3VCLU9lSWM?oc=5</x:v>
      </x:c>
      <x:c r="Z12" s="18" t="n">
        <x:v>46274.626388888886</x:v>
      </x:c>
      <x:c r="AA12" s="18" t="n">
        <x:v>46275.38862103009</x:v>
      </x:c>
      <x:c r="AB12" s="18" t="str">
        <x:v>public_rss</x:v>
      </x:c>
      <x:c r="AC12" s="18" t="str">
        <x:v>READY</x:v>
      </x:c>
      <x:c r="AZ12" s="18" t="str">
        <x:v>2026-09-04</x:v>
      </x:c>
      <x:c r="BA12" s="18" t="n">
        <x:v>4</x:v>
      </x:c>
    </x:row>
    <x:row r="13">
      <x:c r="A13" s="18" t="str">
        <x:v>NYT-27-0b37794f63245cd7</x:v>
      </x:c>
      <x:c r="B13" s="18" t="str">
        <x:v>Union Minister Shri Shivraj Singh Chouhan reviews action plan for strengthening KVKs through greater State participation - PIB</x:v>
      </x:c>
      <x:c r="C13" s="18" t="str">
        <x:v>2026-09-09</x:v>
      </x:c>
      <x:c r="D13" s="18" t="n">
        <x:v>2026</x:v>
      </x:c>
      <x:c r="E13" s="18" t="str">
        <x:v>2026-09</x:v>
      </x:c>
      <x:c r="F13" s="18" t="str"/>
      <x:c r="G13" s="18" t="str">
        <x:v>site:pib.gov.in India budget scheme expenditure allocation</x:v>
      </x:c>
      <x:c r="H13" s="18" t="str"/>
      <x:c r="I13" s="18" t="str">
        <x:v>PIB</x:v>
      </x:c>
      <x:c r="J13" s="20" t="str"/>
      <x:c r="K13" s="18" t="str"/>
      <x:c r="L13" s="18" t="str">
        <x:v>Union Minister Shri Shivraj Singh Chouhan reviews action plan for strengthening KVKs through greater State participation - PIB</x:v>
      </x:c>
      <x:c r="M13" s="18" t="str">
        <x:v>PIB</x:v>
      </x:c>
      <x:c r="N13" s="18" t="str">
        <x:v>site:pib.gov.in India budget scheme expenditure allocation</x:v>
      </x:c>
      <x:c r="O13" s="18" t="n">
        <x:v>46274.70347222222</x:v>
      </x:c>
      <x:c r="P13" s="18" t="str">
        <x:v>https://www.pib.gov.in</x:v>
      </x:c>
      <x:c r="Q13" s="18" t="str">
        <x:v>DEFINED_TERMINAL_OR_FEED_SCOPE</x:v>
      </x:c>
      <x:c r="R13" s="18" t="str">
        <x:v>news_budget_schemes_14d.json — published records loaded</x:v>
      </x:c>
      <x:c r="S13" s="18" t="str"/>
      <x:c r="T13" s="18" t="str"/>
      <x:c r="U13" s="20" t="n">
        <x:v>100</x:v>
      </x:c>
      <x:c r="V13" s="19" t="n">
        <x:f>IFERROR(TODAY()-DATEVALUE(C13),"")</x:f>
        <x:v>1</x:v>
      </x:c>
      <x:c r="W13" s="21" t="n">
        <x:f>ROUND(COUNTA(A13:K13)/11*100,0)</x:f>
        <x:v>100</x:v>
      </x:c>
      <x:c r="X13" s="18" t="str">
        <x:v>Google News RSS</x:v>
      </x:c>
      <x:c r="Y13" s="22" t="str">
        <x:v>https://news.google.com/rss/articles/CBMifkFVX3lxTE5yU2Vncm00UGM3WWNrcUVIOFB3MmxrUHVvMUF4NHFGLVVONmRNMmxMVlk5U2xHTi04c05oUjhwYlFabVdqM1M4TFltT0hpbDNfQ2V6Z2hvRUZia1ZCZEZScGlCaUwyZ0ZhZXUyMlV1M0ExcU9jSENrWjJrN21QUQ?oc=5</x:v>
      </x:c>
      <x:c r="Z13" s="18" t="n">
        <x:v>46274.70347222222</x:v>
      </x:c>
      <x:c r="AA13" s="18" t="n">
        <x:v>46275.38862103009</x:v>
      </x:c>
      <x:c r="AB13" s="18" t="str">
        <x:v>public_rss</x:v>
      </x:c>
      <x:c r="AC13" s="18" t="str">
        <x:v>READY</x:v>
      </x:c>
      <x:c r="AZ13" s="18" t="str">
        <x:v>2026-09-05</x:v>
      </x:c>
      <x:c r="BA13" s="18" t="n">
        <x:v>4</x:v>
      </x:c>
    </x:row>
    <x:row r="14">
      <x:c r="A14" s="18" t="str">
        <x:v>NYT-27-e674441e6ca1b20e</x:v>
      </x:c>
      <x:c r="B14" s="18" t="str">
        <x:v>Union Minister of Commerce and Industry Shri Piyush Goyal Calls for Trained Caregivers and Wider Hospital Participation in Heal in India Gateway - PIB</x:v>
      </x:c>
      <x:c r="C14" s="18" t="str">
        <x:v>2026-09-07</x:v>
      </x:c>
      <x:c r="D14" s="18" t="n">
        <x:v>2026</x:v>
      </x:c>
      <x:c r="E14" s="18" t="str">
        <x:v>2026-09</x:v>
      </x:c>
      <x:c r="F14" s="18" t="str"/>
      <x:c r="G14" s="18" t="str">
        <x:v>site:pib.gov.in India budget scheme expenditure allocation</x:v>
      </x:c>
      <x:c r="H14" s="18" t="str"/>
      <x:c r="I14" s="18" t="str">
        <x:v>PIB</x:v>
      </x:c>
      <x:c r="J14" s="20" t="str"/>
      <x:c r="K14" s="18" t="str"/>
      <x:c r="L14" s="18" t="str">
        <x:v>Union Minister of Commerce and Industry Shri Piyush Goyal Calls for Trained Caregivers and Wider Hospital Participation in Heal in India Gateway - PIB</x:v>
      </x:c>
      <x:c r="M14" s="18" t="str">
        <x:v>PIB</x:v>
      </x:c>
      <x:c r="N14" s="18" t="str">
        <x:v>site:pib.gov.in India budget scheme expenditure allocation</x:v>
      </x:c>
      <x:c r="O14" s="18" t="n">
        <x:v>46272.3625</x:v>
      </x:c>
      <x:c r="P14" s="18" t="str">
        <x:v>https://www.pib.gov.in</x:v>
      </x:c>
      <x:c r="Q14" s="18" t="str">
        <x:v>DEFINED_TERMINAL_OR_FEED_SCOPE</x:v>
      </x:c>
      <x:c r="R14" s="18" t="str">
        <x:v>news_budget_schemes_14d.json — published records loaded</x:v>
      </x:c>
      <x:c r="S14" s="18" t="str"/>
      <x:c r="T14" s="18" t="str"/>
      <x:c r="U14" s="20" t="n">
        <x:v>100</x:v>
      </x:c>
      <x:c r="V14" s="19" t="n">
        <x:f>IFERROR(TODAY()-DATEVALUE(C14),"")</x:f>
        <x:v>3</x:v>
      </x:c>
      <x:c r="W14" s="21" t="n">
        <x:f>ROUND(COUNTA(A14:K14)/11*100,0)</x:f>
        <x:v>100</x:v>
      </x:c>
      <x:c r="X14" s="18" t="str">
        <x:v>Google News RSS</x:v>
      </x:c>
      <x:c r="Y14" s="22" t="str">
        <x:v>https://news.google.com/rss/articles/CBMifkFVX3lxTE42ZGpGd0RGMVZJRG51SW12N1RkY1VXMnFnR2FrQnoxSFBpNWJXLUc2ampya3Q2RGlqWE5UNzBuZ1YwSjdjZVlIdTJycEV2bWdFcUdqbEVMd0U1VzBjWHVvbEEybW93aF9yNFh3X2RqaXlJdDFVYTcyTEFtNlJtUQ?oc=5</x:v>
      </x:c>
      <x:c r="Z14" s="18" t="n">
        <x:v>46272.3625</x:v>
      </x:c>
      <x:c r="AA14" s="18" t="n">
        <x:v>46275.38862103009</x:v>
      </x:c>
      <x:c r="AB14" s="18" t="str">
        <x:v>public_rss</x:v>
      </x:c>
      <x:c r="AC14" s="18" t="str">
        <x:v>READY</x:v>
      </x:c>
      <x:c r="AZ14" s="18" t="str">
        <x:v>2026-09-06</x:v>
      </x:c>
      <x:c r="BA14" s="18" t="n">
        <x:v>5</x:v>
      </x:c>
    </x:row>
    <x:row r="15">
      <x:c r="A15" s="18" t="str">
        <x:v>NYT-27-0eb27ce5016a5cee</x:v>
      </x:c>
      <x:c r="B15" s="18" t="str">
        <x:v>Union Minister of Commerce and Industry Shri Piyush Goyal Calls for India to Emerge as a Global Medical and Healthcare Destination - PIB</x:v>
      </x:c>
      <x:c r="C15" s="18" t="str">
        <x:v>2026-09-07</x:v>
      </x:c>
      <x:c r="D15" s="18" t="n">
        <x:v>2026</x:v>
      </x:c>
      <x:c r="E15" s="18" t="str">
        <x:v>2026-09</x:v>
      </x:c>
      <x:c r="F15" s="18" t="str"/>
      <x:c r="G15" s="18" t="str">
        <x:v>site:pib.gov.in India budget scheme expenditure allocation</x:v>
      </x:c>
      <x:c r="H15" s="18" t="str"/>
      <x:c r="I15" s="18" t="str">
        <x:v>PIB</x:v>
      </x:c>
      <x:c r="J15" s="20" t="str"/>
      <x:c r="K15" s="18" t="str"/>
      <x:c r="L15" s="18" t="str">
        <x:v>Union Minister of Commerce and Industry Shri Piyush Goyal Calls for India to Emerge as a Global Medical and Healthcare Destination - PIB</x:v>
      </x:c>
      <x:c r="M15" s="18" t="str">
        <x:v>PIB</x:v>
      </x:c>
      <x:c r="N15" s="18" t="str">
        <x:v>site:pib.gov.in India budget scheme expenditure allocation</x:v>
      </x:c>
      <x:c r="O15" s="18" t="n">
        <x:v>46272.38611111111</x:v>
      </x:c>
      <x:c r="P15" s="18" t="str">
        <x:v>https://www.pib.gov.in</x:v>
      </x:c>
      <x:c r="Q15" s="18" t="str">
        <x:v>DEFINED_TERMINAL_OR_FEED_SCOPE</x:v>
      </x:c>
      <x:c r="R15" s="18" t="str">
        <x:v>news_budget_schemes_14d.json — published records loaded</x:v>
      </x:c>
      <x:c r="S15" s="18" t="str"/>
      <x:c r="T15" s="18" t="str"/>
      <x:c r="U15" s="20" t="n">
        <x:v>100</x:v>
      </x:c>
      <x:c r="V15" s="19" t="n">
        <x:f>IFERROR(TODAY()-DATEVALUE(C15),"")</x:f>
        <x:v>3</x:v>
      </x:c>
      <x:c r="W15" s="21" t="n">
        <x:f>ROUND(COUNTA(A15:K15)/11*100,0)</x:f>
        <x:v>100</x:v>
      </x:c>
      <x:c r="X15" s="18" t="str">
        <x:v>Google News RSS</x:v>
      </x:c>
      <x:c r="Y15" s="22" t="str">
        <x:v>https://news.google.com/rss/articles/CBMifkFVX3lxTE9Qc2ZVc2tXMlRWNTFfR1lNdnFiak9VWHQtbl9vODdmbXVDYXVWWGpjX1ZQQm9sSUctbmpod1ZfNUsxSzZ3Q1hhd1dCd0lFTGxrQUgzS2RnUlFXMVdfTExaRnd0VzVNZ1kxVUhQQ3lyc0p3em42R2RkaFBzYTR1QQ?oc=5</x:v>
      </x:c>
      <x:c r="Z15" s="18" t="n">
        <x:v>46272.38611111111</x:v>
      </x:c>
      <x:c r="AA15" s="18" t="n">
        <x:v>46275.38862103009</x:v>
      </x:c>
      <x:c r="AB15" s="18" t="str">
        <x:v>public_rss</x:v>
      </x:c>
      <x:c r="AC15" s="18" t="str">
        <x:v>READY</x:v>
      </x:c>
      <x:c r="AZ15" s="18" t="str">
        <x:v>2026-09-07</x:v>
      </x:c>
      <x:c r="BA15" s="18" t="n">
        <x:v>15</x:v>
      </x:c>
    </x:row>
    <x:row r="16">
      <x:c r="A16" s="18" t="str">
        <x:v>NYT-27-236d7983be042a69</x:v>
      </x:c>
      <x:c r="B16" s="18" t="str">
        <x:v>Geothermal Energy - PIB</x:v>
      </x:c>
      <x:c r="C16" s="18" t="str">
        <x:v>2026-09-04</x:v>
      </x:c>
      <x:c r="D16" s="18" t="n">
        <x:v>2026</x:v>
      </x:c>
      <x:c r="E16" s="18" t="str">
        <x:v>2026-09</x:v>
      </x:c>
      <x:c r="F16" s="18" t="str"/>
      <x:c r="G16" s="18" t="str">
        <x:v>site:pib.gov.in India budget scheme expenditure allocation</x:v>
      </x:c>
      <x:c r="H16" s="18" t="str"/>
      <x:c r="I16" s="18" t="str">
        <x:v>PIB</x:v>
      </x:c>
      <x:c r="J16" s="20" t="str"/>
      <x:c r="K16" s="18" t="str"/>
      <x:c r="L16" s="18" t="str">
        <x:v>Geothermal Energy - PIB</x:v>
      </x:c>
      <x:c r="M16" s="18" t="str">
        <x:v>PIB</x:v>
      </x:c>
      <x:c r="N16" s="18" t="str">
        <x:v>site:pib.gov.in India budget scheme expenditure allocation</x:v>
      </x:c>
      <x:c r="O16" s="18" t="n">
        <x:v>46269.38402777778</x:v>
      </x:c>
      <x:c r="P16" s="18" t="str">
        <x:v>https://www.pib.gov.in</x:v>
      </x:c>
      <x:c r="Q16" s="18" t="str">
        <x:v>DEFINED_TERMINAL_OR_FEED_SCOPE</x:v>
      </x:c>
      <x:c r="R16" s="18" t="str">
        <x:v>news_budget_schemes_14d.json — published records loaded</x:v>
      </x:c>
      <x:c r="S16" s="18" t="str"/>
      <x:c r="T16" s="18" t="str"/>
      <x:c r="U16" s="20" t="n">
        <x:v>100</x:v>
      </x:c>
      <x:c r="V16" s="19" t="n">
        <x:f>IFERROR(TODAY()-DATEVALUE(C16),"")</x:f>
        <x:v>6</x:v>
      </x:c>
      <x:c r="W16" s="21" t="n">
        <x:f>ROUND(COUNTA(A16:K16)/11*100,0)</x:f>
        <x:v>100</x:v>
      </x:c>
      <x:c r="X16" s="18" t="str">
        <x:v>Google News RSS</x:v>
      </x:c>
      <x:c r="Y16" s="22" t="str">
        <x:v>https://news.google.com/rss/articles/CBMifkFVX3lxTE9RS0RYVEVIV0VLWEpMTjZwLVoyZlVEd1lmU0xQcTVSTXJhR2RJMXBUU0pQUFpKdE1iajJ2RTFuMHdYaE1hQjRabXlRYlpaUzBYTU5uOHlmbWp4TzUyZHlQZjhKSTVvd2hMaFQxdU42UWZ4LXBSdEVGUFFKMU9aQQ?oc=5</x:v>
      </x:c>
      <x:c r="Z16" s="18" t="n">
        <x:v>46269.38402777778</x:v>
      </x:c>
      <x:c r="AA16" s="18" t="n">
        <x:v>46275.38862103009</x:v>
      </x:c>
      <x:c r="AB16" s="18" t="str">
        <x:v>public_rss</x:v>
      </x:c>
      <x:c r="AC16" s="18" t="str">
        <x:v>READY</x:v>
      </x:c>
      <x:c r="AZ16" s="18" t="str">
        <x:v>2026-09-08</x:v>
      </x:c>
      <x:c r="BA16" s="18" t="n">
        <x:v>11</x:v>
      </x:c>
    </x:row>
    <x:row r="17">
      <x:c r="A17" s="18" t="str">
        <x:v>NYT-27-7d97cda115f75724</x:v>
      </x:c>
      <x:c r="B17" s="18" t="str">
        <x:v>India–EU FTA Opens Huge Opportunities for Farmers, MSMEs, Innovators, Startups and Businesses in India and Europe: Commerce and Industry Minister Shri Piyush Goyal - PIB</x:v>
      </x:c>
      <x:c r="C17" s="18" t="str">
        <x:v>2026-09-04</x:v>
      </x:c>
      <x:c r="D17" s="18" t="n">
        <x:v>2026</x:v>
      </x:c>
      <x:c r="E17" s="18" t="str">
        <x:v>2026-09</x:v>
      </x:c>
      <x:c r="F17" s="18" t="str"/>
      <x:c r="G17" s="18" t="str">
        <x:v>site:pib.gov.in India budget scheme expenditure allocation</x:v>
      </x:c>
      <x:c r="H17" s="18" t="str"/>
      <x:c r="I17" s="18" t="str">
        <x:v>PIB</x:v>
      </x:c>
      <x:c r="J17" s="20" t="str"/>
      <x:c r="K17" s="18" t="str"/>
      <x:c r="L17" s="18" t="str">
        <x:v>India–EU FTA Opens Huge Opportunities for Farmers, MSMEs, Innovators, Startups and Businesses in India and Europe: Commerce and Industry Minister Shri Piyush Goyal - PIB</x:v>
      </x:c>
      <x:c r="M17" s="18" t="str">
        <x:v>PIB</x:v>
      </x:c>
      <x:c r="N17" s="18" t="str">
        <x:v>site:pib.gov.in India budget scheme expenditure allocation</x:v>
      </x:c>
      <x:c r="O17" s="18" t="n">
        <x:v>46269.56458333333</x:v>
      </x:c>
      <x:c r="P17" s="18" t="str">
        <x:v>https://www.pib.gov.in</x:v>
      </x:c>
      <x:c r="Q17" s="18" t="str">
        <x:v>DEFINED_TERMINAL_OR_FEED_SCOPE</x:v>
      </x:c>
      <x:c r="R17" s="18" t="str">
        <x:v>news_budget_schemes_14d.json — published records loaded</x:v>
      </x:c>
      <x:c r="S17" s="18" t="str"/>
      <x:c r="T17" s="18" t="str"/>
      <x:c r="U17" s="20" t="n">
        <x:v>100</x:v>
      </x:c>
      <x:c r="V17" s="19" t="n">
        <x:f>IFERROR(TODAY()-DATEVALUE(C17),"")</x:f>
        <x:v>6</x:v>
      </x:c>
      <x:c r="W17" s="21" t="n">
        <x:f>ROUND(COUNTA(A17:K17)/11*100,0)</x:f>
        <x:v>100</x:v>
      </x:c>
      <x:c r="X17" s="18" t="str">
        <x:v>Google News RSS</x:v>
      </x:c>
      <x:c r="Y17" s="22" t="str">
        <x:v>https://news.google.com/rss/articles/CBMifEFVX3lxTFBFbWhqSjYtQjYtRUFOUlI1VEllTG1oNlBtdGJpVFo4Smgtd3ROTkhyLWNwZzdKRmJKODl1d2VDem9vQUlpNVlSOW43UzE4b2cxc3ZwV2dzOGo5LWVjWnJEUTlFX2I5cjhqTG1WUGExMjJpR0NmNkh1elhRWXo?oc=5</x:v>
      </x:c>
      <x:c r="Z17" s="18" t="n">
        <x:v>46269.56458333333</x:v>
      </x:c>
      <x:c r="AA17" s="18" t="n">
        <x:v>46275.38862103009</x:v>
      </x:c>
      <x:c r="AB17" s="18" t="str">
        <x:v>public_rss</x:v>
      </x:c>
      <x:c r="AC17" s="18" t="str">
        <x:v>READY</x:v>
      </x:c>
      <x:c r="AZ17" s="18" t="str">
        <x:v>2026-09-09</x:v>
      </x:c>
      <x:c r="BA17" s="18" t="n">
        <x:v>10</x:v>
      </x:c>
    </x:row>
    <x:row r="18">
      <x:c r="A18" s="18" t="str">
        <x:v>NYT-27-d62b6257a3274335</x:v>
      </x:c>
      <x:c r="B18" s="18" t="str">
        <x:v>Districts as Export Hubs - PIB</x:v>
      </x:c>
      <x:c r="C18" s="18" t="str">
        <x:v>2026-09-02</x:v>
      </x:c>
      <x:c r="D18" s="18" t="n">
        <x:v>2026</x:v>
      </x:c>
      <x:c r="E18" s="18" t="str">
        <x:v>2026-09</x:v>
      </x:c>
      <x:c r="F18" s="18" t="str"/>
      <x:c r="G18" s="18" t="str">
        <x:v>site:pib.gov.in India budget scheme expenditure allocation</x:v>
      </x:c>
      <x:c r="H18" s="18" t="str"/>
      <x:c r="I18" s="18" t="str">
        <x:v>PIB</x:v>
      </x:c>
      <x:c r="J18" s="20" t="str"/>
      <x:c r="K18" s="18" t="str"/>
      <x:c r="L18" s="18" t="str">
        <x:v>Districts as Export Hubs - PIB</x:v>
      </x:c>
      <x:c r="M18" s="18" t="str">
        <x:v>PIB</x:v>
      </x:c>
      <x:c r="N18" s="18" t="str">
        <x:v>site:pib.gov.in India budget scheme expenditure allocation</x:v>
      </x:c>
      <x:c r="O18" s="18" t="n">
        <x:v>46267.26388888889</x:v>
      </x:c>
      <x:c r="P18" s="18" t="str">
        <x:v>https://www.pib.gov.in</x:v>
      </x:c>
      <x:c r="Q18" s="18" t="str">
        <x:v>DEFINED_TERMINAL_OR_FEED_SCOPE</x:v>
      </x:c>
      <x:c r="R18" s="18" t="str">
        <x:v>news_budget_schemes_14d.json — published records loaded</x:v>
      </x:c>
      <x:c r="S18" s="18" t="str"/>
      <x:c r="T18" s="18" t="str"/>
      <x:c r="U18" s="20" t="n">
        <x:v>100</x:v>
      </x:c>
      <x:c r="V18" s="19" t="n">
        <x:f>IFERROR(TODAY()-DATEVALUE(C18),"")</x:f>
        <x:v>8</x:v>
      </x:c>
      <x:c r="W18" s="21" t="n">
        <x:f>ROUND(COUNTA(A18:K18)/11*100,0)</x:f>
        <x:v>100</x:v>
      </x:c>
      <x:c r="X18" s="18" t="str">
        <x:v>Google News RSS</x:v>
      </x:c>
      <x:c r="Y18" s="22" t="str">
        <x:v>https://news.google.com/rss/articles/CBMifkFVX3lxTE14TlV4SG15MGFwME1SSGRGd1pYdWVDaDB6dVhDdjRZT0N4ajNGd3Q4MnN5RHpkRkhvRDVJOUdaRjZSLXdJUXhOdHU4R2p3dEpNVDg0SmRDdXEwaE1mT25WeFp4U0o0U1EwVURUWHlibXBiV0N3MjFSbW1ibEFhdw?oc=5</x:v>
      </x:c>
      <x:c r="Z18" s="18" t="n">
        <x:v>46267.26388888889</x:v>
      </x:c>
      <x:c r="AA18" s="18" t="n">
        <x:v>46275.38862103009</x:v>
      </x:c>
      <x:c r="AB18" s="18" t="str">
        <x:v>public_rss</x:v>
      </x:c>
      <x:c r="AC18" s="18" t="str">
        <x:v>READY</x:v>
      </x:c>
    </x:row>
    <x:row r="19">
      <x:c r="A19" s="18" t="str">
        <x:v>NYT-27-b4e4e0c671c89f25</x:v>
      </x:c>
      <x:c r="B19" s="18" t="str">
        <x:v>Jal Sanchay Jan Bhagidari: From Local Action to Water Security - PIB</x:v>
      </x:c>
      <x:c r="C19" s="18" t="str">
        <x:v>2026-09-03</x:v>
      </x:c>
      <x:c r="D19" s="18" t="n">
        <x:v>2026</x:v>
      </x:c>
      <x:c r="E19" s="18" t="str">
        <x:v>2026-09</x:v>
      </x:c>
      <x:c r="F19" s="18" t="str"/>
      <x:c r="G19" s="18" t="str">
        <x:v>site:pib.gov.in India budget scheme expenditure allocation</x:v>
      </x:c>
      <x:c r="H19" s="18" t="str"/>
      <x:c r="I19" s="18" t="str">
        <x:v>PIB</x:v>
      </x:c>
      <x:c r="J19" s="20" t="str"/>
      <x:c r="K19" s="18" t="str"/>
      <x:c r="L19" s="18" t="str">
        <x:v>Jal Sanchay Jan Bhagidari: From Local Action to Water Security - PIB</x:v>
      </x:c>
      <x:c r="M19" s="18" t="str">
        <x:v>PIB</x:v>
      </x:c>
      <x:c r="N19" s="18" t="str">
        <x:v>site:pib.gov.in India budget scheme expenditure allocation</x:v>
      </x:c>
      <x:c r="O19" s="18" t="n">
        <x:v>46268.41111111111</x:v>
      </x:c>
      <x:c r="P19" s="18" t="str">
        <x:v>https://www.pib.gov.in</x:v>
      </x:c>
      <x:c r="Q19" s="18" t="str">
        <x:v>DEFINED_TERMINAL_OR_FEED_SCOPE</x:v>
      </x:c>
      <x:c r="R19" s="18" t="str">
        <x:v>news_budget_schemes_14d.json — published records loaded</x:v>
      </x:c>
      <x:c r="S19" s="18" t="str"/>
      <x:c r="T19" s="18" t="str"/>
      <x:c r="U19" s="20" t="n">
        <x:v>100</x:v>
      </x:c>
      <x:c r="V19" s="19" t="n">
        <x:f>IFERROR(TODAY()-DATEVALUE(C19),"")</x:f>
        <x:v>7</x:v>
      </x:c>
      <x:c r="W19" s="21" t="n">
        <x:f>ROUND(COUNTA(A19:K19)/11*100,0)</x:f>
        <x:v>100</x:v>
      </x:c>
      <x:c r="X19" s="18" t="str">
        <x:v>Google News RSS</x:v>
      </x:c>
      <x:c r="Y19" s="22" t="str">
        <x:v>https://news.google.com/rss/articles/CBMifEFVX3lxTE50Q2Y1U05naUpHeGN4RnFGT2pyRjBHaTQyUmpBTzlhelEwWG1MakZOY2FlNmVpU3VoR1Y2UDc5eXhqX2JqSzgtdWV2M0JpZm9jb3NzNGNiM2NwMkxjeWd4V0lPQ0MzS21aVExUR3JaWU10WnVnbzRQeGZjZG4?oc=5</x:v>
      </x:c>
      <x:c r="Z19" s="18" t="n">
        <x:v>46268.41111111111</x:v>
      </x:c>
      <x:c r="AA19" s="18" t="n">
        <x:v>46275.38862103009</x:v>
      </x:c>
      <x:c r="AB19" s="18" t="str">
        <x:v>public_rss</x:v>
      </x:c>
      <x:c r="AC19" s="18" t="str">
        <x:v>READY</x:v>
      </x:c>
    </x:row>
    <x:row r="20">
      <x:c r="A20" s="18" t="str">
        <x:v>NYT-27-da404a392f8e63a4</x:v>
      </x:c>
      <x:c r="B20" s="18" t="str">
        <x:v>Decentralised Grain Storage Plan in Cooperative Sector - PIB</x:v>
      </x:c>
      <x:c r="C20" s="18" t="str">
        <x:v>2026-09-03</x:v>
      </x:c>
      <x:c r="D20" s="18" t="n">
        <x:v>2026</x:v>
      </x:c>
      <x:c r="E20" s="18" t="str">
        <x:v>2026-09</x:v>
      </x:c>
      <x:c r="F20" s="18" t="str"/>
      <x:c r="G20" s="18" t="str">
        <x:v>site:pib.gov.in India budget scheme expenditure allocation</x:v>
      </x:c>
      <x:c r="H20" s="18" t="str"/>
      <x:c r="I20" s="18" t="str">
        <x:v>PIB</x:v>
      </x:c>
      <x:c r="J20" s="20" t="str"/>
      <x:c r="K20" s="18" t="str"/>
      <x:c r="L20" s="18" t="str">
        <x:v>Decentralised Grain Storage Plan in Cooperative Sector - PIB</x:v>
      </x:c>
      <x:c r="M20" s="18" t="str">
        <x:v>PIB</x:v>
      </x:c>
      <x:c r="N20" s="18" t="str">
        <x:v>site:pib.gov.in India budget scheme expenditure allocation</x:v>
      </x:c>
      <x:c r="O20" s="18" t="n">
        <x:v>46268.28680555556</x:v>
      </x:c>
      <x:c r="P20" s="18" t="str">
        <x:v>https://www.pib.gov.in</x:v>
      </x:c>
      <x:c r="Q20" s="18" t="str">
        <x:v>DEFINED_TERMINAL_OR_FEED_SCOPE</x:v>
      </x:c>
      <x:c r="R20" s="18" t="str">
        <x:v>news_budget_schemes_14d.json — published records loaded</x:v>
      </x:c>
      <x:c r="S20" s="18" t="str"/>
      <x:c r="T20" s="18" t="str"/>
      <x:c r="U20" s="20" t="n">
        <x:v>100</x:v>
      </x:c>
      <x:c r="V20" s="19" t="n">
        <x:f>IFERROR(TODAY()-DATEVALUE(C20),"")</x:f>
        <x:v>7</x:v>
      </x:c>
      <x:c r="W20" s="21" t="n">
        <x:f>ROUND(COUNTA(A20:K20)/11*100,0)</x:f>
        <x:v>100</x:v>
      </x:c>
      <x:c r="X20" s="18" t="str">
        <x:v>Google News RSS</x:v>
      </x:c>
      <x:c r="Y20" s="22" t="str">
        <x:v>https://news.google.com/rss/articles/CBMifkFVX3lxTE9IbzRSNjgxMVNPUG5aYmVRdnhpakVzWjcxc2RBZUR0dU5rdGdsTE4wSjFFZVlsWWVRM1JvNzhYZDJYRDBrSDBwUlhQb3pEblNSMUNpaHdQSy1TbEtNZXdvMlpPWndaY2dobVgzVmdRUlA4MUxnMUN6YkxsbDBxQQ?oc=5</x:v>
      </x:c>
      <x:c r="Z20" s="18" t="n">
        <x:v>46268.28680555556</x:v>
      </x:c>
      <x:c r="AA20" s="18" t="n">
        <x:v>46275.38862103009</x:v>
      </x:c>
      <x:c r="AB20" s="18" t="str">
        <x:v>public_rss</x:v>
      </x:c>
      <x:c r="AC20" s="18" t="str">
        <x:v>READY</x:v>
      </x:c>
    </x:row>
    <x:row r="21">
      <x:c r="A21" s="18" t="str">
        <x:v>NYT-27-2dcdfe72ef768070</x:v>
      </x:c>
      <x:c r="B21" s="18" t="str">
        <x:v>Vice President Shri C. P. Radhakrishnan attends SSUHS Convocation in Guwahati - PIB</x:v>
      </x:c>
      <x:c r="C21" s="18" t="str">
        <x:v>2026-09-06</x:v>
      </x:c>
      <x:c r="D21" s="18" t="n">
        <x:v>2026</x:v>
      </x:c>
      <x:c r="E21" s="18" t="str">
        <x:v>2026-09</x:v>
      </x:c>
      <x:c r="F21" s="18" t="str"/>
      <x:c r="G21" s="18" t="str">
        <x:v>site:pib.gov.in India budget scheme expenditure allocation</x:v>
      </x:c>
      <x:c r="H21" s="18" t="str"/>
      <x:c r="I21" s="18" t="str">
        <x:v>PIB</x:v>
      </x:c>
      <x:c r="J21" s="20" t="str"/>
      <x:c r="K21" s="18" t="str"/>
      <x:c r="L21" s="18" t="str">
        <x:v>Vice President Shri C. P. Radhakrishnan attends SSUHS Convocation in Guwahati - PIB</x:v>
      </x:c>
      <x:c r="M21" s="18" t="str">
        <x:v>PIB</x:v>
      </x:c>
      <x:c r="N21" s="18" t="str">
        <x:v>site:pib.gov.in India budget scheme expenditure allocation</x:v>
      </x:c>
      <x:c r="O21" s="18" t="n">
        <x:v>46271.524305555555</x:v>
      </x:c>
      <x:c r="P21" s="18" t="str">
        <x:v>https://www.pib.gov.in</x:v>
      </x:c>
      <x:c r="Q21" s="18" t="str">
        <x:v>DEFINED_TERMINAL_OR_FEED_SCOPE</x:v>
      </x:c>
      <x:c r="R21" s="18" t="str">
        <x:v>news_budget_schemes_14d.json — published records loaded</x:v>
      </x:c>
      <x:c r="S21" s="18" t="str"/>
      <x:c r="T21" s="18" t="str"/>
      <x:c r="U21" s="20" t="n">
        <x:v>100</x:v>
      </x:c>
      <x:c r="V21" s="19" t="n">
        <x:f>IFERROR(TODAY()-DATEVALUE(C21),"")</x:f>
        <x:v>4</x:v>
      </x:c>
      <x:c r="W21" s="21" t="n">
        <x:f>ROUND(COUNTA(A21:K21)/11*100,0)</x:f>
        <x:v>100</x:v>
      </x:c>
      <x:c r="X21" s="18" t="str">
        <x:v>Google News RSS</x:v>
      </x:c>
      <x:c r="Y21" s="22" t="str">
        <x:v>https://news.google.com/rss/articles/CBMifEFVX3lxTE5QTVYxY3RmMjNkNWhxMGVNT01mY1NXNEYzeV9DbnZVZnpCTlRJME5qTUo4Xzdtc3ZWamNHZ2VIUi1OTHN4UzQxYUFfLXVzazRxZy1XOWIzOFpxMnU1QkEzOXN1ZVpiaHFBN0hYNnJkSDI5dEJ0NjlLSFdfaEE?oc=5</x:v>
      </x:c>
      <x:c r="Z21" s="18" t="n">
        <x:v>46271.524305555555</x:v>
      </x:c>
      <x:c r="AA21" s="18" t="n">
        <x:v>46275.38862103009</x:v>
      </x:c>
      <x:c r="AB21" s="18" t="str">
        <x:v>public_rss</x:v>
      </x:c>
      <x:c r="AC21" s="18" t="str">
        <x:v>READY</x:v>
      </x:c>
    </x:row>
    <x:row r="22">
      <x:c r="A22" s="18" t="str">
        <x:v>NYT-27-07140356a76d8e2c</x:v>
      </x:c>
      <x:c r="B22" s="18" t="str">
        <x:v>QUARTERLY ESTIMATES OF GROSS DOMESTIC PRODUCT FOR THE FIRST QUARTER (APRIL-JUNE) OF 2026-27 - PIB</x:v>
      </x:c>
      <x:c r="C22" s="18" t="str">
        <x:v>2026-08-31</x:v>
      </x:c>
      <x:c r="D22" s="18" t="n">
        <x:v>2026</x:v>
      </x:c>
      <x:c r="E22" s="18" t="str">
        <x:v>2026-08</x:v>
      </x:c>
      <x:c r="F22" s="18" t="str"/>
      <x:c r="G22" s="18" t="str">
        <x:v>site:pib.gov.in India budget scheme expenditure allocation</x:v>
      </x:c>
      <x:c r="H22" s="18" t="str"/>
      <x:c r="I22" s="18" t="str">
        <x:v>PIB</x:v>
      </x:c>
      <x:c r="J22" s="20" t="str"/>
      <x:c r="K22" s="18" t="str"/>
      <x:c r="L22" s="18" t="str">
        <x:v>QUARTERLY ESTIMATES OF GROSS DOMESTIC PRODUCT FOR THE FIRST QUARTER (APRIL-JUNE) OF 2026-27 - PIB</x:v>
      </x:c>
      <x:c r="M22" s="18" t="str">
        <x:v>PIB</x:v>
      </x:c>
      <x:c r="N22" s="18" t="str">
        <x:v>site:pib.gov.in India budget scheme expenditure allocation</x:v>
      </x:c>
      <x:c r="O22" s="18" t="n">
        <x:v>46265.291666666664</x:v>
      </x:c>
      <x:c r="P22" s="18" t="str">
        <x:v>https://www.pib.gov.in</x:v>
      </x:c>
      <x:c r="Q22" s="18" t="str">
        <x:v>DEFINED_TERMINAL_OR_FEED_SCOPE</x:v>
      </x:c>
      <x:c r="R22" s="18" t="str">
        <x:v>news_budget_schemes_14d.json — published records loaded</x:v>
      </x:c>
      <x:c r="S22" s="18" t="str"/>
      <x:c r="T22" s="18" t="str"/>
      <x:c r="U22" s="20" t="n">
        <x:v>100</x:v>
      </x:c>
      <x:c r="V22" s="19" t="n">
        <x:f>IFERROR(TODAY()-DATEVALUE(C22),"")</x:f>
        <x:v>10</x:v>
      </x:c>
      <x:c r="W22" s="21" t="n">
        <x:f>ROUND(COUNTA(A22:K22)/11*100,0)</x:f>
        <x:v>100</x:v>
      </x:c>
      <x:c r="X22" s="18" t="str">
        <x:v>Google News RSS</x:v>
      </x:c>
      <x:c r="Y22" s="22" t="str">
        <x:v>https://news.google.com/rss/articles/CBMifkFVX3lxTE5Gb2xiX2JxNVFYX1dsLV92YW9xZzR5d0ZkTU5WZDZNTVpVN1JNMGFhdFNxSDh5R3hheHVSNFc0NFJHZmR1bEliR1F2MFh4c2Nxc3dLYk9XdUNLU2dSTU9WU1hyeVpMWnZCdGJXR1FlVE5EQjRUdTdZakF3VHU5dw?oc=5</x:v>
      </x:c>
      <x:c r="Z22" s="18" t="n">
        <x:v>46265.291666666664</x:v>
      </x:c>
      <x:c r="AA22" s="18" t="n">
        <x:v>46275.38862103009</x:v>
      </x:c>
      <x:c r="AB22" s="18" t="str">
        <x:v>public_rss</x:v>
      </x:c>
      <x:c r="AC22" s="18" t="str">
        <x:v>READY</x:v>
      </x:c>
    </x:row>
    <x:row r="23">
      <x:c r="A23" s="18" t="str">
        <x:v>NYT-27-3928a3e354f56357</x:v>
      </x:c>
      <x:c r="B23" s="18" t="str">
        <x:v>Union Minister for Rural Development reviews progress of WDC-PMKSY; Stresses on accelerating watershed development towards 'Drought-Free India' - PIB</x:v>
      </x:c>
      <x:c r="C23" s="18" t="str">
        <x:v>2026-09-01</x:v>
      </x:c>
      <x:c r="D23" s="18" t="n">
        <x:v>2026</x:v>
      </x:c>
      <x:c r="E23" s="18" t="str">
        <x:v>2026-09</x:v>
      </x:c>
      <x:c r="F23" s="18" t="str"/>
      <x:c r="G23" s="18" t="str">
        <x:v>site:pib.gov.in India budget scheme expenditure allocation</x:v>
      </x:c>
      <x:c r="H23" s="18" t="str"/>
      <x:c r="I23" s="18" t="str">
        <x:v>PIB</x:v>
      </x:c>
      <x:c r="J23" s="20" t="str"/>
      <x:c r="K23" s="18" t="str"/>
      <x:c r="L23" s="18" t="str">
        <x:v>Union Minister for Rural Development reviews progress of WDC-PMKSY; Stresses on accelerating watershed development towards 'Drought-Free India' - PIB</x:v>
      </x:c>
      <x:c r="M23" s="18" t="str">
        <x:v>PIB</x:v>
      </x:c>
      <x:c r="N23" s="18" t="str">
        <x:v>site:pib.gov.in India budget scheme expenditure allocation</x:v>
      </x:c>
      <x:c r="O23" s="18" t="n">
        <x:v>46266.291666666664</x:v>
      </x:c>
      <x:c r="P23" s="18" t="str">
        <x:v>https://www.pib.gov.in</x:v>
      </x:c>
      <x:c r="Q23" s="18" t="str">
        <x:v>DEFINED_TERMINAL_OR_FEED_SCOPE</x:v>
      </x:c>
      <x:c r="R23" s="18" t="str">
        <x:v>news_budget_schemes_14d.json — published records loaded</x:v>
      </x:c>
      <x:c r="S23" s="18" t="str"/>
      <x:c r="T23" s="18" t="str"/>
      <x:c r="U23" s="20" t="n">
        <x:v>100</x:v>
      </x:c>
      <x:c r="V23" s="19" t="n">
        <x:f>IFERROR(TODAY()-DATEVALUE(C23),"")</x:f>
        <x:v>9</x:v>
      </x:c>
      <x:c r="W23" s="21" t="n">
        <x:f>ROUND(COUNTA(A23:K23)/11*100,0)</x:f>
        <x:v>100</x:v>
      </x:c>
      <x:c r="X23" s="18" t="str">
        <x:v>Google News RSS</x:v>
      </x:c>
      <x:c r="Y23" s="22" t="str">
        <x:v>https://news.google.com/rss/articles/CBMifkFVX3lxTFBwZ0lWRndlMUVGcUV1bWpFSUNwNXZvRzRmZVcwTXBXNjdpdTFHSFFPMXRUcjRZLWd3aTAwOGxOSS1BMjJYWlpIeEVMWWdEZ1Y3V0lTNDRPcEo1SC1xMllybW9iVG5tWE5mLTJ2cHVELXBpVHREQ2cxbm5hYTB4UQ?oc=5</x:v>
      </x:c>
      <x:c r="Z23" s="18" t="n">
        <x:v>46266.291666666664</x:v>
      </x:c>
      <x:c r="AA23" s="18" t="n">
        <x:v>46275.38862103009</x:v>
      </x:c>
      <x:c r="AB23" s="18" t="str">
        <x:v>public_rss</x:v>
      </x:c>
      <x:c r="AC23" s="18" t="str">
        <x:v>READY</x:v>
      </x:c>
    </x:row>
    <x:row r="24">
      <x:c r="A24" s="18" t="str">
        <x:v>NYT-27-d55b1ff2ed3a7edd</x:v>
      </x:c>
      <x:c r="B24" s="18" t="str">
        <x:v>Decentralised Grain Storage Plan in Coopera4ve Sector - PIB</x:v>
      </x:c>
      <x:c r="C24" s="18" t="str">
        <x:v>2026-09-03</x:v>
      </x:c>
      <x:c r="D24" s="18" t="n">
        <x:v>2026</x:v>
      </x:c>
      <x:c r="E24" s="18" t="str">
        <x:v>2026-09</x:v>
      </x:c>
      <x:c r="F24" s="18" t="str"/>
      <x:c r="G24" s="18" t="str">
        <x:v>site:pib.gov.in India budget scheme expenditure allocation</x:v>
      </x:c>
      <x:c r="H24" s="18" t="str"/>
      <x:c r="I24" s="18" t="str">
        <x:v>PIB</x:v>
      </x:c>
      <x:c r="J24" s="20" t="str"/>
      <x:c r="K24" s="18" t="str"/>
      <x:c r="L24" s="18" t="str">
        <x:v>Decentralised Grain Storage Plan in Coopera4ve Sector - PIB</x:v>
      </x:c>
      <x:c r="M24" s="18" t="str">
        <x:v>PIB</x:v>
      </x:c>
      <x:c r="N24" s="18" t="str">
        <x:v>site:pib.gov.in India budget scheme expenditure allocation</x:v>
      </x:c>
      <x:c r="O24" s="18" t="n">
        <x:v>46268.365381944444</x:v>
      </x:c>
      <x:c r="P24" s="18" t="str">
        <x:v>https://static.pib.gov.in</x:v>
      </x:c>
      <x:c r="Q24" s="18" t="str">
        <x:v>DEFINED_TERMINAL_OR_FEED_SCOPE</x:v>
      </x:c>
      <x:c r="R24" s="18" t="str">
        <x:v>news_budget_schemes_14d.json — published records loaded</x:v>
      </x:c>
      <x:c r="S24" s="18" t="str"/>
      <x:c r="T24" s="18" t="str"/>
      <x:c r="U24" s="20" t="n">
        <x:v>100</x:v>
      </x:c>
      <x:c r="V24" s="19" t="n">
        <x:f>IFERROR(TODAY()-DATEVALUE(C24),"")</x:f>
        <x:v>7</x:v>
      </x:c>
      <x:c r="W24" s="21" t="n">
        <x:f>ROUND(COUNTA(A24:K24)/11*100,0)</x:f>
        <x:v>100</x:v>
      </x:c>
      <x:c r="X24" s="18" t="str">
        <x:v>Google News RSS</x:v>
      </x:c>
      <x:c r="Y24" s="22" t="str">
        <x:v>https://news.google.com/rss/articles/CBMipAFBVV95cUxPcUtUdnBtMFlEZlNqdFpKU0Y3TFV6amhUcC1BNEplTEVCenFNQU9tYkNYTzExaUc4cFlxbndPZDU5TnBuTldOXzVPSE1QekdGNmd6ZUZWTVd3VTBkSzQ4QWxNaVpGblBCU3BqMGtoUVlTRXJrbTlRb0doQWtmeW9ZUEJQQmNxQUtYdVBJSEpfM1JRQTVlc1V2MTg0M1pwVjNYck1WZg?oc=5</x:v>
      </x:c>
      <x:c r="Z24" s="18" t="n">
        <x:v>46268.365381944444</x:v>
      </x:c>
      <x:c r="AA24" s="18" t="n">
        <x:v>46275.38862103009</x:v>
      </x:c>
      <x:c r="AB24" s="18" t="str">
        <x:v>public_rss</x:v>
      </x:c>
      <x:c r="AC24" s="18" t="str">
        <x:v>READY</x:v>
      </x:c>
    </x:row>
    <x:row r="25">
      <x:c r="A25" s="18" t="str">
        <x:v>NYT-27-35ea58e661398f1a</x:v>
      </x:c>
      <x:c r="B25" s="18" t="str">
        <x:v>India’s GDP Performance - PIB</x:v>
      </x:c>
      <x:c r="C25" s="18" t="str">
        <x:v>2026-09-01</x:v>
      </x:c>
      <x:c r="D25" s="18" t="n">
        <x:v>2026</x:v>
      </x:c>
      <x:c r="E25" s="18" t="str">
        <x:v>2026-09</x:v>
      </x:c>
      <x:c r="F25" s="18" t="str"/>
      <x:c r="G25" s="18" t="str">
        <x:v>site:pib.gov.in India budget scheme expenditure allocation</x:v>
      </x:c>
      <x:c r="H25" s="18" t="str"/>
      <x:c r="I25" s="18" t="str">
        <x:v>PIB</x:v>
      </x:c>
      <x:c r="J25" s="20" t="str"/>
      <x:c r="K25" s="18" t="str"/>
      <x:c r="L25" s="18" t="str">
        <x:v>India’s GDP Performance - PIB</x:v>
      </x:c>
      <x:c r="M25" s="18" t="str">
        <x:v>PIB</x:v>
      </x:c>
      <x:c r="N25" s="18" t="str">
        <x:v>site:pib.gov.in India budget scheme expenditure allocation</x:v>
      </x:c>
      <x:c r="O25" s="18" t="n">
        <x:v>46266.291666666664</x:v>
      </x:c>
      <x:c r="P25" s="18" t="str">
        <x:v>https://www.pib.gov.in</x:v>
      </x:c>
      <x:c r="Q25" s="18" t="str">
        <x:v>DEFINED_TERMINAL_OR_FEED_SCOPE</x:v>
      </x:c>
      <x:c r="R25" s="18" t="str">
        <x:v>news_budget_schemes_14d.json — published records loaded</x:v>
      </x:c>
      <x:c r="S25" s="18" t="str"/>
      <x:c r="T25" s="18" t="str"/>
      <x:c r="U25" s="20" t="n">
        <x:v>100</x:v>
      </x:c>
      <x:c r="V25" s="19" t="n">
        <x:f>IFERROR(TODAY()-DATEVALUE(C25),"")</x:f>
        <x:v>9</x:v>
      </x:c>
      <x:c r="W25" s="21" t="n">
        <x:f>ROUND(COUNTA(A25:K25)/11*100,0)</x:f>
        <x:v>100</x:v>
      </x:c>
      <x:c r="X25" s="18" t="str">
        <x:v>Google News RSS</x:v>
      </x:c>
      <x:c r="Y25" s="22" t="str">
        <x:v>https://news.google.com/rss/articles/CBMifEFVX3lxTE42TzFCNWJDQUx6Z21lZzRIOXFGT2Q4RjNQNHJSOEgwMjd0cVY5ZEhsbWRpVmhzUXI2SFB6M1ZkdHBwX1hRSzJjWHdoY1pKeXpRSFprU1JyalFXREV6aW0wb0NPaXMxMHBaNmFDLXRsMTVRNWpjMzVoUkw0VEE?oc=5</x:v>
      </x:c>
      <x:c r="Z25" s="18" t="n">
        <x:v>46266.291666666664</x:v>
      </x:c>
      <x:c r="AA25" s="18" t="n">
        <x:v>46275.38862103009</x:v>
      </x:c>
      <x:c r="AB25" s="18" t="str">
        <x:v>public_rss</x:v>
      </x:c>
      <x:c r="AC25" s="18" t="str">
        <x:v>READY</x:v>
      </x:c>
    </x:row>
    <x:row r="26">
      <x:c r="A26" s="18" t="str">
        <x:v>NYT-27-d4247b30aa9eac8a</x:v>
      </x:c>
      <x:c r="B26" s="18" t="str">
        <x:v>India Ranks third globally in Renewable Energy Installed Capacity: Shri Pralhad Joshi - PIB</x:v>
      </x:c>
      <x:c r="C26" s="18" t="str">
        <x:v>2026-09-08</x:v>
      </x:c>
      <x:c r="D26" s="18" t="n">
        <x:v>2026</x:v>
      </x:c>
      <x:c r="E26" s="18" t="str">
        <x:v>2026-09</x:v>
      </x:c>
      <x:c r="F26" s="18" t="str"/>
      <x:c r="G26" s="18" t="str">
        <x:v>site:pib.gov.in India budget scheme expenditure allocation</x:v>
      </x:c>
      <x:c r="H26" s="18" t="str"/>
      <x:c r="I26" s="18" t="str">
        <x:v>PIB</x:v>
      </x:c>
      <x:c r="J26" s="20" t="str"/>
      <x:c r="K26" s="18" t="str"/>
      <x:c r="L26" s="18" t="str">
        <x:v>India Ranks third globally in Renewable Energy Installed Capacity: Shri Pralhad Joshi - PIB</x:v>
      </x:c>
      <x:c r="M26" s="18" t="str">
        <x:v>PIB</x:v>
      </x:c>
      <x:c r="N26" s="18" t="str">
        <x:v>site:pib.gov.in India budget scheme expenditure allocation</x:v>
      </x:c>
      <x:c r="O26" s="18" t="n">
        <x:v>46273.84307870371</x:v>
      </x:c>
      <x:c r="P26" s="18" t="str">
        <x:v>https://www.pib.gov.in</x:v>
      </x:c>
      <x:c r="Q26" s="18" t="str">
        <x:v>DEFINED_TERMINAL_OR_FEED_SCOPE</x:v>
      </x:c>
      <x:c r="R26" s="18" t="str">
        <x:v>news_budget_schemes_14d.json — published records loaded</x:v>
      </x:c>
      <x:c r="S26" s="18" t="str"/>
      <x:c r="T26" s="18" t="str"/>
      <x:c r="U26" s="20" t="n">
        <x:v>100</x:v>
      </x:c>
      <x:c r="V26" s="19" t="n">
        <x:f>IFERROR(TODAY()-DATEVALUE(C26),"")</x:f>
        <x:v>2</x:v>
      </x:c>
      <x:c r="W26" s="21" t="n">
        <x:f>ROUND(COUNTA(A26:K26)/11*100,0)</x:f>
        <x:v>100</x:v>
      </x:c>
      <x:c r="X26" s="18" t="str">
        <x:v>Google News RSS</x:v>
      </x:c>
      <x:c r="Y26" s="22" t="str">
        <x:v>https://news.google.com/rss/articles/CBMia0FVX3lxTE9uM3RIMmpPUWNCZmtVdm9YODJIWTRvcEdVZ2lfT0lzNW1WeFFpZjVxRlhhY0NJcnk5WDFHRjlzcEo4Uks0RDlBalp6VEZ5VE1xRDRFazZ3amN5dnhKQ3lHTmxXdmMtWmhDZHRj?oc=5</x:v>
      </x:c>
      <x:c r="Z26" s="18" t="n">
        <x:v>46273.84307870371</x:v>
      </x:c>
      <x:c r="AA26" s="18" t="n">
        <x:v>46275.38862103009</x:v>
      </x:c>
      <x:c r="AB26" s="18" t="str">
        <x:v>public_rss</x:v>
      </x:c>
      <x:c r="AC26" s="18" t="str">
        <x:v>READY</x:v>
      </x:c>
    </x:row>
    <x:row r="27">
      <x:c r="A27" s="18" t="str">
        <x:v>NYT-27-66383c6957e1ca38</x:v>
      </x:c>
      <x:c r="B27" s="18" t="str">
        <x:v>India's Defence Strength Powering National Security through Self-Reliance - PIB</x:v>
      </x:c>
      <x:c r="C27" s="18" t="str">
        <x:v>2026-09-07</x:v>
      </x:c>
      <x:c r="D27" s="18" t="n">
        <x:v>2026</x:v>
      </x:c>
      <x:c r="E27" s="18" t="str">
        <x:v>2026-09</x:v>
      </x:c>
      <x:c r="F27" s="18" t="str"/>
      <x:c r="G27" s="18" t="str">
        <x:v>site:pib.gov.in India budget scheme expenditure allocation</x:v>
      </x:c>
      <x:c r="H27" s="18" t="str"/>
      <x:c r="I27" s="18" t="str">
        <x:v>PIB</x:v>
      </x:c>
      <x:c r="J27" s="20" t="str"/>
      <x:c r="K27" s="18" t="str"/>
      <x:c r="L27" s="18" t="str">
        <x:v>India's Defence Strength Powering National Security through Self-Reliance - PIB</x:v>
      </x:c>
      <x:c r="M27" s="18" t="str">
        <x:v>PIB</x:v>
      </x:c>
      <x:c r="N27" s="18" t="str">
        <x:v>site:pib.gov.in India budget scheme expenditure allocation</x:v>
      </x:c>
      <x:c r="O27" s="18" t="n">
        <x:v>46272.65696759259</x:v>
      </x:c>
      <x:c r="P27" s="18" t="str">
        <x:v>https://www.pib.gov.in</x:v>
      </x:c>
      <x:c r="Q27" s="18" t="str">
        <x:v>DEFINED_TERMINAL_OR_FEED_SCOPE</x:v>
      </x:c>
      <x:c r="R27" s="18" t="str">
        <x:v>news_budget_schemes_14d.json — published records loaded</x:v>
      </x:c>
      <x:c r="S27" s="18" t="str"/>
      <x:c r="T27" s="18" t="str"/>
      <x:c r="U27" s="20" t="n">
        <x:v>100</x:v>
      </x:c>
      <x:c r="V27" s="19" t="n">
        <x:f>IFERROR(TODAY()-DATEVALUE(C27),"")</x:f>
        <x:v>3</x:v>
      </x:c>
      <x:c r="W27" s="21" t="n">
        <x:f>ROUND(COUNTA(A27:K27)/11*100,0)</x:f>
        <x:v>100</x:v>
      </x:c>
      <x:c r="X27" s="18" t="str">
        <x:v>Google News RSS</x:v>
      </x:c>
      <x:c r="Y27" s="22" t="str">
        <x:v>https://news.google.com/rss/articles/CBMihwFBVV95cUxQRDFWRGVrOEFuczVfbERfdVI4d1dyZ2dVTlpqSUVmWkNyZjA1Q0ZfREcyN3hWazlXb2FSQkRSV3huRXZyaUNHWVhmWWhoeFg0cWJDR21UWlA1R2FFaVNCNXJOOHY0eHZmZzdXSmoyMmZHZE9wMFpXTUg4alFxY2xKWlpQamtVVk0?oc=5</x:v>
      </x:c>
      <x:c r="Z27" s="18" t="n">
        <x:v>46272.65696759259</x:v>
      </x:c>
      <x:c r="AA27" s="18" t="n">
        <x:v>46275.38862103009</x:v>
      </x:c>
      <x:c r="AB27" s="18" t="str">
        <x:v>public_rss</x:v>
      </x:c>
      <x:c r="AC27" s="18" t="str">
        <x:v>READY</x:v>
      </x:c>
    </x:row>
    <x:row r="28">
      <x:c r="A28" s="18" t="str">
        <x:v>NYT-27-a1d1988ff663e84a</x:v>
      </x:c>
      <x:c r="B28" s="18" t="str">
        <x:v>The New Era of Indian Agriculture and Allied Sectors - PIB</x:v>
      </x:c>
      <x:c r="C28" s="18" t="str">
        <x:v>2026-09-07</x:v>
      </x:c>
      <x:c r="D28" s="18" t="n">
        <x:v>2026</x:v>
      </x:c>
      <x:c r="E28" s="18" t="str">
        <x:v>2026-09</x:v>
      </x:c>
      <x:c r="F28" s="18" t="str"/>
      <x:c r="G28" s="18" t="str">
        <x:v>site:pib.gov.in India budget scheme expenditure allocation</x:v>
      </x:c>
      <x:c r="H28" s="18" t="str"/>
      <x:c r="I28" s="18" t="str">
        <x:v>PIB</x:v>
      </x:c>
      <x:c r="J28" s="20" t="str"/>
      <x:c r="K28" s="18" t="str"/>
      <x:c r="L28" s="18" t="str">
        <x:v>The New Era of Indian Agriculture and Allied Sectors - PIB</x:v>
      </x:c>
      <x:c r="M28" s="18" t="str">
        <x:v>PIB</x:v>
      </x:c>
      <x:c r="N28" s="18" t="str">
        <x:v>site:pib.gov.in India budget scheme expenditure allocation</x:v>
      </x:c>
      <x:c r="O28" s="18" t="n">
        <x:v>46272.584016203706</x:v>
      </x:c>
      <x:c r="P28" s="18" t="str">
        <x:v>https://www.pib.gov.in</x:v>
      </x:c>
      <x:c r="Q28" s="18" t="str">
        <x:v>DEFINED_TERMINAL_OR_FEED_SCOPE</x:v>
      </x:c>
      <x:c r="R28" s="18" t="str">
        <x:v>news_budget_schemes_14d.json — published records loaded</x:v>
      </x:c>
      <x:c r="S28" s="18" t="str"/>
      <x:c r="T28" s="18" t="str"/>
      <x:c r="U28" s="20" t="n">
        <x:v>100</x:v>
      </x:c>
      <x:c r="V28" s="19" t="n">
        <x:f>IFERROR(TODAY()-DATEVALUE(C28),"")</x:f>
        <x:v>3</x:v>
      </x:c>
      <x:c r="W28" s="21" t="n">
        <x:f>ROUND(COUNTA(A28:K28)/11*100,0)</x:f>
        <x:v>100</x:v>
      </x:c>
      <x:c r="X28" s="18" t="str">
        <x:v>Google News RSS</x:v>
      </x:c>
      <x:c r="Y28" s="22" t="str">
        <x:v>https://news.google.com/rss/articles/CBMihwFBVV95cUxNVjlNeXNkM2xNNC1HeGtBQkwzWWEzS2tGbUwxRFpaV3pjT3drUWV0OWpYTmRob0MxaV9TTklYTXpRV01XN3Zyc3BuRlBCLUJ5YU9OMVNzdVNBZURlZG8tbTNjZm5Xd3VXS2M0bksxREZxVHF4Umdqa0FvMlpXaFQtVUFZbm5vUjA?oc=5</x:v>
      </x:c>
      <x:c r="Z28" s="18" t="n">
        <x:v>46272.584016203706</x:v>
      </x:c>
      <x:c r="AA28" s="18" t="n">
        <x:v>46275.38862103009</x:v>
      </x:c>
      <x:c r="AB28" s="18" t="str">
        <x:v>public_rss</x:v>
      </x:c>
      <x:c r="AC28" s="18" t="str">
        <x:v>READY</x:v>
      </x:c>
    </x:row>
    <x:row r="29">
      <x:c r="A29" s="18" t="str">
        <x:v>NYT-27-d468484cef889499</x:v>
      </x:c>
      <x:c r="B29" s="18" t="str">
        <x:v>Union Budget 2026-27 Accelerating Chhattisgarh's Inclusive Development and Economic Growth: Shri Ramdas Athawale - PIB</x:v>
      </x:c>
      <x:c r="C29" s="18" t="str">
        <x:v>2026-09-09</x:v>
      </x:c>
      <x:c r="D29" s="18" t="n">
        <x:v>2026</x:v>
      </x:c>
      <x:c r="E29" s="18" t="str">
        <x:v>2026-09</x:v>
      </x:c>
      <x:c r="F29" s="18" t="str"/>
      <x:c r="G29" s="18" t="str">
        <x:v>site:pib.gov.in India budget scheme expenditure allocation</x:v>
      </x:c>
      <x:c r="H29" s="18" t="str"/>
      <x:c r="I29" s="18" t="str">
        <x:v>PIB</x:v>
      </x:c>
      <x:c r="J29" s="20" t="str"/>
      <x:c r="K29" s="18" t="str"/>
      <x:c r="L29" s="18" t="str">
        <x:v>Union Budget 2026-27 Accelerating Chhattisgarh's Inclusive Development and Economic Growth: Shri Ramdas Athawale - PIB</x:v>
      </x:c>
      <x:c r="M29" s="18" t="str">
        <x:v>PIB</x:v>
      </x:c>
      <x:c r="N29" s="18" t="str">
        <x:v>site:pib.gov.in India budget scheme expenditure allocation</x:v>
      </x:c>
      <x:c r="O29" s="18" t="n">
        <x:v>46274.33472222222</x:v>
      </x:c>
      <x:c r="P29" s="18" t="str">
        <x:v>https://pib.gov.in</x:v>
      </x:c>
      <x:c r="Q29" s="18" t="str">
        <x:v>DEFINED_TERMINAL_OR_FEED_SCOPE</x:v>
      </x:c>
      <x:c r="R29" s="18" t="str">
        <x:v>news_budget_schemes_14d.json — published records loaded</x:v>
      </x:c>
      <x:c r="S29" s="18" t="str"/>
      <x:c r="T29" s="18" t="str"/>
      <x:c r="U29" s="20" t="n">
        <x:v>100</x:v>
      </x:c>
      <x:c r="V29" s="19" t="n">
        <x:f>IFERROR(TODAY()-DATEVALUE(C29),"")</x:f>
        <x:v>1</x:v>
      </x:c>
      <x:c r="W29" s="21" t="n">
        <x:f>ROUND(COUNTA(A29:K29)/11*100,0)</x:f>
        <x:v>100</x:v>
      </x:c>
      <x:c r="X29" s="18" t="str">
        <x:v>Google News RSS</x:v>
      </x:c>
      <x:c r="Y29" s="22" t="str">
        <x:v>https://news.google.com/rss/articles/CBMiY0FVX3lxTE1JeHFnTC1xRUJMVlFDcGdnNWtjUklXSGgyNlB6MzJGdUg4ZXQyZzgxcEprQjU0Q0gzNUZCTG9UWFlHcFBtMko4bWZMZWxJSWRCZGUyRlRvcXdna05FejVpcnpkMA?oc=5</x:v>
      </x:c>
      <x:c r="Z29" s="18" t="n">
        <x:v>46274.33472222222</x:v>
      </x:c>
      <x:c r="AA29" s="18" t="n">
        <x:v>46275.38862103009</x:v>
      </x:c>
      <x:c r="AB29" s="18" t="str">
        <x:v>public_rss</x:v>
      </x:c>
      <x:c r="AC29" s="18" t="str">
        <x:v>READY</x:v>
      </x:c>
    </x:row>
    <x:row r="30">
      <x:c r="A30" s="18" t="str">
        <x:v>NYT-27-6ea59a868671e4d0</x:v>
      </x:c>
      <x:c r="B30" s="18" t="str">
        <x:v>Make in India’s Leap in Electronics Manufacturing &amp; Exports - PIB</x:v>
      </x:c>
      <x:c r="C30" s="18" t="str">
        <x:v>2026-09-09</x:v>
      </x:c>
      <x:c r="D30" s="18" t="n">
        <x:v>2026</x:v>
      </x:c>
      <x:c r="E30" s="18" t="str">
        <x:v>2026-09</x:v>
      </x:c>
      <x:c r="F30" s="18" t="str"/>
      <x:c r="G30" s="18" t="str">
        <x:v>site:pib.gov.in India budget scheme expenditure allocation</x:v>
      </x:c>
      <x:c r="H30" s="18" t="str"/>
      <x:c r="I30" s="18" t="str">
        <x:v>PIB</x:v>
      </x:c>
      <x:c r="J30" s="20" t="str"/>
      <x:c r="K30" s="18" t="str"/>
      <x:c r="L30" s="18" t="str">
        <x:v>Make in India’s Leap in Electronics Manufacturing &amp; Exports - PIB</x:v>
      </x:c>
      <x:c r="M30" s="18" t="str">
        <x:v>PIB</x:v>
      </x:c>
      <x:c r="N30" s="18" t="str">
        <x:v>site:pib.gov.in India budget scheme expenditure allocation</x:v>
      </x:c>
      <x:c r="O30" s="18" t="n">
        <x:v>46274.678032407406</x:v>
      </x:c>
      <x:c r="P30" s="18" t="str">
        <x:v>https://www.pib.gov.in</x:v>
      </x:c>
      <x:c r="Q30" s="18" t="str">
        <x:v>DEFINED_TERMINAL_OR_FEED_SCOPE</x:v>
      </x:c>
      <x:c r="R30" s="18" t="str">
        <x:v>news_budget_schemes_14d.json — published records loaded</x:v>
      </x:c>
      <x:c r="S30" s="18" t="str"/>
      <x:c r="T30" s="18" t="str"/>
      <x:c r="U30" s="20" t="n">
        <x:v>100</x:v>
      </x:c>
      <x:c r="V30" s="19" t="n">
        <x:f>IFERROR(TODAY()-DATEVALUE(C30),"")</x:f>
        <x:v>1</x:v>
      </x:c>
      <x:c r="W30" s="21" t="n">
        <x:f>ROUND(COUNTA(A30:K30)/11*100,0)</x:f>
        <x:v>100</x:v>
      </x:c>
      <x:c r="X30" s="18" t="str">
        <x:v>Google News RSS</x:v>
      </x:c>
      <x:c r="Y30" s="22" t="str">
        <x:v>https://news.google.com/rss/articles/CBMifEFVX3lxTE9jZnp0UFFxcDFQbW9aWWRRU1lxQnNhSllYVml1c3VMYTNXS25IalZTZTZ2SkcwMkltVEpTZnVBdmI3Q1Q3YUZiaEdHS3hTSGRCc1pJWFp1S3RlMlpfT2VVaC1SN2JnN1ZreGpJbUlqQmVtRm1BMEVmU21yMHM?oc=5</x:v>
      </x:c>
      <x:c r="Z30" s="18" t="n">
        <x:v>46274.678032407406</x:v>
      </x:c>
      <x:c r="AA30" s="18" t="n">
        <x:v>46275.38862103009</x:v>
      </x:c>
      <x:c r="AB30" s="18" t="str">
        <x:v>public_rss</x:v>
      </x:c>
      <x:c r="AC30" s="18" t="str">
        <x:v>READY</x:v>
      </x:c>
    </x:row>
    <x:row r="31">
      <x:c r="A31" s="18" t="str">
        <x:v>NYT-27-ee8fd80850fa481e</x:v>
      </x:c>
      <x:c r="B31" s="18" t="str">
        <x:v>Government Strengthens Monitoring and Timely Delivery of Scheduled Caste Welfare Schemes - PIB</x:v>
      </x:c>
      <x:c r="C31" s="18" t="str">
        <x:v>2026-08-28</x:v>
      </x:c>
      <x:c r="D31" s="18" t="n">
        <x:v>2026</x:v>
      </x:c>
      <x:c r="E31" s="18" t="str">
        <x:v>2026-08</x:v>
      </x:c>
      <x:c r="F31" s="18" t="str"/>
      <x:c r="G31" s="18" t="str">
        <x:v>site:pib.gov.in India budget scheme expenditure allocation</x:v>
      </x:c>
      <x:c r="H31" s="18" t="str"/>
      <x:c r="I31" s="18" t="str">
        <x:v>PIB</x:v>
      </x:c>
      <x:c r="J31" s="20" t="str"/>
      <x:c r="K31" s="18" t="str"/>
      <x:c r="L31" s="18" t="str">
        <x:v>Government Strengthens Monitoring and Timely Delivery of Scheduled Caste Welfare Schemes - PIB</x:v>
      </x:c>
      <x:c r="M31" s="18" t="str">
        <x:v>PIB</x:v>
      </x:c>
      <x:c r="N31" s="18" t="str">
        <x:v>site:pib.gov.in India budget scheme expenditure allocation</x:v>
      </x:c>
      <x:c r="O31" s="18" t="n">
        <x:v>46262.291666666664</x:v>
      </x:c>
      <x:c r="P31" s="18" t="str">
        <x:v>https://www.pib.gov.in</x:v>
      </x:c>
      <x:c r="Q31" s="18" t="str">
        <x:v>DEFINED_TERMINAL_OR_FEED_SCOPE</x:v>
      </x:c>
      <x:c r="R31" s="18" t="str">
        <x:v>news_budget_schemes_14d.json — published records loaded</x:v>
      </x:c>
      <x:c r="S31" s="18" t="str"/>
      <x:c r="T31" s="18" t="str"/>
      <x:c r="U31" s="20" t="n">
        <x:v>100</x:v>
      </x:c>
      <x:c r="V31" s="19" t="n">
        <x:f>IFERROR(TODAY()-DATEVALUE(C31),"")</x:f>
        <x:v>13</x:v>
      </x:c>
      <x:c r="W31" s="21" t="n">
        <x:f>ROUND(COUNTA(A31:K31)/11*100,0)</x:f>
        <x:v>100</x:v>
      </x:c>
      <x:c r="X31" s="18" t="str">
        <x:v>Google News RSS</x:v>
      </x:c>
      <x:c r="Y31" s="22" t="str">
        <x:v>https://news.google.com/rss/articles/CBMia0FVX3lxTE5EUnQxZWRDZWwwT3N6b3pBN3pycjVHUWlNZVlhSzgzNkttU0x1TUxrcFRLWkluSTVEdVBnUEhaUHFUSmFRYnpZeDlnNy1MWXdwNW5jS2g1NmpDR012bk8yUVM4bF96N1dzVS0w?oc=5</x:v>
      </x:c>
      <x:c r="Z31" s="18" t="n">
        <x:v>46262.291666666664</x:v>
      </x:c>
      <x:c r="AA31" s="18" t="n">
        <x:v>46275.38862103009</x:v>
      </x:c>
      <x:c r="AB31" s="18" t="str">
        <x:v>public_rss</x:v>
      </x:c>
      <x:c r="AC31" s="18" t="str">
        <x:v>READY</x:v>
      </x:c>
    </x:row>
    <x:row r="32">
      <x:c r="A32" s="18" t="str">
        <x:v>NYT-27-e5a218ae6d64da70</x:v>
      </x:c>
      <x:c r="B32" s="18" t="str">
        <x:v>Monthly Review of Accounts of Union Government of India upto the month of July 2026 (FY 2026-27) - PIB</x:v>
      </x:c>
      <x:c r="C32" s="18" t="str">
        <x:v>2026-08-31</x:v>
      </x:c>
      <x:c r="D32" s="18" t="n">
        <x:v>2026</x:v>
      </x:c>
      <x:c r="E32" s="18" t="str">
        <x:v>2026-08</x:v>
      </x:c>
      <x:c r="F32" s="18" t="str"/>
      <x:c r="G32" s="18" t="str">
        <x:v>site:pib.gov.in India budget scheme expenditure allocation</x:v>
      </x:c>
      <x:c r="H32" s="18" t="str"/>
      <x:c r="I32" s="18" t="str">
        <x:v>PIB</x:v>
      </x:c>
      <x:c r="J32" s="20" t="str"/>
      <x:c r="K32" s="18" t="str"/>
      <x:c r="L32" s="18" t="str">
        <x:v>Monthly Review of Accounts of Union Government of India upto the month of July 2026 (FY 2026-27) - PIB</x:v>
      </x:c>
      <x:c r="M32" s="18" t="str">
        <x:v>PIB</x:v>
      </x:c>
      <x:c r="N32" s="18" t="str">
        <x:v>site:pib.gov.in India budget scheme expenditure allocation</x:v>
      </x:c>
      <x:c r="O32" s="18" t="n">
        <x:v>46265.48055555556</x:v>
      </x:c>
      <x:c r="P32" s="18" t="str">
        <x:v>https://www.pib.gov.in</x:v>
      </x:c>
      <x:c r="Q32" s="18" t="str">
        <x:v>DEFINED_TERMINAL_OR_FEED_SCOPE</x:v>
      </x:c>
      <x:c r="R32" s="18" t="str">
        <x:v>news_budget_schemes_14d.json — published records loaded</x:v>
      </x:c>
      <x:c r="S32" s="18" t="str"/>
      <x:c r="T32" s="18" t="str"/>
      <x:c r="U32" s="20" t="n">
        <x:v>100</x:v>
      </x:c>
      <x:c r="V32" s="19" t="n">
        <x:f>IFERROR(TODAY()-DATEVALUE(C32),"")</x:f>
        <x:v>10</x:v>
      </x:c>
      <x:c r="W32" s="21" t="n">
        <x:f>ROUND(COUNTA(A32:K32)/11*100,0)</x:f>
        <x:v>100</x:v>
      </x:c>
      <x:c r="X32" s="18" t="str">
        <x:v>Google News RSS</x:v>
      </x:c>
      <x:c r="Y32" s="22" t="str">
        <x:v>https://news.google.com/rss/articles/CBMifEFVX3lxTE1udFdoMnh4RFp3Z0pKUUl2V0N0XzEyMjJMSzNYRFNoZWtXT0RGY0xtQzJ0X1hiMU1VM1JJNUJET213cmRHWTBxbHEwbm9pT054ZkhRajRqdzJOQUM0bi01VmpXRTBGZGNDNGdjMmE0cWdqMGpmSGE4cTNKdWk?oc=5</x:v>
      </x:c>
      <x:c r="Z32" s="18" t="n">
        <x:v>46265.48055555556</x:v>
      </x:c>
      <x:c r="AA32" s="18" t="n">
        <x:v>46275.38862103009</x:v>
      </x:c>
      <x:c r="AB32" s="18" t="str">
        <x:v>public_rss</x:v>
      </x:c>
      <x:c r="AC32" s="18" t="str">
        <x:v>READY</x:v>
      </x:c>
    </x:row>
    <x:row r="33">
      <x:c r="A33" s="18" t="str">
        <x:v>NYT-27-a78e44c4a68f94da</x:v>
      </x:c>
      <x:c r="B33" s="18" t="str">
        <x:v>PM to Visit Gujarat and Maharashtra on 8th September - PIB</x:v>
      </x:c>
      <x:c r="C33" s="18" t="str">
        <x:v>2026-09-07</x:v>
      </x:c>
      <x:c r="D33" s="18" t="n">
        <x:v>2026</x:v>
      </x:c>
      <x:c r="E33" s="18" t="str">
        <x:v>2026-09</x:v>
      </x:c>
      <x:c r="F33" s="18" t="str"/>
      <x:c r="G33" s="18" t="str">
        <x:v>site:pib.gov.in India budget scheme expenditure allocation</x:v>
      </x:c>
      <x:c r="H33" s="18" t="str"/>
      <x:c r="I33" s="18" t="str">
        <x:v>PIB</x:v>
      </x:c>
      <x:c r="J33" s="20" t="str"/>
      <x:c r="K33" s="18" t="str"/>
      <x:c r="L33" s="18" t="str">
        <x:v>PM to Visit Gujarat and Maharashtra on 8th September - PIB</x:v>
      </x:c>
      <x:c r="M33" s="18" t="str">
        <x:v>PIB</x:v>
      </x:c>
      <x:c r="N33" s="18" t="str">
        <x:v>site:pib.gov.in India budget scheme expenditure allocation</x:v>
      </x:c>
      <x:c r="O33" s="18" t="n">
        <x:v>46272.29809027778</x:v>
      </x:c>
      <x:c r="P33" s="18" t="str">
        <x:v>https://www.pib.gov.in</x:v>
      </x:c>
      <x:c r="Q33" s="18" t="str">
        <x:v>DEFINED_TERMINAL_OR_FEED_SCOPE</x:v>
      </x:c>
      <x:c r="R33" s="18" t="str">
        <x:v>news_budget_schemes_14d.json — published records loaded</x:v>
      </x:c>
      <x:c r="S33" s="18" t="str"/>
      <x:c r="T33" s="18" t="str"/>
      <x:c r="U33" s="20" t="n">
        <x:v>100</x:v>
      </x:c>
      <x:c r="V33" s="19" t="n">
        <x:f>IFERROR(TODAY()-DATEVALUE(C33),"")</x:f>
        <x:v>3</x:v>
      </x:c>
      <x:c r="W33" s="21" t="n">
        <x:f>ROUND(COUNTA(A33:K33)/11*100,0)</x:f>
        <x:v>100</x:v>
      </x:c>
      <x:c r="X33" s="18" t="str">
        <x:v>Google News RSS</x:v>
      </x:c>
      <x:c r="Y33" s="22" t="str">
        <x:v>https://news.google.com/rss/articles/CBMifkFVX3lxTE1aQ0pXdkVLWWl4ajdOa2RtcFRPNm1TXzdTZjJFNk1fQ3BvN0dCUUE5OWl0OEtXMWN2czhEUFVDOWloSTRGNWROYldEWHR3RGRWTkFZLThyOWdHWkVRekNNZFFJYWJ4dTJSWW9nY2V0dGdzZkpsWW9WU2dBcllOQQ?oc=5</x:v>
      </x:c>
      <x:c r="Z33" s="18" t="n">
        <x:v>46272.29809027778</x:v>
      </x:c>
      <x:c r="AA33" s="18" t="n">
        <x:v>46275.38862103009</x:v>
      </x:c>
      <x:c r="AB33" s="18" t="str">
        <x:v>public_rss</x:v>
      </x:c>
      <x:c r="AC33" s="18" t="str">
        <x:v>READY</x:v>
      </x:c>
    </x:row>
    <x:row r="34">
      <x:c r="A34" s="18" t="str">
        <x:v>NYT-27-dde29baf27600175</x:v>
      </x:c>
      <x:c r="B34" s="18" t="str">
        <x:v>Manufacturing Momentum:Building a Self-Reliant India - PIB</x:v>
      </x:c>
      <x:c r="C34" s="18" t="str">
        <x:v>2026-09-04</x:v>
      </x:c>
      <x:c r="D34" s="18" t="n">
        <x:v>2026</x:v>
      </x:c>
      <x:c r="E34" s="18" t="str">
        <x:v>2026-09</x:v>
      </x:c>
      <x:c r="F34" s="18" t="str"/>
      <x:c r="G34" s="18" t="str">
        <x:v>site:pib.gov.in India budget scheme expenditure allocation</x:v>
      </x:c>
      <x:c r="H34" s="18" t="str"/>
      <x:c r="I34" s="18" t="str">
        <x:v>PIB</x:v>
      </x:c>
      <x:c r="J34" s="20" t="str"/>
      <x:c r="K34" s="18" t="str"/>
      <x:c r="L34" s="18" t="str">
        <x:v>Manufacturing Momentum:Building a Self-Reliant India - PIB</x:v>
      </x:c>
      <x:c r="M34" s="18" t="str">
        <x:v>PIB</x:v>
      </x:c>
      <x:c r="N34" s="18" t="str">
        <x:v>site:pib.gov.in India budget scheme expenditure allocation</x:v>
      </x:c>
      <x:c r="O34" s="18" t="n">
        <x:v>46269.18944444445</x:v>
      </x:c>
      <x:c r="P34" s="18" t="str">
        <x:v>https://www.pib.gov.in</x:v>
      </x:c>
      <x:c r="Q34" s="18" t="str">
        <x:v>DEFINED_TERMINAL_OR_FEED_SCOPE</x:v>
      </x:c>
      <x:c r="R34" s="18" t="str">
        <x:v>news_budget_schemes_14d.json — published records loaded</x:v>
      </x:c>
      <x:c r="S34" s="18" t="str"/>
      <x:c r="T34" s="18" t="str"/>
      <x:c r="U34" s="20" t="n">
        <x:v>100</x:v>
      </x:c>
      <x:c r="V34" s="19" t="n">
        <x:f>IFERROR(TODAY()-DATEVALUE(C34),"")</x:f>
        <x:v>6</x:v>
      </x:c>
      <x:c r="W34" s="21" t="n">
        <x:f>ROUND(COUNTA(A34:K34)/11*100,0)</x:f>
        <x:v>100</x:v>
      </x:c>
      <x:c r="X34" s="18" t="str">
        <x:v>Google News RSS</x:v>
      </x:c>
      <x:c r="Y34" s="22" t="str">
        <x:v>https://news.google.com/rss/articles/CBMieEFVX3lxTE5adlJDZDJ6Sl84SXQtLTVlb29PQXBJZkVQMzBLbzNZWmV2NjZjckFpVEJSU0tCMVdidFkzTl9SOVFwMnpYTUtCM1hxYzZjYmhIZDJxcTNlSGZkbTJraERfbS01RkpNUHpmek5aT1N4VXE5M3AwZ1p0SQ?oc=5</x:v>
      </x:c>
      <x:c r="Z34" s="18" t="n">
        <x:v>46269.18944444445</x:v>
      </x:c>
      <x:c r="AA34" s="18" t="n">
        <x:v>46275.38862103009</x:v>
      </x:c>
      <x:c r="AB34" s="18" t="str">
        <x:v>public_rss</x:v>
      </x:c>
      <x:c r="AC34" s="18" t="str">
        <x:v>READY</x:v>
      </x:c>
    </x:row>
    <x:row r="35">
      <x:c r="A35" s="18" t="str">
        <x:v>NYT-27-13a1e210140510fd</x:v>
      </x:c>
      <x:c r="B35" s="18" t="str">
        <x:v>India’s GDP Performance - PIB</x:v>
      </x:c>
      <x:c r="C35" s="18" t="str">
        <x:v>2026-09-01</x:v>
      </x:c>
      <x:c r="D35" s="18" t="n">
        <x:v>2026</x:v>
      </x:c>
      <x:c r="E35" s="18" t="str">
        <x:v>2026-09</x:v>
      </x:c>
      <x:c r="F35" s="18" t="str"/>
      <x:c r="G35" s="18" t="str">
        <x:v>site:pib.gov.in India budget scheme expenditure allocation</x:v>
      </x:c>
      <x:c r="H35" s="18" t="str"/>
      <x:c r="I35" s="18" t="str">
        <x:v>PIB</x:v>
      </x:c>
      <x:c r="J35" s="20" t="str"/>
      <x:c r="K35" s="18" t="str"/>
      <x:c r="L35" s="18" t="str">
        <x:v>India’s GDP Performance - PIB</x:v>
      </x:c>
      <x:c r="M35" s="18" t="str">
        <x:v>PIB</x:v>
      </x:c>
      <x:c r="N35" s="18" t="str">
        <x:v>site:pib.gov.in India budget scheme expenditure allocation</x:v>
      </x:c>
      <x:c r="O35" s="18" t="n">
        <x:v>46266.38333333333</x:v>
      </x:c>
      <x:c r="P35" s="18" t="str">
        <x:v>https://www.pib.gov.in</x:v>
      </x:c>
      <x:c r="Q35" s="18" t="str">
        <x:v>DEFINED_TERMINAL_OR_FEED_SCOPE</x:v>
      </x:c>
      <x:c r="R35" s="18" t="str">
        <x:v>news_budget_schemes_14d.json — published records loaded</x:v>
      </x:c>
      <x:c r="S35" s="18" t="str"/>
      <x:c r="T35" s="18" t="str"/>
      <x:c r="U35" s="20" t="n">
        <x:v>100</x:v>
      </x:c>
      <x:c r="V35" s="19" t="n">
        <x:f>IFERROR(TODAY()-DATEVALUE(C35),"")</x:f>
        <x:v>9</x:v>
      </x:c>
      <x:c r="W35" s="21" t="n">
        <x:f>ROUND(COUNTA(A35:K35)/11*100,0)</x:f>
        <x:v>100</x:v>
      </x:c>
      <x:c r="X35" s="18" t="str">
        <x:v>Google News RSS</x:v>
      </x:c>
      <x:c r="Y35" s="22" t="str">
        <x:v>https://news.google.com/rss/articles/CBMia0FVX3lxTFA5OVNFNFhjLUJzWGpteFp0bUs1aV9uVzRuOXZiZ3lyem9NSDZFQUZvZnprNU5hMXFKZnkxS3Z4SWdDZmtvQVFkalBxY1hFdWJlYTRxdnZNM1dkcEcyS2U2YlNRQ0pDaFN1aGRr?oc=5</x:v>
      </x:c>
      <x:c r="Z35" s="18" t="n">
        <x:v>46266.38333333333</x:v>
      </x:c>
      <x:c r="AA35" s="18" t="n">
        <x:v>46275.38862103009</x:v>
      </x:c>
      <x:c r="AB35" s="18" t="str">
        <x:v>public_rss</x:v>
      </x:c>
      <x:c r="AC35" s="18" t="str">
        <x:v>READY</x:v>
      </x:c>
    </x:row>
    <x:row r="36">
      <x:c r="A36" s="18" t="str">
        <x:v>NYT-27-dc4137410da00fc3</x:v>
      </x:c>
      <x:c r="B36" s="18" t="str">
        <x:v>11.19 Lakh Pucca Houses Approved for Bihar with ₹13,427 Crore Allocation, Giving New Hope and Dignity to Poor Families: Shri Shivraj Singh Chouhan - PIB</x:v>
      </x:c>
      <x:c r="C36" s="18" t="str">
        <x:v>2026-09-07</x:v>
      </x:c>
      <x:c r="D36" s="18" t="n">
        <x:v>2026</x:v>
      </x:c>
      <x:c r="E36" s="18" t="str">
        <x:v>2026-09</x:v>
      </x:c>
      <x:c r="F36" s="18" t="str"/>
      <x:c r="G36" s="18" t="str">
        <x:v>site:pib.gov.in India budget scheme expenditure allocation</x:v>
      </x:c>
      <x:c r="H36" s="18" t="str"/>
      <x:c r="I36" s="18" t="str">
        <x:v>PIB</x:v>
      </x:c>
      <x:c r="J36" s="20" t="str"/>
      <x:c r="K36" s="18" t="str"/>
      <x:c r="L36" s="18" t="str">
        <x:v>11.19 Lakh Pucca Houses Approved for Bihar with ₹13,427 Crore Allocation, Giving New Hope and Dignity to Poor Families: Shri Shivraj Singh Chouhan - PIB</x:v>
      </x:c>
      <x:c r="M36" s="18" t="str">
        <x:v>PIB</x:v>
      </x:c>
      <x:c r="N36" s="18" t="str">
        <x:v>site:pib.gov.in India budget scheme expenditure allocation</x:v>
      </x:c>
      <x:c r="O36" s="18" t="n">
        <x:v>46272.65972222222</x:v>
      </x:c>
      <x:c r="P36" s="18" t="str">
        <x:v>https://www.pib.gov.in</x:v>
      </x:c>
      <x:c r="Q36" s="18" t="str">
        <x:v>DEFINED_TERMINAL_OR_FEED_SCOPE</x:v>
      </x:c>
      <x:c r="R36" s="18" t="str">
        <x:v>news_budget_schemes_14d.json — published records loaded</x:v>
      </x:c>
      <x:c r="S36" s="18" t="str"/>
      <x:c r="T36" s="18" t="str"/>
      <x:c r="U36" s="20" t="n">
        <x:v>100</x:v>
      </x:c>
      <x:c r="V36" s="19" t="n">
        <x:f>IFERROR(TODAY()-DATEVALUE(C36),"")</x:f>
        <x:v>3</x:v>
      </x:c>
      <x:c r="W36" s="21" t="n">
        <x:f>ROUND(COUNTA(A36:K36)/11*100,0)</x:f>
        <x:v>100</x:v>
      </x:c>
      <x:c r="X36" s="18" t="str">
        <x:v>Google News RSS</x:v>
      </x:c>
      <x:c r="Y36" s="22" t="str">
        <x:v>https://news.google.com/rss/articles/CBMifkFVX3lxTFBUOUhUVmdXakZDMXFqNVQtTGNEa19aVnRuYVRRTkRFSjFDY1JkSVA5RDE1dzVzT3ljbUFOMW10TmJwbklGRDExYkNRWV95V3FxZ0p0QmZzRGt5V0YzM29mY0FGSHVoWmZrdzhkS0laSTcyREhUYU1BYmFMNGt5dw?oc=5</x:v>
      </x:c>
      <x:c r="Z36" s="18" t="n">
        <x:v>46272.65972222222</x:v>
      </x:c>
      <x:c r="AA36" s="18" t="n">
        <x:v>46275.38862103009</x:v>
      </x:c>
      <x:c r="AB36" s="18" t="str">
        <x:v>public_rss</x:v>
      </x:c>
      <x:c r="AC36" s="18" t="str">
        <x:v>READY</x:v>
      </x:c>
    </x:row>
    <x:row r="37">
      <x:c r="A37" s="18" t="str">
        <x:v>NYT-27-0f09b1c0c74d603f</x:v>
      </x:c>
      <x:c r="B37" s="18" t="str">
        <x:v>Empowered by Education, Inspired to Serve: Dr. M. K. Ponselvakumari’s Journey from Doctoral Research to Professional Success - PIB</x:v>
      </x:c>
      <x:c r="C37" s="18" t="str">
        <x:v>2026-09-08</x:v>
      </x:c>
      <x:c r="D37" s="18" t="n">
        <x:v>2026</x:v>
      </x:c>
      <x:c r="E37" s="18" t="str">
        <x:v>2026-09</x:v>
      </x:c>
      <x:c r="F37" s="18" t="str"/>
      <x:c r="G37" s="18" t="str">
        <x:v>site:pib.gov.in India budget scheme expenditure allocation</x:v>
      </x:c>
      <x:c r="H37" s="18" t="str"/>
      <x:c r="I37" s="18" t="str">
        <x:v>PIB</x:v>
      </x:c>
      <x:c r="J37" s="20" t="str"/>
      <x:c r="K37" s="18" t="str"/>
      <x:c r="L37" s="18" t="str">
        <x:v>Empowered by Education, Inspired to Serve: Dr. M. K. Ponselvakumari’s Journey from Doctoral Research to Professional Success - PIB</x:v>
      </x:c>
      <x:c r="M37" s="18" t="str">
        <x:v>PIB</x:v>
      </x:c>
      <x:c r="N37" s="18" t="str">
        <x:v>site:pib.gov.in India budget scheme expenditure allocation</x:v>
      </x:c>
      <x:c r="O37" s="18" t="n">
        <x:v>46273.60555555556</x:v>
      </x:c>
      <x:c r="P37" s="18" t="str">
        <x:v>https://www.pib.gov.in</x:v>
      </x:c>
      <x:c r="Q37" s="18" t="str">
        <x:v>DEFINED_TERMINAL_OR_FEED_SCOPE</x:v>
      </x:c>
      <x:c r="R37" s="18" t="str">
        <x:v>news_budget_schemes_14d.json — published records loaded</x:v>
      </x:c>
      <x:c r="S37" s="18" t="str"/>
      <x:c r="T37" s="18" t="str"/>
      <x:c r="U37" s="20" t="n">
        <x:v>100</x:v>
      </x:c>
      <x:c r="V37" s="19" t="n">
        <x:f>IFERROR(TODAY()-DATEVALUE(C37),"")</x:f>
        <x:v>2</x:v>
      </x:c>
      <x:c r="W37" s="21" t="n">
        <x:f>ROUND(COUNTA(A37:K37)/11*100,0)</x:f>
        <x:v>100</x:v>
      </x:c>
      <x:c r="X37" s="18" t="str">
        <x:v>Google News RSS</x:v>
      </x:c>
      <x:c r="Y37" s="22" t="str">
        <x:v>https://news.google.com/rss/articles/CBMie0FVX3lxTE5vdHQ2NHJxQzF6TEZjYWFqOTNnc21tSEF0cUtVdnJ3UVJoOXkydTRseHQyZG9GOXNvaFl3c2JWVUxFSzRJei0wRV9JelhVRUNxX1VHOTdNUG5xM2YwaTg2bEpDeGpITlNPS0JBSGZ4Q0hvakRSVGk0MjZhbw?oc=5</x:v>
      </x:c>
      <x:c r="Z37" s="18" t="n">
        <x:v>46273.60555555556</x:v>
      </x:c>
      <x:c r="AA37" s="18" t="n">
        <x:v>46275.38862103009</x:v>
      </x:c>
      <x:c r="AB37" s="18" t="str">
        <x:v>public_rss</x:v>
      </x:c>
      <x:c r="AC37" s="18" t="str">
        <x:v>READY</x:v>
      </x:c>
    </x:row>
    <x:row r="38">
      <x:c r="A38" s="18" t="str">
        <x:v>NYT-27-b994b0af10120305</x:v>
      </x:c>
      <x:c r="B38" s="18" t="str">
        <x:v>From Financial Challenges to an Academic Career: How NFSC Support Empowered Dr Janaki Sundararajan - PIB</x:v>
      </x:c>
      <x:c r="C38" s="18" t="str">
        <x:v>2026-08-28</x:v>
      </x:c>
      <x:c r="D38" s="18" t="n">
        <x:v>2026</x:v>
      </x:c>
      <x:c r="E38" s="18" t="str">
        <x:v>2026-08</x:v>
      </x:c>
      <x:c r="F38" s="18" t="str"/>
      <x:c r="G38" s="18" t="str">
        <x:v>site:pib.gov.in India budget scheme expenditure allocation</x:v>
      </x:c>
      <x:c r="H38" s="18" t="str"/>
      <x:c r="I38" s="18" t="str">
        <x:v>PIB</x:v>
      </x:c>
      <x:c r="J38" s="20" t="str"/>
      <x:c r="K38" s="18" t="str"/>
      <x:c r="L38" s="18" t="str">
        <x:v>From Financial Challenges to an Academic Career: How NFSC Support Empowered Dr Janaki Sundararajan - PIB</x:v>
      </x:c>
      <x:c r="M38" s="18" t="str">
        <x:v>PIB</x:v>
      </x:c>
      <x:c r="N38" s="18" t="str">
        <x:v>site:pib.gov.in India budget scheme expenditure allocation</x:v>
      </x:c>
      <x:c r="O38" s="18" t="n">
        <x:v>46262.291666666664</x:v>
      </x:c>
      <x:c r="P38" s="18" t="str">
        <x:v>https://www.pib.gov.in</x:v>
      </x:c>
      <x:c r="Q38" s="18" t="str">
        <x:v>DEFINED_TERMINAL_OR_FEED_SCOPE</x:v>
      </x:c>
      <x:c r="R38" s="18" t="str">
        <x:v>news_budget_schemes_14d.json — published records loaded</x:v>
      </x:c>
      <x:c r="S38" s="18" t="str"/>
      <x:c r="T38" s="18" t="str"/>
      <x:c r="U38" s="20" t="n">
        <x:v>100</x:v>
      </x:c>
      <x:c r="V38" s="19" t="n">
        <x:f>IFERROR(TODAY()-DATEVALUE(C38),"")</x:f>
        <x:v>13</x:v>
      </x:c>
      <x:c r="W38" s="21" t="n">
        <x:f>ROUND(COUNTA(A38:K38)/11*100,0)</x:f>
        <x:v>100</x:v>
      </x:c>
      <x:c r="X38" s="18" t="str">
        <x:v>Google News RSS</x:v>
      </x:c>
      <x:c r="Y38" s="22" t="str">
        <x:v>https://news.google.com/rss/articles/CBMia0FVX3lxTE5CNVEzUW9hZzg5cUUwQWNCYjBTT3l0anN0dThZQ3JONFVvSmgtbzB5Z09GRlh1RmY4WmJaZHVvRGF4MkRNbm1HZFB3dEpkbThUaUFsRWpNOXRDNy16akVKdVd5alMwZVR1LU04?oc=5</x:v>
      </x:c>
      <x:c r="Z38" s="18" t="n">
        <x:v>46262.291666666664</x:v>
      </x:c>
      <x:c r="AA38" s="18" t="n">
        <x:v>46275.38862103009</x:v>
      </x:c>
      <x:c r="AB38" s="18" t="str">
        <x:v>public_rss</x:v>
      </x:c>
      <x:c r="AC38" s="18" t="str">
        <x:v>READY</x:v>
      </x:c>
    </x:row>
    <x:row r="39">
      <x:c r="A39" s="18" t="str">
        <x:v>NYT-27-f0b648cbcd272cdd</x:v>
      </x:c>
      <x:c r="B39" s="18" t="str">
        <x:v>NA-Allocated Talabira II &amp; III Coal Mines Mark Record Production in FY 2025-26 - PIB</x:v>
      </x:c>
      <x:c r="C39" s="18" t="str">
        <x:v>2026-09-06</x:v>
      </x:c>
      <x:c r="D39" s="18" t="n">
        <x:v>2026</x:v>
      </x:c>
      <x:c r="E39" s="18" t="str">
        <x:v>2026-09</x:v>
      </x:c>
      <x:c r="F39" s="18" t="str"/>
      <x:c r="G39" s="18" t="str">
        <x:v>site:pib.gov.in India budget scheme expenditure allocation</x:v>
      </x:c>
      <x:c r="H39" s="18" t="str"/>
      <x:c r="I39" s="18" t="str">
        <x:v>PIB</x:v>
      </x:c>
      <x:c r="J39" s="20" t="str"/>
      <x:c r="K39" s="18" t="str"/>
      <x:c r="L39" s="18" t="str">
        <x:v>NA-Allocated Talabira II &amp; III Coal Mines Mark Record Production in FY 2025-26 - PIB</x:v>
      </x:c>
      <x:c r="M39" s="18" t="str">
        <x:v>PIB</x:v>
      </x:c>
      <x:c r="N39" s="18" t="str">
        <x:v>site:pib.gov.in India budget scheme expenditure allocation</x:v>
      </x:c>
      <x:c r="O39" s="18" t="n">
        <x:v>46271.49982638889</x:v>
      </x:c>
      <x:c r="P39" s="18" t="str">
        <x:v>https://www.pib.gov.in</x:v>
      </x:c>
      <x:c r="Q39" s="18" t="str">
        <x:v>DEFINED_TERMINAL_OR_FEED_SCOPE</x:v>
      </x:c>
      <x:c r="R39" s="18" t="str">
        <x:v>news_budget_schemes_14d.json — published records loaded</x:v>
      </x:c>
      <x:c r="S39" s="18" t="str"/>
      <x:c r="T39" s="18" t="str"/>
      <x:c r="U39" s="20" t="n">
        <x:v>100</x:v>
      </x:c>
      <x:c r="V39" s="19" t="n">
        <x:f>IFERROR(TODAY()-DATEVALUE(C39),"")</x:f>
        <x:v>4</x:v>
      </x:c>
      <x:c r="W39" s="21" t="n">
        <x:f>ROUND(COUNTA(A39:K39)/11*100,0)</x:f>
        <x:v>100</x:v>
      </x:c>
      <x:c r="X39" s="18" t="str">
        <x:v>Google News RSS</x:v>
      </x:c>
      <x:c r="Y39" s="22" t="str">
        <x:v>https://news.google.com/rss/articles/CBMia0FVX3lxTFBiVXU3Tm95QzhOSm0wWUxrTkFzZkdGVklXNnliYzcxVm1NNVIwUHZQdTI1SzdMOXpuOFp4ZExOOVVGaWJBVTRSWXFHc3hjVlZRVEFNclBoeV9lSmc2b3RnLUhvbHJ0SGlKZUlZ?oc=5</x:v>
      </x:c>
      <x:c r="Z39" s="18" t="n">
        <x:v>46271.49982638889</x:v>
      </x:c>
      <x:c r="AA39" s="18" t="n">
        <x:v>46275.38862103009</x:v>
      </x:c>
      <x:c r="AB39" s="18" t="str">
        <x:v>public_rss</x:v>
      </x:c>
      <x:c r="AC39" s="18" t="str">
        <x:v>READY</x:v>
      </x:c>
    </x:row>
    <x:row r="40">
      <x:c r="A40" s="18" t="str">
        <x:v>NYT-27-5d9df697804d0f33</x:v>
      </x:c>
      <x:c r="B40" s="18" t="str">
        <x:v>Water-Smart Farming with Per Drop More Crop - PIB</x:v>
      </x:c>
      <x:c r="C40" s="18" t="str">
        <x:v>2026-08-29</x:v>
      </x:c>
      <x:c r="D40" s="18" t="n">
        <x:v>2026</x:v>
      </x:c>
      <x:c r="E40" s="18" t="str">
        <x:v>2026-08</x:v>
      </x:c>
      <x:c r="F40" s="18" t="str"/>
      <x:c r="G40" s="18" t="str">
        <x:v>site:pib.gov.in India budget scheme expenditure allocation</x:v>
      </x:c>
      <x:c r="H40" s="18" t="str"/>
      <x:c r="I40" s="18" t="str">
        <x:v>PIB</x:v>
      </x:c>
      <x:c r="J40" s="20" t="str"/>
      <x:c r="K40" s="18" t="str"/>
      <x:c r="L40" s="18" t="str">
        <x:v>Water-Smart Farming with Per Drop More Crop - PIB</x:v>
      </x:c>
      <x:c r="M40" s="18" t="str">
        <x:v>PIB</x:v>
      </x:c>
      <x:c r="N40" s="18" t="str">
        <x:v>site:pib.gov.in India budget scheme expenditure allocation</x:v>
      </x:c>
      <x:c r="O40" s="18" t="n">
        <x:v>46263.291666666664</x:v>
      </x:c>
      <x:c r="P40" s="18" t="str">
        <x:v>https://www.pib.gov.in</x:v>
      </x:c>
      <x:c r="Q40" s="18" t="str">
        <x:v>DEFINED_TERMINAL_OR_FEED_SCOPE</x:v>
      </x:c>
      <x:c r="R40" s="18" t="str">
        <x:v>news_budget_schemes_14d.json — published records loaded</x:v>
      </x:c>
      <x:c r="S40" s="18" t="str"/>
      <x:c r="T40" s="18" t="str"/>
      <x:c r="U40" s="20" t="n">
        <x:v>100</x:v>
      </x:c>
      <x:c r="V40" s="19" t="n">
        <x:f>IFERROR(TODAY()-DATEVALUE(C40),"")</x:f>
        <x:v>12</x:v>
      </x:c>
      <x:c r="W40" s="21" t="n">
        <x:f>ROUND(COUNTA(A40:K40)/11*100,0)</x:f>
        <x:v>100</x:v>
      </x:c>
      <x:c r="X40" s="18" t="str">
        <x:v>Google News RSS</x:v>
      </x:c>
      <x:c r="Y40" s="22" t="str">
        <x:v>https://news.google.com/rss/articles/CBMifkFVX3lxTE5OX1k1MDBJeFNVWHFjTERCcUtxVHg1Njl3T0RMZ3o4em1DS0tTdnBkRnZveFVMVjJiV21BVFIySzl5RG9yMkdidUdweWk5UHpkVldRckY1RUEyYkpnVi1VamdxU0oycXV2WnhyYkhwa01DMzY3Tjk1YmZuYjdPZw?oc=5</x:v>
      </x:c>
      <x:c r="Z40" s="18" t="n">
        <x:v>46263.291666666664</x:v>
      </x:c>
      <x:c r="AA40" s="18" t="n">
        <x:v>46275.38862103009</x:v>
      </x:c>
      <x:c r="AB40" s="18" t="str">
        <x:v>public_rss</x:v>
      </x:c>
      <x:c r="AC40" s="18" t="str">
        <x:v>READY</x:v>
      </x:c>
    </x:row>
    <x:row r="41">
      <x:c r="A41" s="18" t="str">
        <x:v>NYT-27-691f645823d0c59c</x:v>
      </x:c>
      <x:c r="B41" s="18" t="str">
        <x:v>PIB Backgrounder - PIB</x:v>
      </x:c>
      <x:c r="C41" s="18" t="str">
        <x:v>2026-09-07</x:v>
      </x:c>
      <x:c r="D41" s="18" t="n">
        <x:v>2026</x:v>
      </x:c>
      <x:c r="E41" s="18" t="str">
        <x:v>2026-09</x:v>
      </x:c>
      <x:c r="F41" s="18" t="str"/>
      <x:c r="G41" s="18" t="str">
        <x:v>site:pib.gov.in India budget scheme expenditure allocation</x:v>
      </x:c>
      <x:c r="H41" s="18" t="str"/>
      <x:c r="I41" s="18" t="str">
        <x:v>PIB</x:v>
      </x:c>
      <x:c r="J41" s="20" t="str"/>
      <x:c r="K41" s="18" t="str"/>
      <x:c r="L41" s="18" t="str">
        <x:v>PIB Backgrounder - PIB</x:v>
      </x:c>
      <x:c r="M41" s="18" t="str">
        <x:v>PIB</x:v>
      </x:c>
      <x:c r="N41" s="18" t="str">
        <x:v>site:pib.gov.in India budget scheme expenditure allocation</x:v>
      </x:c>
      <x:c r="O41" s="18" t="n">
        <x:v>46272.52916666667</x:v>
      </x:c>
      <x:c r="P41" s="18" t="str">
        <x:v>https://www.pib.gov.in</x:v>
      </x:c>
      <x:c r="Q41" s="18" t="str">
        <x:v>DEFINED_TERMINAL_OR_FEED_SCOPE</x:v>
      </x:c>
      <x:c r="R41" s="18" t="str">
        <x:v>news_budget_schemes_14d.json — published records loaded</x:v>
      </x:c>
      <x:c r="S41" s="18" t="str"/>
      <x:c r="T41" s="18" t="str"/>
      <x:c r="U41" s="20" t="n">
        <x:v>100</x:v>
      </x:c>
      <x:c r="V41" s="19" t="n">
        <x:f>IFERROR(TODAY()-DATEVALUE(C41),"")</x:f>
        <x:v>3</x:v>
      </x:c>
      <x:c r="W41" s="21" t="n">
        <x:f>ROUND(COUNTA(A41:K41)/11*100,0)</x:f>
        <x:v>100</x:v>
      </x:c>
      <x:c r="X41" s="18" t="str">
        <x:v>Google News RSS</x:v>
      </x:c>
      <x:c r="Y41" s="22" t="str">
        <x:v>https://news.google.com/rss/articles/CBMiigFBVV95cUxQNEU3cjI4dmZEUm53WFNuMXlxOE9ONjR3ZXRYZDc3SDJNZldlRzZPM19HNl9obkg1MzVFNmpLRkx1UG9HSndSQjBDZ2dCNTU0em1zQ3N2bkM1eE9IdkxyekZydjdjcjlwS3I2TFNoS1VPdGowMUZOR0cxS0ZjdkNqeGM1UTE3YnhyakE?oc=5</x:v>
      </x:c>
      <x:c r="Z41" s="18" t="n">
        <x:v>46272.52916666667</x:v>
      </x:c>
      <x:c r="AA41" s="18" t="n">
        <x:v>46275.38862103009</x:v>
      </x:c>
      <x:c r="AB41" s="18" t="str">
        <x:v>public_rss</x:v>
      </x:c>
      <x:c r="AC41" s="18" t="str">
        <x:v>READY</x:v>
      </x:c>
    </x:row>
    <x:row r="42">
      <x:c r="A42" s="18" t="str">
        <x:v>NYT-27-ba9ff66e4d443c38</x:v>
      </x:c>
      <x:c r="B42" s="18" t="str">
        <x:v>Emergency Credit Line Guarantee Scheme (ECLGS) 5.0 - PIB</x:v>
      </x:c>
      <x:c r="C42" s="18" t="str">
        <x:v>2026-09-05</x:v>
      </x:c>
      <x:c r="D42" s="18" t="n">
        <x:v>2026</x:v>
      </x:c>
      <x:c r="E42" s="18" t="str">
        <x:v>2026-09</x:v>
      </x:c>
      <x:c r="F42" s="18" t="str"/>
      <x:c r="G42" s="18" t="str">
        <x:v>site:pib.gov.in India budget scheme expenditure allocation</x:v>
      </x:c>
      <x:c r="H42" s="18" t="str"/>
      <x:c r="I42" s="18" t="str">
        <x:v>PIB</x:v>
      </x:c>
      <x:c r="J42" s="20" t="str"/>
      <x:c r="K42" s="18" t="str"/>
      <x:c r="L42" s="18" t="str">
        <x:v>Emergency Credit Line Guarantee Scheme (ECLGS) 5.0 - PIB</x:v>
      </x:c>
      <x:c r="M42" s="18" t="str">
        <x:v>PIB</x:v>
      </x:c>
      <x:c r="N42" s="18" t="str">
        <x:v>site:pib.gov.in India budget scheme expenditure allocation</x:v>
      </x:c>
      <x:c r="O42" s="18" t="n">
        <x:v>46270.20625</x:v>
      </x:c>
      <x:c r="P42" s="18" t="str">
        <x:v>https://www.pib.gov.in</x:v>
      </x:c>
      <x:c r="Q42" s="18" t="str">
        <x:v>DEFINED_TERMINAL_OR_FEED_SCOPE</x:v>
      </x:c>
      <x:c r="R42" s="18" t="str">
        <x:v>news_budget_schemes_14d.json — published records loaded</x:v>
      </x:c>
      <x:c r="S42" s="18" t="str"/>
      <x:c r="T42" s="18" t="str"/>
      <x:c r="U42" s="20" t="n">
        <x:v>100</x:v>
      </x:c>
      <x:c r="V42" s="19" t="n">
        <x:f>IFERROR(TODAY()-DATEVALUE(C42),"")</x:f>
        <x:v>5</x:v>
      </x:c>
      <x:c r="W42" s="21" t="n">
        <x:f>ROUND(COUNTA(A42:K42)/11*100,0)</x:f>
        <x:v>100</x:v>
      </x:c>
      <x:c r="X42" s="18" t="str">
        <x:v>Google News RSS</x:v>
      </x:c>
      <x:c r="Y42" s="22" t="str">
        <x:v>https://news.google.com/rss/articles/CBMia0FVX3lxTE10NkhVTW5qb3FkRkpyM1JLanVNYlBkWEVkLU9IcTNfd1paOWoxRHZVQXdMTlpDYXVheGR1d2NNVlpBZmR1SmpLY2RJWjE1eWxob1dZOG0xM053WjBSaVBpWjI4b0VUT0xXQ3ZV?oc=5</x:v>
      </x:c>
      <x:c r="Z42" s="18" t="n">
        <x:v>46270.20625</x:v>
      </x:c>
      <x:c r="AA42" s="18" t="n">
        <x:v>46275.38862103009</x:v>
      </x:c>
      <x:c r="AB42" s="18" t="str">
        <x:v>public_rss</x:v>
      </x:c>
      <x:c r="AC42" s="18" t="str">
        <x:v>READY</x:v>
      </x:c>
    </x:row>
    <x:row r="43">
      <x:c r="A43" s="18" t="str">
        <x:v>NYT-27-74fbaeb6ab214b01</x:v>
      </x:c>
      <x:c r="B43" s="18" t="str">
        <x:v>Second Call for Applications Under ₹5,000 Crore PRIP Scheme to Boost Pharma &amp; MedTech Innovation announced - PIB</x:v>
      </x:c>
      <x:c r="C43" s="18" t="str">
        <x:v>2026-08-28</x:v>
      </x:c>
      <x:c r="D43" s="18" t="n">
        <x:v>2026</x:v>
      </x:c>
      <x:c r="E43" s="18" t="str">
        <x:v>2026-08</x:v>
      </x:c>
      <x:c r="F43" s="18" t="str"/>
      <x:c r="G43" s="18" t="str">
        <x:v>site:pib.gov.in India budget scheme expenditure allocation</x:v>
      </x:c>
      <x:c r="H43" s="18" t="str"/>
      <x:c r="I43" s="18" t="str">
        <x:v>PIB</x:v>
      </x:c>
      <x:c r="J43" s="20" t="str"/>
      <x:c r="K43" s="18" t="str"/>
      <x:c r="L43" s="18" t="str">
        <x:v>Second Call for Applications Under ₹5,000 Crore PRIP Scheme to Boost Pharma &amp; MedTech Innovation announced - PIB</x:v>
      </x:c>
      <x:c r="M43" s="18" t="str">
        <x:v>PIB</x:v>
      </x:c>
      <x:c r="N43" s="18" t="str">
        <x:v>site:pib.gov.in India budget scheme expenditure allocation</x:v>
      </x:c>
      <x:c r="O43" s="18" t="n">
        <x:v>46262.291666666664</x:v>
      </x:c>
      <x:c r="P43" s="18" t="str">
        <x:v>https://www.pib.gov.in</x:v>
      </x:c>
      <x:c r="Q43" s="18" t="str">
        <x:v>DEFINED_TERMINAL_OR_FEED_SCOPE</x:v>
      </x:c>
      <x:c r="R43" s="18" t="str">
        <x:v>news_budget_schemes_14d.json — published records loaded</x:v>
      </x:c>
      <x:c r="S43" s="18" t="str"/>
      <x:c r="T43" s="18" t="str"/>
      <x:c r="U43" s="20" t="n">
        <x:v>100</x:v>
      </x:c>
      <x:c r="V43" s="19" t="n">
        <x:f>IFERROR(TODAY()-DATEVALUE(C43),"")</x:f>
        <x:v>13</x:v>
      </x:c>
      <x:c r="W43" s="21" t="n">
        <x:f>ROUND(COUNTA(A43:K43)/11*100,0)</x:f>
        <x:v>100</x:v>
      </x:c>
      <x:c r="X43" s="18" t="str">
        <x:v>Google News RSS</x:v>
      </x:c>
      <x:c r="Y43" s="22" t="str">
        <x:v>https://news.google.com/rss/articles/CBMifEFVX3lxTFBJblQ2REVPdTZLNGUxSjdQQlBCVXYzRWFaMEkwVmRVRk1HaVhBd2JHR0VTWXlDVVJURC1JdkZ1b1QxLUdXSmVKR082cmtHcWdOenpwUnpFcHJ3VFIybXZSRExRTUlaakRmWTVEVHo5aU1PTTdHLVVQLWxUNmM?oc=5</x:v>
      </x:c>
      <x:c r="Z43" s="18" t="n">
        <x:v>46262.291666666664</x:v>
      </x:c>
      <x:c r="AA43" s="18" t="n">
        <x:v>46275.38862103009</x:v>
      </x:c>
      <x:c r="AB43" s="18" t="str">
        <x:v>public_rss</x:v>
      </x:c>
      <x:c r="AC43" s="18" t="str">
        <x:v>READY</x:v>
      </x:c>
    </x:row>
    <x:row r="44">
      <x:c r="A44" s="18" t="str">
        <x:v>NYT-27-420afc6ff0c790b3</x:v>
      </x:c>
      <x:c r="B44" s="18" t="str">
        <x:v>Centre Continues Support for Judicial Infrastructure Development in Andhra Pradesh Under Centrally Sponsored Scheme. - PIB</x:v>
      </x:c>
      <x:c r="C44" s="18" t="str">
        <x:v>2026-09-09</x:v>
      </x:c>
      <x:c r="D44" s="18" t="n">
        <x:v>2026</x:v>
      </x:c>
      <x:c r="E44" s="18" t="str">
        <x:v>2026-09</x:v>
      </x:c>
      <x:c r="F44" s="18" t="str"/>
      <x:c r="G44" s="18" t="str">
        <x:v>site:pib.gov.in India budget scheme expenditure allocation</x:v>
      </x:c>
      <x:c r="H44" s="18" t="str"/>
      <x:c r="I44" s="18" t="str">
        <x:v>PIB</x:v>
      </x:c>
      <x:c r="J44" s="20" t="str"/>
      <x:c r="K44" s="18" t="str"/>
      <x:c r="L44" s="18" t="str">
        <x:v>Centre Continues Support for Judicial Infrastructure Development in Andhra Pradesh Under Centrally Sponsored Scheme. - PIB</x:v>
      </x:c>
      <x:c r="M44" s="18" t="str">
        <x:v>PIB</x:v>
      </x:c>
      <x:c r="N44" s="18" t="str">
        <x:v>site:pib.gov.in India budget scheme expenditure allocation</x:v>
      </x:c>
      <x:c r="O44" s="18" t="n">
        <x:v>46274.0805787037</x:v>
      </x:c>
      <x:c r="P44" s="18" t="str">
        <x:v>https://www.pib.gov.in</x:v>
      </x:c>
      <x:c r="Q44" s="18" t="str">
        <x:v>DEFINED_TERMINAL_OR_FEED_SCOPE</x:v>
      </x:c>
      <x:c r="R44" s="18" t="str">
        <x:v>news_budget_schemes_14d.json — published records loaded</x:v>
      </x:c>
      <x:c r="S44" s="18" t="str"/>
      <x:c r="T44" s="18" t="str"/>
      <x:c r="U44" s="20" t="n">
        <x:v>100</x:v>
      </x:c>
      <x:c r="V44" s="19" t="n">
        <x:f>IFERROR(TODAY()-DATEVALUE(C44),"")</x:f>
        <x:v>1</x:v>
      </x:c>
      <x:c r="W44" s="21" t="n">
        <x:f>ROUND(COUNTA(A44:K44)/11*100,0)</x:f>
        <x:v>100</x:v>
      </x:c>
      <x:c r="X44" s="18" t="str">
        <x:v>Google News RSS</x:v>
      </x:c>
      <x:c r="Y44" s="22" t="str">
        <x:v>https://news.google.com/rss/articles/CBMia0FVX3lxTE9kS25sQ3UxeDJQZi1raVJGck9fZ2FiellGeXdTZW96eTRVTFdtQ2JBcGhuQjFCRXJjZU1Ra2RTMmJfdUtRQXVQVTJqbmstR3N5aWliTHRuNGcxSzNfd0wzTWJNWnRuc1l1eWpN?oc=5</x:v>
      </x:c>
      <x:c r="Z44" s="18" t="n">
        <x:v>46274.0805787037</x:v>
      </x:c>
      <x:c r="AA44" s="18" t="n">
        <x:v>46275.38862103009</x:v>
      </x:c>
      <x:c r="AB44" s="18" t="str">
        <x:v>public_rss</x:v>
      </x:c>
      <x:c r="AC44" s="18" t="str">
        <x:v>READY</x:v>
      </x:c>
    </x:row>
    <x:row r="45">
      <x:c r="A45" s="18" t="str">
        <x:v>NYT-27-9dd14ec735af7c78</x:v>
      </x:c>
      <x:c r="B45" s="18" t="str">
        <x:v>Pradhan Mantri Fasal Bima Yojana - PIB</x:v>
      </x:c>
      <x:c r="C45" s="18" t="str">
        <x:v>2026-08-29</x:v>
      </x:c>
      <x:c r="D45" s="18" t="n">
        <x:v>2026</x:v>
      </x:c>
      <x:c r="E45" s="18" t="str">
        <x:v>2026-08</x:v>
      </x:c>
      <x:c r="F45" s="18" t="str"/>
      <x:c r="G45" s="18" t="str">
        <x:v>site:pib.gov.in India budget scheme expenditure allocation</x:v>
      </x:c>
      <x:c r="H45" s="18" t="str"/>
      <x:c r="I45" s="18" t="str">
        <x:v>PIB</x:v>
      </x:c>
      <x:c r="J45" s="20" t="str"/>
      <x:c r="K45" s="18" t="str"/>
      <x:c r="L45" s="18" t="str">
        <x:v>Pradhan Mantri Fasal Bima Yojana - PIB</x:v>
      </x:c>
      <x:c r="M45" s="18" t="str">
        <x:v>PIB</x:v>
      </x:c>
      <x:c r="N45" s="18" t="str">
        <x:v>site:pib.gov.in India budget scheme expenditure allocation</x:v>
      </x:c>
      <x:c r="O45" s="18" t="n">
        <x:v>46263.291666666664</x:v>
      </x:c>
      <x:c r="P45" s="18" t="str">
        <x:v>https://www.pib.gov.in</x:v>
      </x:c>
      <x:c r="Q45" s="18" t="str">
        <x:v>DEFINED_TERMINAL_OR_FEED_SCOPE</x:v>
      </x:c>
      <x:c r="R45" s="18" t="str">
        <x:v>news_budget_schemes_14d.json — published records loaded</x:v>
      </x:c>
      <x:c r="S45" s="18" t="str"/>
      <x:c r="T45" s="18" t="str"/>
      <x:c r="U45" s="20" t="n">
        <x:v>100</x:v>
      </x:c>
      <x:c r="V45" s="19" t="n">
        <x:f>IFERROR(TODAY()-DATEVALUE(C45),"")</x:f>
        <x:v>12</x:v>
      </x:c>
      <x:c r="W45" s="21" t="n">
        <x:f>ROUND(COUNTA(A45:K45)/11*100,0)</x:f>
        <x:v>100</x:v>
      </x:c>
      <x:c r="X45" s="18" t="str">
        <x:v>Google News RSS</x:v>
      </x:c>
      <x:c r="Y45" s="22" t="str">
        <x:v>https://news.google.com/rss/articles/CBMifEFVX3lxTE9ab2wyTkUtMTZuUTlLUlRDQnYtV19XMXhBYkc1OGwzYWh0UTJxa2QzZXdkVUptRXRvSkNlTXJSZzF5NENTQzNKVHJpbU5rcjJMTEg4Qkl3TXgwckM0TUxHZDFYU3dvbmJzeGJkM2NHUG9YOVpIb0lBYzR2S1A?oc=5</x:v>
      </x:c>
      <x:c r="Z45" s="18" t="n">
        <x:v>46263.291666666664</x:v>
      </x:c>
      <x:c r="AA45" s="18" t="n">
        <x:v>46275.38862103009</x:v>
      </x:c>
      <x:c r="AB45" s="18" t="str">
        <x:v>public_rss</x:v>
      </x:c>
      <x:c r="AC45" s="18" t="str">
        <x:v>READY</x:v>
      </x:c>
    </x:row>
    <x:row r="46">
      <x:c r="A46" s="18" t="str">
        <x:v>NYT-27-c0b5b32d5e75a1ea</x:v>
      </x:c>
      <x:c r="B46" s="18" t="str">
        <x:v>Pradhan Mantri Fasal Bima Yojana - PIB</x:v>
      </x:c>
      <x:c r="C46" s="18" t="str">
        <x:v>2026-08-29</x:v>
      </x:c>
      <x:c r="D46" s="18" t="n">
        <x:v>2026</x:v>
      </x:c>
      <x:c r="E46" s="18" t="str">
        <x:v>2026-08</x:v>
      </x:c>
      <x:c r="F46" s="18" t="str"/>
      <x:c r="G46" s="18" t="str">
        <x:v>site:pib.gov.in India budget scheme expenditure allocation</x:v>
      </x:c>
      <x:c r="H46" s="18" t="str"/>
      <x:c r="I46" s="18" t="str">
        <x:v>PIB</x:v>
      </x:c>
      <x:c r="J46" s="20" t="str"/>
      <x:c r="K46" s="18" t="str"/>
      <x:c r="L46" s="18" t="str">
        <x:v>Pradhan Mantri Fasal Bima Yojana - PIB</x:v>
      </x:c>
      <x:c r="M46" s="18" t="str">
        <x:v>PIB</x:v>
      </x:c>
      <x:c r="N46" s="18" t="str">
        <x:v>site:pib.gov.in India budget scheme expenditure allocation</x:v>
      </x:c>
      <x:c r="O46" s="18" t="n">
        <x:v>46263.55763888889</x:v>
      </x:c>
      <x:c r="P46" s="18" t="str">
        <x:v>https://www.pib.gov.in</x:v>
      </x:c>
      <x:c r="Q46" s="18" t="str">
        <x:v>DEFINED_TERMINAL_OR_FEED_SCOPE</x:v>
      </x:c>
      <x:c r="R46" s="18" t="str">
        <x:v>news_budget_schemes_14d.json — published records loaded</x:v>
      </x:c>
      <x:c r="S46" s="18" t="str"/>
      <x:c r="T46" s="18" t="str"/>
      <x:c r="U46" s="20" t="n">
        <x:v>100</x:v>
      </x:c>
      <x:c r="V46" s="19" t="n">
        <x:f>IFERROR(TODAY()-DATEVALUE(C46),"")</x:f>
        <x:v>12</x:v>
      </x:c>
      <x:c r="W46" s="21" t="n">
        <x:f>ROUND(COUNTA(A46:K46)/11*100,0)</x:f>
        <x:v>100</x:v>
      </x:c>
      <x:c r="X46" s="18" t="str">
        <x:v>Google News RSS</x:v>
      </x:c>
      <x:c r="Y46" s="22" t="str">
        <x:v>https://news.google.com/rss/articles/CBMicEFVX3lxTE5GTGphdE5sUklBaTc2X1c4bFlha2d0aTlOOGd2SjZ0NVM5dVdBMExmVkFnMm81bFQzV2lNNDlMbm9scEl5UXVCak5yRFNGelh2Z0dHSVdZQVBwd0VRUkF0eENzOUVzX0tpc0lsNEJnMXk?oc=5</x:v>
      </x:c>
      <x:c r="Z46" s="18" t="n">
        <x:v>46263.55763888889</x:v>
      </x:c>
      <x:c r="AA46" s="18" t="n">
        <x:v>46275.38862103009</x:v>
      </x:c>
      <x:c r="AB46" s="18" t="str">
        <x:v>public_rss</x:v>
      </x:c>
      <x:c r="AC46" s="18" t="str">
        <x:v>READY</x:v>
      </x:c>
    </x:row>
    <x:row r="47">
      <x:c r="A47" s="18" t="str">
        <x:v>NYT-27-50751535e05ce1fe</x:v>
      </x:c>
      <x:c r="B47" s="18" t="str">
        <x:v>BlogDescription - PIB</x:v>
      </x:c>
      <x:c r="C47" s="18" t="str">
        <x:v>2026-09-08</x:v>
      </x:c>
      <x:c r="D47" s="18" t="n">
        <x:v>2026</x:v>
      </x:c>
      <x:c r="E47" s="18" t="str">
        <x:v>2026-09</x:v>
      </x:c>
      <x:c r="F47" s="18" t="str"/>
      <x:c r="G47" s="18" t="str">
        <x:v>site:pib.gov.in India budget scheme expenditure allocation</x:v>
      </x:c>
      <x:c r="H47" s="18" t="str"/>
      <x:c r="I47" s="18" t="str">
        <x:v>PIB</x:v>
      </x:c>
      <x:c r="J47" s="20" t="str"/>
      <x:c r="K47" s="18" t="str"/>
      <x:c r="L47" s="18" t="str">
        <x:v>BlogDescription - PIB</x:v>
      </x:c>
      <x:c r="M47" s="18" t="str">
        <x:v>PIB</x:v>
      </x:c>
      <x:c r="N47" s="18" t="str">
        <x:v>site:pib.gov.in India budget scheme expenditure allocation</x:v>
      </x:c>
      <x:c r="O47" s="18" t="n">
        <x:v>46273.80972222222</x:v>
      </x:c>
      <x:c r="P47" s="18" t="str">
        <x:v>https://www.pib.gov.in</x:v>
      </x:c>
      <x:c r="Q47" s="18" t="str">
        <x:v>DEFINED_TERMINAL_OR_FEED_SCOPE</x:v>
      </x:c>
      <x:c r="R47" s="18" t="str">
        <x:v>news_budget_schemes_14d.json — published records loaded</x:v>
      </x:c>
      <x:c r="S47" s="18" t="str"/>
      <x:c r="T47" s="18" t="str"/>
      <x:c r="U47" s="20" t="n">
        <x:v>100</x:v>
      </x:c>
      <x:c r="V47" s="19" t="n">
        <x:f>IFERROR(TODAY()-DATEVALUE(C47),"")</x:f>
        <x:v>2</x:v>
      </x:c>
      <x:c r="W47" s="21" t="n">
        <x:f>ROUND(COUNTA(A47:K47)/11*100,0)</x:f>
        <x:v>100</x:v>
      </x:c>
      <x:c r="X47" s="18" t="str">
        <x:v>Google News RSS</x:v>
      </x:c>
      <x:c r="Y47" s="22" t="str">
        <x:v>https://news.google.com/rss/articles/CBMibkFVX3lxTE94cGwtQTc2S3ZIWi1TUE9ocnRLZ2tPWkZOVTZlZEUzMmdxVzNmYlVTVmVGMU8yVmhnejF2eVljOHdaSExETFphNno3SU1JTHdCcjZDTTY4MVVPV1lXNHlteHdZU3JJekN1aTJIVnl3?oc=5</x:v>
      </x:c>
      <x:c r="Z47" s="18" t="n">
        <x:v>46273.80972222222</x:v>
      </x:c>
      <x:c r="AA47" s="18" t="n">
        <x:v>46275.38862103009</x:v>
      </x:c>
      <x:c r="AB47" s="18" t="str">
        <x:v>public_rss</x:v>
      </x:c>
      <x:c r="AC47" s="18" t="str">
        <x:v>READY</x:v>
      </x:c>
    </x:row>
    <x:row r="48">
      <x:c r="A48" s="18" t="str">
        <x:v>NYT-27-1984c660c14e8746</x:v>
      </x:c>
      <x:c r="B48" s="18" t="str">
        <x:v>India’s Sovereign Credit Rating upgraded to 'A-' with Stable Outlook by Japan Credit Rating Agency - PIB</x:v>
      </x:c>
      <x:c r="C48" s="18" t="str">
        <x:v>2026-09-02</x:v>
      </x:c>
      <x:c r="D48" s="18" t="n">
        <x:v>2026</x:v>
      </x:c>
      <x:c r="E48" s="18" t="str">
        <x:v>2026-09</x:v>
      </x:c>
      <x:c r="F48" s="18" t="str"/>
      <x:c r="G48" s="18" t="str">
        <x:v>site:pib.gov.in India budget scheme expenditure allocation</x:v>
      </x:c>
      <x:c r="H48" s="18" t="str"/>
      <x:c r="I48" s="18" t="str">
        <x:v>PIB</x:v>
      </x:c>
      <x:c r="J48" s="20" t="str"/>
      <x:c r="K48" s="18" t="str"/>
      <x:c r="L48" s="18" t="str">
        <x:v>India’s Sovereign Credit Rating upgraded to 'A-' with Stable Outlook by Japan Credit Rating Agency - PIB</x:v>
      </x:c>
      <x:c r="M48" s="18" t="str">
        <x:v>PIB</x:v>
      </x:c>
      <x:c r="N48" s="18" t="str">
        <x:v>site:pib.gov.in India budget scheme expenditure allocation</x:v>
      </x:c>
      <x:c r="O48" s="18" t="n">
        <x:v>46267.54652777778</x:v>
      </x:c>
      <x:c r="P48" s="18" t="str">
        <x:v>https://www.pib.gov.in</x:v>
      </x:c>
      <x:c r="Q48" s="18" t="str">
        <x:v>DEFINED_TERMINAL_OR_FEED_SCOPE</x:v>
      </x:c>
      <x:c r="R48" s="18" t="str">
        <x:v>news_budget_schemes_14d.json — published records loaded</x:v>
      </x:c>
      <x:c r="S48" s="18" t="str"/>
      <x:c r="T48" s="18" t="str"/>
      <x:c r="U48" s="20" t="n">
        <x:v>100</x:v>
      </x:c>
      <x:c r="V48" s="19" t="n">
        <x:f>IFERROR(TODAY()-DATEVALUE(C48),"")</x:f>
        <x:v>8</x:v>
      </x:c>
      <x:c r="W48" s="21" t="n">
        <x:f>ROUND(COUNTA(A48:K48)/11*100,0)</x:f>
        <x:v>100</x:v>
      </x:c>
      <x:c r="X48" s="18" t="str">
        <x:v>Google News RSS</x:v>
      </x:c>
      <x:c r="Y48" s="22" t="str">
        <x:v>https://news.google.com/rss/articles/CBMifEFVX3lxTE5CN2J5MUs3V2RsZzZfYWJ5Q1JidHgwN05aSVhTMGpMbmhSY3N1cHp6bFhlNUhaQzJfajBxN0phM3lkSnluZ0NkVDJaRzJOZ2dTdWVwaE1sUDkwWi1ycnpKVDJVaWV0N29CdWhsaW1FYm1NUjZVYVZzeFhleXo?oc=5</x:v>
      </x:c>
      <x:c r="Z48" s="18" t="n">
        <x:v>46267.54652777778</x:v>
      </x:c>
      <x:c r="AA48" s="18" t="n">
        <x:v>46275.38862103009</x:v>
      </x:c>
      <x:c r="AB48" s="18" t="str">
        <x:v>public_rss</x:v>
      </x:c>
      <x:c r="AC48" s="18" t="str">
        <x:v>READY</x:v>
      </x:c>
    </x:row>
    <x:row r="49">
      <x:c r="A49" s="18" t="str">
        <x:v>NYT-27-198e78aac50dc806</x:v>
      </x:c>
      <x:c r="B49" s="18" t="str">
        <x:v>From Financial Hardship to Doctoral Achievement: Manika Mandal's Journey through Higher Education - PIB</x:v>
      </x:c>
      <x:c r="C49" s="18" t="str">
        <x:v>2026-09-07</x:v>
      </x:c>
      <x:c r="D49" s="18" t="n">
        <x:v>2026</x:v>
      </x:c>
      <x:c r="E49" s="18" t="str">
        <x:v>2026-09</x:v>
      </x:c>
      <x:c r="F49" s="18" t="str"/>
      <x:c r="G49" s="18" t="str">
        <x:v>site:pib.gov.in India budget scheme expenditure allocation</x:v>
      </x:c>
      <x:c r="H49" s="18" t="str"/>
      <x:c r="I49" s="18" t="str">
        <x:v>PIB</x:v>
      </x:c>
      <x:c r="J49" s="20" t="str"/>
      <x:c r="K49" s="18" t="str"/>
      <x:c r="L49" s="18" t="str">
        <x:v>From Financial Hardship to Doctoral Achievement: Manika Mandal's Journey through Higher Education - PIB</x:v>
      </x:c>
      <x:c r="M49" s="18" t="str">
        <x:v>PIB</x:v>
      </x:c>
      <x:c r="N49" s="18" t="str">
        <x:v>site:pib.gov.in India budget scheme expenditure allocation</x:v>
      </x:c>
      <x:c r="O49" s="18" t="n">
        <x:v>46272.51458333333</x:v>
      </x:c>
      <x:c r="P49" s="18" t="str">
        <x:v>https://www.pib.gov.in</x:v>
      </x:c>
      <x:c r="Q49" s="18" t="str">
        <x:v>DEFINED_TERMINAL_OR_FEED_SCOPE</x:v>
      </x:c>
      <x:c r="R49" s="18" t="str">
        <x:v>news_budget_schemes_14d.json — published records loaded</x:v>
      </x:c>
      <x:c r="S49" s="18" t="str"/>
      <x:c r="T49" s="18" t="str"/>
      <x:c r="U49" s="20" t="n">
        <x:v>100</x:v>
      </x:c>
      <x:c r="V49" s="19" t="n">
        <x:f>IFERROR(TODAY()-DATEVALUE(C49),"")</x:f>
        <x:v>3</x:v>
      </x:c>
      <x:c r="W49" s="21" t="n">
        <x:f>ROUND(COUNTA(A49:K49)/11*100,0)</x:f>
        <x:v>100</x:v>
      </x:c>
      <x:c r="X49" s="18" t="str">
        <x:v>Google News RSS</x:v>
      </x:c>
      <x:c r="Y49" s="22" t="str">
        <x:v>https://news.google.com/rss/articles/CBMifEFVX3lxTFBCSW5EWXJrUm5UMmg1NmFVZ0tiYkdRd2tQaVdmcmFqNFBfMUZybDB1Nm05TGw1TUk3bTlCVW5Ea0ttOXFGUm5uUGNNQ3ZIV1d5M0pUaXFVX19hNm5rQW9RV2E1WFlWME5KRnVwaEdwM3gzOGFBY3NCeHdPd24?oc=5</x:v>
      </x:c>
      <x:c r="Z49" s="18" t="n">
        <x:v>46272.51458333333</x:v>
      </x:c>
      <x:c r="AA49" s="18" t="n">
        <x:v>46275.38862103009</x:v>
      </x:c>
      <x:c r="AB49" s="18" t="str">
        <x:v>public_rss</x:v>
      </x:c>
      <x:c r="AC49" s="18" t="str">
        <x:v>READY</x:v>
      </x:c>
    </x:row>
    <x:row r="50">
      <x:c r="A50" s="18" t="str">
        <x:v>NYT-27-9e7de49645a738ab</x:v>
      </x:c>
      <x:c r="B50" s="18" t="str">
        <x:v>Chhattisgarh Strengthens Its Role in India’s Critical Mineral Ecosystem; CM Vishnu Deo Sai Highlights State’s Commitment to Mineral Development - PIB</x:v>
      </x:c>
      <x:c r="C50" s="18" t="str">
        <x:v>2026-08-31</x:v>
      </x:c>
      <x:c r="D50" s="18" t="n">
        <x:v>2026</x:v>
      </x:c>
      <x:c r="E50" s="18" t="str">
        <x:v>2026-08</x:v>
      </x:c>
      <x:c r="F50" s="18" t="str"/>
      <x:c r="G50" s="18" t="str">
        <x:v>site:pib.gov.in India budget scheme expenditure allocation</x:v>
      </x:c>
      <x:c r="H50" s="18" t="str"/>
      <x:c r="I50" s="18" t="str">
        <x:v>PIB</x:v>
      </x:c>
      <x:c r="J50" s="20" t="str"/>
      <x:c r="K50" s="18" t="str"/>
      <x:c r="L50" s="18" t="str">
        <x:v>Chhattisgarh Strengthens Its Role in India’s Critical Mineral Ecosystem; CM Vishnu Deo Sai Highlights State’s Commitment to Mineral Development - PIB</x:v>
      </x:c>
      <x:c r="M50" s="18" t="str">
        <x:v>PIB</x:v>
      </x:c>
      <x:c r="N50" s="18" t="str">
        <x:v>site:pib.gov.in India budget scheme expenditure allocation</x:v>
      </x:c>
      <x:c r="O50" s="18" t="n">
        <x:v>46265.665972222225</x:v>
      </x:c>
      <x:c r="P50" s="18" t="str">
        <x:v>https://www.pib.gov.in</x:v>
      </x:c>
      <x:c r="Q50" s="18" t="str">
        <x:v>DEFINED_TERMINAL_OR_FEED_SCOPE</x:v>
      </x:c>
      <x:c r="R50" s="18" t="str">
        <x:v>news_budget_schemes_14d.json — published records loaded</x:v>
      </x:c>
      <x:c r="S50" s="18" t="str"/>
      <x:c r="T50" s="18" t="str"/>
      <x:c r="U50" s="20" t="n">
        <x:v>100</x:v>
      </x:c>
      <x:c r="V50" s="19" t="n">
        <x:f>IFERROR(TODAY()-DATEVALUE(C50),"")</x:f>
        <x:v>10</x:v>
      </x:c>
      <x:c r="W50" s="21" t="n">
        <x:f>ROUND(COUNTA(A50:K50)/11*100,0)</x:f>
        <x:v>100</x:v>
      </x:c>
      <x:c r="X50" s="18" t="str">
        <x:v>Google News RSS</x:v>
      </x:c>
      <x:c r="Y50" s="22" t="str">
        <x:v>https://news.google.com/rss/articles/CBMifkFVX3lxTFB2T3hIdWR3RllmaW1hVE5vN2pfWFNPS3ZtN1hwZGprM0JFNWdnZmdNam1XR19vZnNFV0Jxc0xQSm03N1pzcjdqWjE2N2E5OXJaSm1mRXFwc2tjZ09ob3RiRlZsZGhLUGpmNnhXTWlobXpFNWQtR3gtcW5rV2RSdw?oc=5</x:v>
      </x:c>
      <x:c r="Z50" s="18" t="n">
        <x:v>46265.665972222225</x:v>
      </x:c>
      <x:c r="AA50" s="18" t="n">
        <x:v>46275.38862103009</x:v>
      </x:c>
      <x:c r="AB50" s="18" t="str">
        <x:v>public_rss</x:v>
      </x:c>
      <x:c r="AC50" s="18" t="str">
        <x:v>READY</x:v>
      </x:c>
    </x:row>
    <x:row r="51">
      <x:c r="A51" s="18" t="str">
        <x:v>NYT-27-d55d67c85be0be6f</x:v>
      </x:c>
      <x:c r="B51" s="18" t="str">
        <x:v>Shri Shivraj Singh Chouhan Reviews Progress of Prime Minister Dhan-Dhaanya Krishi Yojana - PIB</x:v>
      </x:c>
      <x:c r="C51" s="18" t="str">
        <x:v>2026-09-01</x:v>
      </x:c>
      <x:c r="D51" s="18" t="n">
        <x:v>2026</x:v>
      </x:c>
      <x:c r="E51" s="18" t="str">
        <x:v>2026-09</x:v>
      </x:c>
      <x:c r="F51" s="18" t="str"/>
      <x:c r="G51" s="18" t="str">
        <x:v>site:pib.gov.in India budget scheme expenditure allocation</x:v>
      </x:c>
      <x:c r="H51" s="18" t="str"/>
      <x:c r="I51" s="18" t="str">
        <x:v>PIB</x:v>
      </x:c>
      <x:c r="J51" s="20" t="str"/>
      <x:c r="K51" s="18" t="str"/>
      <x:c r="L51" s="18" t="str">
        <x:v>Shri Shivraj Singh Chouhan Reviews Progress of Prime Minister Dhan-Dhaanya Krishi Yojana - PIB</x:v>
      </x:c>
      <x:c r="M51" s="18" t="str">
        <x:v>PIB</x:v>
      </x:c>
      <x:c r="N51" s="18" t="str">
        <x:v>site:pib.gov.in India budget scheme expenditure allocation</x:v>
      </x:c>
      <x:c r="O51" s="18" t="n">
        <x:v>46266.45694444444</x:v>
      </x:c>
      <x:c r="P51" s="18" t="str">
        <x:v>https://www.pib.gov.in</x:v>
      </x:c>
      <x:c r="Q51" s="18" t="str">
        <x:v>DEFINED_TERMINAL_OR_FEED_SCOPE</x:v>
      </x:c>
      <x:c r="R51" s="18" t="str">
        <x:v>news_budget_schemes_14d.json — published records loaded</x:v>
      </x:c>
      <x:c r="S51" s="18" t="str"/>
      <x:c r="T51" s="18" t="str"/>
      <x:c r="U51" s="20" t="n">
        <x:v>100</x:v>
      </x:c>
      <x:c r="V51" s="19" t="n">
        <x:f>IFERROR(TODAY()-DATEVALUE(C51),"")</x:f>
        <x:v>9</x:v>
      </x:c>
      <x:c r="W51" s="21" t="n">
        <x:f>ROUND(COUNTA(A51:K51)/11*100,0)</x:f>
        <x:v>100</x:v>
      </x:c>
      <x:c r="X51" s="18" t="str">
        <x:v>Google News RSS</x:v>
      </x:c>
      <x:c r="Y51" s="22" t="str">
        <x:v>https://news.google.com/rss/articles/CBMifEFVX3lxTFBTY01pQjItNlFZOHRkOF9SN3ZZYUkxY3BYU0laOFFndFEwVVJhOVpSVVVCWVdINU5zMmY0Zks3OXNLdlVWQ3kweVZRV3FnM1hRamdpYm4yMDJPZW42R3VRWnFfS0lFWTVoY1NYSzRiSVF2NjRkMC01V1RJUU4?oc=5</x:v>
      </x:c>
      <x:c r="Z51" s="18" t="n">
        <x:v>46266.45694444444</x:v>
      </x:c>
      <x:c r="AA51" s="18" t="n">
        <x:v>46275.38862103009</x:v>
      </x:c>
      <x:c r="AB51" s="18" t="str">
        <x:v>public_rss</x:v>
      </x:c>
      <x:c r="AC51" s="18" t="str">
        <x:v>READY</x:v>
      </x:c>
    </x:row>
    <x:row r="52">
      <x:c r="A52" s="18" t="str">
        <x:v>NYT-27-93c51755d24c960c</x:v>
      </x:c>
      <x:c r="B52" s="18" t="str">
        <x:v>BlogDescription - PIB</x:v>
      </x:c>
      <x:c r="C52" s="18" t="str">
        <x:v>2026-09-03</x:v>
      </x:c>
      <x:c r="D52" s="18" t="n">
        <x:v>2026</x:v>
      </x:c>
      <x:c r="E52" s="18" t="str">
        <x:v>2026-09</x:v>
      </x:c>
      <x:c r="F52" s="18" t="str"/>
      <x:c r="G52" s="18" t="str">
        <x:v>site:pib.gov.in India budget scheme expenditure allocation</x:v>
      </x:c>
      <x:c r="H52" s="18" t="str"/>
      <x:c r="I52" s="18" t="str">
        <x:v>PIB</x:v>
      </x:c>
      <x:c r="J52" s="20" t="str"/>
      <x:c r="K52" s="18" t="str"/>
      <x:c r="L52" s="18" t="str">
        <x:v>BlogDescription - PIB</x:v>
      </x:c>
      <x:c r="M52" s="18" t="str">
        <x:v>PIB</x:v>
      </x:c>
      <x:c r="N52" s="18" t="str">
        <x:v>site:pib.gov.in India budget scheme expenditure allocation</x:v>
      </x:c>
      <x:c r="O52" s="18" t="n">
        <x:v>46268.695127314815</x:v>
      </x:c>
      <x:c r="P52" s="18" t="str">
        <x:v>https://www.pib.gov.in</x:v>
      </x:c>
      <x:c r="Q52" s="18" t="str">
        <x:v>DEFINED_TERMINAL_OR_FEED_SCOPE</x:v>
      </x:c>
      <x:c r="R52" s="18" t="str">
        <x:v>news_budget_schemes_14d.json — published records loaded</x:v>
      </x:c>
      <x:c r="S52" s="18" t="str"/>
      <x:c r="T52" s="18" t="str"/>
      <x:c r="U52" s="20" t="n">
        <x:v>100</x:v>
      </x:c>
      <x:c r="V52" s="19" t="n">
        <x:f>IFERROR(TODAY()-DATEVALUE(C52),"")</x:f>
        <x:v>7</x:v>
      </x:c>
      <x:c r="W52" s="21" t="n">
        <x:f>ROUND(COUNTA(A52:K52)/11*100,0)</x:f>
        <x:v>100</x:v>
      </x:c>
      <x:c r="X52" s="18" t="str">
        <x:v>Google News RSS</x:v>
      </x:c>
      <x:c r="Y52" s="22" t="str">
        <x:v>https://news.google.com/rss/articles/CBMiZkFVX3lxTE9fY1VLYjZrOTRBejl3SmZsdmVsR3lUbERBRHZfTDhVVFYxZ0JCMnF0NnBvMDFtdmVDbldoYzg4Qm1jdEMyeDIzUDlyS2hrWTROQ2VrM3hyTFVKSlFvak9SaHRxWkt2UQ?oc=5</x:v>
      </x:c>
      <x:c r="Z52" s="18" t="n">
        <x:v>46268.695127314815</x:v>
      </x:c>
      <x:c r="AA52" s="18" t="n">
        <x:v>46275.38862103009</x:v>
      </x:c>
      <x:c r="AB52" s="18" t="str">
        <x:v>public_rss</x:v>
      </x:c>
      <x:c r="AC52" s="18" t="str">
        <x:v>READY</x:v>
      </x:c>
    </x:row>
    <x:row r="53">
      <x:c r="A53" s="18" t="str">
        <x:v>NYT-27-035fae59fde5c0dc</x:v>
      </x:c>
      <x:c r="B53" s="18" t="str">
        <x:v>From Financial Struggle to Mechanised Sanitation Entrepreneurship: How NAMASTE–SUY Support Strengthened Kapil Pal’s Livelihood - PIB</x:v>
      </x:c>
      <x:c r="C53" s="18" t="str">
        <x:v>2026-08-28</x:v>
      </x:c>
      <x:c r="D53" s="18" t="n">
        <x:v>2026</x:v>
      </x:c>
      <x:c r="E53" s="18" t="str">
        <x:v>2026-08</x:v>
      </x:c>
      <x:c r="F53" s="18" t="str"/>
      <x:c r="G53" s="18" t="str">
        <x:v>site:pib.gov.in India budget scheme expenditure allocation</x:v>
      </x:c>
      <x:c r="H53" s="18" t="str"/>
      <x:c r="I53" s="18" t="str">
        <x:v>PIB</x:v>
      </x:c>
      <x:c r="J53" s="20" t="str"/>
      <x:c r="K53" s="18" t="str"/>
      <x:c r="L53" s="18" t="str">
        <x:v>From Financial Struggle to Mechanised Sanitation Entrepreneurship: How NAMASTE–SUY Support Strengthened Kapil Pal’s Livelihood - PIB</x:v>
      </x:c>
      <x:c r="M53" s="18" t="str">
        <x:v>PIB</x:v>
      </x:c>
      <x:c r="N53" s="18" t="str">
        <x:v>site:pib.gov.in India budget scheme expenditure allocation</x:v>
      </x:c>
      <x:c r="O53" s="18" t="n">
        <x:v>46262.291666666664</x:v>
      </x:c>
      <x:c r="P53" s="18" t="str">
        <x:v>https://www.pib.gov.in</x:v>
      </x:c>
      <x:c r="Q53" s="18" t="str">
        <x:v>DEFINED_TERMINAL_OR_FEED_SCOPE</x:v>
      </x:c>
      <x:c r="R53" s="18" t="str">
        <x:v>news_budget_schemes_14d.json — published records loaded</x:v>
      </x:c>
      <x:c r="S53" s="18" t="str"/>
      <x:c r="T53" s="18" t="str"/>
      <x:c r="U53" s="20" t="n">
        <x:v>100</x:v>
      </x:c>
      <x:c r="V53" s="19" t="n">
        <x:f>IFERROR(TODAY()-DATEVALUE(C53),"")</x:f>
        <x:v>13</x:v>
      </x:c>
      <x:c r="W53" s="21" t="n">
        <x:f>ROUND(COUNTA(A53:K53)/11*100,0)</x:f>
        <x:v>100</x:v>
      </x:c>
      <x:c r="X53" s="18" t="str">
        <x:v>Google News RSS</x:v>
      </x:c>
      <x:c r="Y53" s="22" t="str">
        <x:v>https://news.google.com/rss/articles/CBMifEFVX3lxTE1DSEgtWDRXek5mTW1IbWNlTXh1LU5Rb2N0cG04eTBhRjd1eWtqcXlWa0MwWXZPck1obE9vZ1FmbzUzVGlpLS1rY2tPUTh2WkdzdW9rckNCMXo1Q1dGYkh2QjFzc2ItaFE2Y0tYSWpQRDExYVJGcW5JN0ItZ2s?oc=5</x:v>
      </x:c>
      <x:c r="Z53" s="18" t="n">
        <x:v>46262.291666666664</x:v>
      </x:c>
      <x:c r="AA53" s="18" t="n">
        <x:v>46275.38862103009</x:v>
      </x:c>
      <x:c r="AB53" s="18" t="str">
        <x:v>public_rss</x:v>
      </x:c>
      <x:c r="AC53" s="18" t="str">
        <x:v>READY</x:v>
      </x:c>
    </x:row>
    <x:row r="54">
      <x:c r="A54" s="18" t="str">
        <x:v>NYT-27-7e510bba732f2b93</x:v>
      </x:c>
      <x:c r="B54" s="18" t="str">
        <x:v>Emergency Credit Line Guarantee Scheme (ECLGS) 5.0 - PIB</x:v>
      </x:c>
      <x:c r="C54" s="18" t="str">
        <x:v>2026-09-05</x:v>
      </x:c>
      <x:c r="D54" s="18" t="n">
        <x:v>2026</x:v>
      </x:c>
      <x:c r="E54" s="18" t="str">
        <x:v>2026-09</x:v>
      </x:c>
      <x:c r="F54" s="18" t="str"/>
      <x:c r="G54" s="18" t="str">
        <x:v>site:pib.gov.in India budget scheme expenditure allocation</x:v>
      </x:c>
      <x:c r="H54" s="18" t="str"/>
      <x:c r="I54" s="18" t="str">
        <x:v>PIB</x:v>
      </x:c>
      <x:c r="J54" s="20" t="str"/>
      <x:c r="K54" s="18" t="str"/>
      <x:c r="L54" s="18" t="str">
        <x:v>Emergency Credit Line Guarantee Scheme (ECLGS) 5.0 - PIB</x:v>
      </x:c>
      <x:c r="M54" s="18" t="str">
        <x:v>PIB</x:v>
      </x:c>
      <x:c r="N54" s="18" t="str">
        <x:v>site:pib.gov.in India budget scheme expenditure allocation</x:v>
      </x:c>
      <x:c r="O54" s="18" t="n">
        <x:v>46270.20625</x:v>
      </x:c>
      <x:c r="P54" s="18" t="str">
        <x:v>https://www.pib.gov.in</x:v>
      </x:c>
      <x:c r="Q54" s="18" t="str">
        <x:v>DEFINED_TERMINAL_OR_FEED_SCOPE</x:v>
      </x:c>
      <x:c r="R54" s="18" t="str">
        <x:v>news_budget_schemes_14d.json — published records loaded</x:v>
      </x:c>
      <x:c r="S54" s="18" t="str"/>
      <x:c r="T54" s="18" t="str"/>
      <x:c r="U54" s="20" t="n">
        <x:v>100</x:v>
      </x:c>
      <x:c r="V54" s="19" t="n">
        <x:f>IFERROR(TODAY()-DATEVALUE(C54),"")</x:f>
        <x:v>5</x:v>
      </x:c>
      <x:c r="W54" s="21" t="n">
        <x:f>ROUND(COUNTA(A54:K54)/11*100,0)</x:f>
        <x:v>100</x:v>
      </x:c>
      <x:c r="X54" s="18" t="str">
        <x:v>Google News RSS</x:v>
      </x:c>
      <x:c r="Y54" s="22" t="str">
        <x:v>https://news.google.com/rss/articles/CBMifEFVX3lxTE44NVh1TE9IbHkzWEhrZXJMMjlzMG9xM1YtaU5PYmZLY1M2ZjhaLW5DcjVDOExYNExQeHNKOWVqbzRNZW5wUWlzdnlnX0k4SXFIaWpQVGZ2OG54UjRwWGpEcjhyaWV1V2JsQ3doUk03WHFEeHVORWxmYmJLWV8?oc=5</x:v>
      </x:c>
      <x:c r="Z54" s="18" t="n">
        <x:v>46270.20625</x:v>
      </x:c>
      <x:c r="AA54" s="18" t="n">
        <x:v>46275.38862103009</x:v>
      </x:c>
      <x:c r="AB54" s="18" t="str">
        <x:v>public_rss</x:v>
      </x:c>
      <x:c r="AC54" s="18" t="str">
        <x:v>READY</x:v>
      </x:c>
    </x:row>
    <x:row r="55">
      <x:c r="A55" s="18" t="str">
        <x:v>NYT-27-cfd09000820af0f7</x:v>
      </x:c>
      <x:c r="B55" s="18" t="str">
        <x:v>Shri G. Kishan Reddy, Union Minister of Coal &amp; Mines, Launches First-Ever Sector-Wide CSR Framework for Indian Coal Companies; Celebrates Milestones under Thalassemia Bal Sewa Yojana and Nanha Sa Dil - PIB</x:v>
      </x:c>
      <x:c r="C55" s="18" t="str">
        <x:v>2026-09-08</x:v>
      </x:c>
      <x:c r="D55" s="18" t="n">
        <x:v>2026</x:v>
      </x:c>
      <x:c r="E55" s="18" t="str">
        <x:v>2026-09</x:v>
      </x:c>
      <x:c r="F55" s="18" t="str"/>
      <x:c r="G55" s="18" t="str">
        <x:v>site:pib.gov.in India budget scheme expenditure allocation</x:v>
      </x:c>
      <x:c r="H55" s="18" t="str"/>
      <x:c r="I55" s="18" t="str">
        <x:v>PIB</x:v>
      </x:c>
      <x:c r="J55" s="20" t="str"/>
      <x:c r="K55" s="18" t="str"/>
      <x:c r="L55" s="18" t="str">
        <x:v>Shri G. Kishan Reddy, Union Minister of Coal &amp; Mines, Launches First-Ever Sector-Wide CSR Framework for Indian Coal Companies; Celebrates Milestones under Thalassemia Bal Sewa Yojana and Nanha Sa Dil - PIB</x:v>
      </x:c>
      <x:c r="M55" s="18" t="str">
        <x:v>PIB</x:v>
      </x:c>
      <x:c r="N55" s="18" t="str">
        <x:v>site:pib.gov.in India budget scheme expenditure allocation</x:v>
      </x:c>
      <x:c r="O55" s="18" t="n">
        <x:v>46273.59583333333</x:v>
      </x:c>
      <x:c r="P55" s="18" t="str">
        <x:v>https://www.pib.gov.in</x:v>
      </x:c>
      <x:c r="Q55" s="18" t="str">
        <x:v>DEFINED_TERMINAL_OR_FEED_SCOPE</x:v>
      </x:c>
      <x:c r="R55" s="18" t="str">
        <x:v>news_budget_schemes_14d.json — published records loaded</x:v>
      </x:c>
      <x:c r="S55" s="18" t="str"/>
      <x:c r="T55" s="18" t="str"/>
      <x:c r="U55" s="20" t="n">
        <x:v>100</x:v>
      </x:c>
      <x:c r="V55" s="19" t="n">
        <x:f>IFERROR(TODAY()-DATEVALUE(C55),"")</x:f>
        <x:v>2</x:v>
      </x:c>
      <x:c r="W55" s="21" t="n">
        <x:f>ROUND(COUNTA(A55:K55)/11*100,0)</x:f>
        <x:v>100</x:v>
      </x:c>
      <x:c r="X55" s="18" t="str">
        <x:v>Google News RSS</x:v>
      </x:c>
      <x:c r="Y55" s="22" t="str">
        <x:v>https://news.google.com/rss/articles/CBMifEFVX3lxTE5MX0xNV2NvUThhb1VOdy1mcGxtR19PSjlUV2tCbUZNQ21tTlAzUUJ2LXRVT28xZkI5NXFXcFllQm5EYkhoRm5JQVlmZXlhWHliS1VJc3g3SGFORmhCc3RfamFKcTJmZV9OaWluMEE1bzRDUGhQS1lDMEpkM0M?oc=5</x:v>
      </x:c>
      <x:c r="Z55" s="18" t="n">
        <x:v>46273.59583333333</x:v>
      </x:c>
      <x:c r="AA55" s="18" t="n">
        <x:v>46275.38862103009</x:v>
      </x:c>
      <x:c r="AB55" s="18" t="str">
        <x:v>public_rss</x:v>
      </x:c>
      <x:c r="AC55" s="18" t="str">
        <x:v>READY</x:v>
      </x:c>
    </x:row>
    <x:row r="56">
      <x:c r="A56" s="18" t="str">
        <x:v>NYT-27-2ac0722d0ab600e0</x:v>
      </x:c>
      <x:c r="B56" s="18" t="str">
        <x:v>Union Minister Ram Mohan Naidu flags off inaugural flight from NAMO Airport, Daman - PIB</x:v>
      </x:c>
      <x:c r="C56" s="18" t="str">
        <x:v>2026-09-06</x:v>
      </x:c>
      <x:c r="D56" s="18" t="n">
        <x:v>2026</x:v>
      </x:c>
      <x:c r="E56" s="18" t="str">
        <x:v>2026-09</x:v>
      </x:c>
      <x:c r="F56" s="18" t="str"/>
      <x:c r="G56" s="18" t="str">
        <x:v>site:pib.gov.in India budget scheme expenditure allocation</x:v>
      </x:c>
      <x:c r="H56" s="18" t="str"/>
      <x:c r="I56" s="18" t="str">
        <x:v>PIB</x:v>
      </x:c>
      <x:c r="J56" s="20" t="str"/>
      <x:c r="K56" s="18" t="str"/>
      <x:c r="L56" s="18" t="str">
        <x:v>Union Minister Ram Mohan Naidu flags off inaugural flight from NAMO Airport, Daman - PIB</x:v>
      </x:c>
      <x:c r="M56" s="18" t="str">
        <x:v>PIB</x:v>
      </x:c>
      <x:c r="N56" s="18" t="str">
        <x:v>site:pib.gov.in India budget scheme expenditure allocation</x:v>
      </x:c>
      <x:c r="O56" s="18" t="n">
        <x:v>46271.64989583333</x:v>
      </x:c>
      <x:c r="P56" s="18" t="str">
        <x:v>https://www.pib.gov.in</x:v>
      </x:c>
      <x:c r="Q56" s="18" t="str">
        <x:v>DEFINED_TERMINAL_OR_FEED_SCOPE</x:v>
      </x:c>
      <x:c r="R56" s="18" t="str">
        <x:v>news_budget_schemes_14d.json — published records loaded</x:v>
      </x:c>
      <x:c r="S56" s="18" t="str"/>
      <x:c r="T56" s="18" t="str"/>
      <x:c r="U56" s="20" t="n">
        <x:v>100</x:v>
      </x:c>
      <x:c r="V56" s="19" t="n">
        <x:f>IFERROR(TODAY()-DATEVALUE(C56),"")</x:f>
        <x:v>4</x:v>
      </x:c>
      <x:c r="W56" s="21" t="n">
        <x:f>ROUND(COUNTA(A56:K56)/11*100,0)</x:f>
        <x:v>100</x:v>
      </x:c>
      <x:c r="X56" s="18" t="str">
        <x:v>Google News RSS</x:v>
      </x:c>
      <x:c r="Y56" s="22" t="str">
        <x:v>https://news.google.com/rss/articles/CBMia0FVX3lxTE1yOEpMNnMtbHhJWlZOS09KZzhFLTlEdmlSWG8tS3lCRksteGZHOFgxT2NWUUFzV1hJcFlhVW9SY3NBLWo5UWxzREJweFA1SXI1ZzBzTVRXenpXbkFrRG8xNmRzWVFZcVZaeU1V?oc=5</x:v>
      </x:c>
      <x:c r="Z56" s="18" t="n">
        <x:v>46271.64989583333</x:v>
      </x:c>
      <x:c r="AA56" s="18" t="n">
        <x:v>46275.38862103009</x:v>
      </x:c>
      <x:c r="AB56" s="18" t="str">
        <x:v>public_rss</x:v>
      </x:c>
      <x:c r="AC56" s="18" t="str">
        <x:v>READY</x:v>
      </x:c>
    </x:row>
    <x:row r="57">
      <x:c r="A57" s="18" t="str">
        <x:v>NYT-27-5cd0b5ebf1ca0686</x:v>
      </x:c>
      <x:c r="B57" s="18" t="str">
        <x:v>Jal Sanchay Jan Bhagidari: From Local Action to Water Security - PIB</x:v>
      </x:c>
      <x:c r="C57" s="18" t="str">
        <x:v>2026-09-03</x:v>
      </x:c>
      <x:c r="D57" s="18" t="n">
        <x:v>2026</x:v>
      </x:c>
      <x:c r="E57" s="18" t="str">
        <x:v>2026-09</x:v>
      </x:c>
      <x:c r="F57" s="18" t="str"/>
      <x:c r="G57" s="18" t="str">
        <x:v>site:pib.gov.in India budget scheme expenditure allocation</x:v>
      </x:c>
      <x:c r="H57" s="18" t="str"/>
      <x:c r="I57" s="18" t="str">
        <x:v>PIB</x:v>
      </x:c>
      <x:c r="J57" s="20" t="str"/>
      <x:c r="K57" s="18" t="str"/>
      <x:c r="L57" s="18" t="str">
        <x:v>Jal Sanchay Jan Bhagidari: From Local Action to Water Security - PIB</x:v>
      </x:c>
      <x:c r="M57" s="18" t="str">
        <x:v>PIB</x:v>
      </x:c>
      <x:c r="N57" s="18" t="str">
        <x:v>site:pib.gov.in India budget scheme expenditure allocation</x:v>
      </x:c>
      <x:c r="O57" s="18" t="n">
        <x:v>46268.40555555555</x:v>
      </x:c>
      <x:c r="P57" s="18" t="str">
        <x:v>https://www.pib.gov.in</x:v>
      </x:c>
      <x:c r="Q57" s="18" t="str">
        <x:v>DEFINED_TERMINAL_OR_FEED_SCOPE</x:v>
      </x:c>
      <x:c r="R57" s="18" t="str">
        <x:v>news_budget_schemes_14d.json — published records loaded</x:v>
      </x:c>
      <x:c r="S57" s="18" t="str"/>
      <x:c r="T57" s="18" t="str"/>
      <x:c r="U57" s="20" t="n">
        <x:v>100</x:v>
      </x:c>
      <x:c r="V57" s="19" t="n">
        <x:f>IFERROR(TODAY()-DATEVALUE(C57),"")</x:f>
        <x:v>7</x:v>
      </x:c>
      <x:c r="W57" s="21" t="n">
        <x:f>ROUND(COUNTA(A57:K57)/11*100,0)</x:f>
        <x:v>100</x:v>
      </x:c>
      <x:c r="X57" s="18" t="str">
        <x:v>Google News RSS</x:v>
      </x:c>
      <x:c r="Y57" s="22" t="str">
        <x:v>https://news.google.com/rss/articles/CBMiiAFBVV95cUxPblhCalcwLWZRNGFYV25SaHhXempDZmVsSGFaNkpLQ1ZJdWY4SzBPTjd1d2VDWFpITkk1Z3hYLXpQb3I2eFlSZjZNYmJ4V3BHMUg5OVkzT0IzVWo2N3FrUk1pTXpWcmUyNXp2UDQ3a28ycGtzc3pxTTdjR1hEYlRQNkRjOXNwWUI2?oc=5</x:v>
      </x:c>
      <x:c r="Z57" s="18" t="n">
        <x:v>46268.40555555555</x:v>
      </x:c>
      <x:c r="AA57" s="18" t="n">
        <x:v>46275.38862103009</x:v>
      </x:c>
      <x:c r="AB57" s="18" t="str">
        <x:v>public_rss</x:v>
      </x:c>
      <x:c r="AC57" s="18" t="str">
        <x:v>READY</x:v>
      </x:c>
    </x:row>
    <x:row r="58">
      <x:c r="A58" s="18" t="str">
        <x:v>NYT-27-3f3ab38e96ac0142</x:v>
      </x:c>
      <x:c r="B58" s="18" t="str">
        <x:v>Ministry of Tribal Affairs Reviews Progress of PM-JANMAN and DA-JGUA; Announces Key Initiatives for Strengthening Tribal Development - PIB</x:v>
      </x:c>
      <x:c r="C58" s="18" t="str">
        <x:v>2026-09-03</x:v>
      </x:c>
      <x:c r="D58" s="18" t="n">
        <x:v>2026</x:v>
      </x:c>
      <x:c r="E58" s="18" t="str">
        <x:v>2026-09</x:v>
      </x:c>
      <x:c r="F58" s="18" t="str"/>
      <x:c r="G58" s="18" t="str">
        <x:v>site:pib.gov.in India budget scheme expenditure allocation</x:v>
      </x:c>
      <x:c r="H58" s="18" t="str"/>
      <x:c r="I58" s="18" t="str">
        <x:v>PIB</x:v>
      </x:c>
      <x:c r="J58" s="20" t="str"/>
      <x:c r="K58" s="18" t="str"/>
      <x:c r="L58" s="18" t="str">
        <x:v>Ministry of Tribal Affairs Reviews Progress of PM-JANMAN and DA-JGUA; Announces Key Initiatives for Strengthening Tribal Development - PIB</x:v>
      </x:c>
      <x:c r="M58" s="18" t="str">
        <x:v>PIB</x:v>
      </x:c>
      <x:c r="N58" s="18" t="str">
        <x:v>site:pib.gov.in India budget scheme expenditure allocation</x:v>
      </x:c>
      <x:c r="O58" s="18" t="n">
        <x:v>46268.74097222222</x:v>
      </x:c>
      <x:c r="P58" s="18" t="str">
        <x:v>https://www.pib.gov.in</x:v>
      </x:c>
      <x:c r="Q58" s="18" t="str">
        <x:v>DEFINED_TERMINAL_OR_FEED_SCOPE</x:v>
      </x:c>
      <x:c r="R58" s="18" t="str">
        <x:v>news_budget_schemes_14d.json — published records loaded</x:v>
      </x:c>
      <x:c r="S58" s="18" t="str"/>
      <x:c r="T58" s="18" t="str"/>
      <x:c r="U58" s="20" t="n">
        <x:v>100</x:v>
      </x:c>
      <x:c r="V58" s="19" t="n">
        <x:f>IFERROR(TODAY()-DATEVALUE(C58),"")</x:f>
        <x:v>7</x:v>
      </x:c>
      <x:c r="W58" s="21" t="n">
        <x:f>ROUND(COUNTA(A58:K58)/11*100,0)</x:f>
        <x:v>100</x:v>
      </x:c>
      <x:c r="X58" s="18" t="str">
        <x:v>Google News RSS</x:v>
      </x:c>
      <x:c r="Y58" s="22" t="str">
        <x:v>https://news.google.com/rss/articles/CBMifEFVX3lxTFBTUzNwZnRqTXRndTctSDA4cXJPekt1MkxMUHlpMTBoR2kzS1hrUlJrQk5pYmxQTGJKbmpaYVh2aEhoUGNpMi1hRV9kYm42blNGM2U3M0FoNzlYUHd0SHVxVFNCSEk1R0NnRVVOdV9JMUlDcTdKTkszR1RKNzM?oc=5</x:v>
      </x:c>
      <x:c r="Z58" s="18" t="n">
        <x:v>46268.74097222222</x:v>
      </x:c>
      <x:c r="AA58" s="18" t="n">
        <x:v>46275.38862103009</x:v>
      </x:c>
      <x:c r="AB58" s="18" t="str">
        <x:v>public_rss</x:v>
      </x:c>
      <x:c r="AC58" s="18" t="str">
        <x:v>READY</x:v>
      </x:c>
    </x:row>
    <x:row r="59">
      <x:c r="A59" s="18" t="str">
        <x:v>NYT-27-08f9422224b03ed8</x:v>
      </x:c>
      <x:c r="B59" s="18" t="str">
        <x:v>From Sanitation Professional to Self-Reliant Entrepreneur: Shri Dharmendra Kumar Ray's Journey under NAMASTE-SUY - PIB</x:v>
      </x:c>
      <x:c r="C59" s="18" t="str">
        <x:v>2026-09-09</x:v>
      </x:c>
      <x:c r="D59" s="18" t="n">
        <x:v>2026</x:v>
      </x:c>
      <x:c r="E59" s="18" t="str">
        <x:v>2026-09</x:v>
      </x:c>
      <x:c r="F59" s="18" t="str"/>
      <x:c r="G59" s="18" t="str">
        <x:v>site:pib.gov.in India budget scheme expenditure allocation</x:v>
      </x:c>
      <x:c r="H59" s="18" t="str"/>
      <x:c r="I59" s="18" t="str">
        <x:v>PIB</x:v>
      </x:c>
      <x:c r="J59" s="20" t="str"/>
      <x:c r="K59" s="18" t="str"/>
      <x:c r="L59" s="18" t="str">
        <x:v>From Sanitation Professional to Self-Reliant Entrepreneur: Shri Dharmendra Kumar Ray's Journey under NAMASTE-SUY - PIB</x:v>
      </x:c>
      <x:c r="M59" s="18" t="str">
        <x:v>PIB</x:v>
      </x:c>
      <x:c r="N59" s="18" t="str">
        <x:v>site:pib.gov.in India budget scheme expenditure allocation</x:v>
      </x:c>
      <x:c r="O59" s="18" t="n">
        <x:v>46274.549305555556</x:v>
      </x:c>
      <x:c r="P59" s="18" t="str">
        <x:v>https://www.pib.gov.in</x:v>
      </x:c>
      <x:c r="Q59" s="18" t="str">
        <x:v>DEFINED_TERMINAL_OR_FEED_SCOPE</x:v>
      </x:c>
      <x:c r="R59" s="18" t="str">
        <x:v>news_budget_schemes_14d.json — published records loaded</x:v>
      </x:c>
      <x:c r="S59" s="18" t="str"/>
      <x:c r="T59" s="18" t="str"/>
      <x:c r="U59" s="20" t="n">
        <x:v>100</x:v>
      </x:c>
      <x:c r="V59" s="19" t="n">
        <x:f>IFERROR(TODAY()-DATEVALUE(C59),"")</x:f>
        <x:v>1</x:v>
      </x:c>
      <x:c r="W59" s="21" t="n">
        <x:f>ROUND(COUNTA(A59:K59)/11*100,0)</x:f>
        <x:v>100</x:v>
      </x:c>
      <x:c r="X59" s="18" t="str">
        <x:v>Google News RSS</x:v>
      </x:c>
      <x:c r="Y59" s="22" t="str">
        <x:v>https://news.google.com/rss/articles/CBMie0FVX3lxTE5BampoYXcwM3dlbWFFa3I1R3RXQVFXLTdFMVFXOXZqVTAyYnlURzVpQTdNT2lCZzg1RV9TOWtCbHpKdzhHcVhOQ1ZKNGhEREdHOVR3QW5EbGhkY0dVdkxJLWxBOVhsMGZCVHhkRDRaS3pUTUZES25HVDh6SQ?oc=5</x:v>
      </x:c>
      <x:c r="Z59" s="18" t="n">
        <x:v>46274.549305555556</x:v>
      </x:c>
      <x:c r="AA59" s="18" t="n">
        <x:v>46275.38862103009</x:v>
      </x:c>
      <x:c r="AB59" s="18" t="str">
        <x:v>public_rss</x:v>
      </x:c>
      <x:c r="AC59" s="18" t="str">
        <x:v>READY</x:v>
      </x:c>
    </x:row>
    <x:row r="60">
      <x:c r="A60" s="18" t="str">
        <x:v>NYT-27-ad621b947981ca1b</x:v>
      </x:c>
      <x:c r="B60" s="18" t="str">
        <x:v>Shri Rajiv Gauba, Member, NITI Aayog launches PACT and ZET marketplace, urges stategic electrification of India’s freight sector - PIB</x:v>
      </x:c>
      <x:c r="C60" s="18" t="str">
        <x:v>2026-09-07</x:v>
      </x:c>
      <x:c r="D60" s="18" t="n">
        <x:v>2026</x:v>
      </x:c>
      <x:c r="E60" s="18" t="str">
        <x:v>2026-09</x:v>
      </x:c>
      <x:c r="F60" s="18" t="str"/>
      <x:c r="G60" s="18" t="str">
        <x:v>site:pib.gov.in India budget scheme expenditure allocation</x:v>
      </x:c>
      <x:c r="H60" s="18" t="str"/>
      <x:c r="I60" s="18" t="str">
        <x:v>PIB</x:v>
      </x:c>
      <x:c r="J60" s="20" t="str"/>
      <x:c r="K60" s="18" t="str"/>
      <x:c r="L60" s="18" t="str">
        <x:v>Shri Rajiv Gauba, Member, NITI Aayog launches PACT and ZET marketplace, urges stategic electrification of India’s freight sector - PIB</x:v>
      </x:c>
      <x:c r="M60" s="18" t="str">
        <x:v>PIB</x:v>
      </x:c>
      <x:c r="N60" s="18" t="str">
        <x:v>site:pib.gov.in India budget scheme expenditure allocation</x:v>
      </x:c>
      <x:c r="O60" s="18" t="n">
        <x:v>46272.51597222222</x:v>
      </x:c>
      <x:c r="P60" s="18" t="str">
        <x:v>https://www.pib.gov.in</x:v>
      </x:c>
      <x:c r="Q60" s="18" t="str">
        <x:v>DEFINED_TERMINAL_OR_FEED_SCOPE</x:v>
      </x:c>
      <x:c r="R60" s="18" t="str">
        <x:v>news_budget_schemes_14d.json — published records loaded</x:v>
      </x:c>
      <x:c r="S60" s="18" t="str"/>
      <x:c r="T60" s="18" t="str"/>
      <x:c r="U60" s="20" t="n">
        <x:v>100</x:v>
      </x:c>
      <x:c r="V60" s="19" t="n">
        <x:f>IFERROR(TODAY()-DATEVALUE(C60),"")</x:f>
        <x:v>3</x:v>
      </x:c>
      <x:c r="W60" s="21" t="n">
        <x:f>ROUND(COUNTA(A60:K60)/11*100,0)</x:f>
        <x:v>100</x:v>
      </x:c>
      <x:c r="X60" s="18" t="str">
        <x:v>Google News RSS</x:v>
      </x:c>
      <x:c r="Y60" s="22" t="str">
        <x:v>https://news.google.com/rss/articles/CBMifkFVX3lxTE50R1ZYTDM2QWRVUjUzdG1JTXQ2VW9qSTd6cEZvdWY0NEJCS3ZNelhsRTBteDZMQ3c2b2hHam1TNXREZmU2TXNGN1licEFxZE5qYzlXMFJfejliUjBieENSeU45a2tGa0dKd1BWT3Y0LU5mNkpndEIwampYU2Z2Zw?oc=5</x:v>
      </x:c>
      <x:c r="Z60" s="18" t="n">
        <x:v>46272.51597222222</x:v>
      </x:c>
      <x:c r="AA60" s="18" t="n">
        <x:v>46275.38862103009</x:v>
      </x:c>
      <x:c r="AB60" s="18" t="str">
        <x:v>public_rss</x:v>
      </x:c>
      <x:c r="AC60" s="18" t="str">
        <x:v>READY</x:v>
      </x:c>
    </x:row>
    <x:row r="61">
      <x:c r="A61" s="18" t="str">
        <x:v>NYT-27-d63518ae292cc761</x:v>
      </x:c>
      <x:c r="B61" s="18" t="str">
        <x:v>From Financial Struggle to Mechanised Sanitation Entrepreneurship: How NAMASTE–SUY Support Strengthened Kapil Pal’s Livelihood - PIB</x:v>
      </x:c>
      <x:c r="C61" s="18" t="str">
        <x:v>2026-08-28</x:v>
      </x:c>
      <x:c r="D61" s="18" t="n">
        <x:v>2026</x:v>
      </x:c>
      <x:c r="E61" s="18" t="str">
        <x:v>2026-08</x:v>
      </x:c>
      <x:c r="F61" s="18" t="str"/>
      <x:c r="G61" s="18" t="str">
        <x:v>site:pib.gov.in India budget scheme expenditure allocation</x:v>
      </x:c>
      <x:c r="H61" s="18" t="str"/>
      <x:c r="I61" s="18" t="str">
        <x:v>PIB</x:v>
      </x:c>
      <x:c r="J61" s="20" t="str"/>
      <x:c r="K61" s="18" t="str"/>
      <x:c r="L61" s="18" t="str">
        <x:v>From Financial Struggle to Mechanised Sanitation Entrepreneurship: How NAMASTE–SUY Support Strengthened Kapil Pal’s Livelihood - PIB</x:v>
      </x:c>
      <x:c r="M61" s="18" t="str">
        <x:v>PIB</x:v>
      </x:c>
      <x:c r="N61" s="18" t="str">
        <x:v>site:pib.gov.in India budget scheme expenditure allocation</x:v>
      </x:c>
      <x:c r="O61" s="18" t="n">
        <x:v>46262.291666666664</x:v>
      </x:c>
      <x:c r="P61" s="18" t="str">
        <x:v>https://www.pib.gov.in</x:v>
      </x:c>
      <x:c r="Q61" s="18" t="str">
        <x:v>DEFINED_TERMINAL_OR_FEED_SCOPE</x:v>
      </x:c>
      <x:c r="R61" s="18" t="str">
        <x:v>news_budget_schemes_14d.json — published records loaded</x:v>
      </x:c>
      <x:c r="S61" s="18" t="str"/>
      <x:c r="T61" s="18" t="str"/>
      <x:c r="U61" s="20" t="n">
        <x:v>100</x:v>
      </x:c>
      <x:c r="V61" s="19" t="n">
        <x:f>IFERROR(TODAY()-DATEVALUE(C61),"")</x:f>
        <x:v>13</x:v>
      </x:c>
      <x:c r="W61" s="21" t="n">
        <x:f>ROUND(COUNTA(A61:K61)/11*100,0)</x:f>
        <x:v>100</x:v>
      </x:c>
      <x:c r="X61" s="18" t="str">
        <x:v>Google News RSS</x:v>
      </x:c>
      <x:c r="Y61" s="22" t="str">
        <x:v>https://news.google.com/rss/articles/CBMia0FVX3lxTE0wcHZYcW02QVhrSDV6NG1EOU1SRi1YcDd5aVJzWXUyUHhQUXNMbUtjaUJyQW9CM1VtQzBLbDRYWkNLV0RxR0NxNW1CaENJbVBoWW1JOFJWcUxnckNQTXlnQ3ZMcW92c0I1alI0?oc=5</x:v>
      </x:c>
      <x:c r="Z61" s="18" t="n">
        <x:v>46262.291666666664</x:v>
      </x:c>
      <x:c r="AA61" s="18" t="n">
        <x:v>46275.38862103009</x:v>
      </x:c>
      <x:c r="AB61" s="18" t="str">
        <x:v>public_rss</x:v>
      </x:c>
      <x:c r="AC61" s="18" t="str">
        <x:v>READY</x:v>
      </x:c>
    </x:row>
    <x:row r="62">
      <x:c r="A62" s="18" t="str">
        <x:v>NYT-27-2f54bd8921e597d2</x:v>
      </x:c>
      <x:c r="B62" s="18" t="str">
        <x:v>Pradhan Mantri Fasal Bima Yojana - PIB</x:v>
      </x:c>
      <x:c r="C62" s="18" t="str">
        <x:v>2026-08-29</x:v>
      </x:c>
      <x:c r="D62" s="18" t="n">
        <x:v>2026</x:v>
      </x:c>
      <x:c r="E62" s="18" t="str">
        <x:v>2026-08</x:v>
      </x:c>
      <x:c r="F62" s="18" t="str"/>
      <x:c r="G62" s="18" t="str">
        <x:v>site:pib.gov.in India budget scheme expenditure allocation</x:v>
      </x:c>
      <x:c r="H62" s="18" t="str"/>
      <x:c r="I62" s="18" t="str">
        <x:v>PIB</x:v>
      </x:c>
      <x:c r="J62" s="20" t="str"/>
      <x:c r="K62" s="18" t="str"/>
      <x:c r="L62" s="18" t="str">
        <x:v>Pradhan Mantri Fasal Bima Yojana - PIB</x:v>
      </x:c>
      <x:c r="M62" s="18" t="str">
        <x:v>PIB</x:v>
      </x:c>
      <x:c r="N62" s="18" t="str">
        <x:v>site:pib.gov.in India budget scheme expenditure allocation</x:v>
      </x:c>
      <x:c r="O62" s="18" t="n">
        <x:v>46263.291666666664</x:v>
      </x:c>
      <x:c r="P62" s="18" t="str">
        <x:v>https://www.pib.gov.in</x:v>
      </x:c>
      <x:c r="Q62" s="18" t="str">
        <x:v>DEFINED_TERMINAL_OR_FEED_SCOPE</x:v>
      </x:c>
      <x:c r="R62" s="18" t="str">
        <x:v>news_budget_schemes_14d.json — published records loaded</x:v>
      </x:c>
      <x:c r="S62" s="18" t="str"/>
      <x:c r="T62" s="18" t="str"/>
      <x:c r="U62" s="20" t="n">
        <x:v>100</x:v>
      </x:c>
      <x:c r="V62" s="19" t="n">
        <x:f>IFERROR(TODAY()-DATEVALUE(C62),"")</x:f>
        <x:v>12</x:v>
      </x:c>
      <x:c r="W62" s="21" t="n">
        <x:f>ROUND(COUNTA(A62:K62)/11*100,0)</x:f>
        <x:v>100</x:v>
      </x:c>
      <x:c r="X62" s="18" t="str">
        <x:v>Google News RSS</x:v>
      </x:c>
      <x:c r="Y62" s="22" t="str">
        <x:v>https://news.google.com/rss/articles/CBMiaEFVX3lxTE91SlFWRE5ZWElHWHFTQ25jRkFUaDMyS190OVpxa3hOdEZYNWJlUEVzeWhTWEtINXkwUXU4WkFuRjJLa0wySVNZV3Noa3NRVGMyOGd3QWxxUVpjOVFpbkNkeFZQQk9FQWZq?oc=5</x:v>
      </x:c>
      <x:c r="Z62" s="18" t="n">
        <x:v>46263.291666666664</x:v>
      </x:c>
      <x:c r="AA62" s="18" t="n">
        <x:v>46275.38862103009</x:v>
      </x:c>
      <x:c r="AB62" s="18" t="str">
        <x:v>public_rss</x:v>
      </x:c>
      <x:c r="AC62" s="18" t="str">
        <x:v>READY</x:v>
      </x:c>
    </x:row>
    <x:row r="63">
      <x:c r="A63" s="18" t="str">
        <x:v>NYT-27-70de4d183c2ab103</x:v>
      </x:c>
      <x:c r="B63" s="18" t="str">
        <x:v>Union Home Minister and Minister of Cooperation Shri Amit Shah inaugurates and lays the foundation stones for various projects of SSB in Siliguri and interacts with the personnel - PIB</x:v>
      </x:c>
      <x:c r="C63" s="18" t="str">
        <x:v>2026-08-21</x:v>
      </x:c>
      <x:c r="D63" s="18" t="n">
        <x:v>2026</x:v>
      </x:c>
      <x:c r="E63" s="18" t="str">
        <x:v>2026-08</x:v>
      </x:c>
      <x:c r="F63" s="18" t="str"/>
      <x:c r="G63" s="18" t="str">
        <x:v>site:pib.gov.in India budget scheme expenditure allocation</x:v>
      </x:c>
      <x:c r="H63" s="18" t="str"/>
      <x:c r="I63" s="18" t="str">
        <x:v>PIB</x:v>
      </x:c>
      <x:c r="J63" s="20" t="str"/>
      <x:c r="K63" s="18" t="str"/>
      <x:c r="L63" s="18" t="str">
        <x:v>Union Home Minister and Minister of Cooperation Shri Amit Shah inaugurates and lays the foundation stones for various projects of SSB in Siliguri and interacts with the personnel - PIB</x:v>
      </x:c>
      <x:c r="M63" s="18" t="str">
        <x:v>PIB</x:v>
      </x:c>
      <x:c r="N63" s="18" t="str">
        <x:v>site:pib.gov.in India budget scheme expenditure allocation</x:v>
      </x:c>
      <x:c r="O63" s="18" t="n">
        <x:v>46255.56284722222</x:v>
      </x:c>
      <x:c r="P63" s="18" t="str">
        <x:v>https://www.pib.gov.in</x:v>
      </x:c>
      <x:c r="Q63" s="18" t="str">
        <x:v>DEFINED_TERMINAL_OR_FEED_SCOPE</x:v>
      </x:c>
      <x:c r="R63" s="18" t="str">
        <x:v>news_budget_schemes_14d.json — published records loaded</x:v>
      </x:c>
      <x:c r="S63" s="18" t="str"/>
      <x:c r="T63" s="18" t="str"/>
      <x:c r="U63" s="20" t="n">
        <x:v>100</x:v>
      </x:c>
      <x:c r="V63" s="19" t="n">
        <x:f>IFERROR(TODAY()-DATEVALUE(C63),"")</x:f>
        <x:v>20</x:v>
      </x:c>
      <x:c r="W63" s="21" t="n">
        <x:f>ROUND(COUNTA(A63:K63)/11*100,0)</x:f>
        <x:v>100</x:v>
      </x:c>
      <x:c r="X63" s="18" t="str">
        <x:v>Google News RSS</x:v>
      </x:c>
      <x:c r="Y63" s="22" t="str">
        <x:v>https://news.google.com/rss/articles/CBMifEFVX3lxTE12dllpWFRwUDFIUy15TVozdFYxb1lvN3k4a1E1Q1VqY0VRQVp5VDFOdzBUa3pVVlhkYy1NTDI4bkZpQjBjYjJBcmJpSmRuLThsNFJVUGRLME9GejNqcElza294bmRzcVZ2ZU1xU2tYLVZwdGsxUHprcHVtNl8?oc=5</x:v>
      </x:c>
      <x:c r="Z63" s="18" t="n">
        <x:v>46255.56284722222</x:v>
      </x:c>
      <x:c r="AA63" s="18" t="n">
        <x:v>46275.38862103009</x:v>
      </x:c>
      <x:c r="AB63" s="18" t="str">
        <x:v>public_rss</x:v>
      </x:c>
      <x:c r="AC63" s="18" t="str">
        <x:v>READY</x:v>
      </x:c>
    </x:row>
    <x:row r="64">
      <x:c r="A64" s="18" t="str">
        <x:v>NYT-27-928dea275cfbdcb0</x:v>
      </x:c>
      <x:c r="B64" s="18" t="str">
        <x:v>Cabinet approves three multitracking projects covering 14 Districts across the states of West Bengal, Jharkhand, Odisha, Madhya Pradesh and Chhattisgarh, increasing the existing network of Indian Railways by about 656 Kms - PIB</x:v>
      </x:c>
      <x:c r="C64" s="18" t="str">
        <x:v>2026-09-09</x:v>
      </x:c>
      <x:c r="D64" s="18" t="n">
        <x:v>2026</x:v>
      </x:c>
      <x:c r="E64" s="18" t="str">
        <x:v>2026-09</x:v>
      </x:c>
      <x:c r="F64" s="18" t="str"/>
      <x:c r="G64" s="18" t="str">
        <x:v>site:pib.gov.in India budget scheme expenditure allocation</x:v>
      </x:c>
      <x:c r="H64" s="18" t="str"/>
      <x:c r="I64" s="18" t="str">
        <x:v>PIB</x:v>
      </x:c>
      <x:c r="J64" s="20" t="str"/>
      <x:c r="K64" s="18" t="str"/>
      <x:c r="L64" s="18" t="str">
        <x:v>Cabinet approves three multitracking projects covering 14 Districts across the states of West Bengal, Jharkhand, Odisha, Madhya Pradesh and Chhattisgarh, increasing the existing network of Indian Railways by about 656 Kms - PIB</x:v>
      </x:c>
      <x:c r="M64" s="18" t="str">
        <x:v>PIB</x:v>
      </x:c>
      <x:c r="N64" s="18" t="str">
        <x:v>site:pib.gov.in India budget scheme expenditure allocation</x:v>
      </x:c>
      <x:c r="O64" s="18" t="n">
        <x:v>46274.41388888889</x:v>
      </x:c>
      <x:c r="P64" s="18" t="str">
        <x:v>https://www.pib.gov.in</x:v>
      </x:c>
      <x:c r="Q64" s="18" t="str">
        <x:v>DEFINED_TERMINAL_OR_FEED_SCOPE</x:v>
      </x:c>
      <x:c r="R64" s="18" t="str">
        <x:v>news_budget_schemes_14d.json — published records loaded</x:v>
      </x:c>
      <x:c r="S64" s="18" t="str"/>
      <x:c r="T64" s="18" t="str"/>
      <x:c r="U64" s="20" t="n">
        <x:v>100</x:v>
      </x:c>
      <x:c r="V64" s="19" t="n">
        <x:f>IFERROR(TODAY()-DATEVALUE(C64),"")</x:f>
        <x:v>1</x:v>
      </x:c>
      <x:c r="W64" s="21" t="n">
        <x:f>ROUND(COUNTA(A64:K64)/11*100,0)</x:f>
        <x:v>100</x:v>
      </x:c>
      <x:c r="X64" s="18" t="str">
        <x:v>Google News RSS</x:v>
      </x:c>
      <x:c r="Y64" s="22" t="str">
        <x:v>https://news.google.com/rss/articles/CBMie0FVX3lxTFBxUUg2Ti1ENElPVjRQbE9TdkZZMUtLNkNxMjJfaU0tdWdmdnd0dHlza3ZZM2JaSTlnUVBmU0xYWDg2VlExUFhhZDRTWHItSk94N2ROUHRoYnFCeVVMdHFTRHpGbS16cEhTWGlVbG1QYmZpa2RTeXh0SjF4cw?oc=5</x:v>
      </x:c>
      <x:c r="Z64" s="18" t="n">
        <x:v>46274.41388888889</x:v>
      </x:c>
      <x:c r="AA64" s="18" t="n">
        <x:v>46275.38862103009</x:v>
      </x:c>
      <x:c r="AB64" s="18" t="str">
        <x:v>public_rss</x:v>
      </x:c>
      <x:c r="AC64" s="18" t="str">
        <x:v>READY</x:v>
      </x:c>
    </x:row>
    <x:row r="65">
      <x:c r="A65" s="18" t="str">
        <x:v>NYT-27-01b837e9a3eddbda</x:v>
      </x:c>
      <x:c r="B65" s="18" t="str">
        <x:v>Jute: India’s Golden Fibre - PIB</x:v>
      </x:c>
      <x:c r="C65" s="18" t="str">
        <x:v>2026-09-07</x:v>
      </x:c>
      <x:c r="D65" s="18" t="n">
        <x:v>2026</x:v>
      </x:c>
      <x:c r="E65" s="18" t="str">
        <x:v>2026-09</x:v>
      </x:c>
      <x:c r="F65" s="18" t="str"/>
      <x:c r="G65" s="18" t="str">
        <x:v>site:pib.gov.in India budget scheme expenditure allocation</x:v>
      </x:c>
      <x:c r="H65" s="18" t="str"/>
      <x:c r="I65" s="18" t="str">
        <x:v>PIB</x:v>
      </x:c>
      <x:c r="J65" s="20" t="str"/>
      <x:c r="K65" s="18" t="str"/>
      <x:c r="L65" s="18" t="str">
        <x:v>Jute: India’s Golden Fibre - PIB</x:v>
      </x:c>
      <x:c r="M65" s="18" t="str">
        <x:v>PIB</x:v>
      </x:c>
      <x:c r="N65" s="18" t="str">
        <x:v>site:pib.gov.in India budget scheme expenditure allocation</x:v>
      </x:c>
      <x:c r="O65" s="18" t="n">
        <x:v>46272.65902777778</x:v>
      </x:c>
      <x:c r="P65" s="18" t="str">
        <x:v>https://www.pib.gov.in</x:v>
      </x:c>
      <x:c r="Q65" s="18" t="str">
        <x:v>DEFINED_TERMINAL_OR_FEED_SCOPE</x:v>
      </x:c>
      <x:c r="R65" s="18" t="str">
        <x:v>news_budget_schemes_14d.json — published records loaded</x:v>
      </x:c>
      <x:c r="S65" s="18" t="str"/>
      <x:c r="T65" s="18" t="str"/>
      <x:c r="U65" s="20" t="n">
        <x:v>100</x:v>
      </x:c>
      <x:c r="V65" s="19" t="n">
        <x:f>IFERROR(TODAY()-DATEVALUE(C65),"")</x:f>
        <x:v>3</x:v>
      </x:c>
      <x:c r="W65" s="21" t="n">
        <x:f>ROUND(COUNTA(A65:K65)/11*100,0)</x:f>
        <x:v>100</x:v>
      </x:c>
      <x:c r="X65" s="18" t="str">
        <x:v>Google News RSS</x:v>
      </x:c>
      <x:c r="Y65" s="22" t="str">
        <x:v>https://news.google.com/rss/articles/CBMifEFVX3lxTE04SHFWQlo1RHo2ajhlX0lfNnlfeTJ2Uy1TVHV1QzJHamN0MFc5UFhNMzNnWTNQV2Q5QlQ1LUpvZ0JHVVRGajhucUs5ZlFwX2RrMHNaME44WmxRV1diZFNoUjhEbVYzZlVxZTI0NXBTREJDNHhiaWhtYjJJSHU?oc=5</x:v>
      </x:c>
      <x:c r="Z65" s="18" t="n">
        <x:v>46272.65902777778</x:v>
      </x:c>
      <x:c r="AA65" s="18" t="n">
        <x:v>46275.38862103009</x:v>
      </x:c>
      <x:c r="AB65" s="18" t="str">
        <x:v>public_rss</x:v>
      </x:c>
      <x:c r="AC65" s="18" t="str">
        <x:v>READY</x:v>
      </x:c>
    </x:row>
    <x:row r="66">
      <x:c r="A66" s="18" t="str">
        <x:v>NYT-27-f6a257b75197a54a</x:v>
      </x:c>
      <x:c r="B66" s="18" t="str">
        <x:v>Cabinet approves Rs. One Lakh Crore Urban Challenge Fund to Drive Market-Led Urban Transformation - PIB</x:v>
      </x:c>
      <x:c r="C66" s="18" t="str">
        <x:v>2026-09-03</x:v>
      </x:c>
      <x:c r="D66" s="18" t="n">
        <x:v>2026</x:v>
      </x:c>
      <x:c r="E66" s="18" t="str">
        <x:v>2026-09</x:v>
      </x:c>
      <x:c r="F66" s="18" t="str"/>
      <x:c r="G66" s="18" t="str">
        <x:v>site:pib.gov.in India budget scheme expenditure allocation</x:v>
      </x:c>
      <x:c r="H66" s="18" t="str"/>
      <x:c r="I66" s="18" t="str">
        <x:v>PIB</x:v>
      </x:c>
      <x:c r="J66" s="20" t="str"/>
      <x:c r="K66" s="18" t="str"/>
      <x:c r="L66" s="18" t="str">
        <x:v>Cabinet approves Rs. One Lakh Crore Urban Challenge Fund to Drive Market-Led Urban Transformation - PIB</x:v>
      </x:c>
      <x:c r="M66" s="18" t="str">
        <x:v>PIB</x:v>
      </x:c>
      <x:c r="N66" s="18" t="str">
        <x:v>site:pib.gov.in India budget scheme expenditure allocation</x:v>
      </x:c>
      <x:c r="O66" s="18" t="n">
        <x:v>46268.584027777775</x:v>
      </x:c>
      <x:c r="P66" s="18" t="str">
        <x:v>https://www.pib.gov.in</x:v>
      </x:c>
      <x:c r="Q66" s="18" t="str">
        <x:v>DEFINED_TERMINAL_OR_FEED_SCOPE</x:v>
      </x:c>
      <x:c r="R66" s="18" t="str">
        <x:v>news_budget_schemes_14d.json — published records loaded</x:v>
      </x:c>
      <x:c r="S66" s="18" t="str"/>
      <x:c r="T66" s="18" t="str"/>
      <x:c r="U66" s="20" t="n">
        <x:v>100</x:v>
      </x:c>
      <x:c r="V66" s="19" t="n">
        <x:f>IFERROR(TODAY()-DATEVALUE(C66),"")</x:f>
        <x:v>7</x:v>
      </x:c>
      <x:c r="W66" s="21" t="n">
        <x:f>ROUND(COUNTA(A66:K66)/11*100,0)</x:f>
        <x:v>100</x:v>
      </x:c>
      <x:c r="X66" s="18" t="str">
        <x:v>Google News RSS</x:v>
      </x:c>
      <x:c r="Y66" s="22" t="str">
        <x:v>https://news.google.com/rss/articles/CBMifkFVX3lxTE5naGVqMnpHdDNPa3BaNFU2VjdrRXNPelN5NklDSGxKbDEyUTZKVzdqZ2NZNmtPQjMxdE4ydU5odEpUMGdnbmdVeFRFRG5BWHBRSnZLQzhKTTFPaG4zaDduaUREc0dOUXhNaTFQeHRwNDRyR0pZVjJacGlKR0plUQ?oc=5</x:v>
      </x:c>
      <x:c r="Z66" s="18" t="n">
        <x:v>46268.584027777775</x:v>
      </x:c>
      <x:c r="AA66" s="18" t="n">
        <x:v>46275.38862103009</x:v>
      </x:c>
      <x:c r="AB66" s="18" t="str">
        <x:v>public_rss</x:v>
      </x:c>
      <x:c r="AC66" s="18" t="str">
        <x:v>READY</x:v>
      </x:c>
    </x:row>
    <x:row r="67">
      <x:c r="A67" s="18" t="str">
        <x:v>NYT-27-0018bea157edf722</x:v>
      </x:c>
      <x:c r="B67" s="18" t="str">
        <x:v>From Unpaid Helper to Sanitation Entrepreneur: How NAMASTE-SUY Support Transformed Kapil’s Life - PIB</x:v>
      </x:c>
      <x:c r="C67" s="18" t="str">
        <x:v>2026-09-03</x:v>
      </x:c>
      <x:c r="D67" s="18" t="n">
        <x:v>2026</x:v>
      </x:c>
      <x:c r="E67" s="18" t="str">
        <x:v>2026-09</x:v>
      </x:c>
      <x:c r="F67" s="18" t="str"/>
      <x:c r="G67" s="18" t="str">
        <x:v>site:pib.gov.in India budget scheme expenditure allocation</x:v>
      </x:c>
      <x:c r="H67" s="18" t="str"/>
      <x:c r="I67" s="18" t="str">
        <x:v>PIB</x:v>
      </x:c>
      <x:c r="J67" s="20" t="str"/>
      <x:c r="K67" s="18" t="str"/>
      <x:c r="L67" s="18" t="str">
        <x:v>From Unpaid Helper to Sanitation Entrepreneur: How NAMASTE-SUY Support Transformed Kapil’s Life - PIB</x:v>
      </x:c>
      <x:c r="M67" s="18" t="str">
        <x:v>PIB</x:v>
      </x:c>
      <x:c r="N67" s="18" t="str">
        <x:v>site:pib.gov.in India budget scheme expenditure allocation</x:v>
      </x:c>
      <x:c r="O67" s="18" t="n">
        <x:v>46268.74097222222</x:v>
      </x:c>
      <x:c r="P67" s="18" t="str">
        <x:v>https://www.pib.gov.in</x:v>
      </x:c>
      <x:c r="Q67" s="18" t="str">
        <x:v>DEFINED_TERMINAL_OR_FEED_SCOPE</x:v>
      </x:c>
      <x:c r="R67" s="18" t="str">
        <x:v>news_budget_schemes_14d.json — published records loaded</x:v>
      </x:c>
      <x:c r="S67" s="18" t="str"/>
      <x:c r="T67" s="18" t="str"/>
      <x:c r="U67" s="20" t="n">
        <x:v>100</x:v>
      </x:c>
      <x:c r="V67" s="19" t="n">
        <x:f>IFERROR(TODAY()-DATEVALUE(C67),"")</x:f>
        <x:v>7</x:v>
      </x:c>
      <x:c r="W67" s="21" t="n">
        <x:f>ROUND(COUNTA(A67:K67)/11*100,0)</x:f>
        <x:v>100</x:v>
      </x:c>
      <x:c r="X67" s="18" t="str">
        <x:v>Google News RSS</x:v>
      </x:c>
      <x:c r="Y67" s="22" t="str">
        <x:v>https://news.google.com/rss/articles/CBMie0FVX3lxTE1wQjZNWHdWeEUxUEJXYW1DaGpFZlRBdFg1NkV0Y1ZybkxiU2l0TG1LOFhvbmJLcWZaYmpaTVpxVzJFQlBfRGFhMjdGODJSOFNGRzlSQVc0Smc0V2hwQWt2cU5yX1B3UlQ1QU1ibzRtMVdDUllJczJyS0h2MA?oc=5</x:v>
      </x:c>
      <x:c r="Z67" s="18" t="n">
        <x:v>46268.74097222222</x:v>
      </x:c>
      <x:c r="AA67" s="18" t="n">
        <x:v>46275.38862103009</x:v>
      </x:c>
      <x:c r="AB67" s="18" t="str">
        <x:v>public_rss</x:v>
      </x:c>
      <x:c r="AC67" s="18" t="str">
        <x:v>READY</x:v>
      </x:c>
    </x:row>
    <x:row r="68">
      <x:c r="A68" s="18" t="str">
        <x:v>NYT-27-2669bc0f73d55531</x:v>
      </x:c>
      <x:c r="B68" s="18" t="str">
        <x:v>MoSPI signs MoU with Thapar Institute of Engineering &amp; Technology, Punjab for undertaking a Research Study - PIB</x:v>
      </x:c>
      <x:c r="C68" s="18" t="str">
        <x:v>2026-08-31</x:v>
      </x:c>
      <x:c r="D68" s="18" t="n">
        <x:v>2026</x:v>
      </x:c>
      <x:c r="E68" s="18" t="str">
        <x:v>2026-08</x:v>
      </x:c>
      <x:c r="F68" s="18" t="str"/>
      <x:c r="G68" s="18" t="str">
        <x:v>site:pib.gov.in India budget scheme expenditure allocation</x:v>
      </x:c>
      <x:c r="H68" s="18" t="str"/>
      <x:c r="I68" s="18" t="str">
        <x:v>PIB</x:v>
      </x:c>
      <x:c r="J68" s="20" t="str"/>
      <x:c r="K68" s="18" t="str"/>
      <x:c r="L68" s="18" t="str">
        <x:v>MoSPI signs MoU with Thapar Institute of Engineering &amp; Technology, Punjab for undertaking a Research Study - PIB</x:v>
      </x:c>
      <x:c r="M68" s="18" t="str">
        <x:v>PIB</x:v>
      </x:c>
      <x:c r="N68" s="18" t="str">
        <x:v>site:pib.gov.in India budget scheme expenditure allocation</x:v>
      </x:c>
      <x:c r="O68" s="18" t="n">
        <x:v>46265.595138888886</x:v>
      </x:c>
      <x:c r="P68" s="18" t="str">
        <x:v>https://www.pib.gov.in</x:v>
      </x:c>
      <x:c r="Q68" s="18" t="str">
        <x:v>DEFINED_TERMINAL_OR_FEED_SCOPE</x:v>
      </x:c>
      <x:c r="R68" s="18" t="str">
        <x:v>news_budget_schemes_14d.json — published records loaded</x:v>
      </x:c>
      <x:c r="S68" s="18" t="str"/>
      <x:c r="T68" s="18" t="str"/>
      <x:c r="U68" s="20" t="n">
        <x:v>100</x:v>
      </x:c>
      <x:c r="V68" s="19" t="n">
        <x:f>IFERROR(TODAY()-DATEVALUE(C68),"")</x:f>
        <x:v>10</x:v>
      </x:c>
      <x:c r="W68" s="21" t="n">
        <x:f>ROUND(COUNTA(A68:K68)/11*100,0)</x:f>
        <x:v>100</x:v>
      </x:c>
      <x:c r="X68" s="18" t="str">
        <x:v>Google News RSS</x:v>
      </x:c>
      <x:c r="Y68" s="22" t="str">
        <x:v>https://news.google.com/rss/articles/CBMifEFVX3lxTE12dVhGTUtkeFZXS0N4ZTY4a2VMVUpsaVFVc0FPY0I2TFlYZEdVZ2trQ0lZMl9nVXhlMXJ1WmpBTTRacTBMUkFzMTVyRzZwb0pYdkFCT2hEYkthaDJRSVV5S0NreHZ2b3NiaF9TeTVUbGlGLTNlVmNzRGNZUjY?oc=5</x:v>
      </x:c>
      <x:c r="Z68" s="18" t="n">
        <x:v>46265.595138888886</x:v>
      </x:c>
      <x:c r="AA68" s="18" t="n">
        <x:v>46275.38862103009</x:v>
      </x:c>
      <x:c r="AB68" s="18" t="str">
        <x:v>public_rss</x:v>
      </x:c>
      <x:c r="AC68" s="18" t="str">
        <x:v>READY</x:v>
      </x:c>
    </x:row>
    <x:row r="69">
      <x:c r="A69" s="18" t="str">
        <x:v>NYT-27-07efc88dca80be48</x:v>
      </x:c>
      <x:c r="B69" s="18" t="str">
        <x:v>Shri G. Kishan Reddy, Union Minister of Coal &amp; Mines, Launches First-Ever Sector-Wide CSR Framework for Indian Coal Companies; Celebrates Milestones under Thalassemia Bal Sewa Yojana and Nanha Sa Dil - PIB</x:v>
      </x:c>
      <x:c r="C69" s="18" t="str">
        <x:v>2026-09-08</x:v>
      </x:c>
      <x:c r="D69" s="18" t="n">
        <x:v>2026</x:v>
      </x:c>
      <x:c r="E69" s="18" t="str">
        <x:v>2026-09</x:v>
      </x:c>
      <x:c r="F69" s="18" t="str"/>
      <x:c r="G69" s="18" t="str">
        <x:v>site:pib.gov.in India budget scheme expenditure allocation</x:v>
      </x:c>
      <x:c r="H69" s="18" t="str"/>
      <x:c r="I69" s="18" t="str">
        <x:v>PIB</x:v>
      </x:c>
      <x:c r="J69" s="20" t="str"/>
      <x:c r="K69" s="18" t="str"/>
      <x:c r="L69" s="18" t="str">
        <x:v>Shri G. Kishan Reddy, Union Minister of Coal &amp; Mines, Launches First-Ever Sector-Wide CSR Framework for Indian Coal Companies; Celebrates Milestones under Thalassemia Bal Sewa Yojana and Nanha Sa Dil - PIB</x:v>
      </x:c>
      <x:c r="M69" s="18" t="str">
        <x:v>PIB</x:v>
      </x:c>
      <x:c r="N69" s="18" t="str">
        <x:v>site:pib.gov.in India budget scheme expenditure allocation</x:v>
      </x:c>
      <x:c r="O69" s="18" t="n">
        <x:v>46273.59583333333</x:v>
      </x:c>
      <x:c r="P69" s="18" t="str">
        <x:v>https://www.pib.gov.in</x:v>
      </x:c>
      <x:c r="Q69" s="18" t="str">
        <x:v>DEFINED_TERMINAL_OR_FEED_SCOPE</x:v>
      </x:c>
      <x:c r="R69" s="18" t="str">
        <x:v>news_budget_schemes_14d.json — published records loaded</x:v>
      </x:c>
      <x:c r="S69" s="18" t="str"/>
      <x:c r="T69" s="18" t="str"/>
      <x:c r="U69" s="20" t="n">
        <x:v>100</x:v>
      </x:c>
      <x:c r="V69" s="19" t="n">
        <x:f>IFERROR(TODAY()-DATEVALUE(C69),"")</x:f>
        <x:v>2</x:v>
      </x:c>
      <x:c r="W69" s="21" t="n">
        <x:f>ROUND(COUNTA(A69:K69)/11*100,0)</x:f>
        <x:v>100</x:v>
      </x:c>
      <x:c r="X69" s="18" t="str">
        <x:v>Google News RSS</x:v>
      </x:c>
      <x:c r="Y69" s="22" t="str">
        <x:v>https://news.google.com/rss/articles/CBMie0FVX3lxTE9DR3R5aHQxMVJkaFhnNmMyQy0zbWVFaDA4WEwtTTllRTFjNXd4cnUyYXNHRlhWOFBBWXNjczRoR1RjS3J1RmpQRGloY3R1d1BIeXRvdE84QUZZZU5kLUZ0bzVJaEVMVzhpTXlBMXVyY3lXM2kxLUFfQW8xWQ?oc=5</x:v>
      </x:c>
      <x:c r="Z69" s="18" t="n">
        <x:v>46273.59583333333</x:v>
      </x:c>
      <x:c r="AA69" s="18" t="n">
        <x:v>46275.38862103009</x:v>
      </x:c>
      <x:c r="AB69" s="18" t="str">
        <x:v>public_rss</x:v>
      </x:c>
      <x:c r="AC69" s="18" t="str">
        <x:v>READY</x:v>
      </x:c>
    </x:row>
    <x:row r="70">
      <x:c r="A70" s="18" t="str">
        <x:v>NYT-27-5455531d02475bd2</x:v>
      </x:c>
      <x:c r="B70" s="18" t="str">
        <x:v>From Financial Hardship to Sanitation Entrepreneurship: Chetan Kumar Kaushik's Journey towards Self-Reliance under NAMASTE-SUY - PIB</x:v>
      </x:c>
      <x:c r="C70" s="18" t="str">
        <x:v>2026-09-01</x:v>
      </x:c>
      <x:c r="D70" s="18" t="n">
        <x:v>2026</x:v>
      </x:c>
      <x:c r="E70" s="18" t="str">
        <x:v>2026-09</x:v>
      </x:c>
      <x:c r="F70" s="18" t="str"/>
      <x:c r="G70" s="18" t="str">
        <x:v>site:pib.gov.in India budget scheme expenditure allocation</x:v>
      </x:c>
      <x:c r="H70" s="18" t="str"/>
      <x:c r="I70" s="18" t="str">
        <x:v>PIB</x:v>
      </x:c>
      <x:c r="J70" s="20" t="str"/>
      <x:c r="K70" s="18" t="str"/>
      <x:c r="L70" s="18" t="str">
        <x:v>From Financial Hardship to Sanitation Entrepreneurship: Chetan Kumar Kaushik's Journey towards Self-Reliance under NAMASTE-SUY - PIB</x:v>
      </x:c>
      <x:c r="M70" s="18" t="str">
        <x:v>PIB</x:v>
      </x:c>
      <x:c r="N70" s="18" t="str">
        <x:v>site:pib.gov.in India budget scheme expenditure allocation</x:v>
      </x:c>
      <x:c r="O70" s="18" t="n">
        <x:v>46266.55069444444</x:v>
      </x:c>
      <x:c r="P70" s="18" t="str">
        <x:v>https://www.pib.gov.in</x:v>
      </x:c>
      <x:c r="Q70" s="18" t="str">
        <x:v>DEFINED_TERMINAL_OR_FEED_SCOPE</x:v>
      </x:c>
      <x:c r="R70" s="18" t="str">
        <x:v>news_budget_schemes_14d.json — published records loaded</x:v>
      </x:c>
      <x:c r="S70" s="18" t="str"/>
      <x:c r="T70" s="18" t="str"/>
      <x:c r="U70" s="20" t="n">
        <x:v>100</x:v>
      </x:c>
      <x:c r="V70" s="19" t="n">
        <x:f>IFERROR(TODAY()-DATEVALUE(C70),"")</x:f>
        <x:v>9</x:v>
      </x:c>
      <x:c r="W70" s="21" t="n">
        <x:f>ROUND(COUNTA(A70:K70)/11*100,0)</x:f>
        <x:v>100</x:v>
      </x:c>
      <x:c r="X70" s="18" t="str">
        <x:v>Google News RSS</x:v>
      </x:c>
      <x:c r="Y70" s="22" t="str">
        <x:v>https://news.google.com/rss/articles/CBMifEFVX3lxTFBoREE4WUo2T19aT1QyWnNKX2NPYUdTR293MFJvS2plTTB3em9ESGd4cGtqSnVmZGo0QkViQkNvUjFabjB1V3lMV0I0R3JSa3lNdUNBTXFTU0dlYUFrdm43dmFCZmhib0pZeEN6Zy1IUjZGa01QSVQxRTU5Q0k?oc=5</x:v>
      </x:c>
      <x:c r="Z70" s="18" t="n">
        <x:v>46266.55069444444</x:v>
      </x:c>
      <x:c r="AA70" s="18" t="n">
        <x:v>46275.38862103009</x:v>
      </x:c>
      <x:c r="AB70" s="18" t="str">
        <x:v>public_rss</x:v>
      </x:c>
      <x:c r="AC70" s="18" t="str">
        <x:v>READY</x:v>
      </x:c>
    </x:row>
    <x:row r="71">
      <x:c r="A71" s="18" t="str">
        <x:v>NYT-27-19814a962574703e</x:v>
      </x:c>
      <x:c r="B71" s="18" t="str">
        <x:v>PIB Backgrounder - PIB</x:v>
      </x:c>
      <x:c r="C71" s="18" t="str">
        <x:v>2026-08-29</x:v>
      </x:c>
      <x:c r="D71" s="18" t="n">
        <x:v>2026</x:v>
      </x:c>
      <x:c r="E71" s="18" t="str">
        <x:v>2026-08</x:v>
      </x:c>
      <x:c r="F71" s="18" t="str"/>
      <x:c r="G71" s="18" t="str">
        <x:v>site:pib.gov.in India budget scheme expenditure allocation</x:v>
      </x:c>
      <x:c r="H71" s="18" t="str"/>
      <x:c r="I71" s="18" t="str">
        <x:v>PIB</x:v>
      </x:c>
      <x:c r="J71" s="20" t="str"/>
      <x:c r="K71" s="18" t="str"/>
      <x:c r="L71" s="18" t="str">
        <x:v>PIB Backgrounder - PIB</x:v>
      </x:c>
      <x:c r="M71" s="18" t="str">
        <x:v>PIB</x:v>
      </x:c>
      <x:c r="N71" s="18" t="str">
        <x:v>site:pib.gov.in India budget scheme expenditure allocation</x:v>
      </x:c>
      <x:c r="O71" s="18" t="n">
        <x:v>46263.291666666664</x:v>
      </x:c>
      <x:c r="P71" s="18" t="str">
        <x:v>https://www.pib.gov.in</x:v>
      </x:c>
      <x:c r="Q71" s="18" t="str">
        <x:v>DEFINED_TERMINAL_OR_FEED_SCOPE</x:v>
      </x:c>
      <x:c r="R71" s="18" t="str">
        <x:v>news_budget_schemes_14d.json — published records loaded</x:v>
      </x:c>
      <x:c r="S71" s="18" t="str"/>
      <x:c r="T71" s="18" t="str"/>
      <x:c r="U71" s="20" t="n">
        <x:v>100</x:v>
      </x:c>
      <x:c r="V71" s="19" t="n">
        <x:f>IFERROR(TODAY()-DATEVALUE(C71),"")</x:f>
        <x:v>12</x:v>
      </x:c>
      <x:c r="W71" s="21" t="n">
        <x:f>ROUND(COUNTA(A71:K71)/11*100,0)</x:f>
        <x:v>100</x:v>
      </x:c>
      <x:c r="X71" s="18" t="str">
        <x:v>Google News RSS</x:v>
      </x:c>
      <x:c r="Y71" s="22" t="str">
        <x:v>https://news.google.com/rss/articles/CBMiiwFBVV95cUxOVmJfSDhrbURfM2VqU1ZYcG1FYjlFSkhiVnVJN25Qa3lOd1hRM1drS0hUZUQxdC1qNkZfZU5iY1ZrN2YzWFFRaXdhcXpUbGp6Y2d2TGZHUlpURVNCVFhMb21MWW1NdGxIbkJ2bWQtLV9qeHB0dGJGYUxWVThWYWxSZmpMMnU2Q3Z2dk00?oc=5</x:v>
      </x:c>
      <x:c r="Z71" s="18" t="n">
        <x:v>46263.291666666664</x:v>
      </x:c>
      <x:c r="AA71" s="18" t="n">
        <x:v>46275.38862103009</x:v>
      </x:c>
      <x:c r="AB71" s="18" t="str">
        <x:v>public_rss</x:v>
      </x:c>
      <x:c r="AC71" s="18" t="str">
        <x:v>READY</x:v>
      </x:c>
    </x:row>
    <x:row r="72">
      <x:c r="A72" s="18" t="str">
        <x:v>NYT-27-f8aa6b5b1eccbb3a</x:v>
      </x:c>
      <x:c r="B72" s="18" t="str">
        <x:v>From Private Driver to Self-Employed Autorickshaw Owner: How NBCFDC Support Transformed Sunil Kumar K.P.’s Livelihood - PIB</x:v>
      </x:c>
      <x:c r="C72" s="18" t="str">
        <x:v>2026-08-28</x:v>
      </x:c>
      <x:c r="D72" s="18" t="n">
        <x:v>2026</x:v>
      </x:c>
      <x:c r="E72" s="18" t="str">
        <x:v>2026-08</x:v>
      </x:c>
      <x:c r="F72" s="18" t="str"/>
      <x:c r="G72" s="18" t="str">
        <x:v>site:pib.gov.in India budget scheme expenditure allocation</x:v>
      </x:c>
      <x:c r="H72" s="18" t="str"/>
      <x:c r="I72" s="18" t="str">
        <x:v>PIB</x:v>
      </x:c>
      <x:c r="J72" s="20" t="str"/>
      <x:c r="K72" s="18" t="str"/>
      <x:c r="L72" s="18" t="str">
        <x:v>From Private Driver to Self-Employed Autorickshaw Owner: How NBCFDC Support Transformed Sunil Kumar K.P.’s Livelihood - PIB</x:v>
      </x:c>
      <x:c r="M72" s="18" t="str">
        <x:v>PIB</x:v>
      </x:c>
      <x:c r="N72" s="18" t="str">
        <x:v>site:pib.gov.in India budget scheme expenditure allocation</x:v>
      </x:c>
      <x:c r="O72" s="18" t="n">
        <x:v>46262.291666666664</x:v>
      </x:c>
      <x:c r="P72" s="18" t="str">
        <x:v>https://www.pib.gov.in</x:v>
      </x:c>
      <x:c r="Q72" s="18" t="str">
        <x:v>DEFINED_TERMINAL_OR_FEED_SCOPE</x:v>
      </x:c>
      <x:c r="R72" s="18" t="str">
        <x:v>news_budget_schemes_14d.json — published records loaded</x:v>
      </x:c>
      <x:c r="S72" s="18" t="str"/>
      <x:c r="T72" s="18" t="str"/>
      <x:c r="U72" s="20" t="n">
        <x:v>100</x:v>
      </x:c>
      <x:c r="V72" s="19" t="n">
        <x:f>IFERROR(TODAY()-DATEVALUE(C72),"")</x:f>
        <x:v>13</x:v>
      </x:c>
      <x:c r="W72" s="21" t="n">
        <x:f>ROUND(COUNTA(A72:K72)/11*100,0)</x:f>
        <x:v>100</x:v>
      </x:c>
      <x:c r="X72" s="18" t="str">
        <x:v>Google News RSS</x:v>
      </x:c>
      <x:c r="Y72" s="22" t="str">
        <x:v>https://news.google.com/rss/articles/CBMia0FVX3lxTE1nbmxra3dtRzc4WENrcllJSWtPX0szb0UzdFpQdDlLRlNQN1l5ekp0djZ6SWd4SzVSN1Q0b2MzeHNMNjA4MXo1WEZJUnA3ODBkU0dvY0NFeGFHd3g1VllFdkZpMXlvQ3dsWjdj?oc=5</x:v>
      </x:c>
      <x:c r="Z72" s="18" t="n">
        <x:v>46262.291666666664</x:v>
      </x:c>
      <x:c r="AA72" s="18" t="n">
        <x:v>46275.38862103009</x:v>
      </x:c>
      <x:c r="AB72" s="18" t="str">
        <x:v>public_rss</x:v>
      </x:c>
      <x:c r="AC72" s="18" t="str">
        <x:v>READY</x:v>
      </x:c>
    </x:row>
    <x:row r="73">
      <x:c r="A73" s="18" t="str">
        <x:v>NYT-27-16bb8f54821bf516</x:v>
      </x:c>
      <x:c r="B73" s="18" t="str">
        <x:v>From Sanitation Helper to Mechanised Sanitation Entrepreneur: How NAMASTE-SUY Helped Neeraj Build a Safer and Self-Reliant Livelihood - PIB</x:v>
      </x:c>
      <x:c r="C73" s="18" t="str">
        <x:v>2026-09-05</x:v>
      </x:c>
      <x:c r="D73" s="18" t="n">
        <x:v>2026</x:v>
      </x:c>
      <x:c r="E73" s="18" t="str">
        <x:v>2026-09</x:v>
      </x:c>
      <x:c r="F73" s="18" t="str"/>
      <x:c r="G73" s="18" t="str">
        <x:v>site:pib.gov.in India budget scheme expenditure allocation</x:v>
      </x:c>
      <x:c r="H73" s="18" t="str"/>
      <x:c r="I73" s="18" t="str">
        <x:v>PIB</x:v>
      </x:c>
      <x:c r="J73" s="20" t="str"/>
      <x:c r="K73" s="18" t="str"/>
      <x:c r="L73" s="18" t="str">
        <x:v>From Sanitation Helper to Mechanised Sanitation Entrepreneur: How NAMASTE-SUY Helped Neeraj Build a Safer and Self-Reliant Livelihood - PIB</x:v>
      </x:c>
      <x:c r="M73" s="18" t="str">
        <x:v>PIB</x:v>
      </x:c>
      <x:c r="N73" s="18" t="str">
        <x:v>site:pib.gov.in India budget scheme expenditure allocation</x:v>
      </x:c>
      <x:c r="O73" s="18" t="n">
        <x:v>46270.50555555556</x:v>
      </x:c>
      <x:c r="P73" s="18" t="str">
        <x:v>https://www.pib.gov.in</x:v>
      </x:c>
      <x:c r="Q73" s="18" t="str">
        <x:v>DEFINED_TERMINAL_OR_FEED_SCOPE</x:v>
      </x:c>
      <x:c r="R73" s="18" t="str">
        <x:v>news_budget_schemes_14d.json — published records loaded</x:v>
      </x:c>
      <x:c r="S73" s="18" t="str"/>
      <x:c r="T73" s="18" t="str"/>
      <x:c r="U73" s="20" t="n">
        <x:v>100</x:v>
      </x:c>
      <x:c r="V73" s="19" t="n">
        <x:f>IFERROR(TODAY()-DATEVALUE(C73),"")</x:f>
        <x:v>5</x:v>
      </x:c>
      <x:c r="W73" s="21" t="n">
        <x:f>ROUND(COUNTA(A73:K73)/11*100,0)</x:f>
        <x:v>100</x:v>
      </x:c>
      <x:c r="X73" s="18" t="str">
        <x:v>Google News RSS</x:v>
      </x:c>
      <x:c r="Y73" s="22" t="str">
        <x:v>https://news.google.com/rss/articles/CBMifkFVX3lxTFBjNXMzYmtSbEN0aUd0V3d4WUtuMW5ONzZyOVRITzhSR3p3a25BbUZtQnpOMFN0aEYzbmRPelIydzMycXBGdjY0aXdWRWV6UTc5RlFmdXNScmtGZktTekRKMktVZ2phUHByUndvd25Hd1NyaUFEVHhYM3ppR1JwZw?oc=5</x:v>
      </x:c>
      <x:c r="Z73" s="18" t="n">
        <x:v>46270.50555555556</x:v>
      </x:c>
      <x:c r="AA73" s="18" t="n">
        <x:v>46275.38862103009</x:v>
      </x:c>
      <x:c r="AB73" s="18" t="str">
        <x:v>public_rss</x:v>
      </x:c>
      <x:c r="AC73" s="18" t="str">
        <x:v>READY</x:v>
      </x:c>
    </x:row>
    <x:row r="74">
      <x:c r="A74" s="18" t="str">
        <x:v>NYT-27-ed2d9e59d857dec5</x:v>
      </x:c>
      <x:c r="B74" s="18" t="str">
        <x:v>From Private Driver to Self-Employed Autorickshaw Owner: How NBCFDC Support Transformed Sunil Kumar K.P.’s Livelihood - PIB</x:v>
      </x:c>
      <x:c r="C74" s="18" t="str">
        <x:v>2026-08-28</x:v>
      </x:c>
      <x:c r="D74" s="18" t="n">
        <x:v>2026</x:v>
      </x:c>
      <x:c r="E74" s="18" t="str">
        <x:v>2026-08</x:v>
      </x:c>
      <x:c r="F74" s="18" t="str"/>
      <x:c r="G74" s="18" t="str">
        <x:v>site:pib.gov.in India budget scheme expenditure allocation</x:v>
      </x:c>
      <x:c r="H74" s="18" t="str"/>
      <x:c r="I74" s="18" t="str">
        <x:v>PIB</x:v>
      </x:c>
      <x:c r="J74" s="20" t="str"/>
      <x:c r="K74" s="18" t="str"/>
      <x:c r="L74" s="18" t="str">
        <x:v>From Private Driver to Self-Employed Autorickshaw Owner: How NBCFDC Support Transformed Sunil Kumar K.P.’s Livelihood - PIB</x:v>
      </x:c>
      <x:c r="M74" s="18" t="str">
        <x:v>PIB</x:v>
      </x:c>
      <x:c r="N74" s="18" t="str">
        <x:v>site:pib.gov.in India budget scheme expenditure allocation</x:v>
      </x:c>
      <x:c r="O74" s="18" t="n">
        <x:v>46262.291666666664</x:v>
      </x:c>
      <x:c r="P74" s="18" t="str">
        <x:v>https://www.pib.gov.in</x:v>
      </x:c>
      <x:c r="Q74" s="18" t="str">
        <x:v>DEFINED_TERMINAL_OR_FEED_SCOPE</x:v>
      </x:c>
      <x:c r="R74" s="18" t="str">
        <x:v>news_budget_schemes_14d.json — published records loaded</x:v>
      </x:c>
      <x:c r="S74" s="18" t="str"/>
      <x:c r="T74" s="18" t="str"/>
      <x:c r="U74" s="20" t="n">
        <x:v>100</x:v>
      </x:c>
      <x:c r="V74" s="19" t="n">
        <x:f>IFERROR(TODAY()-DATEVALUE(C74),"")</x:f>
        <x:v>13</x:v>
      </x:c>
      <x:c r="W74" s="21" t="n">
        <x:f>ROUND(COUNTA(A74:K74)/11*100,0)</x:f>
        <x:v>100</x:v>
      </x:c>
      <x:c r="X74" s="18" t="str">
        <x:v>Google News RSS</x:v>
      </x:c>
      <x:c r="Y74" s="22" t="str">
        <x:v>https://news.google.com/rss/articles/CBMifEFVX3lxTE9pMTIzR2taRlZnN3ZweXc5RHVFYnFueE8yMWZIRFU4dHBQdEhtT3NSX3lkc1RucG9tN3F3WmxXcFY2LUdsYVk3UlBHTE9MRy1zaVlGbTlRakkzTWV3VENGVDFpRkV0VTN2M2R6ZE9iaU01Y1UwcERIZHlKS1A?oc=5</x:v>
      </x:c>
      <x:c r="Z74" s="18" t="n">
        <x:v>46262.291666666664</x:v>
      </x:c>
      <x:c r="AA74" s="18" t="n">
        <x:v>46275.38862103009</x:v>
      </x:c>
      <x:c r="AB74" s="18" t="str">
        <x:v>public_rss</x:v>
      </x:c>
      <x:c r="AC74" s="18" t="str">
        <x:v>READY</x:v>
      </x:c>
    </x:row>
    <x:row r="75">
      <x:c r="A75" s="18" t="str">
        <x:v>NYT-27-1a69e94b3770c703</x:v>
      </x:c>
      <x:c r="B75" s="18" t="str">
        <x:v>DFPD and FCI Sign MoU for FY 2026–27 to Strengthen Efficiency, Technology and Accountability in Foodgrain Management - PIB</x:v>
      </x:c>
      <x:c r="C75" s="18" t="str">
        <x:v>2026-09-08</x:v>
      </x:c>
      <x:c r="D75" s="18" t="n">
        <x:v>2026</x:v>
      </x:c>
      <x:c r="E75" s="18" t="str">
        <x:v>2026-09</x:v>
      </x:c>
      <x:c r="F75" s="18" t="str"/>
      <x:c r="G75" s="18" t="str">
        <x:v>site:pib.gov.in India budget scheme expenditure allocation</x:v>
      </x:c>
      <x:c r="H75" s="18" t="str"/>
      <x:c r="I75" s="18" t="str">
        <x:v>PIB</x:v>
      </x:c>
      <x:c r="J75" s="20" t="str"/>
      <x:c r="K75" s="18" t="str"/>
      <x:c r="L75" s="18" t="str">
        <x:v>DFPD and FCI Sign MoU for FY 2026–27 to Strengthen Efficiency, Technology and Accountability in Foodgrain Management - PIB</x:v>
      </x:c>
      <x:c r="M75" s="18" t="str">
        <x:v>PIB</x:v>
      </x:c>
      <x:c r="N75" s="18" t="str">
        <x:v>site:pib.gov.in India budget scheme expenditure allocation</x:v>
      </x:c>
      <x:c r="O75" s="18" t="n">
        <x:v>46273.40347222222</x:v>
      </x:c>
      <x:c r="P75" s="18" t="str">
        <x:v>https://www.pib.gov.in</x:v>
      </x:c>
      <x:c r="Q75" s="18" t="str">
        <x:v>DEFINED_TERMINAL_OR_FEED_SCOPE</x:v>
      </x:c>
      <x:c r="R75" s="18" t="str">
        <x:v>news_budget_schemes_14d.json — published records loaded</x:v>
      </x:c>
      <x:c r="S75" s="18" t="str"/>
      <x:c r="T75" s="18" t="str"/>
      <x:c r="U75" s="20" t="n">
        <x:v>100</x:v>
      </x:c>
      <x:c r="V75" s="19" t="n">
        <x:f>IFERROR(TODAY()-DATEVALUE(C75),"")</x:f>
        <x:v>2</x:v>
      </x:c>
      <x:c r="W75" s="21" t="n">
        <x:f>ROUND(COUNTA(A75:K75)/11*100,0)</x:f>
        <x:v>100</x:v>
      </x:c>
      <x:c r="X75" s="18" t="str">
        <x:v>Google News RSS</x:v>
      </x:c>
      <x:c r="Y75" s="22" t="str">
        <x:v>https://news.google.com/rss/articles/CBMie0FVX3lxTE0tLWk2ejBsV2pQRXFDZGJWT0s0R0MtZ3QxZHYwMUdLX3hNR3NIR25rUXVTS1dBQlVMVDRfSW9keXUzVnI5bjFxMkRHZXFwb0dNQUNjdHdMclQ0XzhYRXRoMFAweG1ueF9OcTF6S2txOXhOMzZqVDRQem5xcw?oc=5</x:v>
      </x:c>
      <x:c r="Z75" s="18" t="n">
        <x:v>46273.40347222222</x:v>
      </x:c>
      <x:c r="AA75" s="18" t="n">
        <x:v>46275.38862103009</x:v>
      </x:c>
      <x:c r="AB75" s="18" t="str">
        <x:v>public_rss</x:v>
      </x:c>
      <x:c r="AC75" s="18" t="str">
        <x:v>READY</x:v>
      </x:c>
    </x:row>
    <x:row r="76">
      <x:c r="A76" s="18" t="str">
        <x:v>NYT-27-0daa57586cba3885</x:v>
      </x:c>
      <x:c r="B76" s="18" t="str">
        <x:v>From Sewer Cleaning Worker to Sanitation Entrepreneur: How NAMASTE-SUY Empowered Kailash Chander - PIB</x:v>
      </x:c>
      <x:c r="C76" s="18" t="str">
        <x:v>2026-09-02</x:v>
      </x:c>
      <x:c r="D76" s="18" t="n">
        <x:v>2026</x:v>
      </x:c>
      <x:c r="E76" s="18" t="str">
        <x:v>2026-09</x:v>
      </x:c>
      <x:c r="F76" s="18" t="str"/>
      <x:c r="G76" s="18" t="str">
        <x:v>site:pib.gov.in India budget scheme expenditure allocation</x:v>
      </x:c>
      <x:c r="H76" s="18" t="str"/>
      <x:c r="I76" s="18" t="str">
        <x:v>PIB</x:v>
      </x:c>
      <x:c r="J76" s="20" t="str"/>
      <x:c r="K76" s="18" t="str"/>
      <x:c r="L76" s="18" t="str">
        <x:v>From Sewer Cleaning Worker to Sanitation Entrepreneur: How NAMASTE-SUY Empowered Kailash Chander - PIB</x:v>
      </x:c>
      <x:c r="M76" s="18" t="str">
        <x:v>PIB</x:v>
      </x:c>
      <x:c r="N76" s="18" t="str">
        <x:v>site:pib.gov.in India budget scheme expenditure allocation</x:v>
      </x:c>
      <x:c r="O76" s="18" t="n">
        <x:v>46267.55347222222</x:v>
      </x:c>
      <x:c r="P76" s="18" t="str">
        <x:v>https://www.pib.gov.in</x:v>
      </x:c>
      <x:c r="Q76" s="18" t="str">
        <x:v>DEFINED_TERMINAL_OR_FEED_SCOPE</x:v>
      </x:c>
      <x:c r="R76" s="18" t="str">
        <x:v>news_budget_schemes_14d.json — published records loaded</x:v>
      </x:c>
      <x:c r="S76" s="18" t="str"/>
      <x:c r="T76" s="18" t="str"/>
      <x:c r="U76" s="20" t="n">
        <x:v>100</x:v>
      </x:c>
      <x:c r="V76" s="19" t="n">
        <x:f>IFERROR(TODAY()-DATEVALUE(C76),"")</x:f>
        <x:v>8</x:v>
      </x:c>
      <x:c r="W76" s="21" t="n">
        <x:f>ROUND(COUNTA(A76:K76)/11*100,0)</x:f>
        <x:v>100</x:v>
      </x:c>
      <x:c r="X76" s="18" t="str">
        <x:v>Google News RSS</x:v>
      </x:c>
      <x:c r="Y76" s="22" t="str">
        <x:v>https://news.google.com/rss/articles/CBMifEFVX3lxTE1wWklNYUFhQVk2NmlLTXVGN1pVa1lSMDZZWXUyZTRuUTJ3Mm5VWGl2akstLXpZd0tkYndyLWFWeTVueU9MZFFuQ05BMmIxZk5mSG5lUjFVYWo4RDFsdTlTYWZ2MFVqZ3lCSWx6bVYzajNBTkVNUmNSU25Pank?oc=5</x:v>
      </x:c>
      <x:c r="Z76" s="18" t="n">
        <x:v>46267.55347222222</x:v>
      </x:c>
      <x:c r="AA76" s="18" t="n">
        <x:v>46275.38862103009</x:v>
      </x:c>
      <x:c r="AB76" s="18" t="str">
        <x:v>public_rss</x:v>
      </x:c>
      <x:c r="AC76" s="18" t="str">
        <x:v>READY</x:v>
      </x:c>
    </x:row>
    <x:row r="77">
      <x:c r="A77" s="18" t="str">
        <x:v>NYT-27-a92bb685eaf4bdb3</x:v>
      </x:c>
      <x:c r="B77" s="18" t="str">
        <x:v>Revised CBG pricing supports producers without materially impacting consumers - PIB</x:v>
      </x:c>
      <x:c r="C77" s="18" t="str">
        <x:v>2026-08-29</x:v>
      </x:c>
      <x:c r="D77" s="18" t="n">
        <x:v>2026</x:v>
      </x:c>
      <x:c r="E77" s="18" t="str">
        <x:v>2026-08</x:v>
      </x:c>
      <x:c r="F77" s="18" t="str"/>
      <x:c r="G77" s="18" t="str">
        <x:v>site:pib.gov.in India budget scheme expenditure allocation</x:v>
      </x:c>
      <x:c r="H77" s="18" t="str"/>
      <x:c r="I77" s="18" t="str">
        <x:v>PIB</x:v>
      </x:c>
      <x:c r="J77" s="20" t="str"/>
      <x:c r="K77" s="18" t="str"/>
      <x:c r="L77" s="18" t="str">
        <x:v>Revised CBG pricing supports producers without materially impacting consumers - PIB</x:v>
      </x:c>
      <x:c r="M77" s="18" t="str">
        <x:v>PIB</x:v>
      </x:c>
      <x:c r="N77" s="18" t="str">
        <x:v>site:pib.gov.in India budget scheme expenditure allocation</x:v>
      </x:c>
      <x:c r="O77" s="18" t="n">
        <x:v>46263.291666666664</x:v>
      </x:c>
      <x:c r="P77" s="18" t="str">
        <x:v>https://www.pib.gov.in</x:v>
      </x:c>
      <x:c r="Q77" s="18" t="str">
        <x:v>DEFINED_TERMINAL_OR_FEED_SCOPE</x:v>
      </x:c>
      <x:c r="R77" s="18" t="str">
        <x:v>news_budget_schemes_14d.json — published records loaded</x:v>
      </x:c>
      <x:c r="S77" s="18" t="str"/>
      <x:c r="T77" s="18" t="str"/>
      <x:c r="U77" s="20" t="n">
        <x:v>100</x:v>
      </x:c>
      <x:c r="V77" s="19" t="n">
        <x:f>IFERROR(TODAY()-DATEVALUE(C77),"")</x:f>
        <x:v>12</x:v>
      </x:c>
      <x:c r="W77" s="21" t="n">
        <x:f>ROUND(COUNTA(A77:K77)/11*100,0)</x:f>
        <x:v>100</x:v>
      </x:c>
      <x:c r="X77" s="18" t="str">
        <x:v>Google News RSS</x:v>
      </x:c>
      <x:c r="Y77" s="22" t="str">
        <x:v>https://news.google.com/rss/articles/CBMifEFVX3lxTE5nLTZXWkdWWjIyOTV6R1EzZHhfZ2MtSkJvN3V3VU9iVlJRd3BRWU1oejJDaWNfRkJFbk52eUdEbUYwQXVCLVpORFk4MF80b05xdURwemFaREl4Q2RuWVd3ZEdxcUkybEV5UFdObER0TFIyYnl4QWlZR3YweGI?oc=5</x:v>
      </x:c>
      <x:c r="Z77" s="18" t="n">
        <x:v>46263.291666666664</x:v>
      </x:c>
      <x:c r="AA77" s="18" t="n">
        <x:v>46275.38862103009</x:v>
      </x:c>
      <x:c r="AB77" s="18" t="str">
        <x:v>public_rss</x:v>
      </x:c>
      <x:c r="AC77" s="18" t="str">
        <x:v>READY</x:v>
      </x:c>
    </x:row>
    <x:row r="78">
      <x:c r="A78" s="18" t="str">
        <x:v>NYT-27-61e27b763fb1f4b0</x:v>
      </x:c>
      <x:c r="B78" s="18" t="str">
        <x:v>Vice-President C. P. Radhakrishnan attends public reception in Shillong; lays foundation stones for projects worth over ₹1,000 crore - PIB</x:v>
      </x:c>
      <x:c r="C78" s="18" t="str">
        <x:v>2026-09-07</x:v>
      </x:c>
      <x:c r="D78" s="18" t="n">
        <x:v>2026</x:v>
      </x:c>
      <x:c r="E78" s="18" t="str">
        <x:v>2026-09</x:v>
      </x:c>
      <x:c r="F78" s="18" t="str"/>
      <x:c r="G78" s="18" t="str">
        <x:v>site:pib.gov.in India budget scheme expenditure allocation</x:v>
      </x:c>
      <x:c r="H78" s="18" t="str"/>
      <x:c r="I78" s="18" t="str">
        <x:v>PIB</x:v>
      </x:c>
      <x:c r="J78" s="20" t="str"/>
      <x:c r="K78" s="18" t="str"/>
      <x:c r="L78" s="18" t="str">
        <x:v>Vice-President C. P. Radhakrishnan attends public reception in Shillong; lays foundation stones for projects worth over ₹1,000 crore - PIB</x:v>
      </x:c>
      <x:c r="M78" s="18" t="str">
        <x:v>PIB</x:v>
      </x:c>
      <x:c r="N78" s="18" t="str">
        <x:v>site:pib.gov.in India budget scheme expenditure allocation</x:v>
      </x:c>
      <x:c r="O78" s="18" t="n">
        <x:v>46272.57986111111</x:v>
      </x:c>
      <x:c r="P78" s="18" t="str">
        <x:v>https://www.pib.gov.in</x:v>
      </x:c>
      <x:c r="Q78" s="18" t="str">
        <x:v>DEFINED_TERMINAL_OR_FEED_SCOPE</x:v>
      </x:c>
      <x:c r="R78" s="18" t="str">
        <x:v>news_budget_schemes_14d.json — published records loaded</x:v>
      </x:c>
      <x:c r="S78" s="18" t="str"/>
      <x:c r="T78" s="18" t="str"/>
      <x:c r="U78" s="20" t="n">
        <x:v>100</x:v>
      </x:c>
      <x:c r="V78" s="19" t="n">
        <x:f>IFERROR(TODAY()-DATEVALUE(C78),"")</x:f>
        <x:v>3</x:v>
      </x:c>
      <x:c r="W78" s="21" t="n">
        <x:f>ROUND(COUNTA(A78:K78)/11*100,0)</x:f>
        <x:v>100</x:v>
      </x:c>
      <x:c r="X78" s="18" t="str">
        <x:v>Google News RSS</x:v>
      </x:c>
      <x:c r="Y78" s="22" t="str">
        <x:v>https://news.google.com/rss/articles/CBMifEFVX3lxTE5TOXJtTDNVZjBhYVVJUi1OY0p4bVp5eHA4MV8zRGstd04ybjFPSERybC1ZZEZUWEhzZmtiQm9vZXNxdEcyTDVYSGtlQkN5WFllZ05vLVZuNXVzY3lsdWtfcnhGcHJNNU1ueDgzRy1FQWIzaXFsZHB3U3RrTHE?oc=5</x:v>
      </x:c>
      <x:c r="Z78" s="18" t="n">
        <x:v>46272.57986111111</x:v>
      </x:c>
      <x:c r="AA78" s="18" t="n">
        <x:v>46275.38862103009</x:v>
      </x:c>
      <x:c r="AB78" s="18" t="str">
        <x:v>public_rss</x:v>
      </x:c>
      <x:c r="AC78" s="18" t="str">
        <x:v>READY</x:v>
      </x:c>
    </x:row>
    <x:row r="79">
      <x:c r="A79" s="18" t="str">
        <x:v>NYT-27-7349362e8f469a7d</x:v>
      </x:c>
      <x:c r="B79" s="18" t="str">
        <x:v>DFPD and FCI Sign MoU for FY 2026–27 to Strengthen Efficiency, Technology and Accountability in Foodgrain Management - PIB</x:v>
      </x:c>
      <x:c r="C79" s="18" t="str">
        <x:v>2026-09-08</x:v>
      </x:c>
      <x:c r="D79" s="18" t="n">
        <x:v>2026</x:v>
      </x:c>
      <x:c r="E79" s="18" t="str">
        <x:v>2026-09</x:v>
      </x:c>
      <x:c r="F79" s="18" t="str"/>
      <x:c r="G79" s="18" t="str">
        <x:v>site:pib.gov.in India budget scheme expenditure allocation</x:v>
      </x:c>
      <x:c r="H79" s="18" t="str"/>
      <x:c r="I79" s="18" t="str">
        <x:v>PIB</x:v>
      </x:c>
      <x:c r="J79" s="20" t="str"/>
      <x:c r="K79" s="18" t="str"/>
      <x:c r="L79" s="18" t="str">
        <x:v>DFPD and FCI Sign MoU for FY 2026–27 to Strengthen Efficiency, Technology and Accountability in Foodgrain Management - PIB</x:v>
      </x:c>
      <x:c r="M79" s="18" t="str">
        <x:v>PIB</x:v>
      </x:c>
      <x:c r="N79" s="18" t="str">
        <x:v>site:pib.gov.in India budget scheme expenditure allocation</x:v>
      </x:c>
      <x:c r="O79" s="18" t="n">
        <x:v>46273.40347222222</x:v>
      </x:c>
      <x:c r="P79" s="18" t="str">
        <x:v>https://www.pib.gov.in</x:v>
      </x:c>
      <x:c r="Q79" s="18" t="str">
        <x:v>DEFINED_TERMINAL_OR_FEED_SCOPE</x:v>
      </x:c>
      <x:c r="R79" s="18" t="str">
        <x:v>news_budget_schemes_14d.json — published records loaded</x:v>
      </x:c>
      <x:c r="S79" s="18" t="str"/>
      <x:c r="T79" s="18" t="str"/>
      <x:c r="U79" s="20" t="n">
        <x:v>100</x:v>
      </x:c>
      <x:c r="V79" s="19" t="n">
        <x:f>IFERROR(TODAY()-DATEVALUE(C79),"")</x:f>
        <x:v>2</x:v>
      </x:c>
      <x:c r="W79" s="21" t="n">
        <x:f>ROUND(COUNTA(A79:K79)/11*100,0)</x:f>
        <x:v>100</x:v>
      </x:c>
      <x:c r="X79" s="18" t="str">
        <x:v>Google News RSS</x:v>
      </x:c>
      <x:c r="Y79" s="22" t="str">
        <x:v>https://news.google.com/rss/articles/CBMifkFVX3lxTE9ZSEJyc3RjX0hSTHo2ZENZckpFcV94OGFKcExJQXlCektTY0V1Q3c1OE05LTM2QXk5U1BPRlFVMXJnd3RzMkZBd0VsQS1Tc2FPT3dTZ0p0QzdSWXRzTnNtdWZwTXVoTzZ5dzVMazI4cVgwalBmYnF2cnRyaGZGUQ?oc=5</x:v>
      </x:c>
      <x:c r="Z79" s="18" t="n">
        <x:v>46273.40347222222</x:v>
      </x:c>
      <x:c r="AA79" s="18" t="n">
        <x:v>46275.38862103009</x:v>
      </x:c>
      <x:c r="AB79" s="18" t="str">
        <x:v>public_rss</x:v>
      </x:c>
      <x:c r="AC79" s="18" t="str">
        <x:v>READY</x:v>
      </x:c>
    </x:row>
    <x:row r="80">
      <x:c r="A80" s="18" t="str">
        <x:v>NYT-27-ce67f84e7cd19b74</x:v>
      </x:c>
      <x:c r="B80" s="18" t="str">
        <x:v>PIB Backgrounder - PIB</x:v>
      </x:c>
      <x:c r="C80" s="18" t="str">
        <x:v>2026-08-29</x:v>
      </x:c>
      <x:c r="D80" s="18" t="n">
        <x:v>2026</x:v>
      </x:c>
      <x:c r="E80" s="18" t="str">
        <x:v>2026-08</x:v>
      </x:c>
      <x:c r="F80" s="18" t="str"/>
      <x:c r="G80" s="18" t="str">
        <x:v>site:pib.gov.in India budget scheme expenditure allocation</x:v>
      </x:c>
      <x:c r="H80" s="18" t="str"/>
      <x:c r="I80" s="18" t="str">
        <x:v>PIB</x:v>
      </x:c>
      <x:c r="J80" s="20" t="str"/>
      <x:c r="K80" s="18" t="str"/>
      <x:c r="L80" s="18" t="str">
        <x:v>PIB Backgrounder - PIB</x:v>
      </x:c>
      <x:c r="M80" s="18" t="str">
        <x:v>PIB</x:v>
      </x:c>
      <x:c r="N80" s="18" t="str">
        <x:v>site:pib.gov.in India budget scheme expenditure allocation</x:v>
      </x:c>
      <x:c r="O80" s="18" t="n">
        <x:v>46263.291666666664</x:v>
      </x:c>
      <x:c r="P80" s="18" t="str">
        <x:v>https://www.pib.gov.in</x:v>
      </x:c>
      <x:c r="Q80" s="18" t="str">
        <x:v>DEFINED_TERMINAL_OR_FEED_SCOPE</x:v>
      </x:c>
      <x:c r="R80" s="18" t="str">
        <x:v>news_budget_schemes_14d.json — published records loaded</x:v>
      </x:c>
      <x:c r="S80" s="18" t="str"/>
      <x:c r="T80" s="18" t="str"/>
      <x:c r="U80" s="20" t="n">
        <x:v>100</x:v>
      </x:c>
      <x:c r="V80" s="19" t="n">
        <x:f>IFERROR(TODAY()-DATEVALUE(C80),"")</x:f>
        <x:v>12</x:v>
      </x:c>
      <x:c r="W80" s="21" t="n">
        <x:f>ROUND(COUNTA(A80:K80)/11*100,0)</x:f>
        <x:v>100</x:v>
      </x:c>
      <x:c r="X80" s="18" t="str">
        <x:v>Google News RSS</x:v>
      </x:c>
      <x:c r="Y80" s="22" t="str">
        <x:v>https://news.google.com/rss/articles/CBMihgFBVV95cUxNMWpBaHZoaV9VNENUM1Zyc0kyR2t1dnNIZXNaOGx1T0QwbHQtaGsxSzVtNElxTDh3QjlVN2FKR2FpV2hVTkNHX0I0WmRoR0ZpdGI4WlBiYTR3RmhzMTU1S2J0c3ltSmJiREQ4VGRFcHBjWDViYkU4Q1BGMC0yMTI4V0Uybzk3QQ?oc=5</x:v>
      </x:c>
      <x:c r="Z80" s="18" t="n">
        <x:v>46263.291666666664</x:v>
      </x:c>
      <x:c r="AA80" s="18" t="n">
        <x:v>46275.38862103009</x:v>
      </x:c>
      <x:c r="AB80" s="18" t="str">
        <x:v>public_rss</x:v>
      </x:c>
      <x:c r="AC80" s="18" t="str">
        <x:v>READY</x:v>
      </x:c>
    </x:row>
    <x:row r="81">
      <x:c r="A81" s="18" t="str">
        <x:v>NYT-27-4785ebf3dd942222</x:v>
      </x:c>
      <x:c r="B81" s="18" t="str">
        <x:v>Dr. Jitendra Singh Calls for Wider Awareness about Rs 1 Lakh Crore RDI Fund Among Stakeholders to Ensure Right Beneficiaries Avail of Support - PIB</x:v>
      </x:c>
      <x:c r="C81" s="18" t="str">
        <x:v>2026-09-01</x:v>
      </x:c>
      <x:c r="D81" s="18" t="n">
        <x:v>2026</x:v>
      </x:c>
      <x:c r="E81" s="18" t="str">
        <x:v>2026-09</x:v>
      </x:c>
      <x:c r="F81" s="18" t="str"/>
      <x:c r="G81" s="18" t="str">
        <x:v>site:pib.gov.in India budget scheme expenditure allocation</x:v>
      </x:c>
      <x:c r="H81" s="18" t="str"/>
      <x:c r="I81" s="18" t="str">
        <x:v>PIB</x:v>
      </x:c>
      <x:c r="J81" s="20" t="str"/>
      <x:c r="K81" s="18" t="str"/>
      <x:c r="L81" s="18" t="str">
        <x:v>Dr. Jitendra Singh Calls for Wider Awareness about Rs 1 Lakh Crore RDI Fund Among Stakeholders to Ensure Right Beneficiaries Avail of Support - PIB</x:v>
      </x:c>
      <x:c r="M81" s="18" t="str">
        <x:v>PIB</x:v>
      </x:c>
      <x:c r="N81" s="18" t="str">
        <x:v>site:pib.gov.in India budget scheme expenditure allocation</x:v>
      </x:c>
      <x:c r="O81" s="18" t="n">
        <x:v>46266.461805555555</x:v>
      </x:c>
      <x:c r="P81" s="18" t="str">
        <x:v>https://www.pib.gov.in</x:v>
      </x:c>
      <x:c r="Q81" s="18" t="str">
        <x:v>DEFINED_TERMINAL_OR_FEED_SCOPE</x:v>
      </x:c>
      <x:c r="R81" s="18" t="str">
        <x:v>news_budget_schemes_14d.json — published records loaded</x:v>
      </x:c>
      <x:c r="S81" s="18" t="str"/>
      <x:c r="T81" s="18" t="str"/>
      <x:c r="U81" s="20" t="n">
        <x:v>100</x:v>
      </x:c>
      <x:c r="V81" s="19" t="n">
        <x:f>IFERROR(TODAY()-DATEVALUE(C81),"")</x:f>
        <x:v>9</x:v>
      </x:c>
      <x:c r="W81" s="21" t="n">
        <x:f>ROUND(COUNTA(A81:K81)/11*100,0)</x:f>
        <x:v>100</x:v>
      </x:c>
      <x:c r="X81" s="18" t="str">
        <x:v>Google News RSS</x:v>
      </x:c>
      <x:c r="Y81" s="22" t="str">
        <x:v>https://news.google.com/rss/articles/CBMifEFVX3lxTE10NG5kN1dvU25kLUtTSnp6UElKVTJXWW5KSzdEaWFzOVJjRmpXZVRMd2dxUmx3ZHNzUjA1TnZOV3F1Y0tyRE1NWmdkOXFOdEhRTTB0QkVUSllSWUlPUGZEV2pQMWtFTF80akVSdEN3YnRNX2JXbGxhYnhCNjA?oc=5</x:v>
      </x:c>
      <x:c r="Z81" s="18" t="n">
        <x:v>46266.461805555555</x:v>
      </x:c>
      <x:c r="AA81" s="18" t="n">
        <x:v>46275.38862103009</x:v>
      </x:c>
      <x:c r="AB81" s="18" t="str">
        <x:v>public_rss</x:v>
      </x:c>
      <x:c r="AC81" s="18" t="str">
        <x:v>READY</x:v>
      </x:c>
    </x:row>
    <x:row r="82">
      <x:c r="A82" s="18" t="str">
        <x:v>NYT-27-4c98fdc4117d4f1a</x:v>
      </x:c>
      <x:c r="B82" s="18" t="str">
        <x:v>From Vulnerability to Recovery and Self-Reliance: Yogesh Rebuilds His Life with DDAC Support - PIB</x:v>
      </x:c>
      <x:c r="C82" s="18" t="str">
        <x:v>2026-08-31</x:v>
      </x:c>
      <x:c r="D82" s="18" t="n">
        <x:v>2026</x:v>
      </x:c>
      <x:c r="E82" s="18" t="str">
        <x:v>2026-08</x:v>
      </x:c>
      <x:c r="F82" s="18" t="str"/>
      <x:c r="G82" s="18" t="str">
        <x:v>site:pib.gov.in India budget scheme expenditure allocation</x:v>
      </x:c>
      <x:c r="H82" s="18" t="str"/>
      <x:c r="I82" s="18" t="str">
        <x:v>PIB</x:v>
      </x:c>
      <x:c r="J82" s="20" t="str"/>
      <x:c r="K82" s="18" t="str"/>
      <x:c r="L82" s="18" t="str">
        <x:v>From Vulnerability to Recovery and Self-Reliance: Yogesh Rebuilds His Life with DDAC Support - PIB</x:v>
      </x:c>
      <x:c r="M82" s="18" t="str">
        <x:v>PIB</x:v>
      </x:c>
      <x:c r="N82" s="18" t="str">
        <x:v>site:pib.gov.in India budget scheme expenditure allocation</x:v>
      </x:c>
      <x:c r="O82" s="18" t="n">
        <x:v>46265.291666666664</x:v>
      </x:c>
      <x:c r="P82" s="18" t="str">
        <x:v>https://www.pib.gov.in</x:v>
      </x:c>
      <x:c r="Q82" s="18" t="str">
        <x:v>DEFINED_TERMINAL_OR_FEED_SCOPE</x:v>
      </x:c>
      <x:c r="R82" s="18" t="str">
        <x:v>news_budget_schemes_14d.json — published records loaded</x:v>
      </x:c>
      <x:c r="S82" s="18" t="str"/>
      <x:c r="T82" s="18" t="str"/>
      <x:c r="U82" s="20" t="n">
        <x:v>100</x:v>
      </x:c>
      <x:c r="V82" s="19" t="n">
        <x:f>IFERROR(TODAY()-DATEVALUE(C82),"")</x:f>
        <x:v>10</x:v>
      </x:c>
      <x:c r="W82" s="21" t="n">
        <x:f>ROUND(COUNTA(A82:K82)/11*100,0)</x:f>
        <x:v>100</x:v>
      </x:c>
      <x:c r="X82" s="18" t="str">
        <x:v>Google News RSS</x:v>
      </x:c>
      <x:c r="Y82" s="22" t="str">
        <x:v>https://news.google.com/rss/articles/CBMifEFVX3lxTE4yLTdRU0NFUThEZXFwVFV1bVJ0Vm9rMFUzZS1ncW96YmxCTDJRVjlVNGNMLTZaMDNCZHVZa0NnbzFIT2pPWEFrRnEwbkNiLUNBQXNSLWJ5UjZmYVZVd0NlSFdDX2xWa0hQRG4ySDlIRXZ0YVh5UGRZOG1EV1I?oc=5</x:v>
      </x:c>
      <x:c r="Z82" s="18" t="n">
        <x:v>46265.291666666664</x:v>
      </x:c>
      <x:c r="AA82" s="18" t="n">
        <x:v>46275.38862103009</x:v>
      </x:c>
      <x:c r="AB82" s="18" t="str">
        <x:v>public_rss</x:v>
      </x:c>
      <x:c r="AC82" s="18" t="str">
        <x:v>READY</x:v>
      </x:c>
    </x:row>
    <x:row r="83">
      <x:c r="A83" s="18" t="str">
        <x:v>NYT-27-91b1d2ccffeea404</x:v>
      </x:c>
      <x:c r="B83" s="18" t="str">
        <x:v>PIB Backgrounder - PIB</x:v>
      </x:c>
      <x:c r="C83" s="18" t="str">
        <x:v>2026-08-28</x:v>
      </x:c>
      <x:c r="D83" s="18" t="n">
        <x:v>2026</x:v>
      </x:c>
      <x:c r="E83" s="18" t="str">
        <x:v>2026-08</x:v>
      </x:c>
      <x:c r="F83" s="18" t="str"/>
      <x:c r="G83" s="18" t="str">
        <x:v>site:pib.gov.in India budget scheme expenditure allocation</x:v>
      </x:c>
      <x:c r="H83" s="18" t="str"/>
      <x:c r="I83" s="18" t="str">
        <x:v>PIB</x:v>
      </x:c>
      <x:c r="J83" s="20" t="str"/>
      <x:c r="K83" s="18" t="str"/>
      <x:c r="L83" s="18" t="str">
        <x:v>PIB Backgrounder - PIB</x:v>
      </x:c>
      <x:c r="M83" s="18" t="str">
        <x:v>PIB</x:v>
      </x:c>
      <x:c r="N83" s="18" t="str">
        <x:v>site:pib.gov.in India budget scheme expenditure allocation</x:v>
      </x:c>
      <x:c r="O83" s="18" t="n">
        <x:v>46262.291666666664</x:v>
      </x:c>
      <x:c r="P83" s="18" t="str">
        <x:v>https://www.pib.gov.in</x:v>
      </x:c>
      <x:c r="Q83" s="18" t="str">
        <x:v>DEFINED_TERMINAL_OR_FEED_SCOPE</x:v>
      </x:c>
      <x:c r="R83" s="18" t="str">
        <x:v>news_budget_schemes_14d.json — published records loaded</x:v>
      </x:c>
      <x:c r="S83" s="18" t="str"/>
      <x:c r="T83" s="18" t="str"/>
      <x:c r="U83" s="20" t="n">
        <x:v>100</x:v>
      </x:c>
      <x:c r="V83" s="19" t="n">
        <x:f>IFERROR(TODAY()-DATEVALUE(C83),"")</x:f>
        <x:v>13</x:v>
      </x:c>
      <x:c r="W83" s="21" t="n">
        <x:f>ROUND(COUNTA(A83:K83)/11*100,0)</x:f>
        <x:v>100</x:v>
      </x:c>
      <x:c r="X83" s="18" t="str">
        <x:v>Google News RSS</x:v>
      </x:c>
      <x:c r="Y83" s="22" t="str">
        <x:v>https://news.google.com/rss/articles/CBMihgFBVV95cUxOY2JFR1d4REQ2b2huejQ5MVNfSmdJZ0hETkFzQ3N3MmdETzNDblBfeFJscm4zY0hjNTdudHRJRXgyMjhxQnNhTFh0R0h4OWdQSWhzQUhsZ3BXcTFMR1hDY2xIYmVIS2kxQlpmQlQ0RDFsQ0NXS1NXWE05czdJZUlEMTdqMWktdw?oc=5</x:v>
      </x:c>
      <x:c r="Z83" s="18" t="n">
        <x:v>46262.291666666664</x:v>
      </x:c>
      <x:c r="AA83" s="18" t="n">
        <x:v>46275.38862103009</x:v>
      </x:c>
      <x:c r="AB83" s="18" t="str">
        <x:v>public_rss</x:v>
      </x:c>
      <x:c r="AC83" s="18" t="str">
        <x:v>READY</x:v>
      </x:c>
    </x:row>
    <x:row r="84">
      <x:c r="A84" s="18" t="str">
        <x:v>NYT-27-e3e2aa11e59163c1</x:v>
      </x:c>
      <x:c r="B84" s="18" t="str">
        <x:v>From Skilled Worker to Swachhta Udyami: Diwakar Kumar's Journey towards Self-Reliance - PIB</x:v>
      </x:c>
      <x:c r="C84" s="18" t="str">
        <x:v>2026-09-08</x:v>
      </x:c>
      <x:c r="D84" s="18" t="n">
        <x:v>2026</x:v>
      </x:c>
      <x:c r="E84" s="18" t="str">
        <x:v>2026-09</x:v>
      </x:c>
      <x:c r="F84" s="18" t="str"/>
      <x:c r="G84" s="18" t="str">
        <x:v>site:pib.gov.in India budget scheme expenditure allocation</x:v>
      </x:c>
      <x:c r="H84" s="18" t="str"/>
      <x:c r="I84" s="18" t="str">
        <x:v>PIB</x:v>
      </x:c>
      <x:c r="J84" s="20" t="str"/>
      <x:c r="K84" s="18" t="str"/>
      <x:c r="L84" s="18" t="str">
        <x:v>From Skilled Worker to Swachhta Udyami: Diwakar Kumar's Journey towards Self-Reliance - PIB</x:v>
      </x:c>
      <x:c r="M84" s="18" t="str">
        <x:v>PIB</x:v>
      </x:c>
      <x:c r="N84" s="18" t="str">
        <x:v>site:pib.gov.in India budget scheme expenditure allocation</x:v>
      </x:c>
      <x:c r="O84" s="18" t="n">
        <x:v>46273.606944444444</x:v>
      </x:c>
      <x:c r="P84" s="18" t="str">
        <x:v>https://www.pib.gov.in</x:v>
      </x:c>
      <x:c r="Q84" s="18" t="str">
        <x:v>DEFINED_TERMINAL_OR_FEED_SCOPE</x:v>
      </x:c>
      <x:c r="R84" s="18" t="str">
        <x:v>news_budget_schemes_14d.json — published records loaded</x:v>
      </x:c>
      <x:c r="S84" s="18" t="str"/>
      <x:c r="T84" s="18" t="str"/>
      <x:c r="U84" s="20" t="n">
        <x:v>100</x:v>
      </x:c>
      <x:c r="V84" s="19" t="n">
        <x:f>IFERROR(TODAY()-DATEVALUE(C84),"")</x:f>
        <x:v>2</x:v>
      </x:c>
      <x:c r="W84" s="21" t="n">
        <x:f>ROUND(COUNTA(A84:K84)/11*100,0)</x:f>
        <x:v>100</x:v>
      </x:c>
      <x:c r="X84" s="18" t="str">
        <x:v>Google News RSS</x:v>
      </x:c>
      <x:c r="Y84" s="22" t="str">
        <x:v>https://news.google.com/rss/articles/CBMifkFVX3lxTE1YZ2ZMbDNBd2llc2hwWlpaY3dKRU9xemo4alRieU1Mbmczd3VYQXBWQzc3UFJiLWJmb0ZldnNmNUVrVHJPcHR3U2lzUW9vbTAxMFBlbElzZzRlSEVjX3VLdUpXaEhoeVhST1ByLUhDc2JqaEhPRjQyY1R6a0k4UQ?oc=5</x:v>
      </x:c>
      <x:c r="Z84" s="18" t="n">
        <x:v>46273.606944444444</x:v>
      </x:c>
      <x:c r="AA84" s="18" t="n">
        <x:v>46275.38862103009</x:v>
      </x:c>
      <x:c r="AB84" s="18" t="str">
        <x:v>public_rss</x:v>
      </x:c>
      <x:c r="AC84" s="18" t="str">
        <x:v>READY</x:v>
      </x:c>
    </x:row>
    <x:row r="85">
      <x:c r="A85" s="18" t="str">
        <x:v>NYT-27-1a72abcb3d437516</x:v>
      </x:c>
      <x:c r="B85" s="18" t="str">
        <x:v>Union Home Minister and Minister of Cooperation Minister Shri Amit Shah inaugurates the Jayaprakash Narayan Library in New Delhi - PIB</x:v>
      </x:c>
      <x:c r="C85" s="18" t="str">
        <x:v>2026-09-07</x:v>
      </x:c>
      <x:c r="D85" s="18" t="n">
        <x:v>2026</x:v>
      </x:c>
      <x:c r="E85" s="18" t="str">
        <x:v>2026-09</x:v>
      </x:c>
      <x:c r="F85" s="18" t="str"/>
      <x:c r="G85" s="18" t="str">
        <x:v>site:pib.gov.in India budget scheme expenditure allocation</x:v>
      </x:c>
      <x:c r="H85" s="18" t="str"/>
      <x:c r="I85" s="18" t="str">
        <x:v>PIB</x:v>
      </x:c>
      <x:c r="J85" s="20" t="str"/>
      <x:c r="K85" s="18" t="str"/>
      <x:c r="L85" s="18" t="str">
        <x:v>Union Home Minister and Minister of Cooperation Minister Shri Amit Shah inaugurates the Jayaprakash Narayan Library in New Delhi - PIB</x:v>
      </x:c>
      <x:c r="M85" s="18" t="str">
        <x:v>PIB</x:v>
      </x:c>
      <x:c r="N85" s="18" t="str">
        <x:v>site:pib.gov.in India budget scheme expenditure allocation</x:v>
      </x:c>
      <x:c r="O85" s="18" t="n">
        <x:v>46272.6718287037</x:v>
      </x:c>
      <x:c r="P85" s="18" t="str">
        <x:v>https://www.pib.gov.in</x:v>
      </x:c>
      <x:c r="Q85" s="18" t="str">
        <x:v>DEFINED_TERMINAL_OR_FEED_SCOPE</x:v>
      </x:c>
      <x:c r="R85" s="18" t="str">
        <x:v>news_budget_schemes_14d.json — published records loaded</x:v>
      </x:c>
      <x:c r="S85" s="18" t="str"/>
      <x:c r="T85" s="18" t="str"/>
      <x:c r="U85" s="20" t="n">
        <x:v>100</x:v>
      </x:c>
      <x:c r="V85" s="19" t="n">
        <x:f>IFERROR(TODAY()-DATEVALUE(C85),"")</x:f>
        <x:v>3</x:v>
      </x:c>
      <x:c r="W85" s="21" t="n">
        <x:f>ROUND(COUNTA(A85:K85)/11*100,0)</x:f>
        <x:v>100</x:v>
      </x:c>
      <x:c r="X85" s="18" t="str">
        <x:v>Google News RSS</x:v>
      </x:c>
      <x:c r="Y85" s="22" t="str">
        <x:v>https://news.google.com/rss/articles/CBMia0FVX3lxTE9ZR044U3RySmZNZ2tuYjFSbDNqTUtQU2hGNWdObWVWMngtbTlfWDhDWkpMM0puWUFKU0hhMkdoQjQ5Tmd5UGltSV9XN183M3A5WTcyU2RYUUdwUUEzSkFyM2FOODBNMUlwN3Nv?oc=5</x:v>
      </x:c>
      <x:c r="Z85" s="18" t="n">
        <x:v>46272.6718287037</x:v>
      </x:c>
      <x:c r="AA85" s="18" t="n">
        <x:v>46275.38862103009</x:v>
      </x:c>
      <x:c r="AB85" s="18" t="str">
        <x:v>public_rss</x:v>
      </x:c>
      <x:c r="AC85" s="18" t="str">
        <x:v>READY</x:v>
      </x:c>
    </x:row>
    <x:row r="86">
      <x:c r="A86" s="18" t="str">
        <x:v>NYT-27-5fa065e705dc0f4b</x:v>
      </x:c>
      <x:c r="B86" s="18" t="str">
        <x:v>BSNL Greets the Nation on the 80th Independence Day; Announces New Customer-Centric Digital Initiatives - PIB</x:v>
      </x:c>
      <x:c r="C86" s="18" t="str">
        <x:v>2026-08-19</x:v>
      </x:c>
      <x:c r="D86" s="18" t="n">
        <x:v>2026</x:v>
      </x:c>
      <x:c r="E86" s="18" t="str">
        <x:v>2026-08</x:v>
      </x:c>
      <x:c r="F86" s="18" t="str"/>
      <x:c r="G86" s="18" t="str">
        <x:v>site:pib.gov.in India budget scheme expenditure allocation</x:v>
      </x:c>
      <x:c r="H86" s="18" t="str"/>
      <x:c r="I86" s="18" t="str">
        <x:v>PIB</x:v>
      </x:c>
      <x:c r="J86" s="20" t="str"/>
      <x:c r="K86" s="18" t="str"/>
      <x:c r="L86" s="18" t="str">
        <x:v>BSNL Greets the Nation on the 80th Independence Day; Announces New Customer-Centric Digital Initiatives - PIB</x:v>
      </x:c>
      <x:c r="M86" s="18" t="str">
        <x:v>PIB</x:v>
      </x:c>
      <x:c r="N86" s="18" t="str">
        <x:v>site:pib.gov.in India budget scheme expenditure allocation</x:v>
      </x:c>
      <x:c r="O86" s="18" t="n">
        <x:v>46253.493622685186</x:v>
      </x:c>
      <x:c r="P86" s="18" t="str">
        <x:v>https://www.pib.gov.in</x:v>
      </x:c>
      <x:c r="Q86" s="18" t="str">
        <x:v>DEFINED_TERMINAL_OR_FEED_SCOPE</x:v>
      </x:c>
      <x:c r="R86" s="18" t="str">
        <x:v>news_budget_schemes_14d.json — published records loaded</x:v>
      </x:c>
      <x:c r="S86" s="18" t="str"/>
      <x:c r="T86" s="18" t="str"/>
      <x:c r="U86" s="20" t="n">
        <x:v>100</x:v>
      </x:c>
      <x:c r="V86" s="19" t="n">
        <x:f>IFERROR(TODAY()-DATEVALUE(C86),"")</x:f>
        <x:v>22</x:v>
      </x:c>
      <x:c r="W86" s="21" t="n">
        <x:f>ROUND(COUNTA(A86:K86)/11*100,0)</x:f>
        <x:v>100</x:v>
      </x:c>
      <x:c r="X86" s="18" t="str">
        <x:v>Google News RSS</x:v>
      </x:c>
      <x:c r="Y86" s="22" t="str">
        <x:v>https://news.google.com/rss/articles/CBMigAFBVV95cUxQTHRMOWM2a0hGNEpyUEdHMDNFRC04UWRnWlk2MU4xdUhvMU5xbGllOHllQzlxTG1mUXdWd25UQ2pPV0NIY1dtSzYyRzVyelFxVEdNRGRMYUNLRW5fNERjRVVnZGRiVEoyV09BbWotYm5EZ1RhU3g0bVg4cHhPUVB1Vg?oc=5</x:v>
      </x:c>
      <x:c r="Z86" s="18" t="n">
        <x:v>46253.493622685186</x:v>
      </x:c>
      <x:c r="AA86" s="18" t="n">
        <x:v>46275.38862103009</x:v>
      </x:c>
      <x:c r="AB86" s="18" t="str">
        <x:v>public_rss</x:v>
      </x:c>
      <x:c r="AC86" s="18" t="str">
        <x:v>READY</x:v>
      </x:c>
    </x:row>
    <x:row r="87">
      <x:c r="A87" s="18" t="str">
        <x:v>NYT-27-57ae02592d2c3461</x:v>
      </x:c>
      <x:c r="B87" s="18" t="str">
        <x:v>PIB Backgrounder - PIB</x:v>
      </x:c>
      <x:c r="C87" s="18" t="str">
        <x:v>2026-08-28</x:v>
      </x:c>
      <x:c r="D87" s="18" t="n">
        <x:v>2026</x:v>
      </x:c>
      <x:c r="E87" s="18" t="str">
        <x:v>2026-08</x:v>
      </x:c>
      <x:c r="F87" s="18" t="str"/>
      <x:c r="G87" s="18" t="str">
        <x:v>site:pib.gov.in India budget scheme expenditure allocation</x:v>
      </x:c>
      <x:c r="H87" s="18" t="str"/>
      <x:c r="I87" s="18" t="str">
        <x:v>PIB</x:v>
      </x:c>
      <x:c r="J87" s="20" t="str"/>
      <x:c r="K87" s="18" t="str"/>
      <x:c r="L87" s="18" t="str">
        <x:v>PIB Backgrounder - PIB</x:v>
      </x:c>
      <x:c r="M87" s="18" t="str">
        <x:v>PIB</x:v>
      </x:c>
      <x:c r="N87" s="18" t="str">
        <x:v>site:pib.gov.in India budget scheme expenditure allocation</x:v>
      </x:c>
      <x:c r="O87" s="18" t="n">
        <x:v>46262.291666666664</x:v>
      </x:c>
      <x:c r="P87" s="18" t="str">
        <x:v>https://www.pib.gov.in</x:v>
      </x:c>
      <x:c r="Q87" s="18" t="str">
        <x:v>DEFINED_TERMINAL_OR_FEED_SCOPE</x:v>
      </x:c>
      <x:c r="R87" s="18" t="str">
        <x:v>news_budget_schemes_14d.json — published records loaded</x:v>
      </x:c>
      <x:c r="S87" s="18" t="str"/>
      <x:c r="T87" s="18" t="str"/>
      <x:c r="U87" s="20" t="n">
        <x:v>100</x:v>
      </x:c>
      <x:c r="V87" s="19" t="n">
        <x:f>IFERROR(TODAY()-DATEVALUE(C87),"")</x:f>
        <x:v>13</x:v>
      </x:c>
      <x:c r="W87" s="21" t="n">
        <x:f>ROUND(COUNTA(A87:K87)/11*100,0)</x:f>
        <x:v>100</x:v>
      </x:c>
      <x:c r="X87" s="18" t="str">
        <x:v>Google News RSS</x:v>
      </x:c>
      <x:c r="Y87" s="22" t="str">
        <x:v>https://news.google.com/rss/articles/CBMiigFBVV95cUxObGxzei0zMDVldlU4OTlvRzZ0OXN2YXhBZk9BWUFldmRCUkRkSE03WEQtdkZkekEweFBZd1hFZHhpWlQwVEp3blB5MG9ud2lUVTFGTXI4U2lKZllvT3lOX0ZYT3RPMUdvRVVPcS1GemFpY1RQZ1BNZWxQVjc0YXZDZ0hoVTdOVjhWMmc?oc=5</x:v>
      </x:c>
      <x:c r="Z87" s="18" t="n">
        <x:v>46262.291666666664</x:v>
      </x:c>
      <x:c r="AA87" s="18" t="n">
        <x:v>46275.38862103009</x:v>
      </x:c>
      <x:c r="AB87" s="18" t="str">
        <x:v>public_rss</x:v>
      </x:c>
      <x:c r="AC87" s="18" t="str">
        <x:v>READY</x:v>
      </x:c>
    </x:row>
    <x:row r="88">
      <x:c r="A88" s="18" t="str">
        <x:v>NYT-27-95f4243aca619a85</x:v>
      </x:c>
      <x:c r="B88" s="18" t="str">
        <x:v>PM to Visit Gujarat and Maharashtra on 8th September - PIB</x:v>
      </x:c>
      <x:c r="C88" s="18" t="str">
        <x:v>2026-09-07</x:v>
      </x:c>
      <x:c r="D88" s="18" t="n">
        <x:v>2026</x:v>
      </x:c>
      <x:c r="E88" s="18" t="str">
        <x:v>2026-09</x:v>
      </x:c>
      <x:c r="F88" s="18" t="str"/>
      <x:c r="G88" s="18" t="str">
        <x:v>site:pib.gov.in India budget scheme expenditure allocation</x:v>
      </x:c>
      <x:c r="H88" s="18" t="str"/>
      <x:c r="I88" s="18" t="str">
        <x:v>PIB</x:v>
      </x:c>
      <x:c r="J88" s="20" t="str"/>
      <x:c r="K88" s="18" t="str"/>
      <x:c r="L88" s="18" t="str">
        <x:v>PM to Visit Gujarat and Maharashtra on 8th September - PIB</x:v>
      </x:c>
      <x:c r="M88" s="18" t="str">
        <x:v>PIB</x:v>
      </x:c>
      <x:c r="N88" s="18" t="str">
        <x:v>site:pib.gov.in India budget scheme expenditure allocation</x:v>
      </x:c>
      <x:c r="O88" s="18" t="n">
        <x:v>46272.26458333333</x:v>
      </x:c>
      <x:c r="P88" s="18" t="str">
        <x:v>https://www.pib.gov.in</x:v>
      </x:c>
      <x:c r="Q88" s="18" t="str">
        <x:v>DEFINED_TERMINAL_OR_FEED_SCOPE</x:v>
      </x:c>
      <x:c r="R88" s="18" t="str">
        <x:v>news_budget_schemes_14d.json — published records loaded</x:v>
      </x:c>
      <x:c r="S88" s="18" t="str"/>
      <x:c r="T88" s="18" t="str"/>
      <x:c r="U88" s="20" t="n">
        <x:v>100</x:v>
      </x:c>
      <x:c r="V88" s="19" t="n">
        <x:f>IFERROR(TODAY()-DATEVALUE(C88),"")</x:f>
        <x:v>3</x:v>
      </x:c>
      <x:c r="W88" s="21" t="n">
        <x:f>ROUND(COUNTA(A88:K88)/11*100,0)</x:f>
        <x:v>100</x:v>
      </x:c>
      <x:c r="X88" s="18" t="str">
        <x:v>Google News RSS</x:v>
      </x:c>
      <x:c r="Y88" s="22" t="str">
        <x:v>https://news.google.com/rss/articles/CBMifEFVX3lxTE9JcENxTHN2TGRYclU2eW5oMk93eWJSTi01NzYtcTZXdE44LTE2UjdUQy1RdHMyUThYc1pSNmVORTdFeC0ybklYd29adDhjWHRkSTZ0U29NWElxLWR1X2RUSEdYSWx6RGhZdDQ4OXowdnh6b0R1YUdDaDVzdGs?oc=5</x:v>
      </x:c>
      <x:c r="Z88" s="18" t="n">
        <x:v>46272.26458333333</x:v>
      </x:c>
      <x:c r="AA88" s="18" t="n">
        <x:v>46275.38862103009</x:v>
      </x:c>
      <x:c r="AB88" s="18" t="str">
        <x:v>public_rss</x:v>
      </x:c>
      <x:c r="AC88" s="18" t="str">
        <x:v>READY</x:v>
      </x:c>
    </x:row>
    <x:row r="89">
      <x:c r="A89" s="18" t="str">
        <x:v>NYT-27-a31514b028868611</x:v>
      </x:c>
      <x:c r="B89" s="18" t="str">
        <x:v>BlogDescription - PIB</x:v>
      </x:c>
      <x:c r="C89" s="18" t="str">
        <x:v>2026-09-06</x:v>
      </x:c>
      <x:c r="D89" s="18" t="n">
        <x:v>2026</x:v>
      </x:c>
      <x:c r="E89" s="18" t="str">
        <x:v>2026-09</x:v>
      </x:c>
      <x:c r="F89" s="18" t="str"/>
      <x:c r="G89" s="18" t="str">
        <x:v>site:pib.gov.in India budget scheme expenditure allocation</x:v>
      </x:c>
      <x:c r="H89" s="18" t="str"/>
      <x:c r="I89" s="18" t="str">
        <x:v>PIB</x:v>
      </x:c>
      <x:c r="J89" s="20" t="str"/>
      <x:c r="K89" s="18" t="str"/>
      <x:c r="L89" s="18" t="str">
        <x:v>BlogDescription - PIB</x:v>
      </x:c>
      <x:c r="M89" s="18" t="str">
        <x:v>PIB</x:v>
      </x:c>
      <x:c r="N89" s="18" t="str">
        <x:v>site:pib.gov.in India budget scheme expenditure allocation</x:v>
      </x:c>
      <x:c r="O89" s="18" t="n">
        <x:v>46271.94876157407</x:v>
      </x:c>
      <x:c r="P89" s="18" t="str">
        <x:v>https://www.pib.gov.in</x:v>
      </x:c>
      <x:c r="Q89" s="18" t="str">
        <x:v>DEFINED_TERMINAL_OR_FEED_SCOPE</x:v>
      </x:c>
      <x:c r="R89" s="18" t="str">
        <x:v>news_budget_schemes_14d.json — published records loaded</x:v>
      </x:c>
      <x:c r="S89" s="18" t="str"/>
      <x:c r="T89" s="18" t="str"/>
      <x:c r="U89" s="20" t="n">
        <x:v>100</x:v>
      </x:c>
      <x:c r="V89" s="19" t="n">
        <x:f>IFERROR(TODAY()-DATEVALUE(C89),"")</x:f>
        <x:v>4</x:v>
      </x:c>
      <x:c r="W89" s="21" t="n">
        <x:f>ROUND(COUNTA(A89:K89)/11*100,0)</x:f>
        <x:v>100</x:v>
      </x:c>
      <x:c r="X89" s="18" t="str">
        <x:v>Google News RSS</x:v>
      </x:c>
      <x:c r="Y89" s="22" t="str">
        <x:v>https://news.google.com/rss/articles/CBMiZkFVX3lxTE1RUFlmZU9mVTlLMzBQaUNKclV5UGtqV1ROYmJyYl9jTnc5Q3FPRU9ObV80NHlIdHRpV2tDTXNpUXhMU0dVRC03QkgyN1pncmFBZHNETjcwX0R5MVVhV0dNYW9nWEpfQQ?oc=5</x:v>
      </x:c>
      <x:c r="Z89" s="18" t="n">
        <x:v>46271.94876157407</x:v>
      </x:c>
      <x:c r="AA89" s="18" t="n">
        <x:v>46275.38862103009</x:v>
      </x:c>
      <x:c r="AB89" s="18" t="str">
        <x:v>public_rss</x:v>
      </x:c>
      <x:c r="AC89" s="18" t="str">
        <x:v>READY</x:v>
      </x:c>
    </x:row>
    <x:row r="90">
      <x:c r="A90" s="18" t="str">
        <x:v>NYT-27-75f7c057bee76326</x:v>
      </x:c>
      <x:c r="B90" s="18" t="str">
        <x:v>Nuclear Energy in India - PIB</x:v>
      </x:c>
      <x:c r="C90" s="18" t="str">
        <x:v>2026-08-28</x:v>
      </x:c>
      <x:c r="D90" s="18" t="n">
        <x:v>2026</x:v>
      </x:c>
      <x:c r="E90" s="18" t="str">
        <x:v>2026-08</x:v>
      </x:c>
      <x:c r="F90" s="18" t="str"/>
      <x:c r="G90" s="18" t="str">
        <x:v>site:pib.gov.in India budget scheme expenditure allocation</x:v>
      </x:c>
      <x:c r="H90" s="18" t="str"/>
      <x:c r="I90" s="18" t="str">
        <x:v>PIB</x:v>
      </x:c>
      <x:c r="J90" s="20" t="str"/>
      <x:c r="K90" s="18" t="str"/>
      <x:c r="L90" s="18" t="str">
        <x:v>Nuclear Energy in India - PIB</x:v>
      </x:c>
      <x:c r="M90" s="18" t="str">
        <x:v>PIB</x:v>
      </x:c>
      <x:c r="N90" s="18" t="str">
        <x:v>site:pib.gov.in India budget scheme expenditure allocation</x:v>
      </x:c>
      <x:c r="O90" s="18" t="n">
        <x:v>46262.27921296296</x:v>
      </x:c>
      <x:c r="P90" s="18" t="str">
        <x:v>https://static.pib.gov.in</x:v>
      </x:c>
      <x:c r="Q90" s="18" t="str">
        <x:v>DEFINED_TERMINAL_OR_FEED_SCOPE</x:v>
      </x:c>
      <x:c r="R90" s="18" t="str">
        <x:v>news_budget_schemes_14d.json — published records loaded</x:v>
      </x:c>
      <x:c r="S90" s="18" t="str"/>
      <x:c r="T90" s="18" t="str"/>
      <x:c r="U90" s="20" t="n">
        <x:v>100</x:v>
      </x:c>
      <x:c r="V90" s="19" t="n">
        <x:f>IFERROR(TODAY()-DATEVALUE(C90),"")</x:f>
        <x:v>13</x:v>
      </x:c>
      <x:c r="W90" s="21" t="n">
        <x:f>ROUND(COUNTA(A90:K90)/11*100,0)</x:f>
        <x:v>100</x:v>
      </x:c>
      <x:c r="X90" s="18" t="str">
        <x:v>Google News RSS</x:v>
      </x:c>
      <x:c r="Y90" s="22" t="str">
        <x:v>https://news.google.com/rss/articles/CBMipAFBVV95cUxPVFh4N0J3bEl2TVdWQmlMZ2NHdUNCa1JBeVpyMTNLRDA4YlNXQ0ItVzh5NTdrQTBoZFBNLUJfbEQ0WlpfaFFwbXg5SnlZY2Z5dEpqUGFZRXJUbXJSVkNIVFJ4NTVVRUt1T1FjTnR5VU8zbDBRdEgtclpsUkd3V2lHbTRrZUtTbVVXdi1aNnpzOTEzcUhFUzZaOUpoQllQeW12YmRZUg?oc=5</x:v>
      </x:c>
      <x:c r="Z90" s="18" t="n">
        <x:v>46262.27921296296</x:v>
      </x:c>
      <x:c r="AA90" s="18" t="n">
        <x:v>46275.38862103009</x:v>
      </x:c>
      <x:c r="AB90" s="18" t="str">
        <x:v>public_rss</x:v>
      </x:c>
      <x:c r="AC90" s="18" t="str">
        <x:v>READY</x:v>
      </x:c>
    </x:row>
    <x:row r="91">
      <x:c r="A91" s="18" t="str">
        <x:v>NYT-27-711e7ef9503faa4d</x:v>
      </x:c>
      <x:c r="B91" s="18" t="str">
        <x:v>DEVELOPMENT OF PORTS IN ANDHRA PRADESH - PIB</x:v>
      </x:c>
      <x:c r="C91" s="18" t="str">
        <x:v>2026-08-31</x:v>
      </x:c>
      <x:c r="D91" s="18" t="n">
        <x:v>2026</x:v>
      </x:c>
      <x:c r="E91" s="18" t="str">
        <x:v>2026-08</x:v>
      </x:c>
      <x:c r="F91" s="18" t="str"/>
      <x:c r="G91" s="18" t="str">
        <x:v>site:pib.gov.in India budget scheme expenditure allocation</x:v>
      </x:c>
      <x:c r="H91" s="18" t="str"/>
      <x:c r="I91" s="18" t="str">
        <x:v>PIB</x:v>
      </x:c>
      <x:c r="J91" s="20" t="str"/>
      <x:c r="K91" s="18" t="str"/>
      <x:c r="L91" s="18" t="str">
        <x:v>DEVELOPMENT OF PORTS IN ANDHRA PRADESH - PIB</x:v>
      </x:c>
      <x:c r="M91" s="18" t="str">
        <x:v>PIB</x:v>
      </x:c>
      <x:c r="N91" s="18" t="str">
        <x:v>site:pib.gov.in India budget scheme expenditure allocation</x:v>
      </x:c>
      <x:c r="O91" s="18" t="n">
        <x:v>46265.21319444444</x:v>
      </x:c>
      <x:c r="P91" s="18" t="str">
        <x:v>https://www.pib.gov.in</x:v>
      </x:c>
      <x:c r="Q91" s="18" t="str">
        <x:v>DEFINED_TERMINAL_OR_FEED_SCOPE</x:v>
      </x:c>
      <x:c r="R91" s="18" t="str">
        <x:v>news_budget_schemes_14d.json — published records loaded</x:v>
      </x:c>
      <x:c r="S91" s="18" t="str"/>
      <x:c r="T91" s="18" t="str"/>
      <x:c r="U91" s="20" t="n">
        <x:v>100</x:v>
      </x:c>
      <x:c r="V91" s="19" t="n">
        <x:f>IFERROR(TODAY()-DATEVALUE(C91),"")</x:f>
        <x:v>10</x:v>
      </x:c>
      <x:c r="W91" s="21" t="n">
        <x:f>ROUND(COUNTA(A91:K91)/11*100,0)</x:f>
        <x:v>100</x:v>
      </x:c>
      <x:c r="X91" s="18" t="str">
        <x:v>Google News RSS</x:v>
      </x:c>
      <x:c r="Y91" s="22" t="str">
        <x:v>https://news.google.com/rss/articles/CBMifkFVX3lxTE1TOWhqSmR4QWl0UzJFT21YQ3BvVDl4SDNaVlFfWGRkN0dVSGtZTVpFQmExTEc0bjJrRnRJWElucFJ1MjFzcnhoTjdFTnFhMnZNYlVhM3NneWlPc19vaGRwWlNSei1VZ1k0b1NPS2s1Z2IydEJhQ1cyZWlYd3drUQ?oc=5</x:v>
      </x:c>
      <x:c r="Z91" s="18" t="n">
        <x:v>46265.21319444444</x:v>
      </x:c>
      <x:c r="AA91" s="18" t="n">
        <x:v>46275.38862103009</x:v>
      </x:c>
      <x:c r="AB91" s="18" t="str">
        <x:v>public_rss</x:v>
      </x:c>
      <x:c r="AC91" s="18" t="str">
        <x:v>READY</x:v>
      </x:c>
    </x:row>
    <x:row r="92">
      <x:c r="A92" s="18" t="str">
        <x:v>NYT-27-c88057d08466cfbd</x:v>
      </x:c>
      <x:c r="B92" s="18" t="str">
        <x:v>BlogDescription - PIB</x:v>
      </x:c>
      <x:c r="C92" s="18" t="str">
        <x:v>2026-09-06</x:v>
      </x:c>
      <x:c r="D92" s="18" t="n">
        <x:v>2026</x:v>
      </x:c>
      <x:c r="E92" s="18" t="str">
        <x:v>2026-09</x:v>
      </x:c>
      <x:c r="F92" s="18" t="str"/>
      <x:c r="G92" s="18" t="str">
        <x:v>site:pib.gov.in India budget scheme expenditure allocation</x:v>
      </x:c>
      <x:c r="H92" s="18" t="str"/>
      <x:c r="I92" s="18" t="str">
        <x:v>PIB</x:v>
      </x:c>
      <x:c r="J92" s="20" t="str"/>
      <x:c r="K92" s="18" t="str"/>
      <x:c r="L92" s="18" t="str">
        <x:v>BlogDescription - PIB</x:v>
      </x:c>
      <x:c r="M92" s="18" t="str">
        <x:v>PIB</x:v>
      </x:c>
      <x:c r="N92" s="18" t="str">
        <x:v>site:pib.gov.in India budget scheme expenditure allocation</x:v>
      </x:c>
      <x:c r="O92" s="18" t="n">
        <x:v>46271.85203703704</x:v>
      </x:c>
      <x:c r="P92" s="18" t="str">
        <x:v>https://www.pib.gov.in</x:v>
      </x:c>
      <x:c r="Q92" s="18" t="str">
        <x:v>DEFINED_TERMINAL_OR_FEED_SCOPE</x:v>
      </x:c>
      <x:c r="R92" s="18" t="str">
        <x:v>news_budget_schemes_14d.json — published records loaded</x:v>
      </x:c>
      <x:c r="S92" s="18" t="str"/>
      <x:c r="T92" s="18" t="str"/>
      <x:c r="U92" s="20" t="n">
        <x:v>100</x:v>
      </x:c>
      <x:c r="V92" s="19" t="n">
        <x:f>IFERROR(TODAY()-DATEVALUE(C92),"")</x:f>
        <x:v>4</x:v>
      </x:c>
      <x:c r="W92" s="21" t="n">
        <x:f>ROUND(COUNTA(A92:K92)/11*100,0)</x:f>
        <x:v>100</x:v>
      </x:c>
      <x:c r="X92" s="18" t="str">
        <x:v>Google News RSS</x:v>
      </x:c>
      <x:c r="Y92" s="22" t="str">
        <x:v>https://news.google.com/rss/articles/CBMiZkFVX3lxTE1YOWhwMFR5T0NGNG5hSzRsUVlOdUprV0dHdHRnaHlsMmlucVhpZjRxRXFxQ3BJSFo2TFJWS2w3UF9oTFFnY3J5bjBBTmpFTV9CM1lNS3JhWEZsV0hOSVcxLWpVQUtJdw?oc=5</x:v>
      </x:c>
      <x:c r="Z92" s="18" t="n">
        <x:v>46271.85203703704</x:v>
      </x:c>
      <x:c r="AA92" s="18" t="n">
        <x:v>46275.38862103009</x:v>
      </x:c>
      <x:c r="AB92" s="18" t="str">
        <x:v>public_rss</x:v>
      </x:c>
      <x:c r="AC92" s="18" t="str">
        <x:v>READY</x:v>
      </x:c>
    </x:row>
    <x:row r="93">
      <x:c r="A93" s="18" t="str">
        <x:v>NYT-27-71e7a6a522b1237c</x:v>
      </x:c>
      <x:c r="B93" s="18" t="str">
        <x:v>Indian Railways Approves ₹272 Crore Bypass Line Between Adra and Joychandipahar to Boost Freight Capacity - PIB</x:v>
      </x:c>
      <x:c r="C93" s="18" t="str">
        <x:v>2026-09-01</x:v>
      </x:c>
      <x:c r="D93" s="18" t="n">
        <x:v>2026</x:v>
      </x:c>
      <x:c r="E93" s="18" t="str">
        <x:v>2026-09</x:v>
      </x:c>
      <x:c r="F93" s="18" t="str"/>
      <x:c r="G93" s="18" t="str">
        <x:v>site:pib.gov.in India budget scheme expenditure allocation</x:v>
      </x:c>
      <x:c r="H93" s="18" t="str"/>
      <x:c r="I93" s="18" t="str">
        <x:v>PIB</x:v>
      </x:c>
      <x:c r="J93" s="20" t="str"/>
      <x:c r="K93" s="18" t="str"/>
      <x:c r="L93" s="18" t="str">
        <x:v>Indian Railways Approves ₹272 Crore Bypass Line Between Adra and Joychandipahar to Boost Freight Capacity - PIB</x:v>
      </x:c>
      <x:c r="M93" s="18" t="str">
        <x:v>PIB</x:v>
      </x:c>
      <x:c r="N93" s="18" t="str">
        <x:v>site:pib.gov.in India budget scheme expenditure allocation</x:v>
      </x:c>
      <x:c r="O93" s="18" t="n">
        <x:v>46266.245833333334</x:v>
      </x:c>
      <x:c r="P93" s="18" t="str">
        <x:v>https://www.pib.gov.in</x:v>
      </x:c>
      <x:c r="Q93" s="18" t="str">
        <x:v>DEFINED_TERMINAL_OR_FEED_SCOPE</x:v>
      </x:c>
      <x:c r="R93" s="18" t="str">
        <x:v>news_budget_schemes_14d.json — published records loaded</x:v>
      </x:c>
      <x:c r="S93" s="18" t="str"/>
      <x:c r="T93" s="18" t="str"/>
      <x:c r="U93" s="20" t="n">
        <x:v>100</x:v>
      </x:c>
      <x:c r="V93" s="19" t="n">
        <x:f>IFERROR(TODAY()-DATEVALUE(C93),"")</x:f>
        <x:v>9</x:v>
      </x:c>
      <x:c r="W93" s="21" t="n">
        <x:f>ROUND(COUNTA(A93:K93)/11*100,0)</x:f>
        <x:v>100</x:v>
      </x:c>
      <x:c r="X93" s="18" t="str">
        <x:v>Google News RSS</x:v>
      </x:c>
      <x:c r="Y93" s="22" t="str">
        <x:v>https://news.google.com/rss/articles/CBMifEFVX3lxTE5Za2piWWk4MXh3SlNWX0E2RTZleC01Um9ZR1RqZGhZVnFDbTIxTXAweGFobFM5Q1Yxd1VOZDhDblB5X2RFN2oxbjA2YzZfa21jSHUwaEZSWVZROGV2bV81d0JEUnVVOGFOUHF6Qm5YUWZDcWFVUHBxbHlCbHo?oc=5</x:v>
      </x:c>
      <x:c r="Z93" s="18" t="n">
        <x:v>46266.245833333334</x:v>
      </x:c>
      <x:c r="AA93" s="18" t="n">
        <x:v>46275.38862103009</x:v>
      </x:c>
      <x:c r="AB93" s="18" t="str">
        <x:v>public_rss</x:v>
      </x:c>
      <x:c r="AC93" s="18" t="str">
        <x:v>READY</x:v>
      </x:c>
    </x:row>
    <x:row r="94">
      <x:c r="A94" s="18" t="str">
        <x:v>NYT-27-7e00f59954468002</x:v>
      </x:c>
      <x:c r="B94" s="18" t="str">
        <x:v>Sarbananda Sonowal Inaugurates ₹427.80 Crore Projects at Paradip Port, Marks 18.5-Metre Deep-Draft Capability - PIB</x:v>
      </x:c>
      <x:c r="C94" s="18" t="str">
        <x:v>2026-09-08</x:v>
      </x:c>
      <x:c r="D94" s="18" t="n">
        <x:v>2026</x:v>
      </x:c>
      <x:c r="E94" s="18" t="str">
        <x:v>2026-09</x:v>
      </x:c>
      <x:c r="F94" s="18" t="str"/>
      <x:c r="G94" s="18" t="str">
        <x:v>site:pib.gov.in India budget scheme expenditure allocation</x:v>
      </x:c>
      <x:c r="H94" s="18" t="str"/>
      <x:c r="I94" s="18" t="str">
        <x:v>PIB</x:v>
      </x:c>
      <x:c r="J94" s="20" t="str"/>
      <x:c r="K94" s="18" t="str"/>
      <x:c r="L94" s="18" t="str">
        <x:v>Sarbananda Sonowal Inaugurates ₹427.80 Crore Projects at Paradip Port, Marks 18.5-Metre Deep-Draft Capability - PIB</x:v>
      </x:c>
      <x:c r="M94" s="18" t="str">
        <x:v>PIB</x:v>
      </x:c>
      <x:c r="N94" s="18" t="str">
        <x:v>site:pib.gov.in India budget scheme expenditure allocation</x:v>
      </x:c>
      <x:c r="O94" s="18" t="n">
        <x:v>46273.70694444444</x:v>
      </x:c>
      <x:c r="P94" s="18" t="str">
        <x:v>https://www.pib.gov.in</x:v>
      </x:c>
      <x:c r="Q94" s="18" t="str">
        <x:v>DEFINED_TERMINAL_OR_FEED_SCOPE</x:v>
      </x:c>
      <x:c r="R94" s="18" t="str">
        <x:v>news_budget_schemes_14d.json — published records loaded</x:v>
      </x:c>
      <x:c r="S94" s="18" t="str"/>
      <x:c r="T94" s="18" t="str"/>
      <x:c r="U94" s="20" t="n">
        <x:v>100</x:v>
      </x:c>
      <x:c r="V94" s="19" t="n">
        <x:f>IFERROR(TODAY()-DATEVALUE(C94),"")</x:f>
        <x:v>2</x:v>
      </x:c>
      <x:c r="W94" s="21" t="n">
        <x:f>ROUND(COUNTA(A94:K94)/11*100,0)</x:f>
        <x:v>100</x:v>
      </x:c>
      <x:c r="X94" s="18" t="str">
        <x:v>Google News RSS</x:v>
      </x:c>
      <x:c r="Y94" s="22" t="str">
        <x:v>https://news.google.com/rss/articles/CBMifkFVX3lxTE40UENCQTdFVXRZRjI1YkpzamZBZHBxUW81RHBYVFo3MFJSVVZDQlJVZWN4V29HZ2NkUi1aMVh5ZVBfOFdnR0s2T0JHVXExYUNkeWotZUdwVXp4UGs0R051SE1ndGxxdmJkYjBzbEJWUkdhcWllTlQyOWxsSkNHUQ?oc=5</x:v>
      </x:c>
      <x:c r="Z94" s="18" t="n">
        <x:v>46273.70694444444</x:v>
      </x:c>
      <x:c r="AA94" s="18" t="n">
        <x:v>46275.38862103009</x:v>
      </x:c>
      <x:c r="AB94" s="18" t="str">
        <x:v>public_rss</x:v>
      </x:c>
      <x:c r="AC94" s="18" t="str">
        <x:v>READY</x:v>
      </x:c>
    </x:row>
    <x:row r="95">
      <x:c r="A95" s="18" t="str">
        <x:v>NYT-27-4bb02c8dc9ea2a78</x:v>
      </x:c>
      <x:c r="B95" s="18" t="str">
        <x:v>PIB Backgrounder - PIB</x:v>
      </x:c>
      <x:c r="C95" s="18" t="str">
        <x:v>2026-08-28</x:v>
      </x:c>
      <x:c r="D95" s="18" t="n">
        <x:v>2026</x:v>
      </x:c>
      <x:c r="E95" s="18" t="str">
        <x:v>2026-08</x:v>
      </x:c>
      <x:c r="F95" s="18" t="str"/>
      <x:c r="G95" s="18" t="str">
        <x:v>site:pib.gov.in India budget scheme expenditure allocation</x:v>
      </x:c>
      <x:c r="H95" s="18" t="str"/>
      <x:c r="I95" s="18" t="str">
        <x:v>PIB</x:v>
      </x:c>
      <x:c r="J95" s="20" t="str"/>
      <x:c r="K95" s="18" t="str"/>
      <x:c r="L95" s="18" t="str">
        <x:v>PIB Backgrounder - PIB</x:v>
      </x:c>
      <x:c r="M95" s="18" t="str">
        <x:v>PIB</x:v>
      </x:c>
      <x:c r="N95" s="18" t="str">
        <x:v>site:pib.gov.in India budget scheme expenditure allocation</x:v>
      </x:c>
      <x:c r="O95" s="18" t="n">
        <x:v>46262.194444444445</x:v>
      </x:c>
      <x:c r="P95" s="18" t="str">
        <x:v>https://www.pib.gov.in</x:v>
      </x:c>
      <x:c r="Q95" s="18" t="str">
        <x:v>DEFINED_TERMINAL_OR_FEED_SCOPE</x:v>
      </x:c>
      <x:c r="R95" s="18" t="str">
        <x:v>news_budget_schemes_14d.json — published records loaded</x:v>
      </x:c>
      <x:c r="S95" s="18" t="str"/>
      <x:c r="T95" s="18" t="str"/>
      <x:c r="U95" s="20" t="n">
        <x:v>100</x:v>
      </x:c>
      <x:c r="V95" s="19" t="n">
        <x:f>IFERROR(TODAY()-DATEVALUE(C95),"")</x:f>
        <x:v>13</x:v>
      </x:c>
      <x:c r="W95" s="21" t="n">
        <x:f>ROUND(COUNTA(A95:K95)/11*100,0)</x:f>
        <x:v>100</x:v>
      </x:c>
      <x:c r="X95" s="18" t="str">
        <x:v>Google News RSS</x:v>
      </x:c>
      <x:c r="Y95" s="22" t="str">
        <x:v>https://news.google.com/rss/articles/CBMiigFBVV95cUxNVFh2Zkg5V2NvdThaZ1EzZDczc0pPRkxuR3I3Vld6V3lIU01MWG0zRlc1T2k5UjMzSzJEdWhkNnk2SFNUY3d6dnFfQkpaYzZsUUhBdDZ2MkxPam5YVnhFek0waW15aVVGRHhGbmo0UnF1ZjFTQkdybGRjOTdVMnBDVHBKTzRiQ25ibEE?oc=5</x:v>
      </x:c>
      <x:c r="Z95" s="18" t="n">
        <x:v>46262.194444444445</x:v>
      </x:c>
      <x:c r="AA95" s="18" t="n">
        <x:v>46275.38862103009</x:v>
      </x:c>
      <x:c r="AB95" s="18" t="str">
        <x:v>public_rss</x:v>
      </x:c>
      <x:c r="AC95" s="18" t="str">
        <x:v>READY</x:v>
      </x:c>
    </x:row>
    <x:row r="96">
      <x:c r="A96" s="18" t="str">
        <x:v>NYT-27-4a87f585b79c6f61</x:v>
      </x:c>
      <x:c r="B96" s="18" t="str">
        <x:v>Nuclear Energy in India - PIB</x:v>
      </x:c>
      <x:c r="C96" s="18" t="str">
        <x:v>2026-08-28</x:v>
      </x:c>
      <x:c r="D96" s="18" t="n">
        <x:v>2026</x:v>
      </x:c>
      <x:c r="E96" s="18" t="str">
        <x:v>2026-08</x:v>
      </x:c>
      <x:c r="F96" s="18" t="str"/>
      <x:c r="G96" s="18" t="str">
        <x:v>site:pib.gov.in India budget scheme expenditure allocation</x:v>
      </x:c>
      <x:c r="H96" s="18" t="str"/>
      <x:c r="I96" s="18" t="str">
        <x:v>PIB</x:v>
      </x:c>
      <x:c r="J96" s="20" t="str"/>
      <x:c r="K96" s="18" t="str"/>
      <x:c r="L96" s="18" t="str">
        <x:v>Nuclear Energy in India - PIB</x:v>
      </x:c>
      <x:c r="M96" s="18" t="str">
        <x:v>PIB</x:v>
      </x:c>
      <x:c r="N96" s="18" t="str">
        <x:v>site:pib.gov.in India budget scheme expenditure allocation</x:v>
      </x:c>
      <x:c r="O96" s="18" t="n">
        <x:v>46262.291666666664</x:v>
      </x:c>
      <x:c r="P96" s="18" t="str">
        <x:v>https://www.pib.gov.in</x:v>
      </x:c>
      <x:c r="Q96" s="18" t="str">
        <x:v>DEFINED_TERMINAL_OR_FEED_SCOPE</x:v>
      </x:c>
      <x:c r="R96" s="18" t="str">
        <x:v>news_budget_schemes_14d.json — published records loaded</x:v>
      </x:c>
      <x:c r="S96" s="18" t="str"/>
      <x:c r="T96" s="18" t="str"/>
      <x:c r="U96" s="20" t="n">
        <x:v>100</x:v>
      </x:c>
      <x:c r="V96" s="19" t="n">
        <x:f>IFERROR(TODAY()-DATEVALUE(C96),"")</x:f>
        <x:v>13</x:v>
      </x:c>
      <x:c r="W96" s="21" t="n">
        <x:f>ROUND(COUNTA(A96:K96)/11*100,0)</x:f>
        <x:v>100</x:v>
      </x:c>
      <x:c r="X96" s="18" t="str">
        <x:v>Google News RSS</x:v>
      </x:c>
      <x:c r="Y96" s="22" t="str">
        <x:v>https://news.google.com/rss/articles/CBMifEFVX3lxTE9XRVFMbDAxR2ttQ01IdTByMEd0OU02T284UWw1VTI1ZWJoRkF3cDN1TjlIeHJSODJldnFKczlBbEljZWJ6NUJpZlpXaGt2X09FNktVWDM3cm1kR1VYOWpoM0I0S0d4c3MtLWh6QUNVOG9fMkk3RVZ5UEZpMzQ?oc=5</x:v>
      </x:c>
      <x:c r="Z96" s="18" t="n">
        <x:v>46262.291666666664</x:v>
      </x:c>
      <x:c r="AA96" s="18" t="n">
        <x:v>46275.38862103009</x:v>
      </x:c>
      <x:c r="AB96" s="18" t="str">
        <x:v>public_rss</x:v>
      </x:c>
      <x:c r="AC96" s="18" t="str">
        <x:v>READY</x:v>
      </x:c>
    </x:row>
    <x:row r="97">
      <x:c r="A97" s="18" t="str">
        <x:v>NYT-27-45027a8c99f1a549</x:v>
      </x:c>
      <x:c r="B97" s="18" t="str">
        <x:v>PIB - PIB</x:v>
      </x:c>
      <x:c r="C97" s="18" t="str">
        <x:v>2026-08-29</x:v>
      </x:c>
      <x:c r="D97" s="18" t="n">
        <x:v>2026</x:v>
      </x:c>
      <x:c r="E97" s="18" t="str">
        <x:v>2026-08</x:v>
      </x:c>
      <x:c r="F97" s="18" t="str"/>
      <x:c r="G97" s="18" t="str">
        <x:v>site:pib.gov.in India budget scheme expenditure allocation</x:v>
      </x:c>
      <x:c r="H97" s="18" t="str"/>
      <x:c r="I97" s="18" t="str">
        <x:v>PIB</x:v>
      </x:c>
      <x:c r="J97" s="20" t="str"/>
      <x:c r="K97" s="18" t="str"/>
      <x:c r="L97" s="18" t="str">
        <x:v>PIB - PIB</x:v>
      </x:c>
      <x:c r="M97" s="18" t="str">
        <x:v>PIB</x:v>
      </x:c>
      <x:c r="N97" s="18" t="str">
        <x:v>site:pib.gov.in India budget scheme expenditure allocation</x:v>
      </x:c>
      <x:c r="O97" s="18" t="n">
        <x:v>46263.22638888889</x:v>
      </x:c>
      <x:c r="P97" s="18" t="str">
        <x:v>https://www.pib.gov.in</x:v>
      </x:c>
      <x:c r="Q97" s="18" t="str">
        <x:v>DEFINED_TERMINAL_OR_FEED_SCOPE</x:v>
      </x:c>
      <x:c r="R97" s="18" t="str">
        <x:v>news_budget_schemes_14d.json — published records loaded</x:v>
      </x:c>
      <x:c r="S97" s="18" t="str"/>
      <x:c r="T97" s="18" t="str"/>
      <x:c r="U97" s="20" t="n">
        <x:v>100</x:v>
      </x:c>
      <x:c r="V97" s="19" t="n">
        <x:f>IFERROR(TODAY()-DATEVALUE(C97),"")</x:f>
        <x:v>12</x:v>
      </x:c>
      <x:c r="W97" s="21" t="n">
        <x:f>ROUND(COUNTA(A97:K97)/11*100,0)</x:f>
        <x:v>100</x:v>
      </x:c>
      <x:c r="X97" s="18" t="str">
        <x:v>Google News RSS</x:v>
      </x:c>
      <x:c r="Y97" s="22" t="str">
        <x:v>https://news.google.com/rss/articles/CBMiaEFVX3lxTE1fVnhzaVRRQ19jNHFJQVFhdHBEc1duZVNxT0ppYlNadU9oTXFDelpWYXBwSWhROE4zelZTQmZPeklqMGFRNUVXb1FtX2N4QmRXNThFaE11TERCdUxUWlNad0pQbmlzMlUy?oc=5</x:v>
      </x:c>
      <x:c r="Z97" s="18" t="n">
        <x:v>46263.22638888889</x:v>
      </x:c>
      <x:c r="AA97" s="18" t="n">
        <x:v>46275.38862103009</x:v>
      </x:c>
      <x:c r="AB97" s="18" t="str">
        <x:v>public_rss</x:v>
      </x:c>
      <x:c r="AC97" s="18" t="str">
        <x:v>READY</x:v>
      </x:c>
    </x:row>
    <x:row r="98">
      <x:c r="A98" s="18" t="str">
        <x:v>NYT-27-a75672e448e35207</x:v>
      </x:c>
      <x:c r="B98" s="18" t="str">
        <x:v>Acquire knowledge, question injustice through constitutional means &amp; bring about change through democratic methods: Raksha Mantri to youth - PIB</x:v>
      </x:c>
      <x:c r="C98" s="18" t="str">
        <x:v>2026-08-29</x:v>
      </x:c>
      <x:c r="D98" s="18" t="n">
        <x:v>2026</x:v>
      </x:c>
      <x:c r="E98" s="18" t="str">
        <x:v>2026-08</x:v>
      </x:c>
      <x:c r="F98" s="18" t="str"/>
      <x:c r="G98" s="18" t="str">
        <x:v>site:pib.gov.in India budget scheme expenditure allocation</x:v>
      </x:c>
      <x:c r="H98" s="18" t="str"/>
      <x:c r="I98" s="18" t="str">
        <x:v>PIB</x:v>
      </x:c>
      <x:c r="J98" s="20" t="str"/>
      <x:c r="K98" s="18" t="str"/>
      <x:c r="L98" s="18" t="str">
        <x:v>Acquire knowledge, question injustice through constitutional means &amp; bring about change through democratic methods: Raksha Mantri to youth - PIB</x:v>
      </x:c>
      <x:c r="M98" s="18" t="str">
        <x:v>PIB</x:v>
      </x:c>
      <x:c r="N98" s="18" t="str">
        <x:v>site:pib.gov.in India budget scheme expenditure allocation</x:v>
      </x:c>
      <x:c r="O98" s="18" t="n">
        <x:v>46263.291666666664</x:v>
      </x:c>
      <x:c r="P98" s="18" t="str">
        <x:v>https://www.pib.gov.in</x:v>
      </x:c>
      <x:c r="Q98" s="18" t="str">
        <x:v>DEFINED_TERMINAL_OR_FEED_SCOPE</x:v>
      </x:c>
      <x:c r="R98" s="18" t="str">
        <x:v>news_budget_schemes_14d.json — published records loaded</x:v>
      </x:c>
      <x:c r="S98" s="18" t="str"/>
      <x:c r="T98" s="18" t="str"/>
      <x:c r="U98" s="20" t="n">
        <x:v>100</x:v>
      </x:c>
      <x:c r="V98" s="19" t="n">
        <x:f>IFERROR(TODAY()-DATEVALUE(C98),"")</x:f>
        <x:v>12</x:v>
      </x:c>
      <x:c r="W98" s="21" t="n">
        <x:f>ROUND(COUNTA(A98:K98)/11*100,0)</x:f>
        <x:v>100</x:v>
      </x:c>
      <x:c r="X98" s="18" t="str">
        <x:v>Google News RSS</x:v>
      </x:c>
      <x:c r="Y98" s="22" t="str">
        <x:v>https://news.google.com/rss/articles/CBMifkFVX3lxTE1ELUhnVi00bE41VFZ2ZHVKb3BnNGZCUHlNSzdRQXg1UHZGX09wRXVnMXZGai1SM3ItdWE5M2lGdDNzZzI0WS0tYWNOZ2xFSHRUa2w5Ujh5ZUp6WEhNNUowSE9NRHFoUzRkaWRnNWNmUmRSWEZZLTZ1anhhV2xnZw?oc=5</x:v>
      </x:c>
      <x:c r="Z98" s="18" t="n">
        <x:v>46263.291666666664</x:v>
      </x:c>
      <x:c r="AA98" s="18" t="n">
        <x:v>46275.38862103009</x:v>
      </x:c>
      <x:c r="AB98" s="18" t="str">
        <x:v>public_rss</x:v>
      </x:c>
      <x:c r="AC98" s="18" t="str">
        <x:v>READY</x:v>
      </x:c>
    </x:row>
    <x:row r="99">
      <x:c r="A99" s="18" t="str">
        <x:v>NYT-27-daea493d79ff9542</x:v>
      </x:c>
      <x:c r="B99" s="18" t="str">
        <x:v>In the presence of Union Home Minister and Minister of Cooperation Shri Amit Shah, an MoU was signed between Bihar and Jharkhand on the sharing of Sone River water - PIB</x:v>
      </x:c>
      <x:c r="C99" s="18" t="str">
        <x:v>2026-08-31</x:v>
      </x:c>
      <x:c r="D99" s="18" t="n">
        <x:v>2026</x:v>
      </x:c>
      <x:c r="E99" s="18" t="str">
        <x:v>2026-08</x:v>
      </x:c>
      <x:c r="F99" s="18" t="str"/>
      <x:c r="G99" s="18" t="str">
        <x:v>site:pib.gov.in India budget scheme expenditure allocation</x:v>
      </x:c>
      <x:c r="H99" s="18" t="str"/>
      <x:c r="I99" s="18" t="str">
        <x:v>PIB</x:v>
      </x:c>
      <x:c r="J99" s="20" t="str"/>
      <x:c r="K99" s="18" t="str"/>
      <x:c r="L99" s="18" t="str">
        <x:v>In the presence of Union Home Minister and Minister of Cooperation Shri Amit Shah, an MoU was signed between Bihar and Jharkhand on the sharing of Sone River water - PIB</x:v>
      </x:c>
      <x:c r="M99" s="18" t="str">
        <x:v>PIB</x:v>
      </x:c>
      <x:c r="N99" s="18" t="str">
        <x:v>site:pib.gov.in India budget scheme expenditure allocation</x:v>
      </x:c>
      <x:c r="O99" s="18" t="n">
        <x:v>46265.53958333333</x:v>
      </x:c>
      <x:c r="P99" s="18" t="str">
        <x:v>https://www.pib.gov.in</x:v>
      </x:c>
      <x:c r="Q99" s="18" t="str">
        <x:v>DEFINED_TERMINAL_OR_FEED_SCOPE</x:v>
      </x:c>
      <x:c r="R99" s="18" t="str">
        <x:v>news_budget_schemes_14d.json — published records loaded</x:v>
      </x:c>
      <x:c r="S99" s="18" t="str"/>
      <x:c r="T99" s="18" t="str"/>
      <x:c r="U99" s="20" t="n">
        <x:v>100</x:v>
      </x:c>
      <x:c r="V99" s="19" t="n">
        <x:f>IFERROR(TODAY()-DATEVALUE(C99),"")</x:f>
        <x:v>10</x:v>
      </x:c>
      <x:c r="W99" s="21" t="n">
        <x:f>ROUND(COUNTA(A99:K99)/11*100,0)</x:f>
        <x:v>100</x:v>
      </x:c>
      <x:c r="X99" s="18" t="str">
        <x:v>Google News RSS</x:v>
      </x:c>
      <x:c r="Y99" s="22" t="str">
        <x:v>https://news.google.com/rss/articles/CBMifEFVX3lxTFA5a1hVWjlOS1BRSUphOHVsUXQyYkFHbVI0dWZmYXkyVS13c1B0X2RITXhSVjBKbzRlTkZrSW90M25ZRFJ6akt1UWRFOXRPdVZSZnlNZ1J0UVJBRnhpeUMwSEh1TWVNRE1hX2tqTHN0NFZnQ191c1V2V3ZvUzA?oc=5</x:v>
      </x:c>
      <x:c r="Z99" s="18" t="n">
        <x:v>46265.53958333333</x:v>
      </x:c>
      <x:c r="AA99" s="18" t="n">
        <x:v>46275.38862103009</x:v>
      </x:c>
      <x:c r="AB99" s="18" t="str">
        <x:v>public_rss</x:v>
      </x:c>
      <x:c r="AC99" s="18" t="str">
        <x:v>READY</x:v>
      </x:c>
    </x:row>
    <x:row r="100">
      <x:c r="A100" s="18" t="str">
        <x:v>NYT-27-7f6e861bec81f279</x:v>
      </x:c>
      <x:c r="B100" s="18" t="str">
        <x:v>Additional Information related to GDP Estimates Received After Release of Q1 Estimates of FY 2026-27 - PIB</x:v>
      </x:c>
      <x:c r="C100" s="18" t="str">
        <x:v>2026-09-02</x:v>
      </x:c>
      <x:c r="D100" s="18" t="n">
        <x:v>2026</x:v>
      </x:c>
      <x:c r="E100" s="18" t="str">
        <x:v>2026-09</x:v>
      </x:c>
      <x:c r="F100" s="18" t="str"/>
      <x:c r="G100" s="18" t="str">
        <x:v>site:pib.gov.in India budget scheme expenditure allocation</x:v>
      </x:c>
      <x:c r="H100" s="18" t="str"/>
      <x:c r="I100" s="18" t="str">
        <x:v>PIB</x:v>
      </x:c>
      <x:c r="J100" s="20" t="str"/>
      <x:c r="K100" s="18" t="str"/>
      <x:c r="L100" s="18" t="str">
        <x:v>Additional Information related to GDP Estimates Received After Release of Q1 Estimates of FY 2026-27 - PIB</x:v>
      </x:c>
      <x:c r="M100" s="18" t="str">
        <x:v>PIB</x:v>
      </x:c>
      <x:c r="N100" s="18" t="str">
        <x:v>site:pib.gov.in India budget scheme expenditure allocation</x:v>
      </x:c>
      <x:c r="O100" s="18" t="n">
        <x:v>46267.38402777778</x:v>
      </x:c>
      <x:c r="P100" s="18" t="str">
        <x:v>https://www.pib.gov.in</x:v>
      </x:c>
      <x:c r="Q100" s="18" t="str">
        <x:v>DEFINED_TERMINAL_OR_FEED_SCOPE</x:v>
      </x:c>
      <x:c r="R100" s="18" t="str">
        <x:v>news_budget_schemes_14d.json — published records loaded</x:v>
      </x:c>
      <x:c r="S100" s="18" t="str"/>
      <x:c r="T100" s="18" t="str"/>
      <x:c r="U100" s="20" t="n">
        <x:v>100</x:v>
      </x:c>
      <x:c r="V100" s="19" t="n">
        <x:f>IFERROR(TODAY()-DATEVALUE(C100),"")</x:f>
        <x:v>8</x:v>
      </x:c>
      <x:c r="W100" s="21" t="n">
        <x:f>ROUND(COUNTA(A100:K100)/11*100,0)</x:f>
        <x:v>100</x:v>
      </x:c>
      <x:c r="X100" s="18" t="str">
        <x:v>Google News RSS</x:v>
      </x:c>
      <x:c r="Y100" s="22" t="str">
        <x:v>https://news.google.com/rss/articles/CBMifEFVX3lxTE1uNEV0TU9MQlI0bUpOR1o3MlVHdG5FN2E1dEFwYXpfbWtpYk9OQXBCYTNHVW5KcjU3SU5NeC1qN0ZQVzM1RjhBNmgyb3Q2azlKak1WbEV4ZDZpZldSYlJVS3JxM2VqS2xld0hIemU0NHItSF8taXh3cDdOTG8?oc=5</x:v>
      </x:c>
      <x:c r="Z100" s="18" t="n">
        <x:v>46267.38402777778</x:v>
      </x:c>
      <x:c r="AA100" s="18" t="n">
        <x:v>46275.38862103009</x:v>
      </x:c>
      <x:c r="AB100" s="18" t="str">
        <x:v>public_rss</x:v>
      </x:c>
      <x:c r="AC100" s="18" t="str">
        <x:v>READY</x:v>
      </x:c>
    </x:row>
    <x:row r="101">
      <x:c r="A101" s="18" t="str">
        <x:v>NYT-27-66d1fa699c5ee796</x:v>
      </x:c>
      <x:c r="B101" s="18" t="str">
        <x:v>Prime Minister Shri Narendra Modi lays foundation stones, inaugurates and dedicates to the Nation development projects worth more than ₹35,000 Crore In Vadodara, Gujarat - PIB</x:v>
      </x:c>
      <x:c r="C101" s="18" t="str">
        <x:v>2026-09-08</x:v>
      </x:c>
      <x:c r="D101" s="18" t="n">
        <x:v>2026</x:v>
      </x:c>
      <x:c r="E101" s="18" t="str">
        <x:v>2026-09</x:v>
      </x:c>
      <x:c r="F101" s="18" t="str"/>
      <x:c r="G101" s="18" t="str">
        <x:v>site:pib.gov.in India budget scheme expenditure allocation</x:v>
      </x:c>
      <x:c r="H101" s="18" t="str"/>
      <x:c r="I101" s="18" t="str">
        <x:v>PIB</x:v>
      </x:c>
      <x:c r="J101" s="20" t="str"/>
      <x:c r="K101" s="18" t="str"/>
      <x:c r="L101" s="18" t="str">
        <x:v>Prime Minister Shri Narendra Modi lays foundation stones, inaugurates and dedicates to the Nation development projects worth more than ₹35,000 Crore In Vadodara, Gujarat - PIB</x:v>
      </x:c>
      <x:c r="M101" s="18" t="str">
        <x:v>PIB</x:v>
      </x:c>
      <x:c r="N101" s="18" t="str">
        <x:v>site:pib.gov.in India budget scheme expenditure allocation</x:v>
      </x:c>
      <x:c r="O101" s="18" t="n">
        <x:v>46273.38611111111</x:v>
      </x:c>
      <x:c r="P101" s="18" t="str">
        <x:v>https://www.pib.gov.in</x:v>
      </x:c>
      <x:c r="Q101" s="18" t="str">
        <x:v>DEFINED_TERMINAL_OR_FEED_SCOPE</x:v>
      </x:c>
      <x:c r="R101" s="18" t="str">
        <x:v>news_budget_schemes_14d.json — published records loaded</x:v>
      </x:c>
      <x:c r="S101" s="18" t="str"/>
      <x:c r="T101" s="18" t="str"/>
      <x:c r="U101" s="20" t="n">
        <x:v>100</x:v>
      </x:c>
      <x:c r="V101" s="19" t="n">
        <x:f>IFERROR(TODAY()-DATEVALUE(C101),"")</x:f>
        <x:v>2</x:v>
      </x:c>
      <x:c r="W101" s="21" t="n">
        <x:f>ROUND(COUNTA(A101:K101)/11*100,0)</x:f>
        <x:v>100</x:v>
      </x:c>
      <x:c r="X101" s="18" t="str">
        <x:v>Google News RSS</x:v>
      </x:c>
      <x:c r="Y101" s="22" t="str">
        <x:v>https://news.google.com/rss/articles/CBMie0FVX3lxTE1DUENxQ1VRd1dYZTVFaTl5Tjdhcy1EMkg5X2QtUHJackMteWk4S1Njd3VKLUtGZDRlZzhubnIwMFBsZEZhUVFJMGhZeENhU0wzN3FaSC1LM3RlUWxYbjVIZUd4MTBnOEVKbEVOak1fNjVmWVpJMWVVX0VUYw?oc=5</x:v>
      </x:c>
      <x:c r="Z101" s="18" t="n">
        <x:v>46273.38611111111</x:v>
      </x:c>
      <x:c r="AA101" s="18" t="n">
        <x:v>46275.38862103009</x:v>
      </x:c>
      <x:c r="AB101" s="18" t="str">
        <x:v>public_rss</x:v>
      </x:c>
      <x:c r="AC101" s="18" t="str">
        <x:v>READY</x:v>
      </x:c>
    </x:row>
    <x:row r="102">
      <x:c r="A102" s="18" t="str">
        <x:v>NYT-27-e71dde897d5a98ad</x:v>
      </x:c>
      <x:c r="B102" s="18" t="str">
        <x:v>7th Global Fintech Fest 2026 - PIB</x:v>
      </x:c>
      <x:c r="C102" s="18" t="str">
        <x:v>2026-09-08</x:v>
      </x:c>
      <x:c r="D102" s="18" t="n">
        <x:v>2026</x:v>
      </x:c>
      <x:c r="E102" s="18" t="str">
        <x:v>2026-09</x:v>
      </x:c>
      <x:c r="F102" s="18" t="str"/>
      <x:c r="G102" s="18" t="str">
        <x:v>site:pib.gov.in India budget scheme expenditure allocation</x:v>
      </x:c>
      <x:c r="H102" s="18" t="str"/>
      <x:c r="I102" s="18" t="str">
        <x:v>PIB</x:v>
      </x:c>
      <x:c r="J102" s="20" t="str"/>
      <x:c r="K102" s="18" t="str"/>
      <x:c r="L102" s="18" t="str">
        <x:v>7th Global Fintech Fest 2026 - PIB</x:v>
      </x:c>
      <x:c r="M102" s="18" t="str">
        <x:v>PIB</x:v>
      </x:c>
      <x:c r="N102" s="18" t="str">
        <x:v>site:pib.gov.in India budget scheme expenditure allocation</x:v>
      </x:c>
      <x:c r="O102" s="18" t="n">
        <x:v>46273.521527777775</x:v>
      </x:c>
      <x:c r="P102" s="18" t="str">
        <x:v>https://www.pib.gov.in</x:v>
      </x:c>
      <x:c r="Q102" s="18" t="str">
        <x:v>DEFINED_TERMINAL_OR_FEED_SCOPE</x:v>
      </x:c>
      <x:c r="R102" s="18" t="str">
        <x:v>news_budget_schemes_14d.json — published records loaded</x:v>
      </x:c>
      <x:c r="S102" s="18" t="str"/>
      <x:c r="T102" s="18" t="str"/>
      <x:c r="U102" s="20" t="n">
        <x:v>100</x:v>
      </x:c>
      <x:c r="V102" s="19" t="n">
        <x:f>IFERROR(TODAY()-DATEVALUE(C102),"")</x:f>
        <x:v>2</x:v>
      </x:c>
      <x:c r="W102" s="21" t="n">
        <x:f>ROUND(COUNTA(A102:K102)/11*100,0)</x:f>
        <x:v>100</x:v>
      </x:c>
      <x:c r="X102" s="18" t="str">
        <x:v>Google News RSS</x:v>
      </x:c>
      <x:c r="Y102" s="22" t="str">
        <x:v>https://news.google.com/rss/articles/CBMifEFVX3lxTE1nbUpIeWxiZ3Q5bWFvdWRUdzk2MWJDRWptOFpnTEdTYzFCblQxYVhtQUs0azJLN3NvMFl2LWgtMEJGT2l3TXo2cU9QQ0hqY1RMVFRCNTMzNmUzbllVN3BZUmp4dGtZbHlsdFIwa3VGNWJjYkpuQUN3T0psbmY?oc=5</x:v>
      </x:c>
      <x:c r="Z102" s="18" t="n">
        <x:v>46273.521527777775</x:v>
      </x:c>
      <x:c r="AA102" s="18" t="n">
        <x:v>46275.38862103009</x:v>
      </x:c>
      <x:c r="AB102" s="18" t="str">
        <x:v>public_rss</x:v>
      </x:c>
      <x:c r="AC102" s="18" t="str">
        <x:v>READY</x:v>
      </x:c>
    </x:row>
    <x:row r="103">
      <x:c r="A103" s="18" t="str">
        <x:v>NYT-27-4c810d7440cc83f8</x:v>
      </x:c>
      <x:c r="B103" s="18" t="str">
        <x:v>BSNL Greets the Nation on the 80th Independence Day; Announces New Customer-Centric Digital Initiatives - PIB</x:v>
      </x:c>
      <x:c r="C103" s="18" t="str">
        <x:v>2026-09-07</x:v>
      </x:c>
      <x:c r="D103" s="18" t="n">
        <x:v>2026</x:v>
      </x:c>
      <x:c r="E103" s="18" t="str">
        <x:v>2026-09</x:v>
      </x:c>
      <x:c r="F103" s="18" t="str"/>
      <x:c r="G103" s="18" t="str">
        <x:v>site:pib.gov.in India budget scheme expenditure allocation</x:v>
      </x:c>
      <x:c r="H103" s="18" t="str"/>
      <x:c r="I103" s="18" t="str">
        <x:v>PIB</x:v>
      </x:c>
      <x:c r="J103" s="20" t="str"/>
      <x:c r="K103" s="18" t="str"/>
      <x:c r="L103" s="18" t="str">
        <x:v>BSNL Greets the Nation on the 80th Independence Day; Announces New Customer-Centric Digital Initiatives - PIB</x:v>
      </x:c>
      <x:c r="M103" s="18" t="str">
        <x:v>PIB</x:v>
      </x:c>
      <x:c r="N103" s="18" t="str">
        <x:v>site:pib.gov.in India budget scheme expenditure allocation</x:v>
      </x:c>
      <x:c r="O103" s="18" t="n">
        <x:v>46272.65972222222</x:v>
      </x:c>
      <x:c r="P103" s="18" t="str">
        <x:v>https://www.pib.gov.in</x:v>
      </x:c>
      <x:c r="Q103" s="18" t="str">
        <x:v>DEFINED_TERMINAL_OR_FEED_SCOPE</x:v>
      </x:c>
      <x:c r="R103" s="18" t="str">
        <x:v>news_budget_schemes_14d.json — published records loaded</x:v>
      </x:c>
      <x:c r="S103" s="18" t="str"/>
      <x:c r="T103" s="18" t="str"/>
      <x:c r="U103" s="20" t="n">
        <x:v>100</x:v>
      </x:c>
      <x:c r="V103" s="19" t="n">
        <x:f>IFERROR(TODAY()-DATEVALUE(C103),"")</x:f>
        <x:v>3</x:v>
      </x:c>
      <x:c r="W103" s="21" t="n">
        <x:f>ROUND(COUNTA(A103:K103)/11*100,0)</x:f>
        <x:v>100</x:v>
      </x:c>
      <x:c r="X103" s="18" t="str">
        <x:v>Google News RSS</x:v>
      </x:c>
      <x:c r="Y103" s="22" t="str">
        <x:v>https://news.google.com/rss/articles/CBMifEFVX3lxTE1JN1dZRHdsTzhVZHJjNV9ad2pfaEZxWnh6d29JMGxPdUQ4aU9fbzljdUpFUmxFd2xPNVQ2SVRLZWNpRnk4cmZHeVkwOXdVUDJaSEtwUWUtLXU2amVuUEJwU3NON1hKSXQ2WDhWTDB0djFkNzVXeGVIbUxkaEg?oc=5</x:v>
      </x:c>
      <x:c r="Z103" s="18" t="n">
        <x:v>46272.65972222222</x:v>
      </x:c>
      <x:c r="AA103" s="18" t="n">
        <x:v>46275.38862103009</x:v>
      </x:c>
      <x:c r="AB103" s="18" t="str">
        <x:v>public_rss</x:v>
      </x:c>
      <x:c r="AC103" s="18" t="str">
        <x:v>READY</x:v>
      </x:c>
    </x:row>
    <x:row r="104">
      <x:c r="A104" s="18" t="str">
        <x:v>NYT-27-46377dc274fb85c2</x:v>
      </x:c>
      <x:c r="B104" s="18" t="str">
        <x:v>Secretary, Department of Fisheries, Interacts with Tilapia Farmers and Value chain Stakeholders in Chhattisgarh; Charts Roadmap for Export-Oriented Cluster Development - PIB</x:v>
      </x:c>
      <x:c r="C104" s="18" t="str">
        <x:v>2026-08-20</x:v>
      </x:c>
      <x:c r="D104" s="18" t="n">
        <x:v>2026</x:v>
      </x:c>
      <x:c r="E104" s="18" t="str">
        <x:v>2026-08</x:v>
      </x:c>
      <x:c r="F104" s="18" t="str"/>
      <x:c r="G104" s="18" t="str">
        <x:v>site:pib.gov.in India budget scheme expenditure allocation</x:v>
      </x:c>
      <x:c r="H104" s="18" t="str"/>
      <x:c r="I104" s="18" t="str">
        <x:v>PIB</x:v>
      </x:c>
      <x:c r="J104" s="20" t="str"/>
      <x:c r="K104" s="18" t="str"/>
      <x:c r="L104" s="18" t="str">
        <x:v>Secretary, Department of Fisheries, Interacts with Tilapia Farmers and Value chain Stakeholders in Chhattisgarh; Charts Roadmap for Export-Oriented Cluster Development - PIB</x:v>
      </x:c>
      <x:c r="M104" s="18" t="str">
        <x:v>PIB</x:v>
      </x:c>
      <x:c r="N104" s="18" t="str">
        <x:v>site:pib.gov.in India budget scheme expenditure allocation</x:v>
      </x:c>
      <x:c r="O104" s="18" t="n">
        <x:v>46254.93162037037</x:v>
      </x:c>
      <x:c r="P104" s="18" t="str">
        <x:v>https://www.pib.gov.in</x:v>
      </x:c>
      <x:c r="Q104" s="18" t="str">
        <x:v>DEFINED_TERMINAL_OR_FEED_SCOPE</x:v>
      </x:c>
      <x:c r="R104" s="18" t="str">
        <x:v>news_budget_schemes_14d.json — published records loaded</x:v>
      </x:c>
      <x:c r="S104" s="18" t="str"/>
      <x:c r="T104" s="18" t="str"/>
      <x:c r="U104" s="20" t="n">
        <x:v>100</x:v>
      </x:c>
      <x:c r="V104" s="19" t="n">
        <x:f>IFERROR(TODAY()-DATEVALUE(C104),"")</x:f>
        <x:v>21</x:v>
      </x:c>
      <x:c r="W104" s="21" t="n">
        <x:f>ROUND(COUNTA(A104:K104)/11*100,0)</x:f>
        <x:v>100</x:v>
      </x:c>
      <x:c r="X104" s="18" t="str">
        <x:v>Google News RSS</x:v>
      </x:c>
      <x:c r="Y104" s="22" t="str">
        <x:v>https://news.google.com/rss/articles/CBMifEFVX3lxTFBSanJ1cDM3WFRFa2tSaTNNb2czd3hCMUduNEFubjRHdGQxdVFMQ0FUUUxkQm90QjI2ZHNHYUVteFdscjlGYUtwY0ctZ0lfYWFNclZwSUlJamlCdjhXSTdaaHota2l1ZDAxYXQ2QXhXV3NFNkR2MnlKRTh2NVM?oc=5</x:v>
      </x:c>
      <x:c r="Z104" s="18" t="n">
        <x:v>46254.93162037037</x:v>
      </x:c>
      <x:c r="AA104" s="18" t="n">
        <x:v>46275.38862103009</x:v>
      </x:c>
      <x:c r="AB104" s="18" t="str">
        <x:v>public_rss</x:v>
      </x:c>
      <x:c r="AC104" s="18" t="str">
        <x:v>READY</x:v>
      </x:c>
    </x:row>
    <x:row r="105">
      <x:c r="A105" s="18" t="str">
        <x:v>NYT-27-ce629cbd474e0b4f</x:v>
      </x:c>
      <x:c r="B105" s="18" t="str">
        <x:v>India–EU FTA Opens Huge Opportunities for Farmers, MSMEs, Innovators, Startups and Businesses in India and Europe: Commerce and Industry Minister Shri Piyush Goyal - PIB</x:v>
      </x:c>
      <x:c r="C105" s="18" t="str">
        <x:v>2026-09-04</x:v>
      </x:c>
      <x:c r="D105" s="18" t="n">
        <x:v>2026</x:v>
      </x:c>
      <x:c r="E105" s="18" t="str">
        <x:v>2026-09</x:v>
      </x:c>
      <x:c r="F105" s="18" t="str"/>
      <x:c r="G105" s="18" t="str">
        <x:v>site:pib.gov.in India budget scheme expenditure allocation</x:v>
      </x:c>
      <x:c r="H105" s="18" t="str"/>
      <x:c r="I105" s="18" t="str">
        <x:v>PIB</x:v>
      </x:c>
      <x:c r="J105" s="20" t="str"/>
      <x:c r="K105" s="18" t="str"/>
      <x:c r="L105" s="18" t="str">
        <x:v>India–EU FTA Opens Huge Opportunities for Farmers, MSMEs, Innovators, Startups and Businesses in India and Europe: Commerce and Industry Minister Shri Piyush Goyal - PIB</x:v>
      </x:c>
      <x:c r="M105" s="18" t="str">
        <x:v>PIB</x:v>
      </x:c>
      <x:c r="N105" s="18" t="str">
        <x:v>site:pib.gov.in India budget scheme expenditure allocation</x:v>
      </x:c>
      <x:c r="O105" s="18" t="n">
        <x:v>46269.56458333333</x:v>
      </x:c>
      <x:c r="P105" s="18" t="str">
        <x:v>https://www.pib.gov.in</x:v>
      </x:c>
      <x:c r="Q105" s="18" t="str">
        <x:v>DEFINED_TERMINAL_OR_FEED_SCOPE</x:v>
      </x:c>
      <x:c r="R105" s="18" t="str">
        <x:v>news_budget_schemes_14d.json — published records loaded</x:v>
      </x:c>
      <x:c r="S105" s="18" t="str"/>
      <x:c r="T105" s="18" t="str"/>
      <x:c r="U105" s="20" t="n">
        <x:v>100</x:v>
      </x:c>
      <x:c r="V105" s="19" t="n">
        <x:f>IFERROR(TODAY()-DATEVALUE(C105),"")</x:f>
        <x:v>6</x:v>
      </x:c>
      <x:c r="W105" s="21" t="n">
        <x:f>ROUND(COUNTA(A105:K105)/11*100,0)</x:f>
        <x:v>100</x:v>
      </x:c>
      <x:c r="X105" s="18" t="str">
        <x:v>Google News RSS</x:v>
      </x:c>
      <x:c r="Y105" s="22" t="str">
        <x:v>https://news.google.com/rss/articles/CBMifEFVX3lxTFBpM1E5cFlVc1ZrSl9NQ282aWUtNGZ3VFJpVTk5a2hzb3RVVmZuOGNNOGVnNDNzTklIM3ZxYmpDenk3S2dUd3UxaXR0T21uczBOYWtOLTVVaFFkVTJTY0NjNWJDNGJhODNNS0hYRFhGX1RTR3dXeGNPQ09RUU8?oc=5</x:v>
      </x:c>
      <x:c r="Z105" s="18" t="n">
        <x:v>46269.56458333333</x:v>
      </x:c>
      <x:c r="AA105" s="18" t="n">
        <x:v>46275.38862103009</x:v>
      </x:c>
      <x:c r="AB105" s="18" t="str">
        <x:v>public_rss</x:v>
      </x:c>
      <x:c r="AC105" s="18" t="str">
        <x:v>READY</x:v>
      </x:c>
    </x:row>
    <x:row r="106">
      <x:c r="A106" s="18" t="str">
        <x:v>NYT-27-f932cde2c97dfb9a</x:v>
      </x:c>
      <x:c r="B106" s="18" t="str">
        <x:v>Cabinet approves Construction of 6 lane access controlled Zirakpur Bypass with Length of 19.2 Km worth Rs.1878.31 crore in Punjab and Haryana on Hybrid Annuity Mode - PIB</x:v>
      </x:c>
      <x:c r="C106" s="18" t="str">
        <x:v>2026-09-03</x:v>
      </x:c>
      <x:c r="D106" s="18" t="n">
        <x:v>2026</x:v>
      </x:c>
      <x:c r="E106" s="18" t="str">
        <x:v>2026-09</x:v>
      </x:c>
      <x:c r="F106" s="18" t="str"/>
      <x:c r="G106" s="18" t="str">
        <x:v>site:pib.gov.in India budget scheme expenditure allocation</x:v>
      </x:c>
      <x:c r="H106" s="18" t="str"/>
      <x:c r="I106" s="18" t="str">
        <x:v>PIB</x:v>
      </x:c>
      <x:c r="J106" s="20" t="str"/>
      <x:c r="K106" s="18" t="str"/>
      <x:c r="L106" s="18" t="str">
        <x:v>Cabinet approves Construction of 6 lane access controlled Zirakpur Bypass with Length of 19.2 Km worth Rs.1878.31 crore in Punjab and Haryana on Hybrid Annuity Mode - PIB</x:v>
      </x:c>
      <x:c r="M106" s="18" t="str">
        <x:v>PIB</x:v>
      </x:c>
      <x:c r="N106" s="18" t="str">
        <x:v>site:pib.gov.in India budget scheme expenditure allocation</x:v>
      </x:c>
      <x:c r="O106" s="18" t="n">
        <x:v>46268.50486111111</x:v>
      </x:c>
      <x:c r="P106" s="18" t="str">
        <x:v>https://www.pib.gov.in</x:v>
      </x:c>
      <x:c r="Q106" s="18" t="str">
        <x:v>DEFINED_TERMINAL_OR_FEED_SCOPE</x:v>
      </x:c>
      <x:c r="R106" s="18" t="str">
        <x:v>news_budget_schemes_14d.json — published records loaded</x:v>
      </x:c>
      <x:c r="S106" s="18" t="str"/>
      <x:c r="T106" s="18" t="str"/>
      <x:c r="U106" s="20" t="n">
        <x:v>100</x:v>
      </x:c>
      <x:c r="V106" s="19" t="n">
        <x:f>IFERROR(TODAY()-DATEVALUE(C106),"")</x:f>
        <x:v>7</x:v>
      </x:c>
      <x:c r="W106" s="21" t="n">
        <x:f>ROUND(COUNTA(A106:K106)/11*100,0)</x:f>
        <x:v>100</x:v>
      </x:c>
      <x:c r="X106" s="18" t="str">
        <x:v>Google News RSS</x:v>
      </x:c>
      <x:c r="Y106" s="22" t="str">
        <x:v>https://news.google.com/rss/articles/CBMifkFVX3lxTE9TMXZzc0laekRzam1WbUUycTV0cWpqM2dnbDJxcW9oQU0yTHhfOGNod09yenJtbmxBUVc4THpFUEZFbHFkQkRCV2dGSllLT2Q3MHo3NXE5QkVDOVNzd3dhNllIeElPcVY1dkVncEx6ZmZWbnVDOHlXQ0hMZlR5Zw?oc=5</x:v>
      </x:c>
      <x:c r="Z106" s="18" t="n">
        <x:v>46268.50486111111</x:v>
      </x:c>
      <x:c r="AA106" s="18" t="n">
        <x:v>46275.38862103009</x:v>
      </x:c>
      <x:c r="AB106" s="18" t="str">
        <x:v>public_rss</x:v>
      </x:c>
      <x:c r="AC106" s="18" t="str">
        <x:v>READY</x:v>
      </x:c>
    </x:row>
    <x:row r="107">
      <x:c r="A107" s="18" t="str">
        <x:v>NYT-27-0af2d7024f8396a1</x:v>
      </x:c>
      <x:c r="B107" s="18" t="str">
        <x:v>Cabinet approves Upgradation of the existing intermediate lane to 2 Lane with Paved Shoulder Standard (125.01 kms) of Hiwarkhedi -Roshni-Ashapur-Rudhy Section of NH-347B and widening of existing 2 lane to 4 lane from Deshgaon-Julwaniya Section of - PIB</x:v>
      </x:c>
      <x:c r="C107" s="18" t="str">
        <x:v>2026-09-05</x:v>
      </x:c>
      <x:c r="D107" s="18" t="n">
        <x:v>2026</x:v>
      </x:c>
      <x:c r="E107" s="18" t="str">
        <x:v>2026-09</x:v>
      </x:c>
      <x:c r="F107" s="18" t="str"/>
      <x:c r="G107" s="18" t="str">
        <x:v>site:pib.gov.in India budget scheme expenditure allocation</x:v>
      </x:c>
      <x:c r="H107" s="18" t="str"/>
      <x:c r="I107" s="18" t="str">
        <x:v>PIB</x:v>
      </x:c>
      <x:c r="J107" s="20" t="str"/>
      <x:c r="K107" s="18" t="str"/>
      <x:c r="L107" s="18" t="str">
        <x:v>Cabinet approves Upgradation of the existing intermediate lane to 2 Lane with Paved Shoulder Standard (125.01 kms) of Hiwarkhedi -Roshni-Ashapur-Rudhy Section of NH-347B and widening of existing 2 lane to 4 lane from Deshgaon-Julwaniya Section of - PIB</x:v>
      </x:c>
      <x:c r="M107" s="18" t="str">
        <x:v>PIB</x:v>
      </x:c>
      <x:c r="N107" s="18" t="str">
        <x:v>site:pib.gov.in India budget scheme expenditure allocation</x:v>
      </x:c>
      <x:c r="O107" s="18" t="n">
        <x:v>46270.50555555556</x:v>
      </x:c>
      <x:c r="P107" s="18" t="str">
        <x:v>https://www.pib.gov.in</x:v>
      </x:c>
      <x:c r="Q107" s="18" t="str">
        <x:v>DEFINED_TERMINAL_OR_FEED_SCOPE</x:v>
      </x:c>
      <x:c r="R107" s="18" t="str">
        <x:v>news_budget_schemes_14d.json — published records loaded</x:v>
      </x:c>
      <x:c r="S107" s="18" t="str"/>
      <x:c r="T107" s="18" t="str"/>
      <x:c r="U107" s="20" t="n">
        <x:v>100</x:v>
      </x:c>
      <x:c r="V107" s="19" t="n">
        <x:f>IFERROR(TODAY()-DATEVALUE(C107),"")</x:f>
        <x:v>5</x:v>
      </x:c>
      <x:c r="W107" s="21" t="n">
        <x:f>ROUND(COUNTA(A107:K107)/11*100,0)</x:f>
        <x:v>100</x:v>
      </x:c>
      <x:c r="X107" s="18" t="str">
        <x:v>Google News RSS</x:v>
      </x:c>
      <x:c r="Y107" s="22" t="str">
        <x:v>https://news.google.com/rss/articles/CBMifkFVX3lxTE1NSzZJTGxncERrVEFTWlFIUVZaTlMxX2drTDBRY185bFFEaTVOay1FU1JqYkRmREZKbS0xTW03Ty1CNVhienlLTk45Tnc5LTJCTjNPRE1zaTI4SVJiNFpiS1pfaE5OTmJGY1l4Z3dTZkRBbVQ3Rmxtd0F5QXFZdw?oc=5</x:v>
      </x:c>
      <x:c r="Z107" s="18" t="n">
        <x:v>46270.50555555556</x:v>
      </x:c>
      <x:c r="AA107" s="18" t="n">
        <x:v>46275.38862103009</x:v>
      </x:c>
      <x:c r="AB107" s="18" t="str">
        <x:v>public_rss</x:v>
      </x:c>
      <x:c r="AC107" s="18" t="str">
        <x:v>READY</x:v>
      </x:c>
    </x:row>
    <x:row r="108">
      <x:c r="A108" s="18" t="str">
        <x:v>NYT-27-97bcd221ea59aa9e</x:v>
      </x:c>
      <x:c r="B108" s="18" t="str">
        <x:v>English Press Releases - PIB Archives</x:v>
      </x:c>
      <x:c r="C108" s="18" t="str">
        <x:v>2026-09-07</x:v>
      </x:c>
      <x:c r="D108" s="18" t="n">
        <x:v>2026</x:v>
      </x:c>
      <x:c r="E108" s="18" t="str">
        <x:v>2026-09</x:v>
      </x:c>
      <x:c r="F108" s="18" t="str"/>
      <x:c r="G108" s="18" t="str">
        <x:v>site:pib.gov.in India budget scheme expenditure allocation</x:v>
      </x:c>
      <x:c r="H108" s="18" t="str"/>
      <x:c r="I108" s="18" t="str">
        <x:v>PIB Archives</x:v>
      </x:c>
      <x:c r="J108" s="20" t="str"/>
      <x:c r="K108" s="18" t="str"/>
      <x:c r="L108" s="18" t="str">
        <x:v>English Press Releases - PIB Archives</x:v>
      </x:c>
      <x:c r="M108" s="18" t="str">
        <x:v>PIB Archives</x:v>
      </x:c>
      <x:c r="N108" s="18" t="str">
        <x:v>site:pib.gov.in India budget scheme expenditure allocation</x:v>
      </x:c>
      <x:c r="O108" s="18" t="n">
        <x:v>46272.291666666664</x:v>
      </x:c>
      <x:c r="P108" s="18" t="str">
        <x:v>https://archive.pib.gov.in</x:v>
      </x:c>
      <x:c r="Q108" s="18" t="str">
        <x:v>DEFINED_TERMINAL_OR_FEED_SCOPE</x:v>
      </x:c>
      <x:c r="R108" s="18" t="str">
        <x:v>news_budget_schemes_14d.json — published records loaded</x:v>
      </x:c>
      <x:c r="S108" s="18" t="str"/>
      <x:c r="T108" s="18" t="str"/>
      <x:c r="U108" s="20" t="n">
        <x:v>100</x:v>
      </x:c>
      <x:c r="V108" s="19" t="n">
        <x:f>IFERROR(TODAY()-DATEVALUE(C108),"")</x:f>
        <x:v>3</x:v>
      </x:c>
      <x:c r="W108" s="21" t="n">
        <x:f>ROUND(COUNTA(A108:K108)/11*100,0)</x:f>
        <x:v>100</x:v>
      </x:c>
      <x:c r="X108" s="18" t="str">
        <x:v>Google News RSS</x:v>
      </x:c>
      <x:c r="Y108" s="22" t="str">
        <x:v>https://news.google.com/rss/articles/CBMiXkFVX3lxTE5POTJfUDJMX0liVHdIdFlXbTFSd2Rha0Y5eWpHQWRiWGpkUDN2aFdPZjBXdjJFbnhqYmVmWWpuNjJqNzdOOUdPZGM4ZUxQUlN1d0RtY2VuUmgtUXdYS1E?oc=5</x:v>
      </x:c>
      <x:c r="Z108" s="18" t="n">
        <x:v>46272.291666666664</x:v>
      </x:c>
      <x:c r="AA108" s="18" t="n">
        <x:v>46275.38862103009</x:v>
      </x:c>
      <x:c r="AB108" s="18" t="str">
        <x:v>public_rss</x:v>
      </x:c>
      <x:c r="AC108" s="18" t="str">
        <x:v>READY</x:v>
      </x:c>
    </x:row>
  </x:sheetData>
  <x:mergeCells>
    <x:mergeCell ref="A1:H1"/>
    <x:mergeCell ref="A2:H2"/>
  </x:mergeCells>
  <x:pageMargins left="0.7" right="0.7" top="0.75" bottom="0.75" header="0.3" footer="0.3"/>
  <x:drawing xmlns:r="http://schemas.openxmlformats.org/officeDocument/2006/relationships" r:id="Rd0f307cd065e4a6e"/>
  <x:tableParts count="1">
    <x:tablePart xmlns:r="http://schemas.openxmlformats.org/officeDocument/2006/relationships" r:id="Raef2bdace7524ca5"/>
  </x:tableParts>
</x:worksheet>
</file>